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folomechine\Documents\BLUEPRINT\JIRA\"/>
    </mc:Choice>
  </mc:AlternateContent>
  <bookViews>
    <workbookView xWindow="0" yWindow="0" windowWidth="21600" windowHeight="9000"/>
  </bookViews>
  <sheets>
    <sheet name="Leave Tracker" sheetId="8" r:id="rId1"/>
    <sheet name="Holidays" sheetId="9" state="hidden" r:id="rId2"/>
    <sheet name="Team" sheetId="10" r:id="rId3"/>
    <sheet name="Team Capacity" sheetId="11" r:id="rId4"/>
    <sheet name="Sheet3" sheetId="5" state="hidden" r:id="rId5"/>
  </sheets>
  <definedNames>
    <definedName name="HolidayListNamedRange">HolidayList[Date]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41547.3902083333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71027"/>
  <pivotCaches>
    <pivotCache cacheId="92" r:id="rId6"/>
  </pivotCaches>
  <fileRecoveryPr autoRecover="0"/>
</workbook>
</file>

<file path=xl/calcChain.xml><?xml version="1.0" encoding="utf-8"?>
<calcChain xmlns="http://schemas.openxmlformats.org/spreadsheetml/2006/main">
  <c r="R2" i="10" l="1" a="1"/>
  <c r="R6" i="10" a="1"/>
  <c r="R10" i="10" a="1"/>
  <c r="R14" i="10" a="1"/>
  <c r="R18" i="10" a="1"/>
  <c r="R22" i="10" a="1"/>
  <c r="R26" i="10" a="1"/>
  <c r="R30" i="10" a="1"/>
  <c r="R3" i="10" a="1"/>
  <c r="R11" i="10" a="1"/>
  <c r="R19" i="10" a="1"/>
  <c r="R27" i="10" a="1"/>
  <c r="R35" i="10" a="1"/>
  <c r="R43" i="10" a="1"/>
  <c r="R51" i="10" a="1"/>
  <c r="R7" i="10" a="1"/>
  <c r="R15" i="10" a="1"/>
  <c r="R23" i="10" a="1"/>
  <c r="R31" i="10" a="1"/>
  <c r="R39" i="10" a="1"/>
  <c r="R47" i="10" a="1"/>
  <c r="R50" i="10" a="1"/>
  <c r="R8" i="10" a="1"/>
  <c r="R12" i="10" a="1"/>
  <c r="R20" i="10" a="1"/>
  <c r="R28" i="10" a="1"/>
  <c r="R36" i="10" a="1"/>
  <c r="R44" i="10" a="1"/>
  <c r="R34" i="10" a="1"/>
  <c r="R4" i="10" a="1"/>
  <c r="R16" i="10" a="1"/>
  <c r="R24" i="10" a="1"/>
  <c r="R32" i="10" a="1"/>
  <c r="R40" i="10" a="1"/>
  <c r="R48" i="10" a="1"/>
  <c r="R42" i="10" a="1"/>
  <c r="R9" i="10" a="1"/>
  <c r="R13" i="10" a="1"/>
  <c r="R21" i="10" a="1"/>
  <c r="R29" i="10" a="1"/>
  <c r="R37" i="10" a="1"/>
  <c r="R45" i="10" a="1"/>
  <c r="R38" i="10" a="1"/>
  <c r="R5" i="10" a="1"/>
  <c r="R17" i="10" a="1"/>
  <c r="R25" i="10" a="1"/>
  <c r="R33" i="10" a="1"/>
  <c r="R41" i="10" a="1"/>
  <c r="R49" i="10" a="1"/>
  <c r="R46" i="10" a="1"/>
  <c r="Q2" i="10" a="1"/>
  <c r="Q6" i="10" a="1"/>
  <c r="Q10" i="10" a="1"/>
  <c r="Q14" i="10" a="1"/>
  <c r="Q18" i="10" a="1"/>
  <c r="Q22" i="10" a="1"/>
  <c r="Q26" i="10" a="1"/>
  <c r="Q38" i="10" a="1"/>
  <c r="Q7" i="10" a="1"/>
  <c r="Q15" i="10" a="1"/>
  <c r="Q19" i="10" a="1"/>
  <c r="Q27" i="10" a="1"/>
  <c r="Q35" i="10" a="1"/>
  <c r="Q43" i="10" a="1"/>
  <c r="Q51" i="10" a="1"/>
  <c r="Q3" i="10" a="1"/>
  <c r="Q11" i="10" a="1"/>
  <c r="Q23" i="10" a="1"/>
  <c r="Q31" i="10" a="1"/>
  <c r="Q39" i="10" a="1"/>
  <c r="Q47" i="10" a="1"/>
  <c r="Q42" i="10" a="1"/>
  <c r="Q8" i="10" a="1"/>
  <c r="Q12" i="10" a="1"/>
  <c r="Q20" i="10" a="1"/>
  <c r="Q28" i="10" a="1"/>
  <c r="Q36" i="10" a="1"/>
  <c r="Q44" i="10" a="1"/>
  <c r="Q34" i="10" a="1"/>
  <c r="Q4" i="10" a="1"/>
  <c r="Q16" i="10" a="1"/>
  <c r="Q24" i="10" a="1"/>
  <c r="Q32" i="10" a="1"/>
  <c r="Q40" i="10" a="1"/>
  <c r="Q48" i="10" a="1"/>
  <c r="Q46" i="10" a="1"/>
  <c r="Q9" i="10" a="1"/>
  <c r="Q13" i="10" a="1"/>
  <c r="Q25" i="10" a="1"/>
  <c r="Q33" i="10" a="1"/>
  <c r="Q41" i="10" a="1"/>
  <c r="Q49" i="10" a="1"/>
  <c r="Q50" i="10" a="1"/>
  <c r="Q5" i="10" a="1"/>
  <c r="Q17" i="10" a="1"/>
  <c r="Q21" i="10" a="1"/>
  <c r="Q29" i="10" a="1"/>
  <c r="Q37" i="10" a="1"/>
  <c r="Q45" i="10" a="1"/>
  <c r="Q30" i="10" a="1"/>
  <c r="P2" i="10" a="1"/>
  <c r="P6" i="10" a="1"/>
  <c r="P10" i="10" a="1"/>
  <c r="P14" i="10" a="1"/>
  <c r="P18" i="10" a="1"/>
  <c r="P22" i="10" a="1"/>
  <c r="P26" i="10" a="1"/>
  <c r="P30" i="10" a="1"/>
  <c r="P42" i="10" a="1"/>
  <c r="P7" i="10" a="1"/>
  <c r="P11" i="10" a="1"/>
  <c r="P19" i="10" a="1"/>
  <c r="P27" i="10" a="1"/>
  <c r="P35" i="10" a="1"/>
  <c r="P43" i="10" a="1"/>
  <c r="P51" i="10" a="1"/>
  <c r="P44" i="10" a="1"/>
  <c r="P3" i="10" a="1"/>
  <c r="P15" i="10" a="1"/>
  <c r="P23" i="10" a="1"/>
  <c r="P31" i="10" a="1"/>
  <c r="P39" i="10" a="1"/>
  <c r="P47" i="10" a="1"/>
  <c r="P36" i="10" a="1"/>
  <c r="P48" i="10" a="1"/>
  <c r="P4" i="10" a="1"/>
  <c r="P8" i="10" a="1"/>
  <c r="P12" i="10" a="1"/>
  <c r="P16" i="10" a="1"/>
  <c r="P20" i="10" a="1"/>
  <c r="P24" i="10" a="1"/>
  <c r="P28" i="10" a="1"/>
  <c r="P32" i="10" a="1"/>
  <c r="P40" i="10" a="1"/>
  <c r="P9" i="10" a="1"/>
  <c r="P17" i="10" a="1"/>
  <c r="P25" i="10" a="1"/>
  <c r="P33" i="10" a="1"/>
  <c r="P41" i="10" a="1"/>
  <c r="P49" i="10" a="1"/>
  <c r="P38" i="10" a="1"/>
  <c r="P50" i="10" a="1"/>
  <c r="P5" i="10" a="1"/>
  <c r="P13" i="10" a="1"/>
  <c r="P21" i="10" a="1"/>
  <c r="P29" i="10" a="1"/>
  <c r="P37" i="10" a="1"/>
  <c r="P45" i="10" a="1"/>
  <c r="P34" i="10" a="1"/>
  <c r="P46" i="10" a="1"/>
  <c r="O2" i="10" a="1"/>
  <c r="O14" i="10" a="1"/>
  <c r="O22" i="10" a="1"/>
  <c r="O30" i="10" a="1"/>
  <c r="O38" i="10" a="1"/>
  <c r="O46" i="10" a="1"/>
  <c r="O7" i="10" a="1"/>
  <c r="O15" i="10" a="1"/>
  <c r="O23" i="10" a="1"/>
  <c r="O31" i="10" a="1"/>
  <c r="O39" i="10" a="1"/>
  <c r="O47" i="10" a="1"/>
  <c r="O3" i="10" a="1"/>
  <c r="O11" i="10" a="1"/>
  <c r="O19" i="10" a="1"/>
  <c r="O27" i="10" a="1"/>
  <c r="O35" i="10" a="1"/>
  <c r="O43" i="10" a="1"/>
  <c r="O8" i="10" a="1"/>
  <c r="O12" i="10" a="1"/>
  <c r="O20" i="10" a="1"/>
  <c r="O28" i="10" a="1"/>
  <c r="O36" i="10" a="1"/>
  <c r="O44" i="10" a="1"/>
  <c r="O51" i="10" a="1"/>
  <c r="O4" i="10" a="1"/>
  <c r="O16" i="10" a="1"/>
  <c r="O24" i="10" a="1"/>
  <c r="O32" i="10" a="1"/>
  <c r="O40" i="10" a="1"/>
  <c r="O48" i="10" a="1"/>
  <c r="O9" i="10" a="1"/>
  <c r="O17" i="10" a="1"/>
  <c r="O25" i="10" a="1"/>
  <c r="O33" i="10" a="1"/>
  <c r="O41" i="10" a="1"/>
  <c r="O49" i="10" a="1"/>
  <c r="O5" i="10" a="1"/>
  <c r="O13" i="10" a="1"/>
  <c r="O21" i="10" a="1"/>
  <c r="O29" i="10" a="1"/>
  <c r="O37" i="10" a="1"/>
  <c r="O45" i="10" a="1"/>
  <c r="O6" i="10" a="1"/>
  <c r="O10" i="10" a="1"/>
  <c r="O18" i="10" a="1"/>
  <c r="O26" i="10" a="1"/>
  <c r="O34" i="10" a="1"/>
  <c r="O42" i="10" a="1"/>
  <c r="O50" i="10" a="1"/>
  <c r="N2" i="10" a="1"/>
  <c r="N6" i="10" a="1"/>
  <c r="N10" i="10" a="1"/>
  <c r="N14" i="10" a="1"/>
  <c r="N18" i="10" a="1"/>
  <c r="N22" i="10" a="1"/>
  <c r="N26" i="10" a="1"/>
  <c r="N30" i="10" a="1"/>
  <c r="N46" i="10" a="1"/>
  <c r="N7" i="10" a="1"/>
  <c r="N11" i="10" a="1"/>
  <c r="N19" i="10" a="1"/>
  <c r="N27" i="10" a="1"/>
  <c r="N35" i="10" a="1"/>
  <c r="N43" i="10" a="1"/>
  <c r="N51" i="10" a="1"/>
  <c r="N50" i="10" a="1"/>
  <c r="N3" i="10" a="1"/>
  <c r="N15" i="10" a="1"/>
  <c r="N23" i="10" a="1"/>
  <c r="N31" i="10" a="1"/>
  <c r="N39" i="10" a="1"/>
  <c r="N47" i="10" a="1"/>
  <c r="N49" i="10" a="1"/>
  <c r="N8" i="10" a="1"/>
  <c r="N12" i="10" a="1"/>
  <c r="N20" i="10" a="1"/>
  <c r="N28" i="10" a="1"/>
  <c r="N36" i="10" a="1"/>
  <c r="N44" i="10" a="1"/>
  <c r="N45" i="10" a="1"/>
  <c r="N4" i="10" a="1"/>
  <c r="N16" i="10" a="1"/>
  <c r="N24" i="10" a="1"/>
  <c r="N32" i="10" a="1"/>
  <c r="N40" i="10" a="1"/>
  <c r="N48" i="10" a="1"/>
  <c r="N34" i="10" a="1"/>
  <c r="N9" i="10" a="1"/>
  <c r="N13" i="10" a="1"/>
  <c r="N21" i="10" a="1"/>
  <c r="N29" i="10" a="1"/>
  <c r="N37" i="10" a="1"/>
  <c r="N38" i="10" a="1"/>
  <c r="N5" i="10" a="1"/>
  <c r="N17" i="10" a="1"/>
  <c r="N25" i="10" a="1"/>
  <c r="N33" i="10" a="1"/>
  <c r="N41" i="10" a="1"/>
  <c r="N42" i="10" a="1"/>
  <c r="M2" i="10" a="1"/>
  <c r="M14" i="10" a="1"/>
  <c r="M22" i="10" a="1"/>
  <c r="M30" i="10" a="1"/>
  <c r="M38" i="10" a="1"/>
  <c r="M46" i="10" a="1"/>
  <c r="M37" i="10" a="1"/>
  <c r="M7" i="10" a="1"/>
  <c r="M11" i="10" a="1"/>
  <c r="M19" i="10" a="1"/>
  <c r="M27" i="10" a="1"/>
  <c r="M35" i="10" a="1"/>
  <c r="M43" i="10" a="1"/>
  <c r="M51" i="10" a="1"/>
  <c r="M49" i="10" a="1"/>
  <c r="M3" i="10" a="1"/>
  <c r="M15" i="10" a="1"/>
  <c r="M23" i="10" a="1"/>
  <c r="M31" i="10" a="1"/>
  <c r="M39" i="10" a="1"/>
  <c r="M47" i="10" a="1"/>
  <c r="M48" i="10" a="1"/>
  <c r="M8" i="10" a="1"/>
  <c r="M12" i="10" a="1"/>
  <c r="M20" i="10" a="1"/>
  <c r="M24" i="10" a="1"/>
  <c r="M32" i="10" a="1"/>
  <c r="M36" i="10" a="1"/>
  <c r="M44" i="10" a="1"/>
  <c r="M41" i="10" a="1"/>
  <c r="M4" i="10" a="1"/>
  <c r="M16" i="10" a="1"/>
  <c r="M28" i="10" a="1"/>
  <c r="M40" i="10" a="1"/>
  <c r="M5" i="10" a="1"/>
  <c r="M9" i="10" a="1"/>
  <c r="M13" i="10" a="1"/>
  <c r="M17" i="10" a="1"/>
  <c r="M21" i="10" a="1"/>
  <c r="M25" i="10" a="1"/>
  <c r="M29" i="10" a="1"/>
  <c r="M33" i="10" a="1"/>
  <c r="M45" i="10" a="1"/>
  <c r="M6" i="10" a="1"/>
  <c r="M10" i="10" a="1"/>
  <c r="M18" i="10" a="1"/>
  <c r="M26" i="10" a="1"/>
  <c r="M34" i="10" a="1"/>
  <c r="M42" i="10" a="1"/>
  <c r="M50" i="10" a="1"/>
  <c r="L2" i="10" a="1"/>
  <c r="L6" i="10" a="1"/>
  <c r="L10" i="10" a="1"/>
  <c r="L14" i="10" a="1"/>
  <c r="L18" i="10" a="1"/>
  <c r="L22" i="10" a="1"/>
  <c r="L26" i="10" a="1"/>
  <c r="L46" i="10" a="1"/>
  <c r="L7" i="10" a="1"/>
  <c r="L11" i="10" a="1"/>
  <c r="L19" i="10" a="1"/>
  <c r="L27" i="10" a="1"/>
  <c r="L35" i="10" a="1"/>
  <c r="L43" i="10" a="1"/>
  <c r="L51" i="10" a="1"/>
  <c r="L3" i="10" a="1"/>
  <c r="L15" i="10" a="1"/>
  <c r="L23" i="10" a="1"/>
  <c r="L31" i="10" a="1"/>
  <c r="L39" i="10" a="1"/>
  <c r="L47" i="10" a="1"/>
  <c r="L50" i="10" a="1"/>
  <c r="L8" i="10" a="1"/>
  <c r="L12" i="10" a="1"/>
  <c r="L20" i="10" a="1"/>
  <c r="L28" i="10" a="1"/>
  <c r="L36" i="10" a="1"/>
  <c r="L44" i="10" a="1"/>
  <c r="L30" i="10" a="1"/>
  <c r="L4" i="10" a="1"/>
  <c r="L16" i="10" a="1"/>
  <c r="L24" i="10" a="1"/>
  <c r="L32" i="10" a="1"/>
  <c r="L40" i="10" a="1"/>
  <c r="L48" i="10" a="1"/>
  <c r="L34" i="10" a="1"/>
  <c r="L9" i="10" a="1"/>
  <c r="L17" i="10" a="1"/>
  <c r="L25" i="10" a="1"/>
  <c r="L33" i="10" a="1"/>
  <c r="L41" i="10" a="1"/>
  <c r="L49" i="10" a="1"/>
  <c r="L42" i="10" a="1"/>
  <c r="L5" i="10" a="1"/>
  <c r="L13" i="10" a="1"/>
  <c r="L21" i="10" a="1"/>
  <c r="L29" i="10" a="1"/>
  <c r="L37" i="10" a="1"/>
  <c r="L45" i="10" a="1"/>
  <c r="L38" i="10" a="1"/>
  <c r="K2" i="10" a="1"/>
  <c r="K10" i="10" a="1"/>
  <c r="K18" i="10" a="1"/>
  <c r="K26" i="10" a="1"/>
  <c r="K34" i="10" a="1"/>
  <c r="K42" i="10" a="1"/>
  <c r="K50" i="10" a="1"/>
  <c r="K7" i="10" a="1"/>
  <c r="K15" i="10" a="1"/>
  <c r="K23" i="10" a="1"/>
  <c r="K31" i="10" a="1"/>
  <c r="K39" i="10" a="1"/>
  <c r="K47" i="10" a="1"/>
  <c r="K3" i="10" a="1"/>
  <c r="K11" i="10" a="1"/>
  <c r="K19" i="10" a="1"/>
  <c r="K27" i="10" a="1"/>
  <c r="K35" i="10" a="1"/>
  <c r="K43" i="10" a="1"/>
  <c r="K51" i="10" a="1"/>
  <c r="K8" i="10" a="1"/>
  <c r="K16" i="10" a="1"/>
  <c r="K24" i="10" a="1"/>
  <c r="K32" i="10" a="1"/>
  <c r="K40" i="10" a="1"/>
  <c r="K48" i="10" a="1"/>
  <c r="K4" i="10" a="1"/>
  <c r="K12" i="10" a="1"/>
  <c r="K20" i="10" a="1"/>
  <c r="K28" i="10" a="1"/>
  <c r="K36" i="10" a="1"/>
  <c r="K44" i="10" a="1"/>
  <c r="K9" i="10" a="1"/>
  <c r="K13" i="10" a="1"/>
  <c r="K21" i="10" a="1"/>
  <c r="K29" i="10" a="1"/>
  <c r="K37" i="10" a="1"/>
  <c r="K49" i="10" a="1"/>
  <c r="K5" i="10" a="1"/>
  <c r="K17" i="10" a="1"/>
  <c r="K25" i="10" a="1"/>
  <c r="K33" i="10" a="1"/>
  <c r="K41" i="10" a="1"/>
  <c r="K45" i="10" a="1"/>
  <c r="K6" i="10" a="1"/>
  <c r="K14" i="10" a="1"/>
  <c r="K22" i="10" a="1"/>
  <c r="K30" i="10" a="1"/>
  <c r="K38" i="10" a="1"/>
  <c r="K46" i="10" a="1"/>
  <c r="J2" i="10" a="1"/>
  <c r="J14" i="10" a="1"/>
  <c r="J22" i="10" a="1"/>
  <c r="J30" i="10" a="1"/>
  <c r="J38" i="10" a="1"/>
  <c r="J46" i="10" a="1"/>
  <c r="J37" i="10" a="1"/>
  <c r="J7" i="10" a="1"/>
  <c r="J15" i="10" a="1"/>
  <c r="J19" i="10" a="1"/>
  <c r="J27" i="10" a="1"/>
  <c r="J35" i="10" a="1"/>
  <c r="J43" i="10" a="1"/>
  <c r="J51" i="10" a="1"/>
  <c r="J3" i="10" a="1"/>
  <c r="J11" i="10" a="1"/>
  <c r="J23" i="10" a="1"/>
  <c r="J31" i="10" a="1"/>
  <c r="J39" i="10" a="1"/>
  <c r="J47" i="10" a="1"/>
  <c r="J45" i="10" a="1"/>
  <c r="J8" i="10" a="1"/>
  <c r="J12" i="10" a="1"/>
  <c r="J20" i="10" a="1"/>
  <c r="J28" i="10" a="1"/>
  <c r="J36" i="10" a="1"/>
  <c r="J44" i="10" a="1"/>
  <c r="J33" i="10" a="1"/>
  <c r="J4" i="10" a="1"/>
  <c r="J16" i="10" a="1"/>
  <c r="J24" i="10" a="1"/>
  <c r="J32" i="10" a="1"/>
  <c r="J40" i="10" a="1"/>
  <c r="J48" i="10" a="1"/>
  <c r="J41" i="10" a="1"/>
  <c r="J5" i="10" a="1"/>
  <c r="J9" i="10" a="1"/>
  <c r="J13" i="10" a="1"/>
  <c r="J17" i="10" a="1"/>
  <c r="J21" i="10" a="1"/>
  <c r="J25" i="10" a="1"/>
  <c r="J29" i="10" a="1"/>
  <c r="J49" i="10" a="1"/>
  <c r="J6" i="10" a="1"/>
  <c r="J10" i="10" a="1"/>
  <c r="J18" i="10" a="1"/>
  <c r="J26" i="10" a="1"/>
  <c r="J34" i="10" a="1"/>
  <c r="J42" i="10" a="1"/>
  <c r="J50" i="10" a="1"/>
  <c r="I6" i="10" a="1"/>
  <c r="I14" i="10" a="1"/>
  <c r="I22" i="10" a="1"/>
  <c r="I30" i="10" a="1"/>
  <c r="I38" i="10" a="1"/>
  <c r="I46" i="10" a="1"/>
  <c r="I7" i="10" a="1"/>
  <c r="I11" i="10" a="1"/>
  <c r="I19" i="10" a="1"/>
  <c r="I27" i="10" a="1"/>
  <c r="I35" i="10" a="1"/>
  <c r="I43" i="10" a="1"/>
  <c r="I51" i="10" a="1"/>
  <c r="I3" i="10" a="1"/>
  <c r="I15" i="10" a="1"/>
  <c r="I23" i="10" a="1"/>
  <c r="I31" i="10" a="1"/>
  <c r="I39" i="10" a="1"/>
  <c r="I47" i="10" a="1"/>
  <c r="I8" i="10" a="1"/>
  <c r="I12" i="10" a="1"/>
  <c r="I20" i="10" a="1"/>
  <c r="I28" i="10" a="1"/>
  <c r="I36" i="10" a="1"/>
  <c r="I44" i="10" a="1"/>
  <c r="I4" i="10" a="1"/>
  <c r="I16" i="10" a="1"/>
  <c r="I24" i="10" a="1"/>
  <c r="I32" i="10" a="1"/>
  <c r="I40" i="10" a="1"/>
  <c r="I48" i="10" a="1"/>
  <c r="I9" i="10" a="1"/>
  <c r="I17" i="10" a="1"/>
  <c r="I25" i="10" a="1"/>
  <c r="I33" i="10" a="1"/>
  <c r="I41" i="10" a="1"/>
  <c r="I49" i="10" a="1"/>
  <c r="I5" i="10" a="1"/>
  <c r="I13" i="10" a="1"/>
  <c r="I21" i="10" a="1"/>
  <c r="I29" i="10" a="1"/>
  <c r="I37" i="10" a="1"/>
  <c r="I45" i="10" a="1"/>
  <c r="I2" i="10" a="1"/>
  <c r="I10" i="10" a="1"/>
  <c r="I18" i="10" a="1"/>
  <c r="I26" i="10" a="1"/>
  <c r="I34" i="10" a="1"/>
  <c r="I42" i="10" a="1"/>
  <c r="I50" i="10" a="1"/>
  <c r="H6" i="10" a="1"/>
  <c r="H14" i="10" a="1"/>
  <c r="H22" i="10" a="1"/>
  <c r="H30" i="10" a="1"/>
  <c r="H38" i="10" a="1"/>
  <c r="H46" i="10" a="1"/>
  <c r="H7" i="10" a="1"/>
  <c r="H11" i="10" a="1"/>
  <c r="H19" i="10" a="1"/>
  <c r="H27" i="10" a="1"/>
  <c r="H35" i="10" a="1"/>
  <c r="H43" i="10" a="1"/>
  <c r="H51" i="10" a="1"/>
  <c r="H3" i="10" a="1"/>
  <c r="H15" i="10" a="1"/>
  <c r="H23" i="10" a="1"/>
  <c r="H31" i="10" a="1"/>
  <c r="H39" i="10" a="1"/>
  <c r="H47" i="10" a="1"/>
  <c r="H4" i="10" a="1"/>
  <c r="H12" i="10" a="1"/>
  <c r="H20" i="10" a="1"/>
  <c r="H28" i="10" a="1"/>
  <c r="H36" i="10" a="1"/>
  <c r="H48" i="10" a="1"/>
  <c r="H8" i="10" a="1"/>
  <c r="H16" i="10" a="1"/>
  <c r="H24" i="10" a="1"/>
  <c r="H32" i="10" a="1"/>
  <c r="H40" i="10" a="1"/>
  <c r="H44" i="10" a="1"/>
  <c r="H9" i="10" a="1"/>
  <c r="H13" i="10" a="1"/>
  <c r="H21" i="10" a="1"/>
  <c r="H29" i="10" a="1"/>
  <c r="H37" i="10" a="1"/>
  <c r="H45" i="10" a="1"/>
  <c r="H5" i="10" a="1"/>
  <c r="H17" i="10" a="1"/>
  <c r="H25" i="10" a="1"/>
  <c r="H33" i="10" a="1"/>
  <c r="H41" i="10" a="1"/>
  <c r="H49" i="10" a="1"/>
  <c r="H2" i="10" a="1"/>
  <c r="H10" i="10" a="1"/>
  <c r="H18" i="10" a="1"/>
  <c r="H26" i="10" a="1"/>
  <c r="H34" i="10" a="1"/>
  <c r="H42" i="10" a="1"/>
  <c r="H50" i="10" a="1"/>
  <c r="G2" i="10" a="1"/>
  <c r="G14" i="10" a="1"/>
  <c r="G22" i="10" a="1"/>
  <c r="G30" i="10" a="1"/>
  <c r="G38" i="10" a="1"/>
  <c r="G46" i="10" a="1"/>
  <c r="G7" i="10" a="1"/>
  <c r="G15" i="10" a="1"/>
  <c r="G19" i="10" a="1"/>
  <c r="G27" i="10" a="1"/>
  <c r="G35" i="10" a="1"/>
  <c r="G43" i="10" a="1"/>
  <c r="G51" i="10" a="1"/>
  <c r="G3" i="10" a="1"/>
  <c r="G11" i="10" a="1"/>
  <c r="G23" i="10" a="1"/>
  <c r="G31" i="10" a="1"/>
  <c r="G39" i="10" a="1"/>
  <c r="G47" i="10" a="1"/>
  <c r="G8" i="10" a="1"/>
  <c r="G12" i="10" a="1"/>
  <c r="G20" i="10" a="1"/>
  <c r="G28" i="10" a="1"/>
  <c r="G36" i="10" a="1"/>
  <c r="G44" i="10" a="1"/>
  <c r="G4" i="10" a="1"/>
  <c r="G16" i="10" a="1"/>
  <c r="G24" i="10" a="1"/>
  <c r="G32" i="10" a="1"/>
  <c r="G40" i="10" a="1"/>
  <c r="G48" i="10" a="1"/>
  <c r="G9" i="10" a="1"/>
  <c r="G13" i="10" a="1"/>
  <c r="G21" i="10" a="1"/>
  <c r="G29" i="10" a="1"/>
  <c r="G37" i="10" a="1"/>
  <c r="G45" i="10" a="1"/>
  <c r="G5" i="10" a="1"/>
  <c r="G17" i="10" a="1"/>
  <c r="G25" i="10" a="1"/>
  <c r="G33" i="10" a="1"/>
  <c r="G41" i="10" a="1"/>
  <c r="G49" i="10" a="1"/>
  <c r="G6" i="10" a="1"/>
  <c r="G10" i="10" a="1"/>
  <c r="G18" i="10" a="1"/>
  <c r="G26" i="10" a="1"/>
  <c r="G34" i="10" a="1"/>
  <c r="G42" i="10" a="1"/>
  <c r="G50" i="10" a="1"/>
  <c r="R46" i="10" l="1"/>
  <c r="R49" i="10"/>
  <c r="R41" i="10"/>
  <c r="R33" i="10"/>
  <c r="R25" i="10"/>
  <c r="R17" i="10"/>
  <c r="R5" i="10"/>
  <c r="R38" i="10"/>
  <c r="R45" i="10"/>
  <c r="R37" i="10"/>
  <c r="R29" i="10"/>
  <c r="R21" i="10"/>
  <c r="R13" i="10"/>
  <c r="R9" i="10"/>
  <c r="R42" i="10"/>
  <c r="R48" i="10"/>
  <c r="R40" i="10"/>
  <c r="R32" i="10"/>
  <c r="R24" i="10"/>
  <c r="R16" i="10"/>
  <c r="R4" i="10"/>
  <c r="R34" i="10"/>
  <c r="R44" i="10"/>
  <c r="R36" i="10"/>
  <c r="R28" i="10"/>
  <c r="R20" i="10"/>
  <c r="R12" i="10"/>
  <c r="R8" i="10"/>
  <c r="R50" i="10"/>
  <c r="R47" i="10"/>
  <c r="R39" i="10"/>
  <c r="R31" i="10"/>
  <c r="R23" i="10"/>
  <c r="R15" i="10"/>
  <c r="R7" i="10"/>
  <c r="R51" i="10"/>
  <c r="R43" i="10"/>
  <c r="R35" i="10"/>
  <c r="R27" i="10"/>
  <c r="R19" i="10"/>
  <c r="R11" i="10"/>
  <c r="R3" i="10"/>
  <c r="R30" i="10"/>
  <c r="R26" i="10"/>
  <c r="R22" i="10"/>
  <c r="R18" i="10"/>
  <c r="R14" i="10"/>
  <c r="R10" i="10"/>
  <c r="R6" i="10"/>
  <c r="R2" i="10"/>
  <c r="Q30" i="10"/>
  <c r="Q45" i="10"/>
  <c r="Q37" i="10"/>
  <c r="Q29" i="10"/>
  <c r="Q21" i="10"/>
  <c r="Q17" i="10"/>
  <c r="Q5" i="10"/>
  <c r="Q50" i="10"/>
  <c r="Q49" i="10"/>
  <c r="Q41" i="10"/>
  <c r="Q33" i="10"/>
  <c r="Q25" i="10"/>
  <c r="Q13" i="10"/>
  <c r="Q9" i="10"/>
  <c r="Q46" i="10"/>
  <c r="Q48" i="10"/>
  <c r="Q40" i="10"/>
  <c r="Q32" i="10"/>
  <c r="Q24" i="10"/>
  <c r="Q16" i="10"/>
  <c r="Q4" i="10"/>
  <c r="Q34" i="10"/>
  <c r="Q44" i="10"/>
  <c r="Q36" i="10"/>
  <c r="Q28" i="10"/>
  <c r="Q20" i="10"/>
  <c r="Q12" i="10"/>
  <c r="Q8" i="10"/>
  <c r="Q42" i="10"/>
  <c r="Q47" i="10"/>
  <c r="Q39" i="10"/>
  <c r="Q31" i="10"/>
  <c r="Q23" i="10"/>
  <c r="Q11" i="10"/>
  <c r="Q3" i="10"/>
  <c r="Q51" i="10"/>
  <c r="Q43" i="10"/>
  <c r="Q35" i="10"/>
  <c r="Q27" i="10"/>
  <c r="Q19" i="10"/>
  <c r="Q15" i="10"/>
  <c r="Q7" i="10"/>
  <c r="Q38" i="10"/>
  <c r="Q26" i="10"/>
  <c r="Q22" i="10"/>
  <c r="Q18" i="10"/>
  <c r="Q14" i="10"/>
  <c r="Q10" i="10"/>
  <c r="Q6" i="10"/>
  <c r="Q2" i="10"/>
  <c r="P46" i="10"/>
  <c r="P34" i="10"/>
  <c r="P45" i="10"/>
  <c r="P37" i="10"/>
  <c r="P29" i="10"/>
  <c r="P21" i="10"/>
  <c r="P13" i="10"/>
  <c r="P5" i="10"/>
  <c r="P50" i="10"/>
  <c r="P38" i="10"/>
  <c r="P49" i="10"/>
  <c r="P41" i="10"/>
  <c r="P33" i="10"/>
  <c r="P25" i="10"/>
  <c r="P17" i="10"/>
  <c r="P9" i="10"/>
  <c r="P40" i="10"/>
  <c r="P32" i="10"/>
  <c r="P28" i="10"/>
  <c r="P24" i="10"/>
  <c r="P20" i="10"/>
  <c r="P16" i="10"/>
  <c r="P12" i="10"/>
  <c r="P8" i="10"/>
  <c r="P4" i="10"/>
  <c r="P48" i="10"/>
  <c r="P36" i="10"/>
  <c r="P47" i="10"/>
  <c r="P39" i="10"/>
  <c r="P31" i="10"/>
  <c r="P23" i="10"/>
  <c r="P15" i="10"/>
  <c r="P3" i="10"/>
  <c r="P44" i="10"/>
  <c r="P51" i="10"/>
  <c r="P43" i="10"/>
  <c r="P35" i="10"/>
  <c r="P27" i="10"/>
  <c r="P19" i="10"/>
  <c r="P11" i="10"/>
  <c r="P7" i="10"/>
  <c r="P42" i="10"/>
  <c r="P30" i="10"/>
  <c r="P26" i="10"/>
  <c r="P22" i="10"/>
  <c r="P18" i="10"/>
  <c r="P14" i="10"/>
  <c r="P10" i="10"/>
  <c r="P6" i="10"/>
  <c r="P2" i="10"/>
  <c r="O50" i="10"/>
  <c r="O42" i="10"/>
  <c r="O34" i="10"/>
  <c r="O26" i="10"/>
  <c r="O18" i="10"/>
  <c r="O10" i="10"/>
  <c r="O6" i="10"/>
  <c r="O45" i="10"/>
  <c r="O37" i="10"/>
  <c r="O29" i="10"/>
  <c r="O21" i="10"/>
  <c r="O13" i="10"/>
  <c r="O5" i="10"/>
  <c r="O49" i="10"/>
  <c r="O41" i="10"/>
  <c r="O33" i="10"/>
  <c r="O25" i="10"/>
  <c r="O17" i="10"/>
  <c r="O9" i="10"/>
  <c r="O48" i="10"/>
  <c r="O40" i="10"/>
  <c r="O32" i="10"/>
  <c r="O24" i="10"/>
  <c r="O16" i="10"/>
  <c r="O4" i="10"/>
  <c r="O51" i="10"/>
  <c r="O44" i="10"/>
  <c r="O36" i="10"/>
  <c r="O28" i="10"/>
  <c r="O20" i="10"/>
  <c r="O12" i="10"/>
  <c r="O8" i="10"/>
  <c r="O43" i="10"/>
  <c r="O35" i="10"/>
  <c r="O27" i="10"/>
  <c r="O19" i="10"/>
  <c r="O11" i="10"/>
  <c r="O3" i="10"/>
  <c r="O47" i="10"/>
  <c r="O39" i="10"/>
  <c r="O31" i="10"/>
  <c r="O23" i="10"/>
  <c r="O15" i="10"/>
  <c r="O7" i="10"/>
  <c r="O46" i="10"/>
  <c r="O38" i="10"/>
  <c r="O30" i="10"/>
  <c r="O22" i="10"/>
  <c r="O14" i="10"/>
  <c r="O2" i="10"/>
  <c r="N42" i="10"/>
  <c r="N41" i="10"/>
  <c r="N33" i="10"/>
  <c r="N25" i="10"/>
  <c r="N17" i="10"/>
  <c r="N5" i="10"/>
  <c r="N38" i="10"/>
  <c r="N37" i="10"/>
  <c r="N29" i="10"/>
  <c r="N21" i="10"/>
  <c r="N13" i="10"/>
  <c r="N9" i="10"/>
  <c r="N34" i="10"/>
  <c r="N48" i="10"/>
  <c r="N40" i="10"/>
  <c r="N32" i="10"/>
  <c r="N24" i="10"/>
  <c r="N16" i="10"/>
  <c r="N4" i="10"/>
  <c r="N45" i="10"/>
  <c r="N44" i="10"/>
  <c r="N36" i="10"/>
  <c r="N28" i="10"/>
  <c r="N20" i="10"/>
  <c r="N12" i="10"/>
  <c r="N8" i="10"/>
  <c r="N49" i="10"/>
  <c r="N47" i="10"/>
  <c r="N39" i="10"/>
  <c r="N31" i="10"/>
  <c r="N23" i="10"/>
  <c r="N15" i="10"/>
  <c r="N3" i="10"/>
  <c r="N50" i="10"/>
  <c r="N51" i="10"/>
  <c r="N43" i="10"/>
  <c r="N35" i="10"/>
  <c r="N27" i="10"/>
  <c r="N19" i="10"/>
  <c r="N11" i="10"/>
  <c r="N7" i="10"/>
  <c r="N46" i="10"/>
  <c r="N30" i="10"/>
  <c r="N26" i="10"/>
  <c r="N22" i="10"/>
  <c r="N18" i="10"/>
  <c r="N14" i="10"/>
  <c r="N10" i="10"/>
  <c r="N6" i="10"/>
  <c r="N2" i="10"/>
  <c r="M50" i="10"/>
  <c r="M42" i="10"/>
  <c r="M34" i="10"/>
  <c r="M26" i="10"/>
  <c r="M18" i="10"/>
  <c r="M10" i="10"/>
  <c r="M6" i="10"/>
  <c r="M45" i="10"/>
  <c r="M33" i="10"/>
  <c r="M29" i="10"/>
  <c r="M25" i="10"/>
  <c r="M21" i="10"/>
  <c r="M17" i="10"/>
  <c r="M13" i="10"/>
  <c r="M9" i="10"/>
  <c r="M5" i="10"/>
  <c r="M40" i="10"/>
  <c r="M28" i="10"/>
  <c r="M16" i="10"/>
  <c r="M4" i="10"/>
  <c r="M41" i="10"/>
  <c r="M44" i="10"/>
  <c r="M36" i="10"/>
  <c r="M32" i="10"/>
  <c r="M24" i="10"/>
  <c r="M20" i="10"/>
  <c r="M12" i="10"/>
  <c r="M8" i="10"/>
  <c r="M48" i="10"/>
  <c r="M47" i="10"/>
  <c r="M39" i="10"/>
  <c r="M31" i="10"/>
  <c r="M23" i="10"/>
  <c r="M15" i="10"/>
  <c r="M3" i="10"/>
  <c r="M49" i="10"/>
  <c r="M51" i="10"/>
  <c r="M43" i="10"/>
  <c r="M35" i="10"/>
  <c r="M27" i="10"/>
  <c r="M19" i="10"/>
  <c r="M11" i="10"/>
  <c r="M7" i="10"/>
  <c r="M37" i="10"/>
  <c r="M46" i="10"/>
  <c r="M38" i="10"/>
  <c r="M30" i="10"/>
  <c r="M22" i="10"/>
  <c r="M14" i="10"/>
  <c r="M2" i="10"/>
  <c r="L38" i="10"/>
  <c r="L45" i="10"/>
  <c r="L37" i="10"/>
  <c r="L29" i="10"/>
  <c r="L21" i="10"/>
  <c r="L13" i="10"/>
  <c r="L5" i="10"/>
  <c r="L42" i="10"/>
  <c r="L49" i="10"/>
  <c r="L41" i="10"/>
  <c r="L33" i="10"/>
  <c r="L25" i="10"/>
  <c r="L17" i="10"/>
  <c r="L9" i="10"/>
  <c r="L34" i="10"/>
  <c r="L48" i="10"/>
  <c r="L40" i="10"/>
  <c r="L32" i="10"/>
  <c r="L24" i="10"/>
  <c r="L16" i="10"/>
  <c r="L4" i="10"/>
  <c r="L30" i="10"/>
  <c r="L44" i="10"/>
  <c r="L36" i="10"/>
  <c r="L28" i="10"/>
  <c r="L20" i="10"/>
  <c r="L12" i="10"/>
  <c r="L8" i="10"/>
  <c r="L50" i="10"/>
  <c r="L47" i="10"/>
  <c r="L39" i="10"/>
  <c r="L31" i="10"/>
  <c r="L23" i="10"/>
  <c r="L15" i="10"/>
  <c r="L3" i="10"/>
  <c r="L51" i="10"/>
  <c r="L43" i="10"/>
  <c r="L35" i="10"/>
  <c r="L27" i="10"/>
  <c r="L19" i="10"/>
  <c r="L11" i="10"/>
  <c r="L7" i="10"/>
  <c r="L46" i="10"/>
  <c r="L26" i="10"/>
  <c r="L22" i="10"/>
  <c r="L18" i="10"/>
  <c r="L14" i="10"/>
  <c r="L10" i="10"/>
  <c r="L6" i="10"/>
  <c r="L2" i="10"/>
  <c r="K46" i="10"/>
  <c r="K38" i="10"/>
  <c r="K30" i="10"/>
  <c r="K22" i="10"/>
  <c r="K14" i="10"/>
  <c r="K6" i="10"/>
  <c r="K45" i="10"/>
  <c r="K41" i="10"/>
  <c r="K33" i="10"/>
  <c r="K25" i="10"/>
  <c r="K17" i="10"/>
  <c r="K5" i="10"/>
  <c r="K49" i="10"/>
  <c r="K37" i="10"/>
  <c r="K29" i="10"/>
  <c r="K21" i="10"/>
  <c r="K13" i="10"/>
  <c r="K9" i="10"/>
  <c r="K44" i="10"/>
  <c r="K36" i="10"/>
  <c r="K28" i="10"/>
  <c r="K20" i="10"/>
  <c r="K12" i="10"/>
  <c r="K4" i="10"/>
  <c r="K48" i="10"/>
  <c r="K40" i="10"/>
  <c r="K32" i="10"/>
  <c r="K24" i="10"/>
  <c r="K16" i="10"/>
  <c r="K8" i="10"/>
  <c r="K51" i="10"/>
  <c r="K43" i="10"/>
  <c r="K35" i="10"/>
  <c r="K27" i="10"/>
  <c r="K19" i="10"/>
  <c r="K11" i="10"/>
  <c r="K3" i="10"/>
  <c r="K47" i="10"/>
  <c r="K39" i="10"/>
  <c r="K31" i="10"/>
  <c r="K23" i="10"/>
  <c r="K15" i="10"/>
  <c r="K7" i="10"/>
  <c r="K50" i="10"/>
  <c r="K42" i="10"/>
  <c r="K34" i="10"/>
  <c r="K26" i="10"/>
  <c r="K18" i="10"/>
  <c r="K10" i="10"/>
  <c r="K2" i="10"/>
  <c r="J50" i="10"/>
  <c r="J42" i="10"/>
  <c r="J34" i="10"/>
  <c r="J26" i="10"/>
  <c r="J18" i="10"/>
  <c r="J10" i="10"/>
  <c r="J6" i="10"/>
  <c r="J49" i="10"/>
  <c r="J29" i="10"/>
  <c r="J25" i="10"/>
  <c r="J21" i="10"/>
  <c r="J17" i="10"/>
  <c r="J13" i="10"/>
  <c r="J9" i="10"/>
  <c r="J5" i="10"/>
  <c r="J41" i="10"/>
  <c r="J48" i="10"/>
  <c r="J40" i="10"/>
  <c r="J32" i="10"/>
  <c r="J24" i="10"/>
  <c r="J16" i="10"/>
  <c r="J4" i="10"/>
  <c r="J33" i="10"/>
  <c r="J44" i="10"/>
  <c r="J36" i="10"/>
  <c r="J28" i="10"/>
  <c r="J20" i="10"/>
  <c r="J12" i="10"/>
  <c r="J8" i="10"/>
  <c r="J45" i="10"/>
  <c r="J47" i="10"/>
  <c r="J39" i="10"/>
  <c r="J31" i="10"/>
  <c r="J23" i="10"/>
  <c r="J11" i="10"/>
  <c r="J3" i="10"/>
  <c r="J51" i="10"/>
  <c r="J43" i="10"/>
  <c r="J35" i="10"/>
  <c r="J27" i="10"/>
  <c r="J19" i="10"/>
  <c r="J15" i="10"/>
  <c r="J7" i="10"/>
  <c r="J37" i="10"/>
  <c r="J46" i="10"/>
  <c r="J38" i="10"/>
  <c r="J30" i="10"/>
  <c r="J22" i="10"/>
  <c r="J14" i="10"/>
  <c r="J2" i="10"/>
  <c r="I50" i="10"/>
  <c r="I42" i="10"/>
  <c r="I34" i="10"/>
  <c r="I26" i="10"/>
  <c r="I18" i="10"/>
  <c r="I10" i="10"/>
  <c r="I2" i="10"/>
  <c r="I45" i="10"/>
  <c r="I37" i="10"/>
  <c r="I29" i="10"/>
  <c r="I21" i="10"/>
  <c r="I13" i="10"/>
  <c r="I5" i="10"/>
  <c r="I49" i="10"/>
  <c r="I41" i="10"/>
  <c r="I33" i="10"/>
  <c r="I25" i="10"/>
  <c r="I17" i="10"/>
  <c r="I9" i="10"/>
  <c r="I48" i="10"/>
  <c r="I40" i="10"/>
  <c r="I32" i="10"/>
  <c r="I24" i="10"/>
  <c r="I16" i="10"/>
  <c r="I4" i="10"/>
  <c r="I44" i="10"/>
  <c r="I36" i="10"/>
  <c r="I28" i="10"/>
  <c r="I20" i="10"/>
  <c r="I12" i="10"/>
  <c r="I8" i="10"/>
  <c r="I47" i="10"/>
  <c r="I39" i="10"/>
  <c r="I31" i="10"/>
  <c r="I23" i="10"/>
  <c r="I15" i="10"/>
  <c r="I3" i="10"/>
  <c r="I51" i="10"/>
  <c r="I43" i="10"/>
  <c r="I35" i="10"/>
  <c r="I27" i="10"/>
  <c r="I19" i="10"/>
  <c r="I11" i="10"/>
  <c r="I7" i="10"/>
  <c r="I46" i="10"/>
  <c r="I38" i="10"/>
  <c r="I30" i="10"/>
  <c r="I22" i="10"/>
  <c r="I14" i="10"/>
  <c r="I6" i="10"/>
  <c r="H50" i="10"/>
  <c r="H42" i="10"/>
  <c r="H34" i="10"/>
  <c r="H26" i="10"/>
  <c r="H18" i="10"/>
  <c r="H10" i="10"/>
  <c r="H2" i="10"/>
  <c r="H49" i="10"/>
  <c r="H41" i="10"/>
  <c r="H33" i="10"/>
  <c r="H25" i="10"/>
  <c r="H17" i="10"/>
  <c r="H5" i="10"/>
  <c r="H45" i="10"/>
  <c r="H37" i="10"/>
  <c r="H29" i="10"/>
  <c r="H21" i="10"/>
  <c r="H13" i="10"/>
  <c r="H9" i="10"/>
  <c r="H44" i="10"/>
  <c r="H40" i="10"/>
  <c r="H32" i="10"/>
  <c r="H24" i="10"/>
  <c r="H16" i="10"/>
  <c r="H8" i="10"/>
  <c r="H48" i="10"/>
  <c r="H36" i="10"/>
  <c r="H28" i="10"/>
  <c r="H20" i="10"/>
  <c r="H12" i="10"/>
  <c r="H4" i="10"/>
  <c r="H47" i="10"/>
  <c r="H39" i="10"/>
  <c r="H31" i="10"/>
  <c r="H23" i="10"/>
  <c r="H15" i="10"/>
  <c r="H3" i="10"/>
  <c r="H51" i="10"/>
  <c r="H43" i="10"/>
  <c r="H35" i="10"/>
  <c r="H27" i="10"/>
  <c r="H19" i="10"/>
  <c r="H11" i="10"/>
  <c r="H7" i="10"/>
  <c r="H46" i="10"/>
  <c r="H38" i="10"/>
  <c r="H30" i="10"/>
  <c r="H22" i="10"/>
  <c r="H14" i="10"/>
  <c r="H6" i="10"/>
  <c r="G50" i="10"/>
  <c r="G42" i="10"/>
  <c r="G34" i="10"/>
  <c r="G26" i="10"/>
  <c r="G18" i="10"/>
  <c r="G10" i="10"/>
  <c r="G6" i="10"/>
  <c r="G49" i="10"/>
  <c r="G41" i="10"/>
  <c r="G33" i="10"/>
  <c r="G25" i="10"/>
  <c r="G17" i="10"/>
  <c r="G5" i="10"/>
  <c r="G45" i="10"/>
  <c r="G37" i="10"/>
  <c r="G29" i="10"/>
  <c r="G21" i="10"/>
  <c r="G13" i="10"/>
  <c r="G9" i="10"/>
  <c r="G48" i="10"/>
  <c r="G40" i="10"/>
  <c r="G32" i="10"/>
  <c r="G24" i="10"/>
  <c r="G16" i="10"/>
  <c r="G4" i="10"/>
  <c r="G44" i="10"/>
  <c r="G36" i="10"/>
  <c r="G28" i="10"/>
  <c r="G20" i="10"/>
  <c r="G12" i="10"/>
  <c r="G8" i="10"/>
  <c r="G47" i="10"/>
  <c r="G39" i="10"/>
  <c r="G31" i="10"/>
  <c r="G23" i="10"/>
  <c r="G11" i="10"/>
  <c r="G3" i="10"/>
  <c r="G51" i="10"/>
  <c r="G43" i="10"/>
  <c r="G35" i="10"/>
  <c r="G27" i="10"/>
  <c r="G19" i="10"/>
  <c r="G15" i="10"/>
  <c r="G7" i="10"/>
  <c r="G46" i="10"/>
  <c r="G38" i="10"/>
  <c r="G30" i="10"/>
  <c r="G22" i="10"/>
  <c r="G14" i="10"/>
  <c r="G2" i="10"/>
  <c r="U2" i="5"/>
  <c r="U3" i="5"/>
  <c r="U4" i="5"/>
  <c r="U5" i="5"/>
  <c r="U6" i="5"/>
  <c r="U7" i="5"/>
  <c r="U8" i="5"/>
  <c r="U9" i="5"/>
  <c r="U10" i="5"/>
  <c r="U11" i="5"/>
  <c r="U12" i="5"/>
  <c r="U13" i="5"/>
  <c r="A4" i="8"/>
  <c r="T2" i="5" l="1"/>
  <c r="S3" i="5"/>
  <c r="R3" i="5"/>
  <c r="S4" i="5" l="1"/>
  <c r="R4" i="5"/>
  <c r="T3" i="5"/>
  <c r="AB3" i="8"/>
  <c r="T4" i="5" l="1"/>
  <c r="S5" i="5"/>
  <c r="R5" i="5"/>
  <c r="G2" i="9"/>
  <c r="T5" i="5" l="1"/>
  <c r="S6" i="5"/>
  <c r="R6" i="5"/>
  <c r="NL5" i="8"/>
  <c r="T6" i="5" l="1"/>
  <c r="S7" i="5"/>
  <c r="R7" i="5"/>
  <c r="NI5" i="8"/>
  <c r="NH5" i="8"/>
  <c r="NG5" i="8"/>
  <c r="NF5" i="8"/>
  <c r="NE5" i="8"/>
  <c r="ND5" i="8"/>
  <c r="NC5" i="8"/>
  <c r="NB5" i="8"/>
  <c r="NA5" i="8"/>
  <c r="MZ5" i="8"/>
  <c r="MY5" i="8"/>
  <c r="MX5" i="8"/>
  <c r="MW5" i="8"/>
  <c r="MV5" i="8"/>
  <c r="MU5" i="8"/>
  <c r="MT5" i="8"/>
  <c r="MS5" i="8"/>
  <c r="MR5" i="8"/>
  <c r="MQ5" i="8"/>
  <c r="MP5" i="8"/>
  <c r="MO5" i="8"/>
  <c r="MN5" i="8"/>
  <c r="MM5" i="8"/>
  <c r="ML5" i="8"/>
  <c r="MK5" i="8"/>
  <c r="MJ5" i="8"/>
  <c r="MI5" i="8"/>
  <c r="MH5" i="8"/>
  <c r="MG5" i="8"/>
  <c r="MF5" i="8"/>
  <c r="ME5" i="8"/>
  <c r="MD5" i="8"/>
  <c r="MC5" i="8"/>
  <c r="MB5" i="8"/>
  <c r="MA5" i="8"/>
  <c r="LZ5" i="8"/>
  <c r="LY5" i="8"/>
  <c r="LX5" i="8"/>
  <c r="LW5" i="8"/>
  <c r="LV5" i="8"/>
  <c r="LU5" i="8"/>
  <c r="LT5" i="8"/>
  <c r="LS5" i="8"/>
  <c r="LR5" i="8"/>
  <c r="LQ5" i="8"/>
  <c r="LP5" i="8"/>
  <c r="LO5" i="8"/>
  <c r="LN5" i="8"/>
  <c r="LM5" i="8"/>
  <c r="LL5" i="8"/>
  <c r="LK5" i="8"/>
  <c r="LJ5" i="8"/>
  <c r="LI5" i="8"/>
  <c r="LH5" i="8"/>
  <c r="LG5" i="8"/>
  <c r="LF5" i="8"/>
  <c r="LE5" i="8"/>
  <c r="LD5" i="8"/>
  <c r="LC5" i="8"/>
  <c r="LB5" i="8"/>
  <c r="LA5" i="8"/>
  <c r="KZ5" i="8"/>
  <c r="KY5" i="8"/>
  <c r="KX5" i="8"/>
  <c r="KW5" i="8"/>
  <c r="KV5" i="8"/>
  <c r="KU5" i="8"/>
  <c r="KT5" i="8"/>
  <c r="KS5" i="8"/>
  <c r="KR5" i="8"/>
  <c r="KQ5" i="8"/>
  <c r="KP5" i="8"/>
  <c r="KO5" i="8"/>
  <c r="KN5" i="8"/>
  <c r="KM5" i="8"/>
  <c r="KL5" i="8"/>
  <c r="KK5" i="8"/>
  <c r="KJ5" i="8"/>
  <c r="KI5" i="8"/>
  <c r="KH5" i="8"/>
  <c r="KG5" i="8"/>
  <c r="KF5" i="8"/>
  <c r="KE5" i="8"/>
  <c r="KD5" i="8"/>
  <c r="KC5" i="8"/>
  <c r="KB5" i="8"/>
  <c r="KA5" i="8"/>
  <c r="JZ5" i="8"/>
  <c r="JY5" i="8"/>
  <c r="JX5" i="8"/>
  <c r="JW5" i="8"/>
  <c r="JV5" i="8"/>
  <c r="JU5" i="8"/>
  <c r="JT5" i="8"/>
  <c r="JS5" i="8"/>
  <c r="JR5" i="8"/>
  <c r="JQ5" i="8"/>
  <c r="JP5" i="8"/>
  <c r="JO5" i="8"/>
  <c r="JN5" i="8"/>
  <c r="JM5" i="8"/>
  <c r="JL5" i="8"/>
  <c r="JK5" i="8"/>
  <c r="JJ5" i="8"/>
  <c r="JI5" i="8"/>
  <c r="JH5" i="8"/>
  <c r="JG5" i="8"/>
  <c r="JF5" i="8"/>
  <c r="JE5" i="8"/>
  <c r="JD5" i="8"/>
  <c r="JC5" i="8"/>
  <c r="JB5" i="8"/>
  <c r="JA5" i="8"/>
  <c r="IZ5" i="8"/>
  <c r="IY5" i="8"/>
  <c r="IX5" i="8"/>
  <c r="IW5" i="8"/>
  <c r="IV5" i="8"/>
  <c r="IU5" i="8"/>
  <c r="IT5" i="8"/>
  <c r="IS5" i="8"/>
  <c r="IR5" i="8"/>
  <c r="IQ5" i="8"/>
  <c r="IP5" i="8"/>
  <c r="IO5" i="8"/>
  <c r="IN5" i="8"/>
  <c r="IM5" i="8"/>
  <c r="IL5" i="8"/>
  <c r="IK5" i="8"/>
  <c r="IJ5" i="8"/>
  <c r="II5" i="8"/>
  <c r="IH5" i="8"/>
  <c r="IG5" i="8"/>
  <c r="IF5" i="8"/>
  <c r="IE5" i="8"/>
  <c r="ID5" i="8"/>
  <c r="IC5" i="8"/>
  <c r="IB5" i="8"/>
  <c r="IA5" i="8"/>
  <c r="HZ5" i="8"/>
  <c r="HY5" i="8"/>
  <c r="HX5" i="8"/>
  <c r="HW5" i="8"/>
  <c r="HV5" i="8"/>
  <c r="HU5" i="8"/>
  <c r="HT5" i="8"/>
  <c r="HS5" i="8"/>
  <c r="HR5" i="8"/>
  <c r="HQ5" i="8"/>
  <c r="HP5" i="8"/>
  <c r="HO5" i="8"/>
  <c r="HN5" i="8"/>
  <c r="HM5" i="8"/>
  <c r="HL5" i="8"/>
  <c r="HK5" i="8"/>
  <c r="HJ5" i="8"/>
  <c r="HI5" i="8"/>
  <c r="HH5" i="8"/>
  <c r="HG5" i="8"/>
  <c r="HF5" i="8"/>
  <c r="HE5" i="8"/>
  <c r="HD5" i="8"/>
  <c r="HC5" i="8"/>
  <c r="HB5" i="8"/>
  <c r="HA5" i="8"/>
  <c r="GZ5" i="8"/>
  <c r="GY5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C5" i="8"/>
  <c r="B5" i="8"/>
  <c r="T7" i="5" l="1"/>
  <c r="S8" i="5"/>
  <c r="R8" i="5"/>
  <c r="MT60" i="8"/>
  <c r="NI3" i="8"/>
  <c r="NH3" i="8"/>
  <c r="NG3" i="8"/>
  <c r="NF3" i="8"/>
  <c r="NE3" i="8"/>
  <c r="ND3" i="8"/>
  <c r="NC3" i="8"/>
  <c r="NB3" i="8"/>
  <c r="NA3" i="8"/>
  <c r="MZ3" i="8"/>
  <c r="MY3" i="8"/>
  <c r="MX3" i="8"/>
  <c r="MW3" i="8"/>
  <c r="MV3" i="8"/>
  <c r="MU3" i="8"/>
  <c r="MT3" i="8"/>
  <c r="MS3" i="8"/>
  <c r="MR3" i="8"/>
  <c r="MQ3" i="8"/>
  <c r="MP3" i="8"/>
  <c r="MO3" i="8"/>
  <c r="MN3" i="8"/>
  <c r="MM3" i="8"/>
  <c r="ML3" i="8"/>
  <c r="MK3" i="8"/>
  <c r="MJ3" i="8"/>
  <c r="MI3" i="8"/>
  <c r="MH3" i="8"/>
  <c r="MG3" i="8"/>
  <c r="MF3" i="8"/>
  <c r="ME3" i="8"/>
  <c r="MD3" i="8"/>
  <c r="MC3" i="8"/>
  <c r="MB3" i="8"/>
  <c r="MA3" i="8"/>
  <c r="LZ3" i="8"/>
  <c r="LY3" i="8"/>
  <c r="LX3" i="8"/>
  <c r="LW3" i="8"/>
  <c r="LV3" i="8"/>
  <c r="LU3" i="8"/>
  <c r="LT3" i="8"/>
  <c r="LS3" i="8"/>
  <c r="LR3" i="8"/>
  <c r="LQ3" i="8"/>
  <c r="LP3" i="8"/>
  <c r="LO3" i="8"/>
  <c r="LN3" i="8"/>
  <c r="LM3" i="8"/>
  <c r="LL3" i="8"/>
  <c r="LK3" i="8"/>
  <c r="LJ3" i="8"/>
  <c r="LI3" i="8"/>
  <c r="LH3" i="8"/>
  <c r="LG3" i="8"/>
  <c r="LF3" i="8"/>
  <c r="LE3" i="8"/>
  <c r="LD3" i="8"/>
  <c r="LC3" i="8"/>
  <c r="LB3" i="8"/>
  <c r="LA3" i="8"/>
  <c r="KZ3" i="8"/>
  <c r="KY3" i="8"/>
  <c r="KX3" i="8"/>
  <c r="KW3" i="8"/>
  <c r="KV3" i="8"/>
  <c r="KU3" i="8"/>
  <c r="KT3" i="8"/>
  <c r="KS3" i="8"/>
  <c r="KR3" i="8"/>
  <c r="KQ3" i="8"/>
  <c r="KP3" i="8"/>
  <c r="KO3" i="8"/>
  <c r="KN3" i="8"/>
  <c r="KM3" i="8"/>
  <c r="KL3" i="8"/>
  <c r="KK3" i="8"/>
  <c r="KJ3" i="8"/>
  <c r="KI3" i="8"/>
  <c r="KH3" i="8"/>
  <c r="KG3" i="8"/>
  <c r="KF3" i="8"/>
  <c r="KE3" i="8"/>
  <c r="KD3" i="8"/>
  <c r="KC3" i="8"/>
  <c r="KB3" i="8"/>
  <c r="KA3" i="8"/>
  <c r="JZ3" i="8"/>
  <c r="JY3" i="8"/>
  <c r="JX3" i="8"/>
  <c r="JW3" i="8"/>
  <c r="JV3" i="8"/>
  <c r="JU3" i="8"/>
  <c r="JT3" i="8"/>
  <c r="JS3" i="8"/>
  <c r="JR3" i="8"/>
  <c r="JQ3" i="8"/>
  <c r="JP3" i="8"/>
  <c r="JO3" i="8"/>
  <c r="JN3" i="8"/>
  <c r="JM3" i="8"/>
  <c r="JL3" i="8"/>
  <c r="JK3" i="8"/>
  <c r="JJ3" i="8"/>
  <c r="JI3" i="8"/>
  <c r="JH3" i="8"/>
  <c r="JG3" i="8"/>
  <c r="JF3" i="8"/>
  <c r="JE3" i="8"/>
  <c r="JD3" i="8"/>
  <c r="JC3" i="8"/>
  <c r="JB3" i="8"/>
  <c r="JA3" i="8"/>
  <c r="IZ3" i="8"/>
  <c r="IY3" i="8"/>
  <c r="IX3" i="8"/>
  <c r="IW3" i="8"/>
  <c r="IV3" i="8"/>
  <c r="IU3" i="8"/>
  <c r="IT3" i="8"/>
  <c r="IS3" i="8"/>
  <c r="IR3" i="8"/>
  <c r="IQ3" i="8"/>
  <c r="IP3" i="8"/>
  <c r="IO3" i="8"/>
  <c r="IN3" i="8"/>
  <c r="IM3" i="8"/>
  <c r="IL3" i="8"/>
  <c r="IK3" i="8"/>
  <c r="IJ3" i="8"/>
  <c r="II3" i="8"/>
  <c r="IH3" i="8"/>
  <c r="IG3" i="8"/>
  <c r="IF3" i="8"/>
  <c r="IE3" i="8"/>
  <c r="ID3" i="8"/>
  <c r="IC3" i="8"/>
  <c r="IB3" i="8"/>
  <c r="IA3" i="8"/>
  <c r="HZ3" i="8"/>
  <c r="HY3" i="8"/>
  <c r="HX3" i="8"/>
  <c r="HW3" i="8"/>
  <c r="HV3" i="8"/>
  <c r="HU3" i="8"/>
  <c r="HT3" i="8"/>
  <c r="HS3" i="8"/>
  <c r="HR3" i="8"/>
  <c r="HQ3" i="8"/>
  <c r="HP3" i="8"/>
  <c r="HO3" i="8"/>
  <c r="HN3" i="8"/>
  <c r="HM3" i="8"/>
  <c r="HL3" i="8"/>
  <c r="HK3" i="8"/>
  <c r="HJ3" i="8"/>
  <c r="HI3" i="8"/>
  <c r="HH3" i="8"/>
  <c r="HG3" i="8"/>
  <c r="HF3" i="8"/>
  <c r="HE3" i="8"/>
  <c r="HD3" i="8"/>
  <c r="HC3" i="8"/>
  <c r="HB3" i="8"/>
  <c r="HA3" i="8"/>
  <c r="GZ3" i="8"/>
  <c r="GY3" i="8"/>
  <c r="GX3" i="8"/>
  <c r="GW3" i="8"/>
  <c r="GV3" i="8"/>
  <c r="GU3" i="8"/>
  <c r="GT3" i="8"/>
  <c r="GS3" i="8"/>
  <c r="GR3" i="8"/>
  <c r="GQ3" i="8"/>
  <c r="GP3" i="8"/>
  <c r="GO3" i="8"/>
  <c r="GN3" i="8"/>
  <c r="GM3" i="8"/>
  <c r="GL3" i="8"/>
  <c r="GK3" i="8"/>
  <c r="GJ3" i="8"/>
  <c r="GI3" i="8"/>
  <c r="GH3" i="8"/>
  <c r="GG3" i="8"/>
  <c r="GF3" i="8"/>
  <c r="GE3" i="8"/>
  <c r="GD3" i="8"/>
  <c r="GC3" i="8"/>
  <c r="GB3" i="8"/>
  <c r="GA3" i="8"/>
  <c r="FZ3" i="8"/>
  <c r="FY3" i="8"/>
  <c r="FX3" i="8"/>
  <c r="FW3" i="8"/>
  <c r="FV3" i="8"/>
  <c r="FU3" i="8"/>
  <c r="FT3" i="8"/>
  <c r="FS3" i="8"/>
  <c r="FR3" i="8"/>
  <c r="FQ3" i="8"/>
  <c r="FP3" i="8"/>
  <c r="FO3" i="8"/>
  <c r="FN3" i="8"/>
  <c r="FM3" i="8"/>
  <c r="FL3" i="8"/>
  <c r="FK3" i="8"/>
  <c r="FJ3" i="8"/>
  <c r="FI3" i="8"/>
  <c r="FH3" i="8"/>
  <c r="FG3" i="8"/>
  <c r="FF3" i="8"/>
  <c r="FE3" i="8"/>
  <c r="FD3" i="8"/>
  <c r="FC3" i="8"/>
  <c r="FB3" i="8"/>
  <c r="FA3" i="8"/>
  <c r="EZ3" i="8"/>
  <c r="EY3" i="8"/>
  <c r="EX3" i="8"/>
  <c r="EW3" i="8"/>
  <c r="EV3" i="8"/>
  <c r="EU3" i="8"/>
  <c r="ET3" i="8"/>
  <c r="ES3" i="8"/>
  <c r="ER3" i="8"/>
  <c r="EQ3" i="8"/>
  <c r="EP3" i="8"/>
  <c r="EO3" i="8"/>
  <c r="EN3" i="8"/>
  <c r="EM3" i="8"/>
  <c r="EL3" i="8"/>
  <c r="EK3" i="8"/>
  <c r="EJ3" i="8"/>
  <c r="EI3" i="8"/>
  <c r="EH3" i="8"/>
  <c r="EG3" i="8"/>
  <c r="EF3" i="8"/>
  <c r="EE3" i="8"/>
  <c r="ED3" i="8"/>
  <c r="EC3" i="8"/>
  <c r="EB3" i="8"/>
  <c r="EA3" i="8"/>
  <c r="DZ3" i="8"/>
  <c r="DY3" i="8"/>
  <c r="DX3" i="8"/>
  <c r="DW3" i="8"/>
  <c r="DV3" i="8"/>
  <c r="DU3" i="8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G2" i="5"/>
  <c r="G1" i="5"/>
  <c r="AG6" i="8"/>
  <c r="NO8" i="8" l="1" a="1"/>
  <c r="NO8" i="8" s="1"/>
  <c r="NS54" i="8" a="1"/>
  <c r="NS54" i="8" s="1"/>
  <c r="NS46" i="8" a="1"/>
  <c r="NS46" i="8" s="1"/>
  <c r="NS38" i="8" a="1"/>
  <c r="NS38" i="8" s="1"/>
  <c r="NS30" i="8" a="1"/>
  <c r="NS30" i="8" s="1"/>
  <c r="NS22" i="8" a="1"/>
  <c r="NS22" i="8" s="1"/>
  <c r="NS14" i="8" a="1"/>
  <c r="NS14" i="8" s="1"/>
  <c r="NS31" i="8" a="1"/>
  <c r="NS31" i="8" s="1"/>
  <c r="NS53" i="8" a="1"/>
  <c r="NS53" i="8" s="1"/>
  <c r="NS45" i="8" a="1"/>
  <c r="NS45" i="8" s="1"/>
  <c r="NS37" i="8" a="1"/>
  <c r="NS37" i="8" s="1"/>
  <c r="NS29" i="8" a="1"/>
  <c r="NS29" i="8" s="1"/>
  <c r="NS21" i="8" a="1"/>
  <c r="NS21" i="8" s="1"/>
  <c r="NS13" i="8" a="1"/>
  <c r="NS13" i="8" s="1"/>
  <c r="NS15" i="8" a="1"/>
  <c r="NS15" i="8" s="1"/>
  <c r="NS52" i="8" a="1"/>
  <c r="NS52" i="8" s="1"/>
  <c r="NS44" i="8" a="1"/>
  <c r="NS44" i="8" s="1"/>
  <c r="NS36" i="8" a="1"/>
  <c r="NS36" i="8" s="1"/>
  <c r="NS28" i="8" a="1"/>
  <c r="NS28" i="8" s="1"/>
  <c r="NS20" i="8" a="1"/>
  <c r="NS20" i="8" s="1"/>
  <c r="NS12" i="8" a="1"/>
  <c r="NS12" i="8" s="1"/>
  <c r="NS23" i="8" a="1"/>
  <c r="NS23" i="8" s="1"/>
  <c r="NS51" i="8" a="1"/>
  <c r="NS51" i="8" s="1"/>
  <c r="NS43" i="8" a="1"/>
  <c r="NS43" i="8" s="1"/>
  <c r="NS35" i="8" a="1"/>
  <c r="NS35" i="8" s="1"/>
  <c r="NS27" i="8" a="1"/>
  <c r="NS27" i="8" s="1"/>
  <c r="NS19" i="8" a="1"/>
  <c r="NS19" i="8" s="1"/>
  <c r="NS11" i="8" a="1"/>
  <c r="NS11" i="8" s="1"/>
  <c r="NS50" i="8" a="1"/>
  <c r="NS50" i="8" s="1"/>
  <c r="NS42" i="8" a="1"/>
  <c r="NS42" i="8" s="1"/>
  <c r="NS34" i="8" a="1"/>
  <c r="NS34" i="8" s="1"/>
  <c r="NS26" i="8" a="1"/>
  <c r="NS26" i="8" s="1"/>
  <c r="NS18" i="8" a="1"/>
  <c r="NS18" i="8" s="1"/>
  <c r="NS10" i="8" a="1"/>
  <c r="NS10" i="8" s="1"/>
  <c r="NS57" i="8" a="1"/>
  <c r="NS57" i="8" s="1"/>
  <c r="NS49" i="8" a="1"/>
  <c r="NS49" i="8" s="1"/>
  <c r="NS41" i="8" a="1"/>
  <c r="NS41" i="8" s="1"/>
  <c r="NS33" i="8" a="1"/>
  <c r="NS33" i="8" s="1"/>
  <c r="NS25" i="8" a="1"/>
  <c r="NS25" i="8" s="1"/>
  <c r="NS17" i="8" a="1"/>
  <c r="NS17" i="8" s="1"/>
  <c r="NS9" i="8" a="1"/>
  <c r="NS9" i="8" s="1"/>
  <c r="NS56" i="8" a="1"/>
  <c r="NS56" i="8" s="1"/>
  <c r="NS48" i="8" a="1"/>
  <c r="NS48" i="8" s="1"/>
  <c r="NS40" i="8" a="1"/>
  <c r="NS40" i="8" s="1"/>
  <c r="NS32" i="8" a="1"/>
  <c r="NS32" i="8" s="1"/>
  <c r="NS24" i="8" a="1"/>
  <c r="NS24" i="8" s="1"/>
  <c r="NS16" i="8" a="1"/>
  <c r="NS16" i="8" s="1"/>
  <c r="NS8" i="8" a="1"/>
  <c r="NS8" i="8" s="1"/>
  <c r="NS55" i="8" a="1"/>
  <c r="NS55" i="8" s="1"/>
  <c r="NS47" i="8" a="1"/>
  <c r="NS47" i="8" s="1"/>
  <c r="NS39" i="8" a="1"/>
  <c r="NS39" i="8" s="1"/>
  <c r="NU52" i="8" a="1"/>
  <c r="NU52" i="8" s="1"/>
  <c r="NU44" i="8" a="1"/>
  <c r="NU44" i="8" s="1"/>
  <c r="NU36" i="8" a="1"/>
  <c r="NU36" i="8" s="1"/>
  <c r="NU28" i="8" a="1"/>
  <c r="NU28" i="8" s="1"/>
  <c r="NU20" i="8" a="1"/>
  <c r="NU20" i="8" s="1"/>
  <c r="NU12" i="8" a="1"/>
  <c r="NU12" i="8" s="1"/>
  <c r="NU51" i="8" a="1"/>
  <c r="NU51" i="8" s="1"/>
  <c r="NU43" i="8" a="1"/>
  <c r="NU43" i="8" s="1"/>
  <c r="NU35" i="8" a="1"/>
  <c r="NU35" i="8" s="1"/>
  <c r="NU27" i="8" a="1"/>
  <c r="NU27" i="8" s="1"/>
  <c r="NU19" i="8" a="1"/>
  <c r="NU19" i="8" s="1"/>
  <c r="NU11" i="8" a="1"/>
  <c r="NU11" i="8" s="1"/>
  <c r="NU29" i="8" a="1"/>
  <c r="NU29" i="8" s="1"/>
  <c r="NU50" i="8" a="1"/>
  <c r="NU50" i="8" s="1"/>
  <c r="NU42" i="8" a="1"/>
  <c r="NU42" i="8" s="1"/>
  <c r="NU34" i="8" a="1"/>
  <c r="NU34" i="8" s="1"/>
  <c r="NU26" i="8" a="1"/>
  <c r="NU26" i="8" s="1"/>
  <c r="NU18" i="8" a="1"/>
  <c r="NU18" i="8" s="1"/>
  <c r="NU10" i="8" a="1"/>
  <c r="NU10" i="8" s="1"/>
  <c r="NU57" i="8" a="1"/>
  <c r="NU57" i="8" s="1"/>
  <c r="NU49" i="8" a="1"/>
  <c r="NU49" i="8" s="1"/>
  <c r="NU41" i="8" a="1"/>
  <c r="NU41" i="8" s="1"/>
  <c r="NU33" i="8" a="1"/>
  <c r="NU33" i="8" s="1"/>
  <c r="NU25" i="8" a="1"/>
  <c r="NU25" i="8" s="1"/>
  <c r="NU17" i="8" a="1"/>
  <c r="NU17" i="8" s="1"/>
  <c r="NU9" i="8" a="1"/>
  <c r="NU9" i="8" s="1"/>
  <c r="NU56" i="8" a="1"/>
  <c r="NU56" i="8" s="1"/>
  <c r="NU48" i="8" a="1"/>
  <c r="NU48" i="8" s="1"/>
  <c r="NU40" i="8" a="1"/>
  <c r="NU40" i="8" s="1"/>
  <c r="NU32" i="8" a="1"/>
  <c r="NU32" i="8" s="1"/>
  <c r="NU24" i="8" a="1"/>
  <c r="NU24" i="8" s="1"/>
  <c r="NU16" i="8" a="1"/>
  <c r="NU16" i="8" s="1"/>
  <c r="NU8" i="8" a="1"/>
  <c r="NU8" i="8" s="1"/>
  <c r="NU55" i="8" a="1"/>
  <c r="NU55" i="8" s="1"/>
  <c r="NU47" i="8" a="1"/>
  <c r="NU47" i="8" s="1"/>
  <c r="NU39" i="8" a="1"/>
  <c r="NU39" i="8" s="1"/>
  <c r="NU31" i="8" a="1"/>
  <c r="NU31" i="8" s="1"/>
  <c r="NU23" i="8" a="1"/>
  <c r="NU23" i="8" s="1"/>
  <c r="NU15" i="8" a="1"/>
  <c r="NU15" i="8" s="1"/>
  <c r="NU54" i="8" a="1"/>
  <c r="NU54" i="8" s="1"/>
  <c r="NU46" i="8" a="1"/>
  <c r="NU46" i="8" s="1"/>
  <c r="NU38" i="8" a="1"/>
  <c r="NU38" i="8" s="1"/>
  <c r="NU30" i="8" a="1"/>
  <c r="NU30" i="8" s="1"/>
  <c r="NU22" i="8" a="1"/>
  <c r="NU22" i="8" s="1"/>
  <c r="NU14" i="8" a="1"/>
  <c r="NU14" i="8" s="1"/>
  <c r="NU21" i="8" a="1"/>
  <c r="NU21" i="8" s="1"/>
  <c r="NU13" i="8" a="1"/>
  <c r="NU13" i="8" s="1"/>
  <c r="NU53" i="8" a="1"/>
  <c r="NU53" i="8" s="1"/>
  <c r="NU45" i="8" a="1"/>
  <c r="NU45" i="8" s="1"/>
  <c r="NU37" i="8" a="1"/>
  <c r="NU37" i="8" s="1"/>
  <c r="NW50" i="8" a="1"/>
  <c r="NW50" i="8" s="1"/>
  <c r="NW42" i="8" a="1"/>
  <c r="NW42" i="8" s="1"/>
  <c r="NW34" i="8" a="1"/>
  <c r="NW34" i="8" s="1"/>
  <c r="NW26" i="8" a="1"/>
  <c r="NW26" i="8" s="1"/>
  <c r="NW18" i="8" a="1"/>
  <c r="NW18" i="8" s="1"/>
  <c r="NW10" i="8" a="1"/>
  <c r="NW10" i="8" s="1"/>
  <c r="NW57" i="8" a="1"/>
  <c r="NW57" i="8" s="1"/>
  <c r="NW49" i="8" a="1"/>
  <c r="NW49" i="8" s="1"/>
  <c r="NW41" i="8" a="1"/>
  <c r="NW41" i="8" s="1"/>
  <c r="NW33" i="8" a="1"/>
  <c r="NW33" i="8" s="1"/>
  <c r="NW25" i="8" a="1"/>
  <c r="NW25" i="8" s="1"/>
  <c r="NW17" i="8" a="1"/>
  <c r="NW17" i="8" s="1"/>
  <c r="NW9" i="8" a="1"/>
  <c r="NW9" i="8" s="1"/>
  <c r="NW56" i="8" a="1"/>
  <c r="NW56" i="8" s="1"/>
  <c r="NW48" i="8" a="1"/>
  <c r="NW48" i="8" s="1"/>
  <c r="NW40" i="8" a="1"/>
  <c r="NW40" i="8" s="1"/>
  <c r="NW32" i="8" a="1"/>
  <c r="NW32" i="8" s="1"/>
  <c r="NW24" i="8" a="1"/>
  <c r="NW24" i="8" s="1"/>
  <c r="NW16" i="8" a="1"/>
  <c r="NW16" i="8" s="1"/>
  <c r="NW8" i="8" a="1"/>
  <c r="NW8" i="8" s="1"/>
  <c r="NW55" i="8" a="1"/>
  <c r="NW55" i="8" s="1"/>
  <c r="NW47" i="8" a="1"/>
  <c r="NW47" i="8" s="1"/>
  <c r="NW39" i="8" a="1"/>
  <c r="NW39" i="8" s="1"/>
  <c r="NW31" i="8" a="1"/>
  <c r="NW31" i="8" s="1"/>
  <c r="NW23" i="8" a="1"/>
  <c r="NW23" i="8" s="1"/>
  <c r="NW15" i="8" a="1"/>
  <c r="NW15" i="8" s="1"/>
  <c r="NW54" i="8" a="1"/>
  <c r="NW54" i="8" s="1"/>
  <c r="NW46" i="8" a="1"/>
  <c r="NW46" i="8" s="1"/>
  <c r="NW38" i="8" a="1"/>
  <c r="NW38" i="8" s="1"/>
  <c r="NW30" i="8" a="1"/>
  <c r="NW30" i="8" s="1"/>
  <c r="NW22" i="8" a="1"/>
  <c r="NW22" i="8" s="1"/>
  <c r="NW14" i="8" a="1"/>
  <c r="NW14" i="8" s="1"/>
  <c r="NW11" i="8" a="1"/>
  <c r="NW11" i="8" s="1"/>
  <c r="NW53" i="8" a="1"/>
  <c r="NW53" i="8" s="1"/>
  <c r="NW45" i="8" a="1"/>
  <c r="NW45" i="8" s="1"/>
  <c r="NW37" i="8" a="1"/>
  <c r="NW37" i="8" s="1"/>
  <c r="NW29" i="8" a="1"/>
  <c r="NW29" i="8" s="1"/>
  <c r="NW21" i="8" a="1"/>
  <c r="NW21" i="8" s="1"/>
  <c r="NW13" i="8" a="1"/>
  <c r="NW13" i="8" s="1"/>
  <c r="NW27" i="8" a="1"/>
  <c r="NW27" i="8" s="1"/>
  <c r="NW52" i="8" a="1"/>
  <c r="NW52" i="8" s="1"/>
  <c r="NW44" i="8" a="1"/>
  <c r="NW44" i="8" s="1"/>
  <c r="NW36" i="8" a="1"/>
  <c r="NW36" i="8" s="1"/>
  <c r="NW28" i="8" a="1"/>
  <c r="NW28" i="8" s="1"/>
  <c r="NW20" i="8" a="1"/>
  <c r="NW20" i="8" s="1"/>
  <c r="NW12" i="8" a="1"/>
  <c r="NW12" i="8" s="1"/>
  <c r="NW35" i="8" a="1"/>
  <c r="NW35" i="8" s="1"/>
  <c r="NW51" i="8" a="1"/>
  <c r="NW51" i="8" s="1"/>
  <c r="NW43" i="8" a="1"/>
  <c r="NW43" i="8" s="1"/>
  <c r="NW19" i="8" a="1"/>
  <c r="NW19" i="8" s="1"/>
  <c r="NN8" i="8" a="1"/>
  <c r="NN8" i="8" s="1"/>
  <c r="NR55" i="8" a="1"/>
  <c r="NR55" i="8" s="1"/>
  <c r="NR47" i="8" a="1"/>
  <c r="NR47" i="8" s="1"/>
  <c r="NR39" i="8" a="1"/>
  <c r="NR39" i="8" s="1"/>
  <c r="NR31" i="8" a="1"/>
  <c r="NR31" i="8" s="1"/>
  <c r="NR23" i="8" a="1"/>
  <c r="NR23" i="8" s="1"/>
  <c r="NR15" i="8" a="1"/>
  <c r="NR15" i="8" s="1"/>
  <c r="NR24" i="8" a="1"/>
  <c r="NR24" i="8" s="1"/>
  <c r="NR54" i="8" a="1"/>
  <c r="NR54" i="8" s="1"/>
  <c r="NR46" i="8" a="1"/>
  <c r="NR46" i="8" s="1"/>
  <c r="NR38" i="8" a="1"/>
  <c r="NR38" i="8" s="1"/>
  <c r="NR30" i="8" a="1"/>
  <c r="NR30" i="8" s="1"/>
  <c r="NR22" i="8" a="1"/>
  <c r="NR22" i="8" s="1"/>
  <c r="NR14" i="8" a="1"/>
  <c r="NR14" i="8" s="1"/>
  <c r="NR8" i="8" a="1"/>
  <c r="NR8" i="8" s="1"/>
  <c r="NR53" i="8" a="1"/>
  <c r="NR53" i="8" s="1"/>
  <c r="NR45" i="8" a="1"/>
  <c r="NR45" i="8" s="1"/>
  <c r="NR37" i="8" a="1"/>
  <c r="NR37" i="8" s="1"/>
  <c r="NR29" i="8" a="1"/>
  <c r="NR29" i="8" s="1"/>
  <c r="NR21" i="8" a="1"/>
  <c r="NR21" i="8" s="1"/>
  <c r="NR13" i="8" a="1"/>
  <c r="NR13" i="8" s="1"/>
  <c r="NR16" i="8" a="1"/>
  <c r="NR16" i="8" s="1"/>
  <c r="NR52" i="8" a="1"/>
  <c r="NR52" i="8" s="1"/>
  <c r="NR44" i="8" a="1"/>
  <c r="NR44" i="8" s="1"/>
  <c r="NR36" i="8" a="1"/>
  <c r="NR36" i="8" s="1"/>
  <c r="NR28" i="8" a="1"/>
  <c r="NR28" i="8" s="1"/>
  <c r="NR20" i="8" a="1"/>
  <c r="NR20" i="8" s="1"/>
  <c r="NR12" i="8" a="1"/>
  <c r="NR12" i="8" s="1"/>
  <c r="NR32" i="8" a="1"/>
  <c r="NR32" i="8" s="1"/>
  <c r="NR51" i="8" a="1"/>
  <c r="NR51" i="8" s="1"/>
  <c r="NR43" i="8" a="1"/>
  <c r="NR43" i="8" s="1"/>
  <c r="NR35" i="8" a="1"/>
  <c r="NR35" i="8" s="1"/>
  <c r="NR27" i="8" a="1"/>
  <c r="NR27" i="8" s="1"/>
  <c r="NR19" i="8" a="1"/>
  <c r="NR19" i="8" s="1"/>
  <c r="NR11" i="8" a="1"/>
  <c r="NR11" i="8" s="1"/>
  <c r="NR50" i="8" a="1"/>
  <c r="NR50" i="8" s="1"/>
  <c r="NR42" i="8" a="1"/>
  <c r="NR42" i="8" s="1"/>
  <c r="NR34" i="8" a="1"/>
  <c r="NR34" i="8" s="1"/>
  <c r="NR26" i="8" a="1"/>
  <c r="NR26" i="8" s="1"/>
  <c r="NR18" i="8" a="1"/>
  <c r="NR18" i="8" s="1"/>
  <c r="NR10" i="8" a="1"/>
  <c r="NR10" i="8" s="1"/>
  <c r="NR57" i="8" a="1"/>
  <c r="NR57" i="8" s="1"/>
  <c r="NR49" i="8" a="1"/>
  <c r="NR49" i="8" s="1"/>
  <c r="NR41" i="8" a="1"/>
  <c r="NR41" i="8" s="1"/>
  <c r="NR33" i="8" a="1"/>
  <c r="NR33" i="8" s="1"/>
  <c r="NR25" i="8" a="1"/>
  <c r="NR25" i="8" s="1"/>
  <c r="NR17" i="8" a="1"/>
  <c r="NR17" i="8" s="1"/>
  <c r="NR9" i="8" a="1"/>
  <c r="NR9" i="8" s="1"/>
  <c r="NR56" i="8" a="1"/>
  <c r="NR56" i="8" s="1"/>
  <c r="NR48" i="8" a="1"/>
  <c r="NR48" i="8" s="1"/>
  <c r="NR40" i="8" a="1"/>
  <c r="NR40" i="8" s="1"/>
  <c r="NM8" i="8" a="1"/>
  <c r="NM8" i="8" s="1"/>
  <c r="NV51" i="8" a="1"/>
  <c r="NV51" i="8" s="1"/>
  <c r="NV43" i="8" a="1"/>
  <c r="NV43" i="8" s="1"/>
  <c r="NV35" i="8" a="1"/>
  <c r="NV35" i="8" s="1"/>
  <c r="NV27" i="8" a="1"/>
  <c r="NV27" i="8" s="1"/>
  <c r="NV19" i="8" a="1"/>
  <c r="NV19" i="8" s="1"/>
  <c r="NV11" i="8" a="1"/>
  <c r="NV11" i="8" s="1"/>
  <c r="NV50" i="8" a="1"/>
  <c r="NV50" i="8" s="1"/>
  <c r="NV42" i="8" a="1"/>
  <c r="NV42" i="8" s="1"/>
  <c r="NV34" i="8" a="1"/>
  <c r="NV34" i="8" s="1"/>
  <c r="NV26" i="8" a="1"/>
  <c r="NV26" i="8" s="1"/>
  <c r="NV18" i="8" a="1"/>
  <c r="NV18" i="8" s="1"/>
  <c r="NV10" i="8" a="1"/>
  <c r="NV10" i="8" s="1"/>
  <c r="NV57" i="8" a="1"/>
  <c r="NV57" i="8" s="1"/>
  <c r="NV49" i="8" a="1"/>
  <c r="NV49" i="8" s="1"/>
  <c r="NV41" i="8" a="1"/>
  <c r="NV41" i="8" s="1"/>
  <c r="NV33" i="8" a="1"/>
  <c r="NV33" i="8" s="1"/>
  <c r="NV25" i="8" a="1"/>
  <c r="NV25" i="8" s="1"/>
  <c r="NV17" i="8" a="1"/>
  <c r="NV17" i="8" s="1"/>
  <c r="NV9" i="8" a="1"/>
  <c r="NV9" i="8" s="1"/>
  <c r="NV56" i="8" a="1"/>
  <c r="NV56" i="8" s="1"/>
  <c r="NV48" i="8" a="1"/>
  <c r="NV48" i="8" s="1"/>
  <c r="NV40" i="8" a="1"/>
  <c r="NV40" i="8" s="1"/>
  <c r="NV32" i="8" a="1"/>
  <c r="NV32" i="8" s="1"/>
  <c r="NV24" i="8" a="1"/>
  <c r="NV24" i="8" s="1"/>
  <c r="NV16" i="8" a="1"/>
  <c r="NV16" i="8" s="1"/>
  <c r="NV8" i="8" a="1"/>
  <c r="NV8" i="8" s="1"/>
  <c r="NV55" i="8" a="1"/>
  <c r="NV55" i="8" s="1"/>
  <c r="NV47" i="8" a="1"/>
  <c r="NV47" i="8" s="1"/>
  <c r="NV39" i="8" a="1"/>
  <c r="NV39" i="8" s="1"/>
  <c r="NV31" i="8" a="1"/>
  <c r="NV31" i="8" s="1"/>
  <c r="NV23" i="8" a="1"/>
  <c r="NV23" i="8" s="1"/>
  <c r="NV15" i="8" a="1"/>
  <c r="NV15" i="8" s="1"/>
  <c r="NV54" i="8" a="1"/>
  <c r="NV54" i="8" s="1"/>
  <c r="NV46" i="8" a="1"/>
  <c r="NV46" i="8" s="1"/>
  <c r="NV38" i="8" a="1"/>
  <c r="NV38" i="8" s="1"/>
  <c r="NV30" i="8" a="1"/>
  <c r="NV30" i="8" s="1"/>
  <c r="NV22" i="8" a="1"/>
  <c r="NV22" i="8" s="1"/>
  <c r="NV14" i="8" a="1"/>
  <c r="NV14" i="8" s="1"/>
  <c r="NV20" i="8" a="1"/>
  <c r="NV20" i="8" s="1"/>
  <c r="NV53" i="8" a="1"/>
  <c r="NV53" i="8" s="1"/>
  <c r="NV45" i="8" a="1"/>
  <c r="NV45" i="8" s="1"/>
  <c r="NV37" i="8" a="1"/>
  <c r="NV37" i="8" s="1"/>
  <c r="NV29" i="8" a="1"/>
  <c r="NV29" i="8" s="1"/>
  <c r="NV21" i="8" a="1"/>
  <c r="NV21" i="8" s="1"/>
  <c r="NV13" i="8" a="1"/>
  <c r="NV13" i="8" s="1"/>
  <c r="NV28" i="8" a="1"/>
  <c r="NV28" i="8" s="1"/>
  <c r="NV52" i="8" a="1"/>
  <c r="NV52" i="8" s="1"/>
  <c r="NV44" i="8" a="1"/>
  <c r="NV44" i="8" s="1"/>
  <c r="NV36" i="8" a="1"/>
  <c r="NV36" i="8" s="1"/>
  <c r="NV12" i="8" a="1"/>
  <c r="NV12" i="8" s="1"/>
  <c r="NQ56" i="8" a="1"/>
  <c r="NQ56" i="8" s="1"/>
  <c r="NQ48" i="8" a="1"/>
  <c r="NQ48" i="8" s="1"/>
  <c r="NQ40" i="8" a="1"/>
  <c r="NQ40" i="8" s="1"/>
  <c r="NQ32" i="8" a="1"/>
  <c r="NQ32" i="8" s="1"/>
  <c r="NQ24" i="8" a="1"/>
  <c r="NQ24" i="8" s="1"/>
  <c r="NQ16" i="8" a="1"/>
  <c r="NQ16" i="8" s="1"/>
  <c r="NQ8" i="8" a="1"/>
  <c r="NQ8" i="8" s="1"/>
  <c r="NQ17" i="8" a="1"/>
  <c r="NQ17" i="8" s="1"/>
  <c r="NQ55" i="8" a="1"/>
  <c r="NQ55" i="8" s="1"/>
  <c r="NQ47" i="8" a="1"/>
  <c r="NQ47" i="8" s="1"/>
  <c r="NQ39" i="8" a="1"/>
  <c r="NQ39" i="8" s="1"/>
  <c r="NQ31" i="8" a="1"/>
  <c r="NQ31" i="8" s="1"/>
  <c r="NQ23" i="8" a="1"/>
  <c r="NQ23" i="8" s="1"/>
  <c r="NQ15" i="8" a="1"/>
  <c r="NQ15" i="8" s="1"/>
  <c r="NQ54" i="8" a="1"/>
  <c r="NQ54" i="8" s="1"/>
  <c r="NQ46" i="8" a="1"/>
  <c r="NQ46" i="8" s="1"/>
  <c r="NQ38" i="8" a="1"/>
  <c r="NQ38" i="8" s="1"/>
  <c r="NQ30" i="8" a="1"/>
  <c r="NQ30" i="8" s="1"/>
  <c r="NQ22" i="8" a="1"/>
  <c r="NQ22" i="8" s="1"/>
  <c r="NQ14" i="8" a="1"/>
  <c r="NQ14" i="8" s="1"/>
  <c r="NQ9" i="8" a="1"/>
  <c r="NQ9" i="8" s="1"/>
  <c r="NQ53" i="8" a="1"/>
  <c r="NQ53" i="8" s="1"/>
  <c r="NQ45" i="8" a="1"/>
  <c r="NQ45" i="8" s="1"/>
  <c r="NQ37" i="8" a="1"/>
  <c r="NQ37" i="8" s="1"/>
  <c r="NQ29" i="8" a="1"/>
  <c r="NQ29" i="8" s="1"/>
  <c r="NQ21" i="8" a="1"/>
  <c r="NQ21" i="8" s="1"/>
  <c r="NQ13" i="8" a="1"/>
  <c r="NQ13" i="8" s="1"/>
  <c r="NQ25" i="8" a="1"/>
  <c r="NQ25" i="8" s="1"/>
  <c r="NQ52" i="8" a="1"/>
  <c r="NQ52" i="8" s="1"/>
  <c r="NQ44" i="8" a="1"/>
  <c r="NQ44" i="8" s="1"/>
  <c r="NQ36" i="8" a="1"/>
  <c r="NQ36" i="8" s="1"/>
  <c r="NQ28" i="8" a="1"/>
  <c r="NQ28" i="8" s="1"/>
  <c r="NQ20" i="8" a="1"/>
  <c r="NQ20" i="8" s="1"/>
  <c r="NQ12" i="8" a="1"/>
  <c r="NQ12" i="8" s="1"/>
  <c r="NQ33" i="8" a="1"/>
  <c r="NQ33" i="8" s="1"/>
  <c r="NQ51" i="8" a="1"/>
  <c r="NQ51" i="8" s="1"/>
  <c r="NQ43" i="8" a="1"/>
  <c r="NQ43" i="8" s="1"/>
  <c r="NQ35" i="8" a="1"/>
  <c r="NQ35" i="8" s="1"/>
  <c r="NQ27" i="8" a="1"/>
  <c r="NQ27" i="8" s="1"/>
  <c r="NQ19" i="8" a="1"/>
  <c r="NQ19" i="8" s="1"/>
  <c r="NQ11" i="8" a="1"/>
  <c r="NQ11" i="8" s="1"/>
  <c r="NQ50" i="8" a="1"/>
  <c r="NQ50" i="8" s="1"/>
  <c r="NQ42" i="8" a="1"/>
  <c r="NQ42" i="8" s="1"/>
  <c r="NQ34" i="8" a="1"/>
  <c r="NQ34" i="8" s="1"/>
  <c r="NQ26" i="8" a="1"/>
  <c r="NQ26" i="8" s="1"/>
  <c r="NQ18" i="8" a="1"/>
  <c r="NQ18" i="8" s="1"/>
  <c r="NQ10" i="8" a="1"/>
  <c r="NQ10" i="8" s="1"/>
  <c r="NQ57" i="8" a="1"/>
  <c r="NQ57" i="8" s="1"/>
  <c r="NQ49" i="8" a="1"/>
  <c r="NQ49" i="8" s="1"/>
  <c r="NQ41" i="8" a="1"/>
  <c r="NQ41" i="8" s="1"/>
  <c r="NP57" i="8" a="1"/>
  <c r="NP57" i="8" s="1"/>
  <c r="NP49" i="8" a="1"/>
  <c r="NP49" i="8" s="1"/>
  <c r="NP41" i="8" a="1"/>
  <c r="NP41" i="8" s="1"/>
  <c r="NP33" i="8" a="1"/>
  <c r="NP33" i="8" s="1"/>
  <c r="NP25" i="8" a="1"/>
  <c r="NP25" i="8" s="1"/>
  <c r="NP17" i="8" a="1"/>
  <c r="NP17" i="8" s="1"/>
  <c r="NP9" i="8" a="1"/>
  <c r="NP9" i="8" s="1"/>
  <c r="NP10" i="8" a="1"/>
  <c r="NP10" i="8" s="1"/>
  <c r="NP56" i="8" a="1"/>
  <c r="NP56" i="8" s="1"/>
  <c r="NP48" i="8" a="1"/>
  <c r="NP48" i="8" s="1"/>
  <c r="NP40" i="8" a="1"/>
  <c r="NP40" i="8" s="1"/>
  <c r="NP32" i="8" a="1"/>
  <c r="NP32" i="8" s="1"/>
  <c r="NP24" i="8" a="1"/>
  <c r="NP24" i="8" s="1"/>
  <c r="NP16" i="8" a="1"/>
  <c r="NP16" i="8" s="1"/>
  <c r="NP8" i="8" a="1"/>
  <c r="NP8" i="8" s="1"/>
  <c r="NP55" i="8" a="1"/>
  <c r="NP55" i="8" s="1"/>
  <c r="NP47" i="8" a="1"/>
  <c r="NP47" i="8" s="1"/>
  <c r="NP39" i="8" a="1"/>
  <c r="NP39" i="8" s="1"/>
  <c r="NP31" i="8" a="1"/>
  <c r="NP31" i="8" s="1"/>
  <c r="NP23" i="8" a="1"/>
  <c r="NP23" i="8" s="1"/>
  <c r="NP15" i="8" a="1"/>
  <c r="NP15" i="8" s="1"/>
  <c r="NP54" i="8" a="1"/>
  <c r="NP54" i="8" s="1"/>
  <c r="NP46" i="8" a="1"/>
  <c r="NP46" i="8" s="1"/>
  <c r="NP38" i="8" a="1"/>
  <c r="NP38" i="8" s="1"/>
  <c r="NP30" i="8" a="1"/>
  <c r="NP30" i="8" s="1"/>
  <c r="NP22" i="8" a="1"/>
  <c r="NP22" i="8" s="1"/>
  <c r="NP14" i="8" a="1"/>
  <c r="NP14" i="8" s="1"/>
  <c r="NP18" i="8" a="1"/>
  <c r="NP18" i="8" s="1"/>
  <c r="NP53" i="8" a="1"/>
  <c r="NP53" i="8" s="1"/>
  <c r="NP45" i="8" a="1"/>
  <c r="NP45" i="8" s="1"/>
  <c r="NP37" i="8" a="1"/>
  <c r="NP37" i="8" s="1"/>
  <c r="NP29" i="8" a="1"/>
  <c r="NP29" i="8" s="1"/>
  <c r="NP21" i="8" a="1"/>
  <c r="NP21" i="8" s="1"/>
  <c r="NP13" i="8" a="1"/>
  <c r="NP13" i="8" s="1"/>
  <c r="NP26" i="8" a="1"/>
  <c r="NP26" i="8" s="1"/>
  <c r="NP52" i="8" a="1"/>
  <c r="NP52" i="8" s="1"/>
  <c r="NP44" i="8" a="1"/>
  <c r="NP44" i="8" s="1"/>
  <c r="NP36" i="8" a="1"/>
  <c r="NP36" i="8" s="1"/>
  <c r="NP28" i="8" a="1"/>
  <c r="NP28" i="8" s="1"/>
  <c r="NP20" i="8" a="1"/>
  <c r="NP20" i="8" s="1"/>
  <c r="NP12" i="8" a="1"/>
  <c r="NP12" i="8" s="1"/>
  <c r="NP51" i="8" a="1"/>
  <c r="NP51" i="8" s="1"/>
  <c r="NP43" i="8" a="1"/>
  <c r="NP43" i="8" s="1"/>
  <c r="NP35" i="8" a="1"/>
  <c r="NP35" i="8" s="1"/>
  <c r="NP27" i="8" a="1"/>
  <c r="NP27" i="8" s="1"/>
  <c r="NP19" i="8" a="1"/>
  <c r="NP19" i="8" s="1"/>
  <c r="NP11" i="8" a="1"/>
  <c r="NP11" i="8" s="1"/>
  <c r="NP50" i="8" a="1"/>
  <c r="NP50" i="8" s="1"/>
  <c r="NP42" i="8" a="1"/>
  <c r="NP42" i="8" s="1"/>
  <c r="NP34" i="8" a="1"/>
  <c r="NP34" i="8" s="1"/>
  <c r="NT53" i="8" a="1"/>
  <c r="NT53" i="8" s="1"/>
  <c r="NT45" i="8" a="1"/>
  <c r="NT45" i="8" s="1"/>
  <c r="NT37" i="8" a="1"/>
  <c r="NT37" i="8" s="1"/>
  <c r="NT29" i="8" a="1"/>
  <c r="NT29" i="8" s="1"/>
  <c r="NT21" i="8" a="1"/>
  <c r="NT21" i="8" s="1"/>
  <c r="NT13" i="8" a="1"/>
  <c r="NT13" i="8" s="1"/>
  <c r="NT52" i="8" a="1"/>
  <c r="NT52" i="8" s="1"/>
  <c r="NT44" i="8" a="1"/>
  <c r="NT44" i="8" s="1"/>
  <c r="NT36" i="8" a="1"/>
  <c r="NT36" i="8" s="1"/>
  <c r="NT28" i="8" a="1"/>
  <c r="NT28" i="8" s="1"/>
  <c r="NT20" i="8" a="1"/>
  <c r="NT20" i="8" s="1"/>
  <c r="NT12" i="8" a="1"/>
  <c r="NT12" i="8" s="1"/>
  <c r="NT22" i="8" a="1"/>
  <c r="NT22" i="8" s="1"/>
  <c r="NT51" i="8" a="1"/>
  <c r="NT51" i="8" s="1"/>
  <c r="NT43" i="8" a="1"/>
  <c r="NT43" i="8" s="1"/>
  <c r="NT35" i="8" a="1"/>
  <c r="NT35" i="8" s="1"/>
  <c r="NT27" i="8" a="1"/>
  <c r="NT27" i="8" s="1"/>
  <c r="NT19" i="8" a="1"/>
  <c r="NT19" i="8" s="1"/>
  <c r="NT11" i="8" a="1"/>
  <c r="NT11" i="8" s="1"/>
  <c r="NT30" i="8" a="1"/>
  <c r="NT30" i="8" s="1"/>
  <c r="NT50" i="8" a="1"/>
  <c r="NT50" i="8" s="1"/>
  <c r="NT42" i="8" a="1"/>
  <c r="NT42" i="8" s="1"/>
  <c r="NT34" i="8" a="1"/>
  <c r="NT34" i="8" s="1"/>
  <c r="NT26" i="8" a="1"/>
  <c r="NT26" i="8" s="1"/>
  <c r="NT18" i="8" a="1"/>
  <c r="NT18" i="8" s="1"/>
  <c r="NT10" i="8" a="1"/>
  <c r="NT10" i="8" s="1"/>
  <c r="NT57" i="8" a="1"/>
  <c r="NT57" i="8" s="1"/>
  <c r="NT49" i="8" a="1"/>
  <c r="NT49" i="8" s="1"/>
  <c r="NT41" i="8" a="1"/>
  <c r="NT41" i="8" s="1"/>
  <c r="NT33" i="8" a="1"/>
  <c r="NT33" i="8" s="1"/>
  <c r="NT25" i="8" a="1"/>
  <c r="NT25" i="8" s="1"/>
  <c r="NT17" i="8" a="1"/>
  <c r="NT17" i="8" s="1"/>
  <c r="NT9" i="8" a="1"/>
  <c r="NT9" i="8" s="1"/>
  <c r="NT56" i="8" a="1"/>
  <c r="NT56" i="8" s="1"/>
  <c r="NT48" i="8" a="1"/>
  <c r="NT48" i="8" s="1"/>
  <c r="NT40" i="8" a="1"/>
  <c r="NT40" i="8" s="1"/>
  <c r="NT32" i="8" a="1"/>
  <c r="NT32" i="8" s="1"/>
  <c r="NT24" i="8" a="1"/>
  <c r="NT24" i="8" s="1"/>
  <c r="NT16" i="8" a="1"/>
  <c r="NT16" i="8" s="1"/>
  <c r="NT8" i="8" a="1"/>
  <c r="NT8" i="8" s="1"/>
  <c r="NT14" i="8" a="1"/>
  <c r="NT14" i="8" s="1"/>
  <c r="NT55" i="8" a="1"/>
  <c r="NT55" i="8" s="1"/>
  <c r="NT47" i="8" a="1"/>
  <c r="NT47" i="8" s="1"/>
  <c r="NT39" i="8" a="1"/>
  <c r="NT39" i="8" s="1"/>
  <c r="NT31" i="8" a="1"/>
  <c r="NT31" i="8" s="1"/>
  <c r="NT23" i="8" a="1"/>
  <c r="NT23" i="8" s="1"/>
  <c r="NT15" i="8" a="1"/>
  <c r="NT15" i="8" s="1"/>
  <c r="NT54" i="8" a="1"/>
  <c r="NT54" i="8" s="1"/>
  <c r="NT46" i="8" a="1"/>
  <c r="NT46" i="8" s="1"/>
  <c r="NT38" i="8" a="1"/>
  <c r="NT38" i="8" s="1"/>
  <c r="NX57" i="8" a="1"/>
  <c r="NX57" i="8" s="1"/>
  <c r="NX49" i="8" a="1"/>
  <c r="NX49" i="8" s="1"/>
  <c r="NX41" i="8" a="1"/>
  <c r="NX41" i="8" s="1"/>
  <c r="NX33" i="8" a="1"/>
  <c r="NX33" i="8" s="1"/>
  <c r="NX25" i="8" a="1"/>
  <c r="NX25" i="8" s="1"/>
  <c r="NX17" i="8" a="1"/>
  <c r="NX17" i="8" s="1"/>
  <c r="NX9" i="8" a="1"/>
  <c r="NX9" i="8" s="1"/>
  <c r="NX56" i="8" a="1"/>
  <c r="NX56" i="8" s="1"/>
  <c r="NX48" i="8" a="1"/>
  <c r="NX48" i="8" s="1"/>
  <c r="NX40" i="8" a="1"/>
  <c r="NX40" i="8" s="1"/>
  <c r="NX32" i="8" a="1"/>
  <c r="NX32" i="8" s="1"/>
  <c r="NX24" i="8" a="1"/>
  <c r="NX24" i="8" s="1"/>
  <c r="NX16" i="8" a="1"/>
  <c r="NX16" i="8" s="1"/>
  <c r="NX8" i="8" a="1"/>
  <c r="NX8" i="8" s="1"/>
  <c r="NX55" i="8" a="1"/>
  <c r="NX55" i="8" s="1"/>
  <c r="NX47" i="8" a="1"/>
  <c r="NX47" i="8" s="1"/>
  <c r="NX39" i="8" a="1"/>
  <c r="NX39" i="8" s="1"/>
  <c r="NX31" i="8" a="1"/>
  <c r="NX31" i="8" s="1"/>
  <c r="NX23" i="8" a="1"/>
  <c r="NX23" i="8" s="1"/>
  <c r="NX15" i="8" a="1"/>
  <c r="NX15" i="8" s="1"/>
  <c r="NX54" i="8" a="1"/>
  <c r="NX54" i="8" s="1"/>
  <c r="NX46" i="8" a="1"/>
  <c r="NX46" i="8" s="1"/>
  <c r="NX38" i="8" a="1"/>
  <c r="NX38" i="8" s="1"/>
  <c r="NX30" i="8" a="1"/>
  <c r="NX30" i="8" s="1"/>
  <c r="NX22" i="8" a="1"/>
  <c r="NX22" i="8" s="1"/>
  <c r="NX14" i="8" a="1"/>
  <c r="NX14" i="8" s="1"/>
  <c r="NX10" i="8" a="1"/>
  <c r="NX10" i="8" s="1"/>
  <c r="NX53" i="8" a="1"/>
  <c r="NX53" i="8" s="1"/>
  <c r="NX45" i="8" a="1"/>
  <c r="NX45" i="8" s="1"/>
  <c r="NX37" i="8" a="1"/>
  <c r="NX37" i="8" s="1"/>
  <c r="NX29" i="8" a="1"/>
  <c r="NX29" i="8" s="1"/>
  <c r="NX21" i="8" a="1"/>
  <c r="NX21" i="8" s="1"/>
  <c r="NX13" i="8" a="1"/>
  <c r="NX13" i="8" s="1"/>
  <c r="NX18" i="8" a="1"/>
  <c r="NX18" i="8" s="1"/>
  <c r="NX52" i="8" a="1"/>
  <c r="NX52" i="8" s="1"/>
  <c r="NX44" i="8" a="1"/>
  <c r="NX44" i="8" s="1"/>
  <c r="NX36" i="8" a="1"/>
  <c r="NX36" i="8" s="1"/>
  <c r="NX28" i="8" a="1"/>
  <c r="NX28" i="8" s="1"/>
  <c r="NX20" i="8" a="1"/>
  <c r="NX20" i="8" s="1"/>
  <c r="NX12" i="8" a="1"/>
  <c r="NX12" i="8" s="1"/>
  <c r="NX34" i="8" a="1"/>
  <c r="NX34" i="8" s="1"/>
  <c r="NX51" i="8" a="1"/>
  <c r="NX51" i="8" s="1"/>
  <c r="NX43" i="8" a="1"/>
  <c r="NX43" i="8" s="1"/>
  <c r="NX35" i="8" a="1"/>
  <c r="NX35" i="8" s="1"/>
  <c r="NX27" i="8" a="1"/>
  <c r="NX27" i="8" s="1"/>
  <c r="NX19" i="8" a="1"/>
  <c r="NX19" i="8" s="1"/>
  <c r="NX11" i="8" a="1"/>
  <c r="NX11" i="8" s="1"/>
  <c r="NX50" i="8" a="1"/>
  <c r="NX50" i="8" s="1"/>
  <c r="NX42" i="8" a="1"/>
  <c r="NX42" i="8" s="1"/>
  <c r="NX26" i="8" a="1"/>
  <c r="NX26" i="8" s="1"/>
  <c r="NN51" i="8" a="1"/>
  <c r="NN51" i="8" s="1"/>
  <c r="NN14" i="8" a="1"/>
  <c r="NN14" i="8" s="1"/>
  <c r="NN44" i="8" a="1"/>
  <c r="NN44" i="8" s="1"/>
  <c r="NN10" i="8" a="1"/>
  <c r="NN10" i="8" s="1"/>
  <c r="NN37" i="8" a="1"/>
  <c r="NN37" i="8" s="1"/>
  <c r="NN48" i="8" a="1"/>
  <c r="NN48" i="8" s="1"/>
  <c r="NN18" i="8" a="1"/>
  <c r="NN18" i="8" s="1"/>
  <c r="NN45" i="8" a="1"/>
  <c r="NN45" i="8" s="1"/>
  <c r="NN28" i="8" a="1"/>
  <c r="NN28" i="8" s="1"/>
  <c r="NN47" i="8" a="1"/>
  <c r="NN47" i="8" s="1"/>
  <c r="NN25" i="8" a="1"/>
  <c r="NN25" i="8" s="1"/>
  <c r="NN17" i="8" a="1"/>
  <c r="NN17" i="8" s="1"/>
  <c r="NN43" i="8" a="1"/>
  <c r="NN43" i="8" s="1"/>
  <c r="NN54" i="8" a="1"/>
  <c r="NN54" i="8" s="1"/>
  <c r="NN20" i="8" a="1"/>
  <c r="NN20" i="8" s="1"/>
  <c r="NN56" i="8" a="1"/>
  <c r="NN56" i="8" s="1"/>
  <c r="NN26" i="8" a="1"/>
  <c r="NN26" i="8" s="1"/>
  <c r="NN9" i="8" a="1"/>
  <c r="NN9" i="8" s="1"/>
  <c r="NN36" i="8" a="1"/>
  <c r="NN36" i="8" s="1"/>
  <c r="NN55" i="8" a="1"/>
  <c r="NN55" i="8" s="1"/>
  <c r="NN46" i="8" a="1"/>
  <c r="NN46" i="8" s="1"/>
  <c r="NN50" i="8" a="1"/>
  <c r="NN50" i="8" s="1"/>
  <c r="NN16" i="8" a="1"/>
  <c r="NN16" i="8" s="1"/>
  <c r="NN35" i="8" a="1"/>
  <c r="NN35" i="8" s="1"/>
  <c r="NN22" i="8" a="1"/>
  <c r="NN22" i="8" s="1"/>
  <c r="NN29" i="8" a="1"/>
  <c r="NN29" i="8" s="1"/>
  <c r="NN40" i="8" a="1"/>
  <c r="NN40" i="8" s="1"/>
  <c r="NN11" i="8" a="1"/>
  <c r="NN11" i="8" s="1"/>
  <c r="NN53" i="8" a="1"/>
  <c r="NN53" i="8" s="1"/>
  <c r="NN33" i="8" a="1"/>
  <c r="NN33" i="8" s="1"/>
  <c r="NN39" i="8" a="1"/>
  <c r="NN39" i="8" s="1"/>
  <c r="NN38" i="8" a="1"/>
  <c r="NN38" i="8" s="1"/>
  <c r="NN52" i="8" a="1"/>
  <c r="NN52" i="8" s="1"/>
  <c r="NN57" i="8" a="1"/>
  <c r="NN57" i="8" s="1"/>
  <c r="NN13" i="8" a="1"/>
  <c r="NN13" i="8" s="1"/>
  <c r="NN27" i="8" a="1"/>
  <c r="NN27" i="8" s="1"/>
  <c r="NN42" i="8" a="1"/>
  <c r="NN42" i="8" s="1"/>
  <c r="NN32" i="8" a="1"/>
  <c r="NN32" i="8" s="1"/>
  <c r="NN15" i="8" a="1"/>
  <c r="NN15" i="8" s="1"/>
  <c r="NN24" i="8" a="1"/>
  <c r="NN24" i="8" s="1"/>
  <c r="NN23" i="8" a="1"/>
  <c r="NN23" i="8" s="1"/>
  <c r="NN34" i="8" a="1"/>
  <c r="NN34" i="8" s="1"/>
  <c r="NN31" i="8" a="1"/>
  <c r="NN31" i="8" s="1"/>
  <c r="NN21" i="8" a="1"/>
  <c r="NN21" i="8" s="1"/>
  <c r="NN49" i="8" a="1"/>
  <c r="NN49" i="8" s="1"/>
  <c r="NN41" i="8" a="1"/>
  <c r="NN41" i="8" s="1"/>
  <c r="NN12" i="8" a="1"/>
  <c r="NN12" i="8" s="1"/>
  <c r="NN30" i="8" a="1"/>
  <c r="NN30" i="8" s="1"/>
  <c r="NN19" i="8" a="1"/>
  <c r="NN19" i="8" s="1"/>
  <c r="NO18" i="8" a="1"/>
  <c r="NO18" i="8" s="1"/>
  <c r="NO16" i="8" a="1"/>
  <c r="NO16" i="8" s="1"/>
  <c r="NO39" i="8" a="1"/>
  <c r="NO39" i="8" s="1"/>
  <c r="NO55" i="8" a="1"/>
  <c r="NO55" i="8" s="1"/>
  <c r="NO15" i="8" a="1"/>
  <c r="NO15" i="8" s="1"/>
  <c r="NO43" i="8" a="1"/>
  <c r="NO43" i="8" s="1"/>
  <c r="NO25" i="8" a="1"/>
  <c r="NO25" i="8" s="1"/>
  <c r="NO54" i="8" a="1"/>
  <c r="NO54" i="8" s="1"/>
  <c r="NO19" i="8" a="1"/>
  <c r="NO19" i="8" s="1"/>
  <c r="NO50" i="8" a="1"/>
  <c r="NO50" i="8" s="1"/>
  <c r="NO51" i="8" a="1"/>
  <c r="NO51" i="8" s="1"/>
  <c r="NO26" i="8" a="1"/>
  <c r="NO26" i="8" s="1"/>
  <c r="NO24" i="8" a="1"/>
  <c r="NO24" i="8" s="1"/>
  <c r="NO45" i="8" a="1"/>
  <c r="NO45" i="8" s="1"/>
  <c r="NO52" i="8" a="1"/>
  <c r="NO52" i="8" s="1"/>
  <c r="NO47" i="8" a="1"/>
  <c r="NO47" i="8" s="1"/>
  <c r="NO34" i="8" a="1"/>
  <c r="NO34" i="8" s="1"/>
  <c r="NO33" i="8" a="1"/>
  <c r="NO33" i="8" s="1"/>
  <c r="NO53" i="8" a="1"/>
  <c r="NO53" i="8" s="1"/>
  <c r="NO11" i="8" a="1"/>
  <c r="NO11" i="8" s="1"/>
  <c r="NO9" i="8" a="1"/>
  <c r="NO9" i="8" s="1"/>
  <c r="NO49" i="8" a="1"/>
  <c r="NO49" i="8" s="1"/>
  <c r="NO41" i="8" a="1"/>
  <c r="NO41" i="8" s="1"/>
  <c r="NO40" i="8" a="1"/>
  <c r="NO40" i="8" s="1"/>
  <c r="NO32" i="8" a="1"/>
  <c r="NO32" i="8" s="1"/>
  <c r="NO22" i="8" a="1"/>
  <c r="NO22" i="8" s="1"/>
  <c r="NO36" i="8" a="1"/>
  <c r="NO36" i="8" s="1"/>
  <c r="NO28" i="8" a="1"/>
  <c r="NO28" i="8" s="1"/>
  <c r="NO13" i="8" a="1"/>
  <c r="NO13" i="8" s="1"/>
  <c r="NO31" i="8" a="1"/>
  <c r="NO31" i="8" s="1"/>
  <c r="NO23" i="8" a="1"/>
  <c r="NO23" i="8" s="1"/>
  <c r="NO27" i="8" a="1"/>
  <c r="NO27" i="8" s="1"/>
  <c r="NO38" i="8" a="1"/>
  <c r="NO38" i="8" s="1"/>
  <c r="NO46" i="8" a="1"/>
  <c r="NO46" i="8" s="1"/>
  <c r="NO29" i="8" a="1"/>
  <c r="NO29" i="8" s="1"/>
  <c r="NO42" i="8" a="1"/>
  <c r="NO42" i="8" s="1"/>
  <c r="NO20" i="8" a="1"/>
  <c r="NO20" i="8" s="1"/>
  <c r="NO10" i="8" a="1"/>
  <c r="NO10" i="8" s="1"/>
  <c r="NO57" i="8" a="1"/>
  <c r="NO57" i="8" s="1"/>
  <c r="NO37" i="8" a="1"/>
  <c r="NO37" i="8" s="1"/>
  <c r="NO56" i="8" a="1"/>
  <c r="NO56" i="8" s="1"/>
  <c r="NO14" i="8" a="1"/>
  <c r="NO14" i="8" s="1"/>
  <c r="NO35" i="8" a="1"/>
  <c r="NO35" i="8" s="1"/>
  <c r="NO17" i="8" a="1"/>
  <c r="NO17" i="8" s="1"/>
  <c r="NO30" i="8" a="1"/>
  <c r="NO30" i="8" s="1"/>
  <c r="NO12" i="8" a="1"/>
  <c r="NO12" i="8" s="1"/>
  <c r="NO21" i="8" a="1"/>
  <c r="NO21" i="8" s="1"/>
  <c r="NO44" i="8" a="1"/>
  <c r="NO44" i="8" s="1"/>
  <c r="NO48" i="8" a="1"/>
  <c r="NO48" i="8" s="1"/>
  <c r="NL8" i="8" a="1"/>
  <c r="NL8" i="8" s="1"/>
  <c r="NM14" i="8" a="1"/>
  <c r="NM14" i="8" s="1"/>
  <c r="NM53" i="8" a="1"/>
  <c r="NM53" i="8" s="1"/>
  <c r="NM56" i="8" a="1"/>
  <c r="NM56" i="8" s="1"/>
  <c r="NM9" i="8" a="1"/>
  <c r="NM9" i="8" s="1"/>
  <c r="NM12" i="8" a="1"/>
  <c r="NM12" i="8" s="1"/>
  <c r="NM26" i="8" a="1"/>
  <c r="NM26" i="8" s="1"/>
  <c r="NM31" i="8" a="1"/>
  <c r="NM31" i="8" s="1"/>
  <c r="NM25" i="8" a="1"/>
  <c r="NM25" i="8" s="1"/>
  <c r="NM21" i="8" a="1"/>
  <c r="NM21" i="8" s="1"/>
  <c r="NM36" i="8" a="1"/>
  <c r="NM36" i="8" s="1"/>
  <c r="NM47" i="8" a="1"/>
  <c r="NM47" i="8" s="1"/>
  <c r="NM13" i="8" a="1"/>
  <c r="NM13" i="8" s="1"/>
  <c r="NM15" i="8" a="1"/>
  <c r="NM15" i="8" s="1"/>
  <c r="NM17" i="8" a="1"/>
  <c r="NM17" i="8" s="1"/>
  <c r="NM29" i="8" a="1"/>
  <c r="NM29" i="8" s="1"/>
  <c r="NM32" i="8" a="1"/>
  <c r="NM32" i="8" s="1"/>
  <c r="NM34" i="8" a="1"/>
  <c r="NM34" i="8" s="1"/>
  <c r="NM27" i="8" a="1"/>
  <c r="NM27" i="8" s="1"/>
  <c r="NM54" i="8" a="1"/>
  <c r="NM54" i="8" s="1"/>
  <c r="NM52" i="8" a="1"/>
  <c r="NM52" i="8" s="1"/>
  <c r="NM38" i="8" a="1"/>
  <c r="NM38" i="8" s="1"/>
  <c r="NM44" i="8" a="1"/>
  <c r="NM44" i="8" s="1"/>
  <c r="NM55" i="8" a="1"/>
  <c r="NM55" i="8" s="1"/>
  <c r="NM42" i="8" a="1"/>
  <c r="NM42" i="8" s="1"/>
  <c r="NM22" i="8" a="1"/>
  <c r="NM22" i="8" s="1"/>
  <c r="NM18" i="8" a="1"/>
  <c r="NM18" i="8" s="1"/>
  <c r="NM57" i="8" a="1"/>
  <c r="NM57" i="8" s="1"/>
  <c r="NM11" i="8" a="1"/>
  <c r="NM11" i="8" s="1"/>
  <c r="NM43" i="8" a="1"/>
  <c r="NM43" i="8" s="1"/>
  <c r="NM24" i="8" a="1"/>
  <c r="NM24" i="8" s="1"/>
  <c r="NM10" i="8" a="1"/>
  <c r="NM10" i="8" s="1"/>
  <c r="NM23" i="8" a="1"/>
  <c r="NM23" i="8" s="1"/>
  <c r="NM45" i="8" a="1"/>
  <c r="NM45" i="8" s="1"/>
  <c r="NM30" i="8" a="1"/>
  <c r="NM30" i="8" s="1"/>
  <c r="NM50" i="8" a="1"/>
  <c r="NM50" i="8" s="1"/>
  <c r="NM35" i="8" a="1"/>
  <c r="NM35" i="8" s="1"/>
  <c r="NM41" i="8" a="1"/>
  <c r="NM41" i="8" s="1"/>
  <c r="NM19" i="8" a="1"/>
  <c r="NM19" i="8" s="1"/>
  <c r="NM46" i="8" a="1"/>
  <c r="NM46" i="8" s="1"/>
  <c r="NM40" i="8" a="1"/>
  <c r="NM40" i="8" s="1"/>
  <c r="NM37" i="8" a="1"/>
  <c r="NM37" i="8" s="1"/>
  <c r="NM48" i="8" a="1"/>
  <c r="NM48" i="8" s="1"/>
  <c r="NM28" i="8" a="1"/>
  <c r="NM28" i="8" s="1"/>
  <c r="NM39" i="8" a="1"/>
  <c r="NM39" i="8" s="1"/>
  <c r="NM20" i="8" a="1"/>
  <c r="NM20" i="8" s="1"/>
  <c r="NM49" i="8" a="1"/>
  <c r="NM49" i="8" s="1"/>
  <c r="NM33" i="8" a="1"/>
  <c r="NM33" i="8" s="1"/>
  <c r="NM16" i="8" a="1"/>
  <c r="NM16" i="8" s="1"/>
  <c r="NM51" i="8" a="1"/>
  <c r="NM51" i="8" s="1"/>
  <c r="T8" i="5"/>
  <c r="S9" i="5"/>
  <c r="R9" i="5"/>
  <c r="T9" i="5" s="1"/>
  <c r="NK23" i="8" a="1"/>
  <c r="NK23" i="8" s="1"/>
  <c r="NK22" i="8" a="1"/>
  <c r="NK22" i="8" s="1"/>
  <c r="NK20" i="8" a="1"/>
  <c r="NK20" i="8" s="1"/>
  <c r="NK21" i="8" a="1"/>
  <c r="NK21" i="8" s="1"/>
  <c r="NK24" i="8" a="1"/>
  <c r="NK24" i="8" s="1"/>
  <c r="NL20" i="8" a="1"/>
  <c r="NL20" i="8" s="1"/>
  <c r="NL22" i="8" a="1"/>
  <c r="NL22" i="8" s="1"/>
  <c r="NL21" i="8" a="1"/>
  <c r="NL21" i="8" s="1"/>
  <c r="NK51" i="8" a="1"/>
  <c r="NK51" i="8" s="1"/>
  <c r="NK43" i="8" a="1"/>
  <c r="NK43" i="8" s="1"/>
  <c r="NK35" i="8" a="1"/>
  <c r="NK35" i="8" s="1"/>
  <c r="NK27" i="8" a="1"/>
  <c r="NK27" i="8" s="1"/>
  <c r="NK19" i="8" a="1"/>
  <c r="NK19" i="8" s="1"/>
  <c r="NK11" i="8" a="1"/>
  <c r="NK11" i="8" s="1"/>
  <c r="NK28" i="8" a="1"/>
  <c r="NK28" i="8" s="1"/>
  <c r="NK50" i="8" a="1"/>
  <c r="NK50" i="8" s="1"/>
  <c r="NK42" i="8" a="1"/>
  <c r="NK42" i="8" s="1"/>
  <c r="NK34" i="8" a="1"/>
  <c r="NK34" i="8" s="1"/>
  <c r="NK26" i="8" a="1"/>
  <c r="NK26" i="8" s="1"/>
  <c r="NK18" i="8" a="1"/>
  <c r="NK18" i="8" s="1"/>
  <c r="NK10" i="8" a="1"/>
  <c r="NK10" i="8" s="1"/>
  <c r="NK12" i="8" a="1"/>
  <c r="NK12" i="8" s="1"/>
  <c r="NK57" i="8" a="1"/>
  <c r="NK57" i="8" s="1"/>
  <c r="NK49" i="8" a="1"/>
  <c r="NK49" i="8" s="1"/>
  <c r="NK41" i="8" a="1"/>
  <c r="NK41" i="8" s="1"/>
  <c r="NK33" i="8" a="1"/>
  <c r="NK33" i="8" s="1"/>
  <c r="NK25" i="8" a="1"/>
  <c r="NK25" i="8" s="1"/>
  <c r="NK17" i="8" a="1"/>
  <c r="NK17" i="8" s="1"/>
  <c r="NK9" i="8" a="1"/>
  <c r="NK9" i="8" s="1"/>
  <c r="NK56" i="8" a="1"/>
  <c r="NK56" i="8" s="1"/>
  <c r="NK48" i="8" a="1"/>
  <c r="NK48" i="8" s="1"/>
  <c r="NK40" i="8" a="1"/>
  <c r="NK40" i="8" s="1"/>
  <c r="NK32" i="8" a="1"/>
  <c r="NK32" i="8" s="1"/>
  <c r="NK16" i="8" a="1"/>
  <c r="NK16" i="8" s="1"/>
  <c r="NK52" i="8" a="1"/>
  <c r="NK52" i="8" s="1"/>
  <c r="NK55" i="8" a="1"/>
  <c r="NK55" i="8" s="1"/>
  <c r="NK47" i="8" a="1"/>
  <c r="NK47" i="8" s="1"/>
  <c r="NK39" i="8" a="1"/>
  <c r="NK39" i="8" s="1"/>
  <c r="NK31" i="8" a="1"/>
  <c r="NK31" i="8" s="1"/>
  <c r="NK15" i="8" a="1"/>
  <c r="NK15" i="8" s="1"/>
  <c r="NK54" i="8" a="1"/>
  <c r="NK54" i="8" s="1"/>
  <c r="NK46" i="8" a="1"/>
  <c r="NK46" i="8" s="1"/>
  <c r="NK38" i="8" a="1"/>
  <c r="NK38" i="8" s="1"/>
  <c r="NK30" i="8" a="1"/>
  <c r="NK30" i="8" s="1"/>
  <c r="NK14" i="8" a="1"/>
  <c r="NK14" i="8" s="1"/>
  <c r="NK44" i="8" a="1"/>
  <c r="NK44" i="8" s="1"/>
  <c r="NK53" i="8" a="1"/>
  <c r="NK53" i="8" s="1"/>
  <c r="NK45" i="8" a="1"/>
  <c r="NK45" i="8" s="1"/>
  <c r="NK37" i="8" a="1"/>
  <c r="NK37" i="8" s="1"/>
  <c r="NK29" i="8" a="1"/>
  <c r="NK29" i="8" s="1"/>
  <c r="NK13" i="8" a="1"/>
  <c r="NK13" i="8" s="1"/>
  <c r="NK36" i="8" a="1"/>
  <c r="NK36" i="8" s="1"/>
  <c r="NL45" i="8" a="1"/>
  <c r="NL45" i="8" s="1"/>
  <c r="NL46" i="8" a="1"/>
  <c r="NL46" i="8" s="1"/>
  <c r="NL47" i="8" a="1"/>
  <c r="NL47" i="8" s="1"/>
  <c r="NL48" i="8" a="1"/>
  <c r="NL48" i="8" s="1"/>
  <c r="NL49" i="8" a="1"/>
  <c r="NL49" i="8" s="1"/>
  <c r="NL50" i="8" a="1"/>
  <c r="NL50" i="8" s="1"/>
  <c r="NL44" i="8" a="1"/>
  <c r="NL44" i="8" s="1"/>
  <c r="NL51" i="8" a="1"/>
  <c r="NL51" i="8" s="1"/>
  <c r="NL52" i="8" a="1"/>
  <c r="NL52" i="8" s="1"/>
  <c r="NL54" i="8" a="1"/>
  <c r="NL54" i="8" s="1"/>
  <c r="NL55" i="8" a="1"/>
  <c r="NL55" i="8" s="1"/>
  <c r="NL53" i="8" a="1"/>
  <c r="NL53" i="8" s="1"/>
  <c r="NL56" i="8" a="1"/>
  <c r="NL56" i="8" s="1"/>
  <c r="NL33" i="8" a="1"/>
  <c r="NL33" i="8" s="1"/>
  <c r="NL34" i="8" a="1"/>
  <c r="NL34" i="8" s="1"/>
  <c r="NL35" i="8" a="1"/>
  <c r="NL35" i="8" s="1"/>
  <c r="NL37" i="8" a="1"/>
  <c r="NL37" i="8" s="1"/>
  <c r="NL39" i="8" a="1"/>
  <c r="NL39" i="8" s="1"/>
  <c r="NL38" i="8" a="1"/>
  <c r="NL38" i="8" s="1"/>
  <c r="NL30" i="8" a="1"/>
  <c r="NL30" i="8" s="1"/>
  <c r="NL40" i="8" a="1"/>
  <c r="NL40" i="8" s="1"/>
  <c r="NL31" i="8" a="1"/>
  <c r="NL31" i="8" s="1"/>
  <c r="NL32" i="8" a="1"/>
  <c r="NL32" i="8" s="1"/>
  <c r="NL26" i="8" a="1"/>
  <c r="NL26" i="8" s="1"/>
  <c r="NL25" i="8" a="1"/>
  <c r="NL25" i="8" s="1"/>
  <c r="NL27" i="8" a="1"/>
  <c r="NL27" i="8" s="1"/>
  <c r="NL24" i="8" a="1"/>
  <c r="NL24" i="8" s="1"/>
  <c r="NL57" i="8" a="1"/>
  <c r="NL57" i="8" s="1"/>
  <c r="NL41" i="8" a="1"/>
  <c r="NL41" i="8" s="1"/>
  <c r="NL17" i="8" a="1"/>
  <c r="NL17" i="8" s="1"/>
  <c r="NL19" i="8" a="1"/>
  <c r="NL19" i="8" s="1"/>
  <c r="NL9" i="8" a="1"/>
  <c r="NL9" i="8" s="1"/>
  <c r="NL14" i="8" a="1"/>
  <c r="NL14" i="8" s="1"/>
  <c r="NL36" i="8" a="1"/>
  <c r="NL36" i="8" s="1"/>
  <c r="NL43" i="8" a="1"/>
  <c r="NL43" i="8" s="1"/>
  <c r="NL18" i="8" a="1"/>
  <c r="NL18" i="8" s="1"/>
  <c r="NL28" i="8" a="1"/>
  <c r="NL28" i="8" s="1"/>
  <c r="NL13" i="8" a="1"/>
  <c r="NL13" i="8" s="1"/>
  <c r="NL10" i="8" a="1"/>
  <c r="NL10" i="8" s="1"/>
  <c r="NL16" i="8" a="1"/>
  <c r="NL16" i="8" s="1"/>
  <c r="NL42" i="8" a="1"/>
  <c r="NL42" i="8" s="1"/>
  <c r="NL15" i="8" a="1"/>
  <c r="NL15" i="8" s="1"/>
  <c r="NL11" i="8" a="1"/>
  <c r="NL11" i="8" s="1"/>
  <c r="NL23" i="8" a="1"/>
  <c r="NL23" i="8" s="1"/>
  <c r="NL29" i="8" a="1"/>
  <c r="NL29" i="8" s="1"/>
  <c r="NL12" i="8" a="1"/>
  <c r="NL12" i="8" s="1"/>
  <c r="NK8" i="8" a="1"/>
  <c r="NK8" i="8" s="1"/>
  <c r="ME6" i="8"/>
  <c r="ME4" i="8" s="1"/>
  <c r="JU6" i="8"/>
  <c r="JU4" i="8" s="1"/>
  <c r="CQ6" i="8"/>
  <c r="CQ4" i="8" s="1"/>
  <c r="AG4" i="8"/>
  <c r="T6" i="8"/>
  <c r="T4" i="8" s="1"/>
  <c r="S6" i="8"/>
  <c r="S4" i="8" s="1"/>
  <c r="R6" i="8"/>
  <c r="R4" i="8" s="1"/>
  <c r="Q6" i="8"/>
  <c r="Q4" i="8" s="1"/>
  <c r="P6" i="8"/>
  <c r="P4" i="8" s="1"/>
  <c r="O6" i="8"/>
  <c r="O4" i="8" s="1"/>
  <c r="N6" i="8"/>
  <c r="N4" i="8" s="1"/>
  <c r="M6" i="8"/>
  <c r="M4" i="8" s="1"/>
  <c r="L6" i="8"/>
  <c r="L4" i="8" s="1"/>
  <c r="K6" i="8"/>
  <c r="K4" i="8" s="1"/>
  <c r="J6" i="8"/>
  <c r="J4" i="8" s="1"/>
  <c r="I6" i="8"/>
  <c r="I4" i="8" s="1"/>
  <c r="H6" i="8"/>
  <c r="H4" i="8" s="1"/>
  <c r="G6" i="8"/>
  <c r="G4" i="8" s="1"/>
  <c r="F6" i="8"/>
  <c r="F4" i="8" s="1"/>
  <c r="E6" i="8"/>
  <c r="E4" i="8" s="1"/>
  <c r="D6" i="8"/>
  <c r="D4" i="8" s="1"/>
  <c r="C6" i="8"/>
  <c r="C4" i="8" s="1"/>
  <c r="B6" i="8"/>
  <c r="B4" i="8" s="1"/>
  <c r="S10" i="5" l="1"/>
  <c r="R10" i="5"/>
  <c r="T10" i="5" s="1"/>
  <c r="Z6" i="8"/>
  <c r="Z4" i="8" s="1"/>
  <c r="AD6" i="8"/>
  <c r="AD4" i="8" s="1"/>
  <c r="AP6" i="8"/>
  <c r="AP4" i="8" s="1"/>
  <c r="BB6" i="8"/>
  <c r="BB4" i="8" s="1"/>
  <c r="BR6" i="8"/>
  <c r="BR4" i="8" s="1"/>
  <c r="CD6" i="8"/>
  <c r="CD4" i="8" s="1"/>
  <c r="CP6" i="8"/>
  <c r="CP4" i="8" s="1"/>
  <c r="CX6" i="8"/>
  <c r="CX4" i="8" s="1"/>
  <c r="DN6" i="8"/>
  <c r="DN4" i="8" s="1"/>
  <c r="DV6" i="8"/>
  <c r="DV4" i="8" s="1"/>
  <c r="EH6" i="8"/>
  <c r="EH4" i="8" s="1"/>
  <c r="ET6" i="8"/>
  <c r="ET4" i="8" s="1"/>
  <c r="FF6" i="8"/>
  <c r="FF4" i="8" s="1"/>
  <c r="FR6" i="8"/>
  <c r="FR4" i="8" s="1"/>
  <c r="GD6" i="8"/>
  <c r="GD4" i="8" s="1"/>
  <c r="GP6" i="8"/>
  <c r="GP4" i="8" s="1"/>
  <c r="GX6" i="8"/>
  <c r="GX4" i="8" s="1"/>
  <c r="HN6" i="8"/>
  <c r="HN4" i="8" s="1"/>
  <c r="HZ6" i="8"/>
  <c r="HZ4" i="8" s="1"/>
  <c r="IH6" i="8"/>
  <c r="IH4" i="8" s="1"/>
  <c r="IX6" i="8"/>
  <c r="IX4" i="8" s="1"/>
  <c r="JJ6" i="8"/>
  <c r="JJ4" i="8" s="1"/>
  <c r="JV6" i="8"/>
  <c r="JV4" i="8" s="1"/>
  <c r="KH6" i="8"/>
  <c r="KH4" i="8" s="1"/>
  <c r="KT6" i="8"/>
  <c r="KT4" i="8" s="1"/>
  <c r="LF6" i="8"/>
  <c r="LF4" i="8" s="1"/>
  <c r="LR6" i="8"/>
  <c r="LR4" i="8" s="1"/>
  <c r="MD6" i="8"/>
  <c r="MD4" i="8" s="1"/>
  <c r="MH6" i="8"/>
  <c r="MH4" i="8" s="1"/>
  <c r="MT6" i="8"/>
  <c r="MT4" i="8" s="1"/>
  <c r="MX6" i="8"/>
  <c r="MX4" i="8" s="1"/>
  <c r="NB6" i="8"/>
  <c r="NB4" i="8" s="1"/>
  <c r="NF6" i="8"/>
  <c r="NF4" i="8" s="1"/>
  <c r="W6" i="8"/>
  <c r="W4" i="8" s="1"/>
  <c r="AA6" i="8"/>
  <c r="AA4" i="8" s="1"/>
  <c r="AE6" i="8"/>
  <c r="AE4" i="8" s="1"/>
  <c r="AI6" i="8"/>
  <c r="AI4" i="8" s="1"/>
  <c r="AM6" i="8"/>
  <c r="AM4" i="8" s="1"/>
  <c r="AQ6" i="8"/>
  <c r="AQ4" i="8" s="1"/>
  <c r="AU6" i="8"/>
  <c r="AU4" i="8" s="1"/>
  <c r="AY6" i="8"/>
  <c r="AY4" i="8" s="1"/>
  <c r="BC6" i="8"/>
  <c r="BC4" i="8" s="1"/>
  <c r="BG6" i="8"/>
  <c r="BG4" i="8" s="1"/>
  <c r="BK6" i="8"/>
  <c r="BK4" i="8" s="1"/>
  <c r="BO6" i="8"/>
  <c r="BO4" i="8" s="1"/>
  <c r="BS6" i="8"/>
  <c r="BS4" i="8" s="1"/>
  <c r="BW6" i="8"/>
  <c r="BW4" i="8" s="1"/>
  <c r="CA6" i="8"/>
  <c r="CA4" i="8" s="1"/>
  <c r="CE6" i="8"/>
  <c r="CE4" i="8" s="1"/>
  <c r="CI6" i="8"/>
  <c r="CI4" i="8" s="1"/>
  <c r="CM6" i="8"/>
  <c r="CM4" i="8" s="1"/>
  <c r="CU6" i="8"/>
  <c r="CU4" i="8" s="1"/>
  <c r="CY6" i="8"/>
  <c r="CY4" i="8" s="1"/>
  <c r="DC6" i="8"/>
  <c r="DC4" i="8" s="1"/>
  <c r="DG6" i="8"/>
  <c r="DG4" i="8" s="1"/>
  <c r="DK6" i="8"/>
  <c r="DK4" i="8" s="1"/>
  <c r="DO6" i="8"/>
  <c r="DO4" i="8" s="1"/>
  <c r="DS6" i="8"/>
  <c r="DS4" i="8" s="1"/>
  <c r="DW6" i="8"/>
  <c r="DW4" i="8" s="1"/>
  <c r="EA6" i="8"/>
  <c r="EA4" i="8" s="1"/>
  <c r="EE6" i="8"/>
  <c r="EE4" i="8" s="1"/>
  <c r="EI6" i="8"/>
  <c r="EI4" i="8" s="1"/>
  <c r="EM6" i="8"/>
  <c r="EM4" i="8" s="1"/>
  <c r="EQ6" i="8"/>
  <c r="EQ4" i="8" s="1"/>
  <c r="EU6" i="8"/>
  <c r="EU4" i="8" s="1"/>
  <c r="EY6" i="8"/>
  <c r="EY4" i="8" s="1"/>
  <c r="FC6" i="8"/>
  <c r="FC4" i="8" s="1"/>
  <c r="FG6" i="8"/>
  <c r="FG4" i="8" s="1"/>
  <c r="FK6" i="8"/>
  <c r="FK4" i="8" s="1"/>
  <c r="FO6" i="8"/>
  <c r="FO4" i="8" s="1"/>
  <c r="FS6" i="8"/>
  <c r="FS4" i="8" s="1"/>
  <c r="FW6" i="8"/>
  <c r="FW4" i="8" s="1"/>
  <c r="GA6" i="8"/>
  <c r="GA4" i="8" s="1"/>
  <c r="GE6" i="8"/>
  <c r="GE4" i="8" s="1"/>
  <c r="GI6" i="8"/>
  <c r="GI4" i="8" s="1"/>
  <c r="GM6" i="8"/>
  <c r="GM4" i="8" s="1"/>
  <c r="GQ6" i="8"/>
  <c r="GQ4" i="8" s="1"/>
  <c r="GU6" i="8"/>
  <c r="GU4" i="8" s="1"/>
  <c r="GY6" i="8"/>
  <c r="GY4" i="8" s="1"/>
  <c r="HC6" i="8"/>
  <c r="HC4" i="8" s="1"/>
  <c r="HG6" i="8"/>
  <c r="HG4" i="8" s="1"/>
  <c r="HK6" i="8"/>
  <c r="HK4" i="8" s="1"/>
  <c r="HO6" i="8"/>
  <c r="HO4" i="8" s="1"/>
  <c r="HS6" i="8"/>
  <c r="HS4" i="8" s="1"/>
  <c r="HW6" i="8"/>
  <c r="HW4" i="8" s="1"/>
  <c r="IA6" i="8"/>
  <c r="IA4" i="8" s="1"/>
  <c r="IE6" i="8"/>
  <c r="IE4" i="8" s="1"/>
  <c r="II6" i="8"/>
  <c r="II4" i="8" s="1"/>
  <c r="IM6" i="8"/>
  <c r="IM4" i="8" s="1"/>
  <c r="IQ6" i="8"/>
  <c r="IQ4" i="8" s="1"/>
  <c r="IU6" i="8"/>
  <c r="IU4" i="8" s="1"/>
  <c r="IY6" i="8"/>
  <c r="IY4" i="8" s="1"/>
  <c r="JC6" i="8"/>
  <c r="JC4" i="8" s="1"/>
  <c r="JG6" i="8"/>
  <c r="JG4" i="8" s="1"/>
  <c r="JK6" i="8"/>
  <c r="JK4" i="8" s="1"/>
  <c r="JO6" i="8"/>
  <c r="JO4" i="8" s="1"/>
  <c r="JS6" i="8"/>
  <c r="JS4" i="8" s="1"/>
  <c r="JW6" i="8"/>
  <c r="JW4" i="8" s="1"/>
  <c r="KA6" i="8"/>
  <c r="KA4" i="8" s="1"/>
  <c r="KE6" i="8"/>
  <c r="KE4" i="8" s="1"/>
  <c r="KI6" i="8"/>
  <c r="KI4" i="8" s="1"/>
  <c r="KM6" i="8"/>
  <c r="KM4" i="8" s="1"/>
  <c r="KQ6" i="8"/>
  <c r="KQ4" i="8" s="1"/>
  <c r="KU6" i="8"/>
  <c r="KU4" i="8" s="1"/>
  <c r="KY6" i="8"/>
  <c r="KY4" i="8" s="1"/>
  <c r="LC6" i="8"/>
  <c r="LC4" i="8" s="1"/>
  <c r="LG6" i="8"/>
  <c r="LG4" i="8" s="1"/>
  <c r="LK6" i="8"/>
  <c r="LK4" i="8" s="1"/>
  <c r="LO6" i="8"/>
  <c r="LO4" i="8" s="1"/>
  <c r="LS6" i="8"/>
  <c r="LS4" i="8" s="1"/>
  <c r="LW6" i="8"/>
  <c r="LW4" i="8" s="1"/>
  <c r="MA6" i="8"/>
  <c r="MA4" i="8" s="1"/>
  <c r="MI6" i="8"/>
  <c r="MI4" i="8" s="1"/>
  <c r="MM6" i="8"/>
  <c r="MM4" i="8" s="1"/>
  <c r="MQ6" i="8"/>
  <c r="MQ4" i="8" s="1"/>
  <c r="MU6" i="8"/>
  <c r="MU4" i="8" s="1"/>
  <c r="MY6" i="8"/>
  <c r="MY4" i="8" s="1"/>
  <c r="NC6" i="8"/>
  <c r="NC4" i="8" s="1"/>
  <c r="NG6" i="8"/>
  <c r="NG4" i="8" s="1"/>
  <c r="AH6" i="8"/>
  <c r="AH4" i="8" s="1"/>
  <c r="AX6" i="8"/>
  <c r="AX4" i="8" s="1"/>
  <c r="BJ6" i="8"/>
  <c r="BJ4" i="8" s="1"/>
  <c r="BV6" i="8"/>
  <c r="BV4" i="8" s="1"/>
  <c r="CH6" i="8"/>
  <c r="CH4" i="8" s="1"/>
  <c r="CT6" i="8"/>
  <c r="CT4" i="8" s="1"/>
  <c r="DF6" i="8"/>
  <c r="DF4" i="8" s="1"/>
  <c r="DR6" i="8"/>
  <c r="DR4" i="8" s="1"/>
  <c r="ED6" i="8"/>
  <c r="ED4" i="8" s="1"/>
  <c r="EP6" i="8"/>
  <c r="EP4" i="8" s="1"/>
  <c r="FB6" i="8"/>
  <c r="FB4" i="8" s="1"/>
  <c r="FN6" i="8"/>
  <c r="FN4" i="8" s="1"/>
  <c r="FZ6" i="8"/>
  <c r="FZ4" i="8" s="1"/>
  <c r="GL6" i="8"/>
  <c r="GL4" i="8" s="1"/>
  <c r="HB6" i="8"/>
  <c r="HB4" i="8" s="1"/>
  <c r="HJ6" i="8"/>
  <c r="HJ4" i="8" s="1"/>
  <c r="ID6" i="8"/>
  <c r="ID4" i="8" s="1"/>
  <c r="IP6" i="8"/>
  <c r="IP4" i="8" s="1"/>
  <c r="JB6" i="8"/>
  <c r="JB4" i="8" s="1"/>
  <c r="JN6" i="8"/>
  <c r="JN4" i="8" s="1"/>
  <c r="JZ6" i="8"/>
  <c r="JZ4" i="8" s="1"/>
  <c r="KL6" i="8"/>
  <c r="KL4" i="8" s="1"/>
  <c r="KX6" i="8"/>
  <c r="KX4" i="8" s="1"/>
  <c r="LJ6" i="8"/>
  <c r="LJ4" i="8" s="1"/>
  <c r="LZ6" i="8"/>
  <c r="LZ4" i="8" s="1"/>
  <c r="MP6" i="8"/>
  <c r="MP4" i="8" s="1"/>
  <c r="AB6" i="8"/>
  <c r="AB4" i="8" s="1"/>
  <c r="AJ6" i="8"/>
  <c r="AJ4" i="8" s="1"/>
  <c r="AN6" i="8"/>
  <c r="AN4" i="8" s="1"/>
  <c r="AR6" i="8"/>
  <c r="AR4" i="8" s="1"/>
  <c r="AV6" i="8"/>
  <c r="AV4" i="8" s="1"/>
  <c r="AZ6" i="8"/>
  <c r="AZ4" i="8" s="1"/>
  <c r="BD6" i="8"/>
  <c r="BD4" i="8" s="1"/>
  <c r="BH6" i="8"/>
  <c r="BH4" i="8" s="1"/>
  <c r="BL6" i="8"/>
  <c r="BL4" i="8" s="1"/>
  <c r="BP6" i="8"/>
  <c r="BP4" i="8" s="1"/>
  <c r="BT6" i="8"/>
  <c r="BT4" i="8" s="1"/>
  <c r="BX6" i="8"/>
  <c r="BX4" i="8" s="1"/>
  <c r="CB6" i="8"/>
  <c r="CB4" i="8" s="1"/>
  <c r="CF6" i="8"/>
  <c r="CF4" i="8" s="1"/>
  <c r="CJ6" i="8"/>
  <c r="CJ4" i="8" s="1"/>
  <c r="CN6" i="8"/>
  <c r="CN4" i="8" s="1"/>
  <c r="CR6" i="8"/>
  <c r="CR4" i="8" s="1"/>
  <c r="CV6" i="8"/>
  <c r="CV4" i="8" s="1"/>
  <c r="CZ6" i="8"/>
  <c r="CZ4" i="8" s="1"/>
  <c r="DD6" i="8"/>
  <c r="DD4" i="8" s="1"/>
  <c r="DH6" i="8"/>
  <c r="DH4" i="8" s="1"/>
  <c r="DL6" i="8"/>
  <c r="DL4" i="8" s="1"/>
  <c r="DP6" i="8"/>
  <c r="DP4" i="8" s="1"/>
  <c r="DT6" i="8"/>
  <c r="DT4" i="8" s="1"/>
  <c r="DX6" i="8"/>
  <c r="DX4" i="8" s="1"/>
  <c r="EB6" i="8"/>
  <c r="EB4" i="8" s="1"/>
  <c r="EF6" i="8"/>
  <c r="EF4" i="8" s="1"/>
  <c r="EJ6" i="8"/>
  <c r="EJ4" i="8" s="1"/>
  <c r="EN6" i="8"/>
  <c r="EN4" i="8" s="1"/>
  <c r="ER6" i="8"/>
  <c r="ER4" i="8" s="1"/>
  <c r="EV6" i="8"/>
  <c r="EV4" i="8" s="1"/>
  <c r="EZ6" i="8"/>
  <c r="EZ4" i="8" s="1"/>
  <c r="FD6" i="8"/>
  <c r="FD4" i="8" s="1"/>
  <c r="FH6" i="8"/>
  <c r="FH4" i="8" s="1"/>
  <c r="FL6" i="8"/>
  <c r="FL4" i="8" s="1"/>
  <c r="FP6" i="8"/>
  <c r="FP4" i="8" s="1"/>
  <c r="FT6" i="8"/>
  <c r="FT4" i="8" s="1"/>
  <c r="FX6" i="8"/>
  <c r="FX4" i="8" s="1"/>
  <c r="GB6" i="8"/>
  <c r="GB4" i="8" s="1"/>
  <c r="GF6" i="8"/>
  <c r="GF4" i="8" s="1"/>
  <c r="GJ6" i="8"/>
  <c r="GJ4" i="8" s="1"/>
  <c r="GN6" i="8"/>
  <c r="GN4" i="8" s="1"/>
  <c r="GR6" i="8"/>
  <c r="GR4" i="8" s="1"/>
  <c r="GV6" i="8"/>
  <c r="GV4" i="8" s="1"/>
  <c r="GZ6" i="8"/>
  <c r="GZ4" i="8" s="1"/>
  <c r="HD6" i="8"/>
  <c r="HD4" i="8" s="1"/>
  <c r="HH6" i="8"/>
  <c r="HH4" i="8" s="1"/>
  <c r="HL6" i="8"/>
  <c r="HL4" i="8" s="1"/>
  <c r="HP6" i="8"/>
  <c r="HP4" i="8" s="1"/>
  <c r="HT6" i="8"/>
  <c r="HT4" i="8" s="1"/>
  <c r="HX6" i="8"/>
  <c r="HX4" i="8" s="1"/>
  <c r="IB6" i="8"/>
  <c r="IB4" i="8" s="1"/>
  <c r="IF6" i="8"/>
  <c r="IF4" i="8" s="1"/>
  <c r="IJ6" i="8"/>
  <c r="IJ4" i="8" s="1"/>
  <c r="IN6" i="8"/>
  <c r="IN4" i="8" s="1"/>
  <c r="IR6" i="8"/>
  <c r="IR4" i="8" s="1"/>
  <c r="IV6" i="8"/>
  <c r="IV4" i="8" s="1"/>
  <c r="IZ6" i="8"/>
  <c r="IZ4" i="8" s="1"/>
  <c r="JD6" i="8"/>
  <c r="JD4" i="8" s="1"/>
  <c r="JH6" i="8"/>
  <c r="JH4" i="8" s="1"/>
  <c r="JL6" i="8"/>
  <c r="JL4" i="8" s="1"/>
  <c r="JP6" i="8"/>
  <c r="JP4" i="8" s="1"/>
  <c r="JT6" i="8"/>
  <c r="JT4" i="8" s="1"/>
  <c r="JX6" i="8"/>
  <c r="JX4" i="8" s="1"/>
  <c r="KB6" i="8"/>
  <c r="KB4" i="8" s="1"/>
  <c r="KF6" i="8"/>
  <c r="KF4" i="8" s="1"/>
  <c r="KJ6" i="8"/>
  <c r="KJ4" i="8" s="1"/>
  <c r="KN6" i="8"/>
  <c r="KN4" i="8" s="1"/>
  <c r="KR6" i="8"/>
  <c r="KR4" i="8" s="1"/>
  <c r="KV6" i="8"/>
  <c r="KV4" i="8" s="1"/>
  <c r="KZ6" i="8"/>
  <c r="KZ4" i="8" s="1"/>
  <c r="LD6" i="8"/>
  <c r="LD4" i="8" s="1"/>
  <c r="LH6" i="8"/>
  <c r="LH4" i="8" s="1"/>
  <c r="LL6" i="8"/>
  <c r="LL4" i="8" s="1"/>
  <c r="LP6" i="8"/>
  <c r="LP4" i="8" s="1"/>
  <c r="LT6" i="8"/>
  <c r="LT4" i="8" s="1"/>
  <c r="LX6" i="8"/>
  <c r="LX4" i="8" s="1"/>
  <c r="MB6" i="8"/>
  <c r="MB4" i="8" s="1"/>
  <c r="MF6" i="8"/>
  <c r="MF4" i="8" s="1"/>
  <c r="MJ6" i="8"/>
  <c r="MJ4" i="8" s="1"/>
  <c r="MN6" i="8"/>
  <c r="MN4" i="8" s="1"/>
  <c r="MR6" i="8"/>
  <c r="MR4" i="8" s="1"/>
  <c r="MV6" i="8"/>
  <c r="MV4" i="8" s="1"/>
  <c r="MZ6" i="8"/>
  <c r="MZ4" i="8" s="1"/>
  <c r="ND6" i="8"/>
  <c r="ND4" i="8" s="1"/>
  <c r="NH6" i="8"/>
  <c r="NH4" i="8" s="1"/>
  <c r="V6" i="8"/>
  <c r="V4" i="8" s="1"/>
  <c r="AL6" i="8"/>
  <c r="AL4" i="8" s="1"/>
  <c r="AT6" i="8"/>
  <c r="AT4" i="8" s="1"/>
  <c r="BF6" i="8"/>
  <c r="BF4" i="8" s="1"/>
  <c r="BN6" i="8"/>
  <c r="BN4" i="8" s="1"/>
  <c r="BZ6" i="8"/>
  <c r="BZ4" i="8" s="1"/>
  <c r="CL6" i="8"/>
  <c r="CL4" i="8" s="1"/>
  <c r="DB6" i="8"/>
  <c r="DB4" i="8" s="1"/>
  <c r="DJ6" i="8"/>
  <c r="DJ4" i="8" s="1"/>
  <c r="DZ6" i="8"/>
  <c r="DZ4" i="8" s="1"/>
  <c r="EL6" i="8"/>
  <c r="EL4" i="8" s="1"/>
  <c r="EX6" i="8"/>
  <c r="EX4" i="8" s="1"/>
  <c r="FJ6" i="8"/>
  <c r="FJ4" i="8" s="1"/>
  <c r="FV6" i="8"/>
  <c r="FV4" i="8" s="1"/>
  <c r="GH6" i="8"/>
  <c r="GH4" i="8" s="1"/>
  <c r="GT6" i="8"/>
  <c r="GT4" i="8" s="1"/>
  <c r="HF6" i="8"/>
  <c r="HF4" i="8" s="1"/>
  <c r="HR6" i="8"/>
  <c r="HR4" i="8" s="1"/>
  <c r="HV6" i="8"/>
  <c r="HV4" i="8" s="1"/>
  <c r="IL6" i="8"/>
  <c r="IL4" i="8" s="1"/>
  <c r="IT6" i="8"/>
  <c r="IT4" i="8" s="1"/>
  <c r="JF6" i="8"/>
  <c r="JF4" i="8" s="1"/>
  <c r="JR6" i="8"/>
  <c r="JR4" i="8" s="1"/>
  <c r="KD6" i="8"/>
  <c r="KD4" i="8" s="1"/>
  <c r="KP6" i="8"/>
  <c r="KP4" i="8" s="1"/>
  <c r="LB6" i="8"/>
  <c r="LB4" i="8" s="1"/>
  <c r="LN6" i="8"/>
  <c r="LN4" i="8" s="1"/>
  <c r="LV6" i="8"/>
  <c r="LV4" i="8" s="1"/>
  <c r="ML6" i="8"/>
  <c r="ML4" i="8" s="1"/>
  <c r="X6" i="8"/>
  <c r="X4" i="8" s="1"/>
  <c r="AF6" i="8"/>
  <c r="AF4" i="8" s="1"/>
  <c r="U6" i="8"/>
  <c r="U4" i="8" s="1"/>
  <c r="Y6" i="8"/>
  <c r="Y4" i="8" s="1"/>
  <c r="AC6" i="8"/>
  <c r="AC4" i="8" s="1"/>
  <c r="AK6" i="8"/>
  <c r="AK4" i="8" s="1"/>
  <c r="AO6" i="8"/>
  <c r="AO4" i="8" s="1"/>
  <c r="AS6" i="8"/>
  <c r="AS4" i="8" s="1"/>
  <c r="AW6" i="8"/>
  <c r="AW4" i="8" s="1"/>
  <c r="BA6" i="8"/>
  <c r="BA4" i="8" s="1"/>
  <c r="BE6" i="8"/>
  <c r="BE4" i="8" s="1"/>
  <c r="BI6" i="8"/>
  <c r="BI4" i="8" s="1"/>
  <c r="BM6" i="8"/>
  <c r="BM4" i="8" s="1"/>
  <c r="BQ6" i="8"/>
  <c r="BQ4" i="8" s="1"/>
  <c r="BU6" i="8"/>
  <c r="BU4" i="8" s="1"/>
  <c r="BY6" i="8"/>
  <c r="BY4" i="8" s="1"/>
  <c r="CC6" i="8"/>
  <c r="CC4" i="8" s="1"/>
  <c r="CG6" i="8"/>
  <c r="CG4" i="8" s="1"/>
  <c r="CK6" i="8"/>
  <c r="CK4" i="8" s="1"/>
  <c r="CO6" i="8"/>
  <c r="CO4" i="8" s="1"/>
  <c r="CS6" i="8"/>
  <c r="CS4" i="8" s="1"/>
  <c r="CW6" i="8"/>
  <c r="CW4" i="8" s="1"/>
  <c r="DA6" i="8"/>
  <c r="DA4" i="8" s="1"/>
  <c r="DE6" i="8"/>
  <c r="DE4" i="8" s="1"/>
  <c r="DI6" i="8"/>
  <c r="DI4" i="8" s="1"/>
  <c r="DM6" i="8"/>
  <c r="DM4" i="8" s="1"/>
  <c r="DQ6" i="8"/>
  <c r="DQ4" i="8" s="1"/>
  <c r="DU6" i="8"/>
  <c r="DU4" i="8" s="1"/>
  <c r="DY6" i="8"/>
  <c r="DY4" i="8" s="1"/>
  <c r="EC6" i="8"/>
  <c r="EC4" i="8" s="1"/>
  <c r="EG6" i="8"/>
  <c r="EG4" i="8" s="1"/>
  <c r="EK6" i="8"/>
  <c r="EK4" i="8" s="1"/>
  <c r="EO6" i="8"/>
  <c r="EO4" i="8" s="1"/>
  <c r="ES6" i="8"/>
  <c r="ES4" i="8" s="1"/>
  <c r="EW6" i="8"/>
  <c r="EW4" i="8" s="1"/>
  <c r="FA6" i="8"/>
  <c r="FA4" i="8" s="1"/>
  <c r="FE6" i="8"/>
  <c r="FE4" i="8" s="1"/>
  <c r="FI6" i="8"/>
  <c r="FI4" i="8" s="1"/>
  <c r="FM6" i="8"/>
  <c r="FM4" i="8" s="1"/>
  <c r="FQ6" i="8"/>
  <c r="FQ4" i="8" s="1"/>
  <c r="FU6" i="8"/>
  <c r="FU4" i="8" s="1"/>
  <c r="FY6" i="8"/>
  <c r="FY4" i="8" s="1"/>
  <c r="GC6" i="8"/>
  <c r="GC4" i="8" s="1"/>
  <c r="GG6" i="8"/>
  <c r="GG4" i="8" s="1"/>
  <c r="GK6" i="8"/>
  <c r="GK4" i="8" s="1"/>
  <c r="GO6" i="8"/>
  <c r="GO4" i="8" s="1"/>
  <c r="GS6" i="8"/>
  <c r="GS4" i="8" s="1"/>
  <c r="GW6" i="8"/>
  <c r="GW4" i="8" s="1"/>
  <c r="HA6" i="8"/>
  <c r="HA4" i="8" s="1"/>
  <c r="HE6" i="8"/>
  <c r="HE4" i="8" s="1"/>
  <c r="HI6" i="8"/>
  <c r="HI4" i="8" s="1"/>
  <c r="HM6" i="8"/>
  <c r="HM4" i="8" s="1"/>
  <c r="HQ6" i="8"/>
  <c r="HQ4" i="8" s="1"/>
  <c r="HU6" i="8"/>
  <c r="HU4" i="8" s="1"/>
  <c r="HY6" i="8"/>
  <c r="HY4" i="8" s="1"/>
  <c r="IC6" i="8"/>
  <c r="IC4" i="8" s="1"/>
  <c r="IG6" i="8"/>
  <c r="IG4" i="8" s="1"/>
  <c r="IK6" i="8"/>
  <c r="IK4" i="8" s="1"/>
  <c r="IO6" i="8"/>
  <c r="IO4" i="8" s="1"/>
  <c r="IS6" i="8"/>
  <c r="IS4" i="8" s="1"/>
  <c r="IW6" i="8"/>
  <c r="IW4" i="8" s="1"/>
  <c r="JA6" i="8"/>
  <c r="JA4" i="8" s="1"/>
  <c r="JE6" i="8"/>
  <c r="JE4" i="8" s="1"/>
  <c r="JI6" i="8"/>
  <c r="JI4" i="8" s="1"/>
  <c r="JM6" i="8"/>
  <c r="JM4" i="8" s="1"/>
  <c r="JQ6" i="8"/>
  <c r="JQ4" i="8" s="1"/>
  <c r="JY6" i="8"/>
  <c r="JY4" i="8" s="1"/>
  <c r="KC6" i="8"/>
  <c r="KC4" i="8" s="1"/>
  <c r="KG6" i="8"/>
  <c r="KG4" i="8" s="1"/>
  <c r="KK6" i="8"/>
  <c r="KK4" i="8" s="1"/>
  <c r="KO6" i="8"/>
  <c r="KO4" i="8" s="1"/>
  <c r="KS6" i="8"/>
  <c r="KS4" i="8" s="1"/>
  <c r="KW6" i="8"/>
  <c r="KW4" i="8" s="1"/>
  <c r="LA6" i="8"/>
  <c r="LA4" i="8" s="1"/>
  <c r="LE6" i="8"/>
  <c r="LE4" i="8" s="1"/>
  <c r="LI6" i="8"/>
  <c r="LI4" i="8" s="1"/>
  <c r="LM6" i="8"/>
  <c r="LM4" i="8" s="1"/>
  <c r="LQ6" i="8"/>
  <c r="LQ4" i="8" s="1"/>
  <c r="LU6" i="8"/>
  <c r="LU4" i="8" s="1"/>
  <c r="LY6" i="8"/>
  <c r="LY4" i="8" s="1"/>
  <c r="MC6" i="8"/>
  <c r="MC4" i="8" s="1"/>
  <c r="MG6" i="8"/>
  <c r="MG4" i="8" s="1"/>
  <c r="MK6" i="8"/>
  <c r="MK4" i="8" s="1"/>
  <c r="MO6" i="8"/>
  <c r="MO4" i="8" s="1"/>
  <c r="MS6" i="8"/>
  <c r="MS4" i="8" s="1"/>
  <c r="MW6" i="8"/>
  <c r="MW4" i="8" s="1"/>
  <c r="NA6" i="8"/>
  <c r="NA4" i="8" s="1"/>
  <c r="NE6" i="8"/>
  <c r="NE4" i="8" s="1"/>
  <c r="NI6" i="8"/>
  <c r="NI4" i="8" s="1"/>
  <c r="AD7" i="8"/>
  <c r="S11" i="5" l="1"/>
  <c r="R11" i="5"/>
  <c r="NJ50" i="8" a="1"/>
  <c r="NJ50" i="8" s="1"/>
  <c r="NJ21" i="8" a="1"/>
  <c r="NJ21" i="8" s="1"/>
  <c r="NJ11" i="8" a="1"/>
  <c r="NJ11" i="8" s="1"/>
  <c r="NJ17" i="8" a="1"/>
  <c r="NJ17" i="8" s="1"/>
  <c r="NJ43" i="8" a="1"/>
  <c r="NJ43" i="8" s="1"/>
  <c r="NJ20" i="8" a="1"/>
  <c r="NJ20" i="8" s="1"/>
  <c r="NJ29" i="8" a="1"/>
  <c r="NJ29" i="8" s="1"/>
  <c r="NJ46" i="8" a="1"/>
  <c r="NJ46" i="8" s="1"/>
  <c r="NJ40" i="8" a="1"/>
  <c r="NJ40" i="8" s="1"/>
  <c r="NJ51" i="8" a="1"/>
  <c r="NJ51" i="8" s="1"/>
  <c r="NJ25" i="8" a="1"/>
  <c r="NJ25" i="8" s="1"/>
  <c r="NJ38" i="8" a="1"/>
  <c r="NJ38" i="8" s="1"/>
  <c r="NJ36" i="8" a="1"/>
  <c r="NJ36" i="8" s="1"/>
  <c r="NJ37" i="8" a="1"/>
  <c r="NJ37" i="8" s="1"/>
  <c r="NJ54" i="8" a="1"/>
  <c r="NJ54" i="8" s="1"/>
  <c r="NJ48" i="8" a="1"/>
  <c r="NJ48" i="8" s="1"/>
  <c r="NJ15" i="8" a="1"/>
  <c r="NJ15" i="8" s="1"/>
  <c r="NJ33" i="8" a="1"/>
  <c r="NJ33" i="8" s="1"/>
  <c r="NJ32" i="8" a="1"/>
  <c r="NJ32" i="8" s="1"/>
  <c r="NJ44" i="8" a="1"/>
  <c r="NJ44" i="8" s="1"/>
  <c r="NJ45" i="8" a="1"/>
  <c r="NJ45" i="8" s="1"/>
  <c r="NJ26" i="8" a="1"/>
  <c r="NJ26" i="8" s="1"/>
  <c r="NJ56" i="8" a="1"/>
  <c r="NJ56" i="8" s="1"/>
  <c r="NJ31" i="8" a="1"/>
  <c r="NJ31" i="8" s="1"/>
  <c r="NJ41" i="8" a="1"/>
  <c r="NJ41" i="8" s="1"/>
  <c r="NJ52" i="8" a="1"/>
  <c r="NJ52" i="8" s="1"/>
  <c r="NJ53" i="8" a="1"/>
  <c r="NJ53" i="8" s="1"/>
  <c r="NJ27" i="8" a="1"/>
  <c r="NJ27" i="8" s="1"/>
  <c r="NJ18" i="8" a="1"/>
  <c r="NJ18" i="8" s="1"/>
  <c r="NJ39" i="8" a="1"/>
  <c r="NJ39" i="8" s="1"/>
  <c r="NJ49" i="8" a="1"/>
  <c r="NJ49" i="8" s="1"/>
  <c r="NJ12" i="8" a="1"/>
  <c r="NJ12" i="8" s="1"/>
  <c r="NJ14" i="8" a="1"/>
  <c r="NJ14" i="8" s="1"/>
  <c r="NJ23" i="8" a="1"/>
  <c r="NJ23" i="8" s="1"/>
  <c r="NJ42" i="8" a="1"/>
  <c r="NJ42" i="8" s="1"/>
  <c r="NJ47" i="8" a="1"/>
  <c r="NJ47" i="8" s="1"/>
  <c r="NJ57" i="8" a="1"/>
  <c r="NJ57" i="8" s="1"/>
  <c r="NJ28" i="8" a="1"/>
  <c r="NJ28" i="8" s="1"/>
  <c r="NJ22" i="8" a="1"/>
  <c r="NJ22" i="8" s="1"/>
  <c r="NJ16" i="8" a="1"/>
  <c r="NJ16" i="8" s="1"/>
  <c r="NJ19" i="8" a="1"/>
  <c r="NJ19" i="8" s="1"/>
  <c r="NJ55" i="8" a="1"/>
  <c r="NJ55" i="8" s="1"/>
  <c r="NJ34" i="8" a="1"/>
  <c r="NJ34" i="8" s="1"/>
  <c r="NJ10" i="8" a="1"/>
  <c r="NJ10" i="8" s="1"/>
  <c r="NJ13" i="8" a="1"/>
  <c r="NJ13" i="8" s="1"/>
  <c r="NJ30" i="8" a="1"/>
  <c r="NJ30" i="8" s="1"/>
  <c r="NJ24" i="8" a="1"/>
  <c r="NJ24" i="8" s="1"/>
  <c r="NJ35" i="8" a="1"/>
  <c r="NJ35" i="8" s="1"/>
  <c r="NJ9" i="8" a="1"/>
  <c r="NJ9" i="8" s="1"/>
  <c r="NJ8" i="8" a="1"/>
  <c r="NJ8" i="8" s="1"/>
  <c r="V7" i="8"/>
  <c r="F7" i="8"/>
  <c r="E7" i="8"/>
  <c r="D7" i="8"/>
  <c r="R7" i="8"/>
  <c r="AF7" i="8"/>
  <c r="Z7" i="8"/>
  <c r="J7" i="8"/>
  <c r="X7" i="8"/>
  <c r="Y7" i="8"/>
  <c r="I7" i="8"/>
  <c r="L7" i="8"/>
  <c r="W7" i="8"/>
  <c r="G7" i="8"/>
  <c r="P7" i="8"/>
  <c r="S7" i="8"/>
  <c r="B7" i="8"/>
  <c r="H7" i="8"/>
  <c r="Q7" i="8"/>
  <c r="AB7" i="8"/>
  <c r="AE7" i="8"/>
  <c r="O7" i="8"/>
  <c r="U7" i="8"/>
  <c r="C7" i="8"/>
  <c r="N7" i="8"/>
  <c r="AC7" i="8"/>
  <c r="M7" i="8"/>
  <c r="T7" i="8"/>
  <c r="AA7" i="8"/>
  <c r="K7" i="8"/>
  <c r="T11" i="5" l="1"/>
  <c r="S12" i="5"/>
  <c r="R12" i="5"/>
  <c r="T12" i="5" l="1"/>
  <c r="S13" i="5"/>
  <c r="R13" i="5"/>
  <c r="T13" i="5" l="1"/>
</calcChain>
</file>

<file path=xl/sharedStrings.xml><?xml version="1.0" encoding="utf-8"?>
<sst xmlns="http://schemas.openxmlformats.org/spreadsheetml/2006/main" count="1314" uniqueCount="164">
  <si>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</si>
  <si>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</si>
  <si>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</si>
  <si>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</si>
  <si>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</si>
  <si>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</si>
  <si>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</si>
  <si>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</si>
  <si>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</si>
  <si>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</si>
  <si>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</si>
  <si>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</t>
  </si>
  <si>
    <t>Tue</t>
  </si>
  <si>
    <t>Wed</t>
  </si>
  <si>
    <t>Thu</t>
  </si>
  <si>
    <t>Fri</t>
  </si>
  <si>
    <t>Sat</t>
  </si>
  <si>
    <t>Sun</t>
  </si>
  <si>
    <t>Week #</t>
  </si>
  <si>
    <t>January</t>
  </si>
  <si>
    <t>Date</t>
  </si>
  <si>
    <t>New Year Day</t>
  </si>
  <si>
    <t>Name</t>
  </si>
  <si>
    <t>Select Working Days</t>
  </si>
  <si>
    <t>No</t>
  </si>
  <si>
    <t>Yes</t>
  </si>
  <si>
    <t>Leaves This Month</t>
  </si>
  <si>
    <t>Leaves This Year</t>
  </si>
  <si>
    <t>Leave Name</t>
  </si>
  <si>
    <t>Code</t>
  </si>
  <si>
    <t>Half Day Leave</t>
  </si>
  <si>
    <t>H</t>
  </si>
  <si>
    <t>Leave</t>
  </si>
  <si>
    <t>L</t>
  </si>
  <si>
    <t>Local Holiday</t>
  </si>
  <si>
    <t>LH</t>
  </si>
  <si>
    <t>Start Date</t>
  </si>
  <si>
    <t>End Date</t>
  </si>
  <si>
    <t>Days (with 31 Days per Month)</t>
  </si>
  <si>
    <t>Canada Holiday</t>
  </si>
  <si>
    <t>Belarus Holiday</t>
  </si>
  <si>
    <t>Irina Lunin</t>
  </si>
  <si>
    <t>Dmitry Agapitov</t>
  </si>
  <si>
    <t>Pavlo Pochapsky</t>
  </si>
  <si>
    <t>Alexander Groman</t>
  </si>
  <si>
    <t>Glen Stone</t>
  </si>
  <si>
    <t>Susan Lu</t>
  </si>
  <si>
    <t>Nikita Iurev</t>
  </si>
  <si>
    <t>Not Employee</t>
  </si>
  <si>
    <t>N</t>
  </si>
  <si>
    <t>?</t>
  </si>
  <si>
    <t>Prospective</t>
  </si>
  <si>
    <t>Victoria Day</t>
  </si>
  <si>
    <t>Canada Day</t>
  </si>
  <si>
    <t>Civic Holiday</t>
  </si>
  <si>
    <t>Labour Day</t>
  </si>
  <si>
    <t>Thanksgiving</t>
  </si>
  <si>
    <t>Christmas Day</t>
  </si>
  <si>
    <t>Boxing Day</t>
  </si>
  <si>
    <t>Famaily Day</t>
  </si>
  <si>
    <t>Radonitsa</t>
  </si>
  <si>
    <t>Victory Day</t>
  </si>
  <si>
    <t>Independence Day</t>
  </si>
  <si>
    <t>October Revolution Day</t>
  </si>
  <si>
    <t>Orthodox Christmas Day</t>
  </si>
  <si>
    <t>Women's Day</t>
  </si>
  <si>
    <t>Holiday</t>
  </si>
  <si>
    <t xml:space="preserve">Alexander Utkin </t>
  </si>
  <si>
    <t xml:space="preserve">Alex Kapsh </t>
  </si>
  <si>
    <t xml:space="preserve">Anton Trinkunas </t>
  </si>
  <si>
    <t xml:space="preserve">Guy Geles </t>
  </si>
  <si>
    <t>Matthew Ellwood</t>
  </si>
  <si>
    <t xml:space="preserve">Makar Bougaev </t>
  </si>
  <si>
    <t>Louis Psihalos</t>
  </si>
  <si>
    <t>May Lam</t>
  </si>
  <si>
    <t>Mohammed Akbar</t>
  </si>
  <si>
    <t>Albert Wong</t>
  </si>
  <si>
    <t>Val Romashkin</t>
  </si>
  <si>
    <t>Michael Talis</t>
  </si>
  <si>
    <t>Steven Snowdon</t>
  </si>
  <si>
    <t>Colin Richards</t>
  </si>
  <si>
    <t>Stephen Fang</t>
  </si>
  <si>
    <t>Cathy Xu</t>
  </si>
  <si>
    <t>Alistair Zhu</t>
  </si>
  <si>
    <t>Dmitry Lopyrev</t>
  </si>
  <si>
    <t>Nikita Pliassounov</t>
  </si>
  <si>
    <t>Areag Osman</t>
  </si>
  <si>
    <t>Alex Tkachev</t>
  </si>
  <si>
    <t>Andriy Malivanchuk</t>
  </si>
  <si>
    <t>Chris Just</t>
  </si>
  <si>
    <t>Valentina Alekseeva</t>
  </si>
  <si>
    <t>Dmitri Golovenkin</t>
  </si>
  <si>
    <t>Anna Kalimouline</t>
  </si>
  <si>
    <t>Roman Dolgov</t>
  </si>
  <si>
    <t>Yegor Kozlov</t>
  </si>
  <si>
    <t>Shohrukh Davlatov</t>
  </si>
  <si>
    <t>Vitaliy Kotov</t>
  </si>
  <si>
    <t>Eugen Goroluov</t>
  </si>
  <si>
    <t>Aleksey Glushchenko</t>
  </si>
  <si>
    <t>Irina Gribushkina</t>
  </si>
  <si>
    <t>Anna Shchemel</t>
  </si>
  <si>
    <t>Nikita Belikau</t>
  </si>
  <si>
    <t>Aleksandr Pototskiy</t>
  </si>
  <si>
    <t>Maxim Yakushkin</t>
  </si>
  <si>
    <t>Darya Kovalevskaya</t>
  </si>
  <si>
    <t>Aleksandr Yashyn</t>
  </si>
  <si>
    <t>Michail Tolmats</t>
  </si>
  <si>
    <t>Daniil Morozov</t>
  </si>
  <si>
    <t>Roman Ogolikhin</t>
  </si>
  <si>
    <t>Olga Matsiuk</t>
  </si>
  <si>
    <t>Team</t>
  </si>
  <si>
    <t>Location</t>
  </si>
  <si>
    <t>Alpha</t>
  </si>
  <si>
    <t>ngStars</t>
  </si>
  <si>
    <t>Titan</t>
  </si>
  <si>
    <t>Teams</t>
  </si>
  <si>
    <t>SoftTeco</t>
  </si>
  <si>
    <t>Canada</t>
  </si>
  <si>
    <t>Belarus</t>
  </si>
  <si>
    <t>NW</t>
  </si>
  <si>
    <t>Role</t>
  </si>
  <si>
    <t>Team Lead</t>
  </si>
  <si>
    <t>BE Lead</t>
  </si>
  <si>
    <t>FE Lead</t>
  </si>
  <si>
    <t>BE</t>
  </si>
  <si>
    <t>FE</t>
  </si>
  <si>
    <t>FS</t>
  </si>
  <si>
    <t>QA Dev</t>
  </si>
  <si>
    <t>QA BA</t>
  </si>
  <si>
    <t>QA Lead</t>
  </si>
  <si>
    <t>Utilization</t>
  </si>
  <si>
    <t>Specialization</t>
  </si>
  <si>
    <t>Dev</t>
  </si>
  <si>
    <t>QA</t>
  </si>
  <si>
    <t>Architect</t>
  </si>
  <si>
    <t>Q1</t>
  </si>
  <si>
    <t>Q2</t>
  </si>
  <si>
    <t>Q3</t>
  </si>
  <si>
    <t>Q4</t>
  </si>
  <si>
    <t>Q5</t>
  </si>
  <si>
    <t>Q6</t>
  </si>
  <si>
    <t>Q7</t>
  </si>
  <si>
    <t>Dev Sprint</t>
  </si>
  <si>
    <t>Q8</t>
  </si>
  <si>
    <t>Q9</t>
  </si>
  <si>
    <t>Q10</t>
  </si>
  <si>
    <t>Q11</t>
  </si>
  <si>
    <t>Q12</t>
  </si>
  <si>
    <t>Month Shift</t>
  </si>
  <si>
    <t>Capacity Buffer</t>
  </si>
  <si>
    <t>Grand Total</t>
  </si>
  <si>
    <t xml:space="preserve"> Q1</t>
  </si>
  <si>
    <t xml:space="preserve"> Q2</t>
  </si>
  <si>
    <t xml:space="preserve"> Q3</t>
  </si>
  <si>
    <t xml:space="preserve"> Q4</t>
  </si>
  <si>
    <t xml:space="preserve"> Q5</t>
  </si>
  <si>
    <t xml:space="preserve"> Q6</t>
  </si>
  <si>
    <t xml:space="preserve"> Q7</t>
  </si>
  <si>
    <t xml:space="preserve"> Q8</t>
  </si>
  <si>
    <t xml:space="preserve"> Q9</t>
  </si>
  <si>
    <t xml:space="preserve"> Q10</t>
  </si>
  <si>
    <t xml:space="preserve"> Q11</t>
  </si>
  <si>
    <t xml:space="preserve"> Q12</t>
  </si>
  <si>
    <t>Quasar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</si>
</sst>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"/>
    <numFmt numFmtId="165" formatCode=";;;"/>
    <numFmt numFmtId="166" formatCode="dd\ mmm\,\ yyyy"/>
  </numFmts>
  <fonts count="13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i/>
      <sz val="9"/>
      <color theme="3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1" xfId="0" applyBorder="1"/>
    <xf numFmtId="0" fontId="0" fillId="0" borderId="1" xfId="0" applyFill="1" applyBorder="1"/>
    <xf numFmtId="0" fontId="2" fillId="0" borderId="0" xfId="0" applyFont="1" applyBorder="1"/>
    <xf numFmtId="0" fontId="3" fillId="2" borderId="1" xfId="0" applyFont="1" applyFill="1" applyBorder="1"/>
    <xf numFmtId="0" fontId="0" fillId="0" borderId="1" xfId="0" applyFont="1" applyBorder="1"/>
    <xf numFmtId="14" fontId="0" fillId="0" borderId="0" xfId="0" applyNumberFormat="1"/>
    <xf numFmtId="164" fontId="1" fillId="2" borderId="1" xfId="0" applyNumberFormat="1" applyFont="1" applyFill="1" applyBorder="1" applyAlignment="1">
      <alignment horizontal="center" vertical="center"/>
    </xf>
    <xf numFmtId="16" fontId="1" fillId="2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5" fontId="6" fillId="0" borderId="0" xfId="0" applyNumberFormat="1" applyFont="1" applyBorder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65" fontId="2" fillId="0" borderId="0" xfId="0" applyNumberFormat="1" applyFont="1" applyBorder="1"/>
    <xf numFmtId="0" fontId="0" fillId="0" borderId="4" xfId="0" applyBorder="1"/>
    <xf numFmtId="0" fontId="8" fillId="6" borderId="4" xfId="0" applyFont="1" applyFill="1" applyBorder="1" applyAlignment="1">
      <alignment horizontal="centerContinuous"/>
    </xf>
    <xf numFmtId="0" fontId="7" fillId="0" borderId="1" xfId="0" applyFont="1" applyBorder="1"/>
    <xf numFmtId="166" fontId="7" fillId="0" borderId="1" xfId="0" applyNumberFormat="1" applyFont="1" applyBorder="1"/>
    <xf numFmtId="0" fontId="0" fillId="7" borderId="1" xfId="0" applyFill="1" applyBorder="1" applyAlignment="1">
      <alignment horizontal="center"/>
    </xf>
    <xf numFmtId="0" fontId="9" fillId="0" borderId="0" xfId="0" applyFont="1" applyAlignment="1">
      <alignment horizontal="left" indent="1"/>
    </xf>
    <xf numFmtId="1" fontId="1" fillId="3" borderId="1" xfId="0" applyNumberFormat="1" applyFont="1" applyFill="1" applyBorder="1" applyAlignment="1">
      <alignment horizontal="center" vertical="center"/>
    </xf>
    <xf numFmtId="0" fontId="0" fillId="7" borderId="1" xfId="0" applyFill="1" applyBorder="1"/>
    <xf numFmtId="14" fontId="7" fillId="0" borderId="1" xfId="0" applyNumberFormat="1" applyFont="1" applyBorder="1"/>
    <xf numFmtId="0" fontId="7" fillId="0" borderId="1" xfId="0" applyFont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14" fontId="0" fillId="0" borderId="8" xfId="0" applyNumberFormat="1" applyBorder="1"/>
    <xf numFmtId="1" fontId="0" fillId="0" borderId="7" xfId="0" applyNumberFormat="1" applyBorder="1"/>
    <xf numFmtId="0" fontId="0" fillId="0" borderId="0" xfId="0" applyNumberFormat="1"/>
    <xf numFmtId="1" fontId="11" fillId="0" borderId="0" xfId="0" applyNumberFormat="1" applyFont="1" applyBorder="1" applyAlignment="1">
      <alignment horizontal="center" vertical="center"/>
    </xf>
    <xf numFmtId="0" fontId="2" fillId="0" borderId="3" xfId="0" applyFont="1" applyBorder="1"/>
    <xf numFmtId="0" fontId="2" fillId="0" borderId="6" xfId="0" applyFont="1" applyBorder="1"/>
    <xf numFmtId="0" fontId="2" fillId="0" borderId="2" xfId="0" applyFont="1" applyBorder="1"/>
    <xf numFmtId="0" fontId="0" fillId="0" borderId="6" xfId="0" applyFill="1" applyBorder="1"/>
    <xf numFmtId="0" fontId="0" fillId="0" borderId="10" xfId="0" applyFill="1" applyBorder="1"/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7" fillId="0" borderId="9" xfId="0" applyFont="1" applyBorder="1"/>
    <xf numFmtId="0" fontId="0" fillId="0" borderId="10" xfId="0" applyBorder="1"/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9" fontId="0" fillId="0" borderId="0" xfId="0" applyNumberFormat="1"/>
    <xf numFmtId="165" fontId="6" fillId="0" borderId="0" xfId="0" applyNumberFormat="1" applyFont="1" applyBorder="1"/>
    <xf numFmtId="165" fontId="6" fillId="8" borderId="0" xfId="0" applyNumberFormat="1" applyFont="1" applyFill="1" applyBorder="1"/>
    <xf numFmtId="0" fontId="0" fillId="0" borderId="0" xfId="0" quotePrefix="1"/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16" fontId="0" fillId="0" borderId="0" xfId="0" applyNumberFormat="1"/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0" borderId="0" xfId="0" pivotButton="1"/>
    <xf numFmtId="1" fontId="0" fillId="0" borderId="0" xfId="0" applyNumberFormat="1"/>
  </cellXfs>
  <cellStyles count="1">
    <cellStyle name="Normal" xfId="0" builtinId="0"/>
  </cellStyles>
  <dxfs count="568"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3" formatCode="0%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57991</xdr:colOff>
      <xdr:row>2</xdr:row>
      <xdr:rowOff>152401</xdr:rowOff>
    </xdr:from>
    <xdr:to>
      <xdr:col>21</xdr:col>
      <xdr:colOff>261098</xdr:colOff>
      <xdr:row>2</xdr:row>
      <xdr:rowOff>466726</xdr:rowOff>
    </xdr:to>
    <xdr:sp macro="" textlink="Sheet3!G2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82291" y="552451"/>
          <a:ext cx="2417669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4E15872-7C8C-4EBC-AD95-7C1F4FF55BFC}" type="TxLink">
            <a:rPr lang="en-US" sz="2400" b="1" i="1" u="none" strike="noStrike">
              <a:solidFill>
                <a:schemeClr val="tx2">
                  <a:lumMod val="60000"/>
                  <a:lumOff val="40000"/>
                </a:schemeClr>
              </a:solidFill>
              <a:latin typeface="Calibri"/>
            </a:rPr>
            <a:pPr algn="ctr"/>
            <a:t>April 2018</a:t>
          </a:fld>
          <a:endParaRPr lang="en-US" sz="2400" b="1" i="1" u="sng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absolute">
    <xdr:from>
      <xdr:col>21</xdr:col>
      <xdr:colOff>142875</xdr:colOff>
      <xdr:row>2</xdr:row>
      <xdr:rowOff>100013</xdr:rowOff>
    </xdr:from>
    <xdr:to>
      <xdr:col>23</xdr:col>
      <xdr:colOff>66675</xdr:colOff>
      <xdr:row>3</xdr:row>
      <xdr:rowOff>953</xdr:rowOff>
    </xdr:to>
    <xdr:pic macro="[0]!NextMonth">
      <xdr:nvPicPr>
        <xdr:cNvPr id="7" name="Graphic 6" descr="Play">
          <a:extLst>
            <a:ext uri="{FF2B5EF4-FFF2-40B4-BE49-F238E27FC236}">
              <a16:creationId xmlns:a16="http://schemas.microsoft.com/office/drawing/2014/main" id="{4E016A8C-AB25-497C-8B50-83705B707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96025" y="500063"/>
          <a:ext cx="419100" cy="419100"/>
        </a:xfrm>
        <a:prstGeom prst="rect">
          <a:avLst/>
        </a:prstGeom>
      </xdr:spPr>
    </xdr:pic>
    <xdr:clientData/>
  </xdr:twoCellAnchor>
  <xdr:twoCellAnchor editAs="absolute">
    <xdr:from>
      <xdr:col>11</xdr:col>
      <xdr:colOff>38100</xdr:colOff>
      <xdr:row>2</xdr:row>
      <xdr:rowOff>100013</xdr:rowOff>
    </xdr:from>
    <xdr:to>
      <xdr:col>12</xdr:col>
      <xdr:colOff>223837</xdr:colOff>
      <xdr:row>3</xdr:row>
      <xdr:rowOff>953</xdr:rowOff>
    </xdr:to>
    <xdr:pic macro="[0]!PreviousMonth">
      <xdr:nvPicPr>
        <xdr:cNvPr id="9" name="Graphic 8" descr="Play">
          <a:extLst>
            <a:ext uri="{FF2B5EF4-FFF2-40B4-BE49-F238E27FC236}">
              <a16:creationId xmlns:a16="http://schemas.microsoft.com/office/drawing/2014/main" id="{831E49F6-402C-4EC9-BA26-23C4CD2B9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3714750" y="500063"/>
          <a:ext cx="419100" cy="4191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Folomechine" refreshedDate="43191.008794791669" createdVersion="6" refreshedVersion="6" minRefreshableVersion="3" recordCount="50">
  <cacheSource type="worksheet">
    <worksheetSource name="RdTeam"/>
  </cacheSource>
  <cacheFields count="19">
    <cacheField name="Name" numFmtId="0">
      <sharedItems/>
    </cacheField>
    <cacheField name="Team" numFmtId="0">
      <sharedItems count="5">
        <s v="Alpha"/>
        <s v="ngStars"/>
        <s v="NW"/>
        <s v="Titan"/>
        <s v="SoftTeco"/>
      </sharedItems>
    </cacheField>
    <cacheField name="Location" numFmtId="0">
      <sharedItems/>
    </cacheField>
    <cacheField name="Role" numFmtId="0">
      <sharedItems/>
    </cacheField>
    <cacheField name="Specialization" numFmtId="0">
      <sharedItems count="5">
        <s v="BE"/>
        <s v="FS"/>
        <s v="FE"/>
        <s v="QA BA"/>
        <s v="QA Dev"/>
      </sharedItems>
    </cacheField>
    <cacheField name="Utilization" numFmtId="9">
      <sharedItems containsSemiMixedTypes="0" containsString="0" containsNumber="1" minValue="0.1" maxValue="0.75"/>
    </cacheField>
    <cacheField name="Q1" numFmtId="0">
      <sharedItems containsSemiMixedTypes="0" containsString="0" containsNumber="1" minValue="0" maxValue="3.0000000000000004"/>
    </cacheField>
    <cacheField name="Q2" numFmtId="0">
      <sharedItems containsSemiMixedTypes="0" containsString="0" containsNumber="1" minValue="0.80000000000000016" maxValue="6.0000000000000009"/>
    </cacheField>
    <cacheField name="Q3" numFmtId="0">
      <sharedItems containsSemiMixedTypes="0" containsString="0" containsNumber="1" minValue="0.32000000000000006" maxValue="6.0000000000000009"/>
    </cacheField>
    <cacheField name="Q4" numFmtId="0">
      <sharedItems containsSemiMixedTypes="0" containsString="0" containsNumber="1" minValue="0.52000000000000013" maxValue="6.0000000000000009"/>
    </cacheField>
    <cacheField name="Q5" numFmtId="0">
      <sharedItems containsSemiMixedTypes="0" containsString="0" containsNumber="1" minValue="0.80000000000000016" maxValue="6.0000000000000009"/>
    </cacheField>
    <cacheField name="Q6" numFmtId="0">
      <sharedItems containsSemiMixedTypes="0" containsString="0" containsNumber="1" minValue="0.80000000000000016" maxValue="6.0000000000000009"/>
    </cacheField>
    <cacheField name="Q7" numFmtId="0">
      <sharedItems containsSemiMixedTypes="0" containsString="0" containsNumber="1" minValue="0" maxValue="5.4"/>
    </cacheField>
    <cacheField name="Q8" numFmtId="0">
      <sharedItems containsSemiMixedTypes="0" containsString="0" containsNumber="1" minValue="0.48000000000000009" maxValue="6.0000000000000009"/>
    </cacheField>
    <cacheField name="Q9" numFmtId="0">
      <sharedItems containsSemiMixedTypes="0" containsString="0" containsNumber="1" minValue="0.4" maxValue="6.0000000000000009"/>
    </cacheField>
    <cacheField name="Q10" numFmtId="0">
      <sharedItems containsSemiMixedTypes="0" containsString="0" containsNumber="1" minValue="0.80000000000000016" maxValue="6.0000000000000009"/>
    </cacheField>
    <cacheField name="Q11" numFmtId="0">
      <sharedItems containsSemiMixedTypes="0" containsString="0" containsNumber="1" minValue="0.64000000000000012" maxValue="6.0000000000000009"/>
    </cacheField>
    <cacheField name="Q12" numFmtId="0">
      <sharedItems containsSemiMixedTypes="0" containsString="0" containsNumber="1" minValue="0.80000000000000016" maxValue="6.0000000000000009"/>
    </cacheField>
    <cacheField name="Q" numFmtId="0" formula="Q1+Q2+Q3+Q4+Q5+Q6+Q7+Q8+Q9+Q10+Q11+Q12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Irina Lunin"/>
    <x v="0"/>
    <s v="Canada"/>
    <s v="Team Lead"/>
    <x v="0"/>
    <n v="0.1"/>
    <n v="0.40000000000000008"/>
    <n v="0.80000000000000016"/>
    <n v="0.32000000000000006"/>
    <n v="0.52000000000000013"/>
    <n v="0.80000000000000016"/>
    <n v="0.80000000000000016"/>
    <n v="0.56000000000000005"/>
    <n v="0.80000000000000016"/>
    <n v="0.40000000000000008"/>
    <n v="0.80000000000000016"/>
    <n v="0.64000000000000012"/>
    <n v="0.80000000000000016"/>
  </r>
  <r>
    <s v="Dmitry Agapitov"/>
    <x v="0"/>
    <s v="Canada"/>
    <s v="Architect"/>
    <x v="1"/>
    <n v="0.5"/>
    <n v="2"/>
    <n v="4"/>
    <n v="4"/>
    <n v="3"/>
    <n v="4"/>
    <n v="3.2"/>
    <n v="3.6"/>
    <n v="1.2000000000000002"/>
    <n v="0.4"/>
    <n v="4"/>
    <n v="3.6"/>
    <n v="4"/>
  </r>
  <r>
    <s v="Pavlo Pochapsky"/>
    <x v="0"/>
    <s v="Canada"/>
    <s v="Architect"/>
    <x v="2"/>
    <n v="0.5"/>
    <n v="2"/>
    <n v="4"/>
    <n v="4"/>
    <n v="3"/>
    <n v="4"/>
    <n v="3.2"/>
    <n v="3.6"/>
    <n v="4"/>
    <n v="3.6"/>
    <n v="2.4000000000000004"/>
    <n v="3.6"/>
    <n v="4"/>
  </r>
  <r>
    <s v="Alexander Groman"/>
    <x v="0"/>
    <s v="Canada"/>
    <s v="Dev"/>
    <x v="0"/>
    <n v="0.5"/>
    <n v="2"/>
    <n v="3.6"/>
    <n v="4"/>
    <n v="1.8"/>
    <n v="3.2"/>
    <n v="2"/>
    <n v="3.6"/>
    <n v="4"/>
    <n v="3.6"/>
    <n v="3.2"/>
    <n v="2.4000000000000004"/>
    <n v="4"/>
  </r>
  <r>
    <s v="Susan Lu"/>
    <x v="0"/>
    <s v="Canada"/>
    <s v="QA"/>
    <x v="3"/>
    <n v="0.75"/>
    <n v="3.0000000000000004"/>
    <n v="6.0000000000000009"/>
    <n v="6.0000000000000009"/>
    <n v="4.5000000000000009"/>
    <n v="6.0000000000000009"/>
    <n v="4.8000000000000007"/>
    <n v="0"/>
    <n v="1.8000000000000003"/>
    <n v="5.4"/>
    <n v="6.0000000000000009"/>
    <n v="5.4"/>
    <n v="6.0000000000000009"/>
  </r>
  <r>
    <s v="Glen Stone"/>
    <x v="0"/>
    <s v="Canada"/>
    <s v="Dev"/>
    <x v="1"/>
    <n v="0.75"/>
    <n v="3.0000000000000004"/>
    <n v="6.0000000000000009"/>
    <n v="6.0000000000000009"/>
    <n v="4.5000000000000009"/>
    <n v="6.0000000000000009"/>
    <n v="6.0000000000000009"/>
    <n v="5.4"/>
    <n v="6.0000000000000009"/>
    <n v="5.4"/>
    <n v="6.0000000000000009"/>
    <n v="5.4"/>
    <n v="6.0000000000000009"/>
  </r>
  <r>
    <s v="Nikita Iurev"/>
    <x v="0"/>
    <s v="Canada"/>
    <s v="Dev"/>
    <x v="2"/>
    <n v="0.75"/>
    <n v="3.0000000000000004"/>
    <n v="6.0000000000000009"/>
    <n v="6.0000000000000009"/>
    <n v="4.5000000000000009"/>
    <n v="6.0000000000000009"/>
    <n v="3.0000000000000004"/>
    <n v="5.4"/>
    <n v="6.0000000000000009"/>
    <n v="5.4"/>
    <n v="6.0000000000000009"/>
    <n v="2.4000000000000004"/>
    <n v="6.0000000000000009"/>
  </r>
  <r>
    <s v="Alexander Utkin "/>
    <x v="1"/>
    <s v="Canada"/>
    <s v="Team Lead"/>
    <x v="1"/>
    <n v="0.2"/>
    <n v="0.80000000000000016"/>
    <n v="1.6000000000000003"/>
    <n v="1.6000000000000003"/>
    <n v="1.2000000000000002"/>
    <n v="1.6000000000000003"/>
    <n v="1.2800000000000002"/>
    <n v="0"/>
    <n v="0.48000000000000009"/>
    <n v="1.4400000000000004"/>
    <n v="1.6000000000000003"/>
    <n v="1.4400000000000004"/>
    <n v="1.6000000000000003"/>
  </r>
  <r>
    <s v="Alex Kapsh "/>
    <x v="1"/>
    <s v="Canada"/>
    <s v="QA"/>
    <x v="4"/>
    <n v="0.75"/>
    <n v="0"/>
    <n v="4.2000000000000011"/>
    <n v="6.0000000000000009"/>
    <n v="4.5000000000000009"/>
    <n v="6.0000000000000009"/>
    <n v="6.0000000000000009"/>
    <n v="5.4"/>
    <n v="4.8000000000000007"/>
    <n v="3.6000000000000005"/>
    <n v="6.0000000000000009"/>
    <n v="5.4"/>
    <n v="6.0000000000000009"/>
  </r>
  <r>
    <s v="Anton Trinkunas "/>
    <x v="1"/>
    <s v="Canada"/>
    <s v="Dev"/>
    <x v="1"/>
    <n v="0.75"/>
    <n v="3.0000000000000004"/>
    <n v="6.0000000000000009"/>
    <n v="6.0000000000000009"/>
    <n v="4.5000000000000009"/>
    <n v="3.0000000000000004"/>
    <n v="3.0000000000000004"/>
    <n v="5.4"/>
    <n v="6.0000000000000009"/>
    <n v="4.2000000000000011"/>
    <n v="6.0000000000000009"/>
    <n v="5.4"/>
    <n v="6.0000000000000009"/>
  </r>
  <r>
    <s v="Guy Geles "/>
    <x v="1"/>
    <s v="Canada"/>
    <s v="Dev"/>
    <x v="1"/>
    <n v="0.75"/>
    <n v="3.0000000000000004"/>
    <n v="6.0000000000000009"/>
    <n v="6.0000000000000009"/>
    <n v="3.3000000000000007"/>
    <n v="4.8000000000000007"/>
    <n v="5.4"/>
    <n v="3.6000000000000005"/>
    <n v="6.0000000000000009"/>
    <n v="5.4"/>
    <n v="6.0000000000000009"/>
    <n v="5.4"/>
    <n v="6.0000000000000009"/>
  </r>
  <r>
    <s v="Matthew Ellwood"/>
    <x v="1"/>
    <s v="Canada"/>
    <s v="Dev"/>
    <x v="1"/>
    <n v="0.75"/>
    <n v="3.0000000000000004"/>
    <n v="6.0000000000000009"/>
    <n v="6.0000000000000009"/>
    <n v="4.5000000000000009"/>
    <n v="6.0000000000000009"/>
    <n v="6.0000000000000009"/>
    <n v="5.4"/>
    <n v="6.0000000000000009"/>
    <n v="5.4"/>
    <n v="3.0000000000000004"/>
    <n v="5.4"/>
    <n v="6.0000000000000009"/>
  </r>
  <r>
    <s v="Makar Bougaev "/>
    <x v="1"/>
    <s v="Canada"/>
    <s v="Dev"/>
    <x v="2"/>
    <n v="0.75"/>
    <n v="3.0000000000000004"/>
    <n v="6.0000000000000009"/>
    <n v="6.0000000000000009"/>
    <n v="4.5000000000000009"/>
    <n v="3.0000000000000004"/>
    <n v="6.0000000000000009"/>
    <n v="5.4"/>
    <n v="6.0000000000000009"/>
    <n v="5.4"/>
    <n v="6.0000000000000009"/>
    <n v="5.4"/>
    <n v="6.0000000000000009"/>
  </r>
  <r>
    <s v="Louis Psihalos"/>
    <x v="1"/>
    <s v="Canada"/>
    <s v="QA"/>
    <x v="3"/>
    <n v="0.75"/>
    <n v="3.0000000000000004"/>
    <n v="5.7000000000000011"/>
    <n v="6.0000000000000009"/>
    <n v="4.2000000000000011"/>
    <n v="6.0000000000000009"/>
    <n v="5.4"/>
    <n v="4.8000000000000007"/>
    <n v="3.0000000000000004"/>
    <n v="5.4"/>
    <n v="6.0000000000000009"/>
    <n v="5.4"/>
    <n v="6.0000000000000009"/>
  </r>
  <r>
    <s v="May Lam"/>
    <x v="1"/>
    <s v="Canada"/>
    <s v="QA"/>
    <x v="3"/>
    <n v="0.75"/>
    <n v="3.0000000000000004"/>
    <n v="6.0000000000000009"/>
    <n v="6.0000000000000009"/>
    <n v="4.5000000000000009"/>
    <n v="6.0000000000000009"/>
    <n v="4.2000000000000011"/>
    <n v="5.4"/>
    <n v="6.0000000000000009"/>
    <n v="5.4"/>
    <n v="6.0000000000000009"/>
    <n v="5.4"/>
    <n v="6.0000000000000009"/>
  </r>
  <r>
    <s v="Mohammed Akbar"/>
    <x v="2"/>
    <s v="Canada"/>
    <s v="Team Lead"/>
    <x v="1"/>
    <n v="0.15"/>
    <n v="0.6"/>
    <n v="1.2"/>
    <n v="1.2"/>
    <n v="0.89999999999999991"/>
    <n v="1.2"/>
    <n v="1.2"/>
    <n v="1.08"/>
    <n v="1.2"/>
    <n v="1.08"/>
    <n v="1.2"/>
    <n v="1.08"/>
    <n v="1.2"/>
  </r>
  <r>
    <s v="Albert Wong"/>
    <x v="2"/>
    <s v="Canada"/>
    <s v="Dev"/>
    <x v="1"/>
    <n v="0.75"/>
    <n v="3.0000000000000004"/>
    <n v="6.0000000000000009"/>
    <n v="6.0000000000000009"/>
    <n v="2.1000000000000005"/>
    <n v="6.0000000000000009"/>
    <n v="4.8000000000000007"/>
    <n v="3.6000000000000005"/>
    <n v="6.0000000000000009"/>
    <n v="5.4"/>
    <n v="4.8000000000000007"/>
    <n v="3.6000000000000005"/>
    <n v="6.0000000000000009"/>
  </r>
  <r>
    <s v="Val Romashkin"/>
    <x v="2"/>
    <s v="Canada"/>
    <s v="Dev"/>
    <x v="1"/>
    <n v="0.75"/>
    <n v="3.0000000000000004"/>
    <n v="6.0000000000000009"/>
    <n v="6.0000000000000009"/>
    <n v="4.5000000000000009"/>
    <n v="4.8000000000000007"/>
    <n v="3.0000000000000004"/>
    <n v="5.4"/>
    <n v="6.0000000000000009"/>
    <n v="5.4"/>
    <n v="3.0000000000000004"/>
    <n v="5.4"/>
    <n v="6.0000000000000009"/>
  </r>
  <r>
    <s v="Michael Talis"/>
    <x v="2"/>
    <s v="Canada"/>
    <s v="Dev"/>
    <x v="1"/>
    <n v="0.75"/>
    <n v="3.0000000000000004"/>
    <n v="6.0000000000000009"/>
    <n v="6.0000000000000009"/>
    <n v="4.5000000000000009"/>
    <n v="5.4"/>
    <n v="4.2000000000000011"/>
    <n v="5.4"/>
    <n v="4.8000000000000007"/>
    <n v="3.6000000000000005"/>
    <n v="6.0000000000000009"/>
    <n v="5.4"/>
    <n v="6.0000000000000009"/>
  </r>
  <r>
    <s v="Steven Snowdon"/>
    <x v="2"/>
    <s v="Canada"/>
    <s v="Dev"/>
    <x v="1"/>
    <n v="0.75"/>
    <n v="3.0000000000000004"/>
    <n v="6.0000000000000009"/>
    <n v="6.0000000000000009"/>
    <n v="4.5000000000000009"/>
    <n v="6.0000000000000009"/>
    <n v="6.0000000000000009"/>
    <n v="3.6000000000000005"/>
    <n v="6.0000000000000009"/>
    <n v="5.4"/>
    <n v="6.0000000000000009"/>
    <n v="2.4000000000000004"/>
    <n v="6.0000000000000009"/>
  </r>
  <r>
    <s v="Colin Richards"/>
    <x v="2"/>
    <s v="Canada"/>
    <s v="Dev"/>
    <x v="2"/>
    <n v="0.75"/>
    <n v="3.0000000000000004"/>
    <n v="6.0000000000000009"/>
    <n v="6.0000000000000009"/>
    <n v="4.5000000000000009"/>
    <n v="2.4000000000000004"/>
    <n v="4.8000000000000007"/>
    <n v="3.6000000000000005"/>
    <n v="6.0000000000000009"/>
    <n v="5.4"/>
    <n v="4.8000000000000007"/>
    <n v="3.6000000000000005"/>
    <n v="6.0000000000000009"/>
  </r>
  <r>
    <s v="Stephen Fang"/>
    <x v="2"/>
    <s v="Canada"/>
    <s v="QA"/>
    <x v="4"/>
    <n v="0.75"/>
    <n v="3.0000000000000004"/>
    <n v="6.0000000000000009"/>
    <n v="6.0000000000000009"/>
    <n v="4.5000000000000009"/>
    <n v="6.0000000000000009"/>
    <n v="4.8000000000000007"/>
    <n v="5.4"/>
    <n v="6.0000000000000009"/>
    <n v="5.4"/>
    <n v="3.0000000000000004"/>
    <n v="5.4"/>
    <n v="6.0000000000000009"/>
  </r>
  <r>
    <s v="Cathy Xu"/>
    <x v="2"/>
    <s v="Canada"/>
    <s v="QA"/>
    <x v="3"/>
    <n v="0.75"/>
    <n v="3.0000000000000004"/>
    <n v="6.0000000000000009"/>
    <n v="6.0000000000000009"/>
    <n v="4.5000000000000009"/>
    <n v="6.0000000000000009"/>
    <n v="4.2000000000000011"/>
    <n v="5.4"/>
    <n v="6.0000000000000009"/>
    <n v="5.4"/>
    <n v="6.0000000000000009"/>
    <n v="5.4"/>
    <n v="6.0000000000000009"/>
  </r>
  <r>
    <s v="Alistair Zhu"/>
    <x v="2"/>
    <s v="Canada"/>
    <s v="QA"/>
    <x v="3"/>
    <n v="0.75"/>
    <n v="3.0000000000000004"/>
    <n v="6.0000000000000009"/>
    <n v="6.0000000000000009"/>
    <n v="4.5000000000000009"/>
    <n v="4.8000000000000007"/>
    <n v="3.0000000000000004"/>
    <n v="5.4"/>
    <n v="3.0000000000000004"/>
    <n v="5.4"/>
    <n v="6.0000000000000009"/>
    <n v="5.4"/>
    <n v="6.0000000000000009"/>
  </r>
  <r>
    <s v="Dmitry Lopyrev"/>
    <x v="3"/>
    <s v="Canada"/>
    <s v="Team Lead"/>
    <x v="1"/>
    <n v="0.2"/>
    <n v="0.32000000000000006"/>
    <n v="1.1200000000000001"/>
    <n v="1.6000000000000003"/>
    <n v="1.2000000000000002"/>
    <n v="1.6000000000000003"/>
    <n v="1.2800000000000002"/>
    <n v="0.96000000000000019"/>
    <n v="1.6000000000000003"/>
    <n v="1.4400000000000004"/>
    <n v="1.2800000000000002"/>
    <n v="0.96000000000000019"/>
    <n v="1.6000000000000003"/>
  </r>
  <r>
    <s v="Nikita Pliassounov"/>
    <x v="3"/>
    <s v="Canada"/>
    <s v="Dev"/>
    <x v="1"/>
    <n v="0.75"/>
    <n v="3.0000000000000004"/>
    <n v="6.0000000000000009"/>
    <n v="6.0000000000000009"/>
    <n v="4.5000000000000009"/>
    <n v="6.0000000000000009"/>
    <n v="4.8000000000000007"/>
    <n v="5.4"/>
    <n v="6.0000000000000009"/>
    <n v="5.4"/>
    <n v="3.0000000000000004"/>
    <n v="5.4"/>
    <n v="6.0000000000000009"/>
  </r>
  <r>
    <s v="Areag Osman"/>
    <x v="3"/>
    <s v="Canada"/>
    <s v="Dev"/>
    <x v="1"/>
    <n v="0.75"/>
    <n v="3.0000000000000004"/>
    <n v="6.0000000000000009"/>
    <n v="6.0000000000000009"/>
    <n v="3.6000000000000005"/>
    <n v="4.8000000000000007"/>
    <n v="3.0000000000000004"/>
    <n v="3.6000000000000005"/>
    <n v="4.8000000000000007"/>
    <n v="3.6000000000000005"/>
    <n v="6.0000000000000009"/>
    <n v="5.4"/>
    <n v="6.0000000000000009"/>
  </r>
  <r>
    <s v="Alex Tkachev"/>
    <x v="3"/>
    <s v="Canada"/>
    <s v="Dev"/>
    <x v="0"/>
    <n v="0.75"/>
    <n v="3.0000000000000004"/>
    <n v="6.0000000000000009"/>
    <n v="6.0000000000000009"/>
    <n v="4.5000000000000009"/>
    <n v="6.0000000000000009"/>
    <n v="4.8000000000000007"/>
    <n v="4.2000000000000011"/>
    <n v="4.2000000000000011"/>
    <n v="5.4"/>
    <n v="6.0000000000000009"/>
    <n v="5.4"/>
    <n v="6.0000000000000009"/>
  </r>
  <r>
    <s v="Andriy Malivanchuk"/>
    <x v="3"/>
    <s v="Canada"/>
    <s v="Dev"/>
    <x v="2"/>
    <n v="0.75"/>
    <n v="3.0000000000000004"/>
    <n v="6.0000000000000009"/>
    <n v="6.0000000000000009"/>
    <n v="4.5000000000000009"/>
    <n v="6.0000000000000009"/>
    <n v="6.0000000000000009"/>
    <n v="5.4"/>
    <n v="6.0000000000000009"/>
    <n v="5.4"/>
    <n v="6.0000000000000009"/>
    <n v="5.4"/>
    <n v="6.0000000000000009"/>
  </r>
  <r>
    <s v="Chris Just"/>
    <x v="3"/>
    <s v="Canada"/>
    <s v="QA"/>
    <x v="4"/>
    <n v="0.75"/>
    <n v="3.0000000000000004"/>
    <n v="6.0000000000000009"/>
    <n v="6.0000000000000009"/>
    <n v="4.5000000000000009"/>
    <n v="6.0000000000000009"/>
    <n v="3.6000000000000005"/>
    <n v="5.4"/>
    <n v="6.0000000000000009"/>
    <n v="5.4"/>
    <n v="6.0000000000000009"/>
    <n v="2.4000000000000004"/>
    <n v="6.0000000000000009"/>
  </r>
  <r>
    <s v="Valentina Alekseeva"/>
    <x v="3"/>
    <s v="Canada"/>
    <s v="QA"/>
    <x v="4"/>
    <n v="0.75"/>
    <n v="3.0000000000000004"/>
    <n v="6.0000000000000009"/>
    <n v="6.0000000000000009"/>
    <n v="4.5000000000000009"/>
    <n v="4.2000000000000011"/>
    <n v="3.0000000000000004"/>
    <n v="3.6000000000000005"/>
    <n v="6.0000000000000009"/>
    <n v="5.4"/>
    <n v="4.8000000000000007"/>
    <n v="3.6000000000000005"/>
    <n v="6.0000000000000009"/>
  </r>
  <r>
    <s v="Dmitri Golovenkin"/>
    <x v="3"/>
    <s v="Canada"/>
    <s v="QA"/>
    <x v="3"/>
    <n v="0.75"/>
    <n v="3.0000000000000004"/>
    <n v="2.4000000000000004"/>
    <n v="6.0000000000000009"/>
    <n v="4.5000000000000009"/>
    <n v="6.0000000000000009"/>
    <n v="6.0000000000000009"/>
    <n v="5.4"/>
    <n v="6.0000000000000009"/>
    <n v="5.4"/>
    <n v="6.0000000000000009"/>
    <n v="3.0000000000000004"/>
    <n v="6.0000000000000009"/>
  </r>
  <r>
    <s v="Anna Kalimouline"/>
    <x v="3"/>
    <s v="Canada"/>
    <s v="QA"/>
    <x v="3"/>
    <n v="0.75"/>
    <n v="3.0000000000000004"/>
    <n v="6.0000000000000009"/>
    <n v="6.0000000000000009"/>
    <n v="4.5000000000000009"/>
    <n v="6.0000000000000009"/>
    <n v="6.0000000000000009"/>
    <n v="5.4"/>
    <n v="6.0000000000000009"/>
    <n v="5.4"/>
    <n v="4.2000000000000011"/>
    <n v="5.4"/>
    <n v="6.0000000000000009"/>
  </r>
  <r>
    <s v="Roman Dolgov"/>
    <x v="4"/>
    <s v="Canada"/>
    <s v="Team Lead"/>
    <x v="1"/>
    <n v="0.2"/>
    <n v="0.80000000000000016"/>
    <n v="1.6000000000000003"/>
    <n v="1.6000000000000003"/>
    <n v="1.2000000000000002"/>
    <n v="1.6000000000000003"/>
    <n v="1.6000000000000003"/>
    <n v="1.1200000000000001"/>
    <n v="1.6000000000000003"/>
    <n v="1.4400000000000004"/>
    <n v="0.80000000000000016"/>
    <n v="1.4400000000000004"/>
    <n v="1.6000000000000003"/>
  </r>
  <r>
    <s v="Yegor Kozlov"/>
    <x v="4"/>
    <s v="Belarus"/>
    <s v="FE Lead"/>
    <x v="2"/>
    <n v="0.6"/>
    <n v="1.92"/>
    <n v="4.32"/>
    <n v="4.32"/>
    <n v="4.8"/>
    <n v="4.8"/>
    <n v="4.8"/>
    <n v="4.32"/>
    <n v="4.8"/>
    <n v="4.8"/>
    <n v="4.8"/>
    <n v="4.8"/>
    <n v="4.8"/>
  </r>
  <r>
    <s v="Shohrukh Davlatov"/>
    <x v="4"/>
    <s v="Belarus"/>
    <s v="FE Lead"/>
    <x v="2"/>
    <n v="0.6"/>
    <n v="1.92"/>
    <n v="4.32"/>
    <n v="4.32"/>
    <n v="4.8"/>
    <n v="4.8"/>
    <n v="4.8"/>
    <n v="4.32"/>
    <n v="4.8"/>
    <n v="4.8"/>
    <n v="4.8"/>
    <n v="4.8"/>
    <n v="4.8"/>
  </r>
  <r>
    <s v="Vitaliy Kotov"/>
    <x v="4"/>
    <s v="Belarus"/>
    <s v="Dev"/>
    <x v="2"/>
    <n v="0.75"/>
    <n v="2.4000000000000004"/>
    <n v="5.4"/>
    <n v="5.4"/>
    <n v="6.0000000000000009"/>
    <n v="6.0000000000000009"/>
    <n v="6.0000000000000009"/>
    <n v="5.4"/>
    <n v="6.0000000000000009"/>
    <n v="6.0000000000000009"/>
    <n v="6.0000000000000009"/>
    <n v="6.0000000000000009"/>
    <n v="6.0000000000000009"/>
  </r>
  <r>
    <s v="Eugen Goroluov"/>
    <x v="4"/>
    <s v="Belarus"/>
    <s v="BE Lead"/>
    <x v="0"/>
    <n v="0.6"/>
    <n v="1.92"/>
    <n v="4.32"/>
    <n v="4.32"/>
    <n v="4.8"/>
    <n v="4.8"/>
    <n v="4.8"/>
    <n v="4.32"/>
    <n v="4.8"/>
    <n v="4.8"/>
    <n v="4.8"/>
    <n v="4.8"/>
    <n v="4.8"/>
  </r>
  <r>
    <s v="Aleksey Glushchenko"/>
    <x v="4"/>
    <s v="Belarus"/>
    <s v="QA"/>
    <x v="4"/>
    <n v="0.75"/>
    <n v="2.4000000000000004"/>
    <n v="5.4"/>
    <n v="5.4"/>
    <n v="6.0000000000000009"/>
    <n v="6.0000000000000009"/>
    <n v="6.0000000000000009"/>
    <n v="5.4"/>
    <n v="6.0000000000000009"/>
    <n v="6.0000000000000009"/>
    <n v="6.0000000000000009"/>
    <n v="6.0000000000000009"/>
    <n v="6.0000000000000009"/>
  </r>
  <r>
    <s v="Irina Gribushkina"/>
    <x v="4"/>
    <s v="Belarus"/>
    <s v="QA Lead"/>
    <x v="3"/>
    <n v="0.6"/>
    <n v="1.92"/>
    <n v="4.32"/>
    <n v="4.32"/>
    <n v="4.8"/>
    <n v="4.8"/>
    <n v="4.8"/>
    <n v="4.32"/>
    <n v="4.8"/>
    <n v="4.8"/>
    <n v="4.8"/>
    <n v="4.8"/>
    <n v="4.8"/>
  </r>
  <r>
    <s v="Anna Shchemel"/>
    <x v="4"/>
    <s v="Belarus"/>
    <s v="QA Lead"/>
    <x v="3"/>
    <n v="0.6"/>
    <n v="1.92"/>
    <n v="4.32"/>
    <n v="4.32"/>
    <n v="4.8"/>
    <n v="4.8"/>
    <n v="4.8"/>
    <n v="4.32"/>
    <n v="4.8"/>
    <n v="4.8"/>
    <n v="4.8"/>
    <n v="4.8"/>
    <n v="4.8"/>
  </r>
  <r>
    <s v="Nikita Belikau"/>
    <x v="4"/>
    <s v="Belarus"/>
    <s v="Dev"/>
    <x v="0"/>
    <n v="0.75"/>
    <n v="2.4000000000000004"/>
    <n v="5.4"/>
    <n v="5.4"/>
    <n v="6.0000000000000009"/>
    <n v="6.0000000000000009"/>
    <n v="6.0000000000000009"/>
    <n v="5.4"/>
    <n v="6.0000000000000009"/>
    <n v="6.0000000000000009"/>
    <n v="6.0000000000000009"/>
    <n v="6.0000000000000009"/>
    <n v="6.0000000000000009"/>
  </r>
  <r>
    <s v="Aleksandr Pototskiy"/>
    <x v="4"/>
    <s v="Belarus"/>
    <s v="Dev"/>
    <x v="2"/>
    <n v="0.75"/>
    <n v="2.4000000000000004"/>
    <n v="5.4"/>
    <n v="5.4"/>
    <n v="6.0000000000000009"/>
    <n v="6.0000000000000009"/>
    <n v="6.0000000000000009"/>
    <n v="5.4"/>
    <n v="6.0000000000000009"/>
    <n v="6.0000000000000009"/>
    <n v="6.0000000000000009"/>
    <n v="6.0000000000000009"/>
    <n v="6.0000000000000009"/>
  </r>
  <r>
    <s v="Maxim Yakushkin"/>
    <x v="4"/>
    <s v="Belarus"/>
    <s v="Dev"/>
    <x v="0"/>
    <n v="0.75"/>
    <n v="2.4000000000000004"/>
    <n v="5.4"/>
    <n v="5.4"/>
    <n v="6.0000000000000009"/>
    <n v="6.0000000000000009"/>
    <n v="6.0000000000000009"/>
    <n v="5.4"/>
    <n v="6.0000000000000009"/>
    <n v="6.0000000000000009"/>
    <n v="6.0000000000000009"/>
    <n v="6.0000000000000009"/>
    <n v="6.0000000000000009"/>
  </r>
  <r>
    <s v="Darya Kovalevskaya"/>
    <x v="4"/>
    <s v="Belarus"/>
    <s v="QA"/>
    <x v="3"/>
    <n v="0.75"/>
    <n v="2.4000000000000004"/>
    <n v="5.4"/>
    <n v="5.4"/>
    <n v="6.0000000000000009"/>
    <n v="6.0000000000000009"/>
    <n v="6.0000000000000009"/>
    <n v="5.4"/>
    <n v="6.0000000000000009"/>
    <n v="6.0000000000000009"/>
    <n v="6.0000000000000009"/>
    <n v="6.0000000000000009"/>
    <n v="6.0000000000000009"/>
  </r>
  <r>
    <s v="Aleksandr Yashyn"/>
    <x v="4"/>
    <s v="Belarus"/>
    <s v="QA"/>
    <x v="3"/>
    <n v="0.75"/>
    <n v="2.4000000000000004"/>
    <n v="5.4"/>
    <n v="5.4"/>
    <n v="6.0000000000000009"/>
    <n v="6.0000000000000009"/>
    <n v="6.0000000000000009"/>
    <n v="5.4"/>
    <n v="6.0000000000000009"/>
    <n v="6.0000000000000009"/>
    <n v="6.0000000000000009"/>
    <n v="6.0000000000000009"/>
    <n v="6.0000000000000009"/>
  </r>
  <r>
    <s v="Michail Tolmats"/>
    <x v="4"/>
    <s v="Belarus"/>
    <s v="Dev"/>
    <x v="2"/>
    <n v="0.75"/>
    <n v="2.4000000000000004"/>
    <n v="5.4"/>
    <n v="5.4"/>
    <n v="6.0000000000000009"/>
    <n v="6.0000000000000009"/>
    <n v="6.0000000000000009"/>
    <n v="5.4"/>
    <n v="6.0000000000000009"/>
    <n v="6.0000000000000009"/>
    <n v="6.0000000000000009"/>
    <n v="6.0000000000000009"/>
    <n v="6.0000000000000009"/>
  </r>
  <r>
    <s v="Daniil Morozov"/>
    <x v="4"/>
    <s v="Belarus"/>
    <s v="Dev"/>
    <x v="2"/>
    <n v="0.75"/>
    <n v="2.4000000000000004"/>
    <n v="5.4"/>
    <n v="5.4"/>
    <n v="6.0000000000000009"/>
    <n v="6.0000000000000009"/>
    <n v="6.0000000000000009"/>
    <n v="5.4"/>
    <n v="6.0000000000000009"/>
    <n v="6.0000000000000009"/>
    <n v="6.0000000000000009"/>
    <n v="6.0000000000000009"/>
    <n v="6.0000000000000009"/>
  </r>
  <r>
    <s v="Roman Ogolikhin"/>
    <x v="4"/>
    <s v="Belarus"/>
    <s v="Dev"/>
    <x v="0"/>
    <n v="0.75"/>
    <n v="2.4000000000000004"/>
    <n v="5.4"/>
    <n v="5.4"/>
    <n v="6.0000000000000009"/>
    <n v="6.0000000000000009"/>
    <n v="6.0000000000000009"/>
    <n v="5.4"/>
    <n v="6.0000000000000009"/>
    <n v="6.0000000000000009"/>
    <n v="6.0000000000000009"/>
    <n v="6.0000000000000009"/>
    <n v="6.0000000000000009"/>
  </r>
  <r>
    <s v="Olga Matsiuk"/>
    <x v="4"/>
    <s v="Belarus"/>
    <s v="Dev"/>
    <x v="2"/>
    <n v="0.75"/>
    <n v="2.4000000000000004"/>
    <n v="5.4"/>
    <n v="5.4"/>
    <n v="6.0000000000000009"/>
    <n v="6.0000000000000009"/>
    <n v="6.0000000000000009"/>
    <n v="5.4"/>
    <n v="6.0000000000000009"/>
    <n v="6.0000000000000009"/>
    <n v="6.0000000000000009"/>
    <n v="6.0000000000000009"/>
    <n v="6.000000000000000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Team">
  <location ref="A1:N7" firstHeaderRow="0" firstDataRow="1" firstDataCol="1"/>
  <pivotFields count="19">
    <pivotField subtotalTop="0" showAll="0"/>
    <pivotField axis="axisRow" subtotalTop="0" showAll="0">
      <items count="6">
        <item sd="0" x="0"/>
        <item sd="0" x="1"/>
        <item sd="0" x="2"/>
        <item sd="0" x="4"/>
        <item sd="0" x="3"/>
        <item t="default" sd="0"/>
      </items>
    </pivotField>
    <pivotField subtotalTop="0" showAll="0"/>
    <pivotField subtotalTop="0" showAll="0"/>
    <pivotField axis="axisRow" subtotalTop="0" showAll="0">
      <items count="6">
        <item x="0"/>
        <item x="2"/>
        <item x="1"/>
        <item x="3"/>
        <item x="4"/>
        <item t="default"/>
      </items>
    </pivotField>
    <pivotField numFmtId="9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dragToRow="0" dragToCol="0" dragToPage="0" showAll="0"/>
  </pivotFields>
  <rowFields count="2">
    <field x="1"/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 Q1" fld="6" baseField="1" baseItem="0"/>
    <dataField name=" Q2" fld="7" baseField="1" baseItem="0"/>
    <dataField name=" Q3" fld="8" baseField="1" baseItem="0"/>
    <dataField name=" Q4" fld="9" baseField="1" baseItem="0"/>
    <dataField name=" Q5" fld="10" baseField="1" baseItem="0"/>
    <dataField name=" Q6" fld="11" baseField="1" baseItem="0"/>
    <dataField name=" Q7" fld="12" baseField="1" baseItem="0"/>
    <dataField name=" Q8" fld="13" baseField="1" baseItem="0"/>
    <dataField name=" Q9" fld="14" baseField="1" baseItem="0"/>
    <dataField name=" Q10" fld="15" baseField="1" baseItem="0"/>
    <dataField name=" Q11" fld="16" baseField="1" baseItem="0"/>
    <dataField name=" Q12" fld="17" baseField="1" baseItem="0"/>
    <dataField name="Quasar" fld="18" baseField="1" baseItem="0"/>
  </dataFields>
  <formats count="1">
    <format dxfId="20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HolidayList" displayName="HolidayList" ref="A1:B2" totalsRowShown="0" headerRowDxfId="567" headerRowBorderDxfId="566" tableBorderDxfId="565" totalsRowBorderDxfId="564">
  <autoFilter ref="A1:B2">
    <filterColumn colId="0" hiddenButton="1"/>
    <filterColumn colId="1" hiddenButton="1"/>
  </autoFilter>
  <tableColumns count="2">
    <tableColumn id="1" name="Holiday" dataDxfId="563"/>
    <tableColumn id="2" name="Date" dataDxfId="5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E1:G2" headerRowCount="0" totalsRowShown="0" headerRowDxfId="561" tableBorderDxfId="560" totalsRowBorderDxfId="559">
  <tableColumns count="3">
    <tableColumn id="1" name="Column1" dataDxfId="558"/>
    <tableColumn id="2" name="Column2" dataDxfId="557"/>
    <tableColumn id="3" name="Column3" dataDxfId="556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id="4" name="CanadaHolidays" displayName="CanadaHolidays" ref="A5:B14" totalsRowShown="0" headerRowDxfId="555" dataDxfId="553" headerRowBorderDxfId="554" tableBorderDxfId="552" totalsRowBorderDxfId="551">
  <autoFilter ref="A5:B14">
    <filterColumn colId="0" hiddenButton="1"/>
    <filterColumn colId="1" hiddenButton="1"/>
  </autoFilter>
  <tableColumns count="2">
    <tableColumn id="1" name="Canada Holiday" dataDxfId="550"/>
    <tableColumn id="2" name="Date" dataDxfId="5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BelarusHolidays" displayName="BelarusHolidays" ref="A17:B26" totalsRowShown="0" headerRowDxfId="548" dataDxfId="546" headerRowBorderDxfId="547" tableBorderDxfId="545" totalsRowBorderDxfId="544">
  <autoFilter ref="A17:B26">
    <filterColumn colId="0" hiddenButton="1"/>
    <filterColumn colId="1" hiddenButton="1"/>
  </autoFilter>
  <tableColumns count="2">
    <tableColumn id="1" name="Belarus Holiday" dataDxfId="543"/>
    <tableColumn id="2" name="Date" dataDxfId="54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RdTeam" displayName="RdTeam" ref="A1:R51" totalsRowShown="0">
  <tableColumns count="18">
    <tableColumn id="1" name="Name"/>
    <tableColumn id="2" name="Team"/>
    <tableColumn id="3" name="Location"/>
    <tableColumn id="4" name="Role"/>
    <tableColumn id="11" name="Specialization"/>
    <tableColumn id="5" name="Utilization" dataDxfId="541"/>
    <tableColumn id="6" name="Q1" dataDxfId="252">
      <calculatedColumnFormula array="1">Sheet3!$W$2*$F2*(NETWORKDAYS(VLOOKUP(G$1,Sprints[],2,FALSE), VLOOKUP(G$1,Sprints[],3,FALSE))-SUMPRODUCT((OFFSET(INDIRECT(CELL("address",INDEX('Leave Tracker'!$A$8:$A$100,MATCH($A2,'Leave Tracker'!$A$8:$A$100,0)))),0,31*(VLOOKUP(G$1,Sprints[],5,FALSE))+DAY(VLOOKUP(G$1,Sprints[],2,FALSE)),1,VLOOKUP(G$1,Sprints[],4,FALSE))&lt;&gt;"")*(IF(OFFSET(INDIRECT(CELL("address",INDEX('Leave Tracker'!$A$8:$A$100,MATCH($A2,'Leave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calculatedColumnFormula>
    </tableColumn>
    <tableColumn id="7" name="Q2" dataDxfId="251">
      <calculatedColumnFormula array="1">Sheet3!$W$2*$F2*(NETWORKDAYS(VLOOKUP(H$1,Sprints[],2,FALSE), VLOOKUP(H$1,Sprints[],3,FALSE))-SUMPRODUCT((OFFSET(INDIRECT(CELL("address",INDEX('Leave Tracker'!$A$8:$A$100,MATCH($A2,'Leave Tracker'!$A$8:$A$100,0)))),0,31*(VLOOKUP(H$1,Sprints[],5,FALSE))+DAY(VLOOKUP(H$1,Sprints[],2,FALSE)),1,VLOOKUP(H$1,Sprints[],4,FALSE))&lt;&gt;"")*(IF(OFFSET(INDIRECT(CELL("address",INDEX('Leave Tracker'!$A$8:$A$100,MATCH($A2,'Leave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calculatedColumnFormula>
    </tableColumn>
    <tableColumn id="8" name="Q3" dataDxfId="250">
      <calculatedColumnFormula array="1">Sheet3!$W$2*$F2*(NETWORKDAYS(VLOOKUP(I$1,Sprints[],2,FALSE), VLOOKUP(I$1,Sprints[],3,FALSE))-SUMPRODUCT((OFFSET(INDIRECT(CELL("address",INDEX('Leave Tracker'!$A$8:$A$100,MATCH($A2,'Leave Tracker'!$A$8:$A$100,0)))),0,31*(VLOOKUP(I$1,Sprints[],5,FALSE))+DAY(VLOOKUP(I$1,Sprints[],2,FALSE)),1,VLOOKUP(I$1,Sprints[],4,FALSE))&lt;&gt;"")*(IF(OFFSET(INDIRECT(CELL("address",INDEX('Leave Tracker'!$A$8:$A$100,MATCH($A2,'Leave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calculatedColumnFormula>
    </tableColumn>
    <tableColumn id="9" name="Q4" dataDxfId="249">
      <calculatedColumnFormula array="1">Sheet3!$W$2*$F2*(NETWORKDAYS(VLOOKUP(J$1,Sprints[],2,FALSE), VLOOKUP(J$1,Sprints[],3,FALSE))-SUMPRODUCT((OFFSET(INDIRECT(CELL("address",INDEX('Leave Tracker'!$A$8:$A$100,MATCH($A2,'Leave Tracker'!$A$8:$A$100,0)))),0,31*(VLOOKUP(J$1,Sprints[],5,FALSE))+DAY(VLOOKUP(J$1,Sprints[],2,FALSE)),1,VLOOKUP(J$1,Sprints[],4,FALSE))&lt;&gt;"")*(IF(OFFSET(INDIRECT(CELL("address",INDEX('Leave Tracker'!$A$8:$A$100,MATCH($A2,'Leave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calculatedColumnFormula>
    </tableColumn>
    <tableColumn id="10" name="Q5" dataDxfId="248">
      <calculatedColumnFormula array="1">Sheet3!$W$2*$F2*(NETWORKDAYS(VLOOKUP(K$1,Sprints[],2,FALSE), VLOOKUP(K$1,Sprints[],3,FALSE))-SUMPRODUCT((OFFSET(INDIRECT(CELL("address",INDEX('Leave Tracker'!$A$8:$A$100,MATCH($A2,'Leave Tracker'!$A$8:$A$100,0)))),0,31*(VLOOKUP(K$1,Sprints[],5,FALSE))+DAY(VLOOKUP(K$1,Sprints[],2,FALSE)),1,VLOOKUP(K$1,Sprints[],4,FALSE))&lt;&gt;"")*(IF(OFFSET(INDIRECT(CELL("address",INDEX('Leave Tracker'!$A$8:$A$100,MATCH($A2,'Leave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calculatedColumnFormula>
    </tableColumn>
    <tableColumn id="12" name="Q6" dataDxfId="247">
      <calculatedColumnFormula array="1">Sheet3!$W$2*$F2*(NETWORKDAYS(VLOOKUP(L$1,Sprints[],2,FALSE), VLOOKUP(L$1,Sprints[],3,FALSE))-SUMPRODUCT((OFFSET(INDIRECT(CELL("address",INDEX('Leave Tracker'!$A$8:$A$100,MATCH($A2,'Leave Tracker'!$A$8:$A$100,0)))),0,31*(VLOOKUP(L$1,Sprints[],5,FALSE))+DAY(VLOOKUP(L$1,Sprints[],2,FALSE)),1,VLOOKUP(L$1,Sprints[],4,FALSE))&lt;&gt;"")*(IF(OFFSET(INDIRECT(CELL("address",INDEX('Leave Tracker'!$A$8:$A$100,MATCH($A2,'Leave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calculatedColumnFormula>
    </tableColumn>
    <tableColumn id="13" name="Q7" dataDxfId="246">
      <calculatedColumnFormula array="1">Sheet3!$W$2*$F2*(NETWORKDAYS(VLOOKUP(M$1,Sprints[],2,FALSE), VLOOKUP(M$1,Sprints[],3,FALSE))-SUMPRODUCT((OFFSET(INDIRECT(CELL("address",INDEX('Leave Tracker'!$A$8:$A$100,MATCH($A2,'Leave Tracker'!$A$8:$A$100,0)))),0,31*(VLOOKUP(M$1,Sprints[],5,FALSE))+DAY(VLOOKUP(M$1,Sprints[],2,FALSE)),1,VLOOKUP(M$1,Sprints[],4,FALSE))&lt;&gt;"")*(IF(OFFSET(INDIRECT(CELL("address",INDEX('Leave Tracker'!$A$8:$A$100,MATCH($A2,'Leave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calculatedColumnFormula>
    </tableColumn>
    <tableColumn id="14" name="Q8" dataDxfId="245">
      <calculatedColumnFormula array="1">Sheet3!$W$2*$F2*(NETWORKDAYS(VLOOKUP(N$1,Sprints[],2,FALSE), VLOOKUP(N$1,Sprints[],3,FALSE))-SUMPRODUCT((OFFSET(INDIRECT(CELL("address",INDEX('Leave Tracker'!$A$8:$A$100,MATCH($A2,'Leave Tracker'!$A$8:$A$100,0)))),0,31*(VLOOKUP(N$1,Sprints[],5,FALSE))+DAY(VLOOKUP(N$1,Sprints[],2,FALSE)),1,VLOOKUP(N$1,Sprints[],4,FALSE))&lt;&gt;"")*(IF(OFFSET(INDIRECT(CELL("address",INDEX('Leave Tracker'!$A$8:$A$100,MATCH($A2,'Leave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calculatedColumnFormula>
    </tableColumn>
    <tableColumn id="15" name="Q9" dataDxfId="244">
      <calculatedColumnFormula array="1">Sheet3!$W$2*$F2*(NETWORKDAYS(VLOOKUP(O$1,Sprints[],2,FALSE), VLOOKUP(O$1,Sprints[],3,FALSE))-SUMPRODUCT((OFFSET(INDIRECT(CELL("address",INDEX('Leave Tracker'!$A$8:$A$100,MATCH($A2,'Leave Tracker'!$A$8:$A$100,0)))),0,31*(VLOOKUP(O$1,Sprints[],5,FALSE))+DAY(VLOOKUP(O$1,Sprints[],2,FALSE)),1,VLOOKUP(O$1,Sprints[],4,FALSE))&lt;&gt;"")*(IF(OFFSET(INDIRECT(CELL("address",INDEX('Leave Tracker'!$A$8:$A$100,MATCH($A2,'Leave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calculatedColumnFormula>
    </tableColumn>
    <tableColumn id="16" name="Q10" dataDxfId="243">
      <calculatedColumnFormula array="1">Sheet3!$W$2*$F2*(NETWORKDAYS(VLOOKUP(P$1,Sprints[],2,FALSE), VLOOKUP(P$1,Sprints[],3,FALSE))-SUMPRODUCT((OFFSET(INDIRECT(CELL("address",INDEX('Leave Tracker'!$A$8:$A$100,MATCH($A2,'Leave Tracker'!$A$8:$A$100,0)))),0,31*(VLOOKUP(P$1,Sprints[],5,FALSE))+DAY(VLOOKUP(P$1,Sprints[],2,FALSE)),1,VLOOKUP(P$1,Sprints[],4,FALSE))&lt;&gt;"")*(IF(OFFSET(INDIRECT(CELL("address",INDEX('Leave Tracker'!$A$8:$A$100,MATCH($A2,'Leave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calculatedColumnFormula>
    </tableColumn>
    <tableColumn id="17" name="Q11" dataDxfId="242">
      <calculatedColumnFormula array="1">Sheet3!$W$2*$F2*(NETWORKDAYS(VLOOKUP(Q$1,Sprints[],2,FALSE), VLOOKUP(Q$1,Sprints[],3,FALSE))-SUMPRODUCT((OFFSET(INDIRECT(CELL("address",INDEX('Leave Tracker'!$A$8:$A$100,MATCH($A2,'Leave Tracker'!$A$8:$A$100,0)))),0,31*(VLOOKUP(Q$1,Sprints[],5,FALSE))+DAY(VLOOKUP(Q$1,Sprints[],2,FALSE)),1,VLOOKUP(Q$1,Sprints[],4,FALSE))&lt;&gt;"")*(IF(OFFSET(INDIRECT(CELL("address",INDEX('Leave Tracker'!$A$8:$A$100,MATCH($A2,'Leave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calculatedColumnFormula>
    </tableColumn>
    <tableColumn id="18" name="Q12" dataDxfId="241">
      <calculatedColumnFormula array="1">Sheet3!$W$2*$F2*(NETWORKDAYS(VLOOKUP(R$1,Sprints[],2,FALSE), VLOOKUP(R$1,Sprints[],3,FALSE))-SUMPRODUCT((OFFSET(INDIRECT(CELL("address",INDEX('Leave Tracker'!$A$8:$A$100,MATCH($A2,'Leave Tracker'!$A$8:$A$100,0)))),0,31*(VLOOKUP(R$1,Sprints[],5,FALSE))+DAY(VLOOKUP(R$1,Sprints[],2,FALSE)),1,VLOOKUP(R$1,Sprints[],4,FALSE))&lt;&gt;"")*(IF(OFFSET(INDIRECT(CELL("address",INDEX('Leave Tracker'!$A$8:$A$100,MATCH($A2,'Leave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calculatedColumnFormula>
    </tableColumn>
  </tableColumns>
  <tableStyleInfo name="TableStyleLight9" showFirstColumn="0" showLastColumn="0" showRowStripes="1" showColumnStripes="1"/>
</table>
</file>

<file path=xl/tables/table6.xml><?xml version="1.0" encoding="utf-8"?>
<table xmlns="http://schemas.openxmlformats.org/spreadsheetml/2006/main" id="6" name="Teams" displayName="Teams" ref="I1:I6" totalsRowShown="0">
  <autoFilter ref="I1:I6">
    <filterColumn colId="0" hiddenButton="1"/>
  </autoFilter>
  <tableColumns count="1">
    <tableColumn id="1" name="Teams"/>
  </tableColumns>
  <tableStyleInfo name="TableStyleLight1" showFirstColumn="0" showLastColumn="0" showRowStripes="0" showColumnStripes="0"/>
</table>
</file>

<file path=xl/tables/table7.xml><?xml version="1.0" encoding="utf-8"?>
<table xmlns="http://schemas.openxmlformats.org/spreadsheetml/2006/main" id="7" name="Table7" displayName="Table7" ref="K1:K3" totalsRowShown="0">
  <autoFilter ref="K1:K3">
    <filterColumn colId="0" hiddenButton="1"/>
  </autoFilter>
  <tableColumns count="1">
    <tableColumn id="1" name="Location"/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id="8" name="Table8" displayName="Table8" ref="M1:M8" totalsRowShown="0">
  <autoFilter ref="M1:M8">
    <filterColumn colId="0" hiddenButton="1"/>
  </autoFilter>
  <tableColumns count="1">
    <tableColumn id="1" name="Role"/>
  </tableColumns>
  <tableStyleInfo name="TableStyleLight1" showFirstColumn="0" showLastColumn="0" showRowStripes="0" showColumnStripes="0"/>
</table>
</file>

<file path=xl/tables/table9.xml><?xml version="1.0" encoding="utf-8"?>
<table xmlns="http://schemas.openxmlformats.org/spreadsheetml/2006/main" id="9" name="Table9" displayName="Table9" ref="O1:O6" totalsRowShown="0">
  <autoFilter ref="O1:O6">
    <filterColumn colId="0" hiddenButton="1"/>
  </autoFilter>
  <tableColumns count="1">
    <tableColumn id="1" name="Specialization"/>
  </tableColumns>
  <tableStyleInfo name="TableStyleLight1" showFirstColumn="0" showLastColumn="0" showRowStripes="0" showColumnStripes="0"/>
</table>
</file>

<file path=xl/tables/table10.xml><?xml version="1.0" encoding="utf-8"?>
<table xmlns="http://schemas.openxmlformats.org/spreadsheetml/2006/main" id="11" name="Sprints" displayName="Sprints" ref="Q1:U13" totalsRowShown="0">
  <autoFilter ref="Q1:U1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ev Sprint"/>
    <tableColumn id="2" name="Start Date" dataDxfId="540"/>
    <tableColumn id="3" name="End Date" dataDxfId="539"/>
    <tableColumn id="4" name="Days (with 31 Days per Month)" dataDxfId="538">
      <calculatedColumnFormula>DATEDIF(R2,S2,"d") + 1 + (DATEDIF(DATE(YEAR(R2),MONTH(R2),1),DATE(YEAR(S2),MONTH(S2),1),"m")*31 - DATEDIF(DATE(YEAR(R2),MONTH(R2),1),DATE(YEAR(S2),MONTH(S2),1),"d"))</calculatedColumnFormula>
    </tableColumn>
    <tableColumn id="5" name="Month Shift" dataDxfId="537">
      <calculatedColumnFormula>DATEDIF(DATE('Leave Tracker'!$A$2,'Leave Tracker'!$A$1,1),DATE(YEAR(R2),MONTH(R2),1),"m")</calculatedColumnFormula>
    </tableColumn>
  </tableColumns>
  <tableStyleInfo name="TableStyleLight1" showFirstColumn="0" showLastColumn="0" showRowStripes="0" showColumnStripes="0"/>
</table>
</file>

<file path=xl/tables/table11.xml><?xml version="1.0" encoding="utf-8"?>
<table xmlns="http://schemas.openxmlformats.org/spreadsheetml/2006/main" id="10" name="Table10" displayName="Table10" ref="W1:W2" totalsRowShown="0" dataDxfId="253">
  <autoFilter ref="W1:W2">
    <filterColumn colId="0" hiddenButton="1"/>
  </autoFilter>
  <tableColumns count="1">
    <tableColumn id="1" name="Capacity Buffer" dataDxfId="254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aveTracker"/>
  <dimension ref="A1:ACJ60"/>
  <sheetViews>
    <sheetView showGridLines="0" tabSelected="1" showWhiteSpace="0" zoomScale="70" zoomScaleNormal="70" zoomScaleSheetLayoutView="100" workbookViewId="0">
      <pane xSplit="1" ySplit="7" topLeftCell="B11" activePane="bottomRight" state="frozen"/>
      <selection pane="topRight" activeCell="B1" sqref="B1"/>
      <selection pane="bottomLeft" activeCell="A8" sqref="A8"/>
      <selection pane="bottomRight" activeCell="ER41" sqref="ER41"/>
    </sheetView>
  </sheetViews>
  <sheetFormatPr defaultRowHeight="14.25" x14ac:dyDescent="0.45"/>
  <cols>
    <col min="1" max="1" width="17.86328125" customWidth="1"/>
    <col min="2" max="32" width="3.6640625" customWidth="1"/>
    <col min="33" max="279" width="3.6640625" hidden="1" customWidth="1"/>
    <col min="280" max="280" width="3.265625" hidden="1" customWidth="1"/>
    <col min="281" max="373" width="3.6640625" hidden="1" customWidth="1"/>
    <col min="374" max="374" width="9.46484375" customWidth="1"/>
    <col min="375" max="375" width="8.53125" customWidth="1"/>
    <col min="376" max="376" width="18.9296875" customWidth="1"/>
    <col min="377" max="388" width="6.46484375" style="45" customWidth="1"/>
    <col min="389" max="389" width="6.6640625" customWidth="1"/>
    <col min="390" max="390" width="14.46484375" bestFit="1" customWidth="1"/>
    <col min="391" max="391" width="10.1328125" bestFit="1" customWidth="1"/>
  </cols>
  <sheetData>
    <row r="1" spans="1:764" ht="15.75" x14ac:dyDescent="0.5">
      <c r="A1" s="9">
        <v>4</v>
      </c>
      <c r="B1" s="21"/>
      <c r="NK1" s="6"/>
    </row>
    <row r="2" spans="1:764" ht="15.75" x14ac:dyDescent="0.5">
      <c r="A2" s="9">
        <v>2018</v>
      </c>
      <c r="B2" s="21"/>
      <c r="NJ2" s="6"/>
    </row>
    <row r="3" spans="1:764" ht="41.25" customHeight="1" x14ac:dyDescent="0.45">
      <c r="A3" s="12">
        <v>1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AND(NOT(ISNUMBER(MATCH(DATE($A$2,INT((COLUMN()-1)/31.001)+$A$1,ROUNDUP(MOD(COLUMN()-1,31.001),0)),HolidayList[Date],0))),(VLOOKUP(VLOOKUP(WEEKDAY(DATE($A$2,INT((COLUMN()-1)/31.001)+$A$1,ROUNDUP(MOD(COLUMN()-1,31.001),0)),2),Sheet3!$D$1:$E$7,2,0),$NZ$16:$OA$22,2,0)="Yes"))</f>
        <v>0</v>
      </c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  <c r="AAA3" s="3"/>
      <c r="AAB3" s="3"/>
      <c r="AAC3" s="3"/>
      <c r="AAD3" s="3"/>
      <c r="AAE3" s="3"/>
      <c r="AAF3" s="3"/>
      <c r="AAG3" s="3"/>
      <c r="AAH3" s="3"/>
      <c r="AAI3" s="3"/>
      <c r="AAJ3" s="3"/>
      <c r="AAK3" s="3"/>
      <c r="AAL3" s="3"/>
      <c r="AAM3" s="3"/>
      <c r="AAN3" s="3"/>
      <c r="AAO3" s="3"/>
      <c r="AAP3" s="3"/>
      <c r="AAQ3" s="3"/>
      <c r="AAR3" s="3"/>
      <c r="AAS3" s="3"/>
      <c r="AAT3" s="3"/>
      <c r="AAU3" s="3"/>
      <c r="AAV3" s="3"/>
      <c r="AAW3" s="3"/>
      <c r="AAX3" s="3"/>
      <c r="AAY3" s="3"/>
      <c r="AAZ3" s="3"/>
      <c r="ABA3" s="3"/>
      <c r="ABB3" s="3"/>
      <c r="ABC3" s="3"/>
      <c r="ABD3" s="3"/>
      <c r="ABE3" s="3"/>
      <c r="ABF3" s="3"/>
      <c r="ABG3" s="3"/>
      <c r="ABH3" s="3"/>
      <c r="ABI3" s="3"/>
      <c r="ABJ3" s="3"/>
      <c r="ABK3" s="3"/>
      <c r="ABL3" s="3"/>
      <c r="ABM3" s="3"/>
      <c r="ABN3" s="3"/>
      <c r="ABO3" s="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  <c r="ACH3" s="3"/>
      <c r="ACI3" s="3"/>
      <c r="ACJ3" s="3"/>
    </row>
    <row r="4" spans="1:764" x14ac:dyDescent="0.45">
      <c r="A4" s="32">
        <f>DATEDIF(DATE($A$2,$A$1,1),DATE(YEAR(Holidays!E2),MONTH(Holidays!E2),1),"m")</f>
        <v>0</v>
      </c>
      <c r="B4" s="15" t="b">
        <f>IFERROR(IF(AND(VLOOKUP(B6,$NZ$16:$OA$22,2,0)="Yes",NOT(ISNUMBER(VLOOKUP(DATE($A$2,$A$3+$A$1-1,B5),HolidayList[Date],1,0)))),TRUE,FALSE),FALSE)</f>
        <v>0</v>
      </c>
      <c r="C4" s="15" t="b">
        <f>IFERROR(IF(AND(VLOOKUP(C6,$NZ$16:$OA$22,2,0)="Yes",NOT(ISNUMBER(VLOOKUP(DATE($A$2,$A$3+$A$1-1,C5),HolidayList[Date],1,0)))),TRUE,FALSE),FALSE)</f>
        <v>1</v>
      </c>
      <c r="D4" s="15" t="b">
        <f>IFERROR(IF(AND(VLOOKUP(D6,$NZ$16:$OA$22,2,0)="Yes",NOT(ISNUMBER(VLOOKUP(DATE($A$2,$A$3+$A$1-1,D5),HolidayList[Date],1,0)))),TRUE,FALSE),FALSE)</f>
        <v>1</v>
      </c>
      <c r="E4" s="15" t="b">
        <f>IFERROR(IF(AND(VLOOKUP(E6,$NZ$16:$OA$22,2,0)="Yes",NOT(ISNUMBER(VLOOKUP(DATE($A$2,$A$3+$A$1-1,E5),HolidayList[Date],1,0)))),TRUE,FALSE),FALSE)</f>
        <v>1</v>
      </c>
      <c r="F4" s="15" t="b">
        <f>IFERROR(IF(AND(VLOOKUP(F6,$NZ$16:$OA$22,2,0)="Yes",NOT(ISNUMBER(VLOOKUP(DATE($A$2,$A$3+$A$1-1,F5),HolidayList[Date],1,0)))),TRUE,FALSE),FALSE)</f>
        <v>1</v>
      </c>
      <c r="G4" s="15" t="b">
        <f>IFERROR(IF(AND(VLOOKUP(G6,$NZ$16:$OA$22,2,0)="Yes",NOT(ISNUMBER(VLOOKUP(DATE($A$2,$A$3+$A$1-1,G5),HolidayList[Date],1,0)))),TRUE,FALSE),FALSE)</f>
        <v>1</v>
      </c>
      <c r="H4" s="15" t="b">
        <f>IFERROR(IF(AND(VLOOKUP(H6,$NZ$16:$OA$22,2,0)="Yes",NOT(ISNUMBER(VLOOKUP(DATE($A$2,$A$3+$A$1-1,H5),HolidayList[Date],1,0)))),TRUE,FALSE),FALSE)</f>
        <v>0</v>
      </c>
      <c r="I4" s="15" t="b">
        <f>IFERROR(IF(AND(VLOOKUP(I6,$NZ$16:$OA$22,2,0)="Yes",NOT(ISNUMBER(VLOOKUP(DATE($A$2,$A$3+$A$1-1,I5),HolidayList[Date],1,0)))),TRUE,FALSE),FALSE)</f>
        <v>0</v>
      </c>
      <c r="J4" s="15" t="b">
        <f>IFERROR(IF(AND(VLOOKUP(J6,$NZ$16:$OA$22,2,0)="Yes",NOT(ISNUMBER(VLOOKUP(DATE($A$2,$A$3+$A$1-1,J5),HolidayList[Date],1,0)))),TRUE,FALSE),FALSE)</f>
        <v>1</v>
      </c>
      <c r="K4" s="15" t="b">
        <f>IFERROR(IF(AND(VLOOKUP(K6,$NZ$16:$OA$22,2,0)="Yes",NOT(ISNUMBER(VLOOKUP(DATE($A$2,$A$3+$A$1-1,K5),HolidayList[Date],1,0)))),TRUE,FALSE),FALSE)</f>
        <v>1</v>
      </c>
      <c r="L4" s="15" t="b">
        <f>IFERROR(IF(AND(VLOOKUP(L6,$NZ$16:$OA$22,2,0)="Yes",NOT(ISNUMBER(VLOOKUP(DATE($A$2,$A$3+$A$1-1,L5),HolidayList[Date],1,0)))),TRUE,FALSE),FALSE)</f>
        <v>1</v>
      </c>
      <c r="M4" s="15" t="b">
        <f>IFERROR(IF(AND(VLOOKUP(M6,$NZ$16:$OA$22,2,0)="Yes",NOT(ISNUMBER(VLOOKUP(DATE($A$2,$A$3+$A$1-1,M5),HolidayList[Date],1,0)))),TRUE,FALSE),FALSE)</f>
        <v>1</v>
      </c>
      <c r="N4" s="15" t="b">
        <f>IFERROR(IF(AND(VLOOKUP(N6,$NZ$16:$OA$22,2,0)="Yes",NOT(ISNUMBER(VLOOKUP(DATE($A$2,$A$3+$A$1-1,N5),HolidayList[Date],1,0)))),TRUE,FALSE),FALSE)</f>
        <v>1</v>
      </c>
      <c r="O4" s="15" t="b">
        <f>IFERROR(IF(AND(VLOOKUP(O6,$NZ$16:$OA$22,2,0)="Yes",NOT(ISNUMBER(VLOOKUP(DATE($A$2,$A$3+$A$1-1,O5),HolidayList[Date],1,0)))),TRUE,FALSE),FALSE)</f>
        <v>0</v>
      </c>
      <c r="P4" s="15" t="b">
        <f>IFERROR(IF(AND(VLOOKUP(P6,$NZ$16:$OA$22,2,0)="Yes",NOT(ISNUMBER(VLOOKUP(DATE($A$2,$A$3+$A$1-1,P5),HolidayList[Date],1,0)))),TRUE,FALSE),FALSE)</f>
        <v>0</v>
      </c>
      <c r="Q4" s="15" t="b">
        <f>IFERROR(IF(AND(VLOOKUP(Q6,$NZ$16:$OA$22,2,0)="Yes",NOT(ISNUMBER(VLOOKUP(DATE($A$2,$A$3+$A$1-1,Q5),HolidayList[Date],1,0)))),TRUE,FALSE),FALSE)</f>
        <v>1</v>
      </c>
      <c r="R4" s="15" t="b">
        <f>IFERROR(IF(AND(VLOOKUP(R6,$NZ$16:$OA$22,2,0)="Yes",NOT(ISNUMBER(VLOOKUP(DATE($A$2,$A$3+$A$1-1,R5),HolidayList[Date],1,0)))),TRUE,FALSE),FALSE)</f>
        <v>1</v>
      </c>
      <c r="S4" s="15" t="b">
        <f>IFERROR(IF(AND(VLOOKUP(S6,$NZ$16:$OA$22,2,0)="Yes",NOT(ISNUMBER(VLOOKUP(DATE($A$2,$A$3+$A$1-1,S5),HolidayList[Date],1,0)))),TRUE,FALSE),FALSE)</f>
        <v>1</v>
      </c>
      <c r="T4" s="15" t="b">
        <f>IFERROR(IF(AND(VLOOKUP(T6,$NZ$16:$OA$22,2,0)="Yes",NOT(ISNUMBER(VLOOKUP(DATE($A$2,$A$3+$A$1-1,T5),HolidayList[Date],1,0)))),TRUE,FALSE),FALSE)</f>
        <v>1</v>
      </c>
      <c r="U4" s="15" t="b">
        <f>IFERROR(IF(AND(VLOOKUP(U6,$NZ$16:$OA$22,2,0)="Yes",NOT(ISNUMBER(VLOOKUP(DATE($A$2,$A$3+$A$1-1,U5),HolidayList[Date],1,0)))),TRUE,FALSE),FALSE)</f>
        <v>1</v>
      </c>
      <c r="V4" s="15" t="b">
        <f>IFERROR(IF(AND(VLOOKUP(V6,$NZ$16:$OA$22,2,0)="Yes",NOT(ISNUMBER(VLOOKUP(DATE($A$2,$A$3+$A$1-1,V5),HolidayList[Date],1,0)))),TRUE,FALSE),FALSE)</f>
        <v>0</v>
      </c>
      <c r="W4" s="15" t="b">
        <f>IFERROR(IF(AND(VLOOKUP(W6,$NZ$16:$OA$22,2,0)="Yes",NOT(ISNUMBER(VLOOKUP(DATE($A$2,$A$3+$A$1-1,W5),HolidayList[Date],1,0)))),TRUE,FALSE),FALSE)</f>
        <v>0</v>
      </c>
      <c r="X4" s="15" t="b">
        <f>IFERROR(IF(AND(VLOOKUP(X6,$NZ$16:$OA$22,2,0)="Yes",NOT(ISNUMBER(VLOOKUP(DATE($A$2,$A$3+$A$1-1,X5),HolidayList[Date],1,0)))),TRUE,FALSE),FALSE)</f>
        <v>1</v>
      </c>
      <c r="Y4" s="15" t="b">
        <f>IFERROR(IF(AND(VLOOKUP(Y6,$NZ$16:$OA$22,2,0)="Yes",NOT(ISNUMBER(VLOOKUP(DATE($A$2,$A$3+$A$1-1,Y5),HolidayList[Date],1,0)))),TRUE,FALSE),FALSE)</f>
        <v>1</v>
      </c>
      <c r="Z4" s="15" t="b">
        <f>IFERROR(IF(AND(VLOOKUP(Z6,$NZ$16:$OA$22,2,0)="Yes",NOT(ISNUMBER(VLOOKUP(DATE($A$2,$A$3+$A$1-1,Z5),HolidayList[Date],1,0)))),TRUE,FALSE),FALSE)</f>
        <v>1</v>
      </c>
      <c r="AA4" s="49" t="b">
        <f>IFERROR(IF(AND(VLOOKUP(AA6,$NZ$16:$OA$22,2,0)="Yes",NOT(ISNUMBER(VLOOKUP(DATE($A$2,$A$3+$A$1-1,AA5),HolidayList[Date],1,0)))),TRUE,FALSE),FALSE)</f>
        <v>1</v>
      </c>
      <c r="AB4" s="48" t="b">
        <f>IFERROR(IF(AND(VLOOKUP(AB6,$NZ$16:$OA$22,2,0)="Yes",NOT(ISNUMBER(VLOOKUP(DATE($A$2,$A$3+$A$1-1,AB5),HolidayList[Date],1,0)))),TRUE,FALSE),FALSE)</f>
        <v>1</v>
      </c>
      <c r="AC4" s="15" t="b">
        <f>IFERROR(IF(AND(VLOOKUP(AC6,$NZ$16:$OA$22,2,0)="Yes",NOT(ISNUMBER(VLOOKUP(DATE($A$2,$A$3+$A$1-1,AC5),HolidayList[Date],1,0)))),TRUE,FALSE),FALSE)</f>
        <v>0</v>
      </c>
      <c r="AD4" s="15" t="b">
        <f>IFERROR(IF(AND(VLOOKUP(AD6,$NZ$16:$OA$22,2,0)="Yes",NOT(ISNUMBER(VLOOKUP(DATE($A$2,$A$3+$A$1-1,AD5),HolidayList[Date],1,0)))),TRUE,FALSE),FALSE)</f>
        <v>0</v>
      </c>
      <c r="AE4" s="15" t="b">
        <f>IFERROR(IF(AND(VLOOKUP(AE6,$NZ$16:$OA$22,2,0)="Yes",NOT(ISNUMBER(VLOOKUP(DATE($A$2,$A$3+$A$1-1,AE5),HolidayList[Date],1,0)))),TRUE,FALSE),FALSE)</f>
        <v>1</v>
      </c>
      <c r="AF4" s="15" t="b">
        <f>IFERROR(IF(AND(VLOOKUP(AF6,$NZ$16:$OA$22,2,0)="Yes",NOT(ISNUMBER(VLOOKUP(DATE($A$2,$A$3+$A$1-1,AF5),HolidayList[Date],1,0)))),TRUE,FALSE),FALSE)</f>
        <v>0</v>
      </c>
      <c r="AG4" s="15" t="b">
        <f>IFERROR(IF(AND(VLOOKUP(AG6,$NZ$16:$OA$22,2,0)="Yes",NOT(ISNUMBER(VLOOKUP(DATE($A$2,$A$3+$A$1-1,AG5),HolidayList[Date],1,0)))),TRUE,FALSE),FALSE)</f>
        <v>0</v>
      </c>
      <c r="AH4" s="15" t="b">
        <f>IFERROR(IF(AND(VLOOKUP(AH6,$NZ$16:$OA$22,2,0)="Yes",NOT(ISNUMBER(VLOOKUP(DATE($A$2,$A$3+$A$1-1,AH5),HolidayList[Date],1,0)))),TRUE,FALSE),FALSE)</f>
        <v>0</v>
      </c>
      <c r="AI4" s="15" t="b">
        <f>IFERROR(IF(AND(VLOOKUP(AI6,$NZ$16:$OA$22,2,0)="Yes",NOT(ISNUMBER(VLOOKUP(DATE($A$2,$A$3+$A$1-1,AI5),HolidayList[Date],1,0)))),TRUE,FALSE),FALSE)</f>
        <v>0</v>
      </c>
      <c r="AJ4" s="15" t="b">
        <f>IFERROR(IF(AND(VLOOKUP(AJ6,$NZ$16:$OA$22,2,0)="Yes",NOT(ISNUMBER(VLOOKUP(DATE($A$2,$A$3+$A$1-1,AJ5),HolidayList[Date],1,0)))),TRUE,FALSE),FALSE)</f>
        <v>0</v>
      </c>
      <c r="AK4" s="15" t="b">
        <f>IFERROR(IF(AND(VLOOKUP(AK6,$NZ$16:$OA$22,2,0)="Yes",NOT(ISNUMBER(VLOOKUP(DATE($A$2,$A$3+$A$1-1,AK5),HolidayList[Date],1,0)))),TRUE,FALSE),FALSE)</f>
        <v>0</v>
      </c>
      <c r="AL4" s="15" t="b">
        <f>IFERROR(IF(AND(VLOOKUP(AL6,$NZ$16:$OA$22,2,0)="Yes",NOT(ISNUMBER(VLOOKUP(DATE($A$2,$A$3+$A$1-1,AL5),HolidayList[Date],1,0)))),TRUE,FALSE),FALSE)</f>
        <v>0</v>
      </c>
      <c r="AM4" s="15" t="b">
        <f>IFERROR(IF(AND(VLOOKUP(AM6,$NZ$16:$OA$22,2,0)="Yes",NOT(ISNUMBER(VLOOKUP(DATE($A$2,$A$3+$A$1-1,AM5),HolidayList[Date],1,0)))),TRUE,FALSE),FALSE)</f>
        <v>0</v>
      </c>
      <c r="AN4" s="15" t="b">
        <f>IFERROR(IF(AND(VLOOKUP(AN6,$NZ$16:$OA$22,2,0)="Yes",NOT(ISNUMBER(VLOOKUP(DATE($A$2,$A$3+$A$1-1,AN5),HolidayList[Date],1,0)))),TRUE,FALSE),FALSE)</f>
        <v>0</v>
      </c>
      <c r="AO4" s="15" t="b">
        <f>IFERROR(IF(AND(VLOOKUP(AO6,$NZ$16:$OA$22,2,0)="Yes",NOT(ISNUMBER(VLOOKUP(DATE($A$2,$A$3+$A$1-1,AO5),HolidayList[Date],1,0)))),TRUE,FALSE),FALSE)</f>
        <v>0</v>
      </c>
      <c r="AP4" s="15" t="b">
        <f>IFERROR(IF(AND(VLOOKUP(AP6,$NZ$16:$OA$22,2,0)="Yes",NOT(ISNUMBER(VLOOKUP(DATE($A$2,$A$3+$A$1-1,AP5),HolidayList[Date],1,0)))),TRUE,FALSE),FALSE)</f>
        <v>0</v>
      </c>
      <c r="AQ4" s="15" t="b">
        <f>IFERROR(IF(AND(VLOOKUP(AQ6,$NZ$16:$OA$22,2,0)="Yes",NOT(ISNUMBER(VLOOKUP(DATE($A$2,$A$3+$A$1-1,AQ5),HolidayList[Date],1,0)))),TRUE,FALSE),FALSE)</f>
        <v>0</v>
      </c>
      <c r="AR4" s="15" t="b">
        <f>IFERROR(IF(AND(VLOOKUP(AR6,$NZ$16:$OA$22,2,0)="Yes",NOT(ISNUMBER(VLOOKUP(DATE($A$2,$A$3+$A$1-1,AR5),HolidayList[Date],1,0)))),TRUE,FALSE),FALSE)</f>
        <v>0</v>
      </c>
      <c r="AS4" s="15" t="b">
        <f>IFERROR(IF(AND(VLOOKUP(AS6,$NZ$16:$OA$22,2,0)="Yes",NOT(ISNUMBER(VLOOKUP(DATE($A$2,$A$3+$A$1-1,AS5),HolidayList[Date],1,0)))),TRUE,FALSE),FALSE)</f>
        <v>0</v>
      </c>
      <c r="AT4" s="15" t="b">
        <f>IFERROR(IF(AND(VLOOKUP(AT6,$NZ$16:$OA$22,2,0)="Yes",NOT(ISNUMBER(VLOOKUP(DATE($A$2,$A$3+$A$1-1,AT5),HolidayList[Date],1,0)))),TRUE,FALSE),FALSE)</f>
        <v>0</v>
      </c>
      <c r="AU4" s="15" t="b">
        <f>IFERROR(IF(AND(VLOOKUP(AU6,$NZ$16:$OA$22,2,0)="Yes",NOT(ISNUMBER(VLOOKUP(DATE($A$2,$A$3+$A$1-1,AU5),HolidayList[Date],1,0)))),TRUE,FALSE),FALSE)</f>
        <v>0</v>
      </c>
      <c r="AV4" s="15" t="b">
        <f>IFERROR(IF(AND(VLOOKUP(AV6,$NZ$16:$OA$22,2,0)="Yes",NOT(ISNUMBER(VLOOKUP(DATE($A$2,$A$3+$A$1-1,AV5),HolidayList[Date],1,0)))),TRUE,FALSE),FALSE)</f>
        <v>0</v>
      </c>
      <c r="AW4" s="15" t="b">
        <f>IFERROR(IF(AND(VLOOKUP(AW6,$NZ$16:$OA$22,2,0)="Yes",NOT(ISNUMBER(VLOOKUP(DATE($A$2,$A$3+$A$1-1,AW5),HolidayList[Date],1,0)))),TRUE,FALSE),FALSE)</f>
        <v>0</v>
      </c>
      <c r="AX4" s="15" t="b">
        <f>IFERROR(IF(AND(VLOOKUP(AX6,$NZ$16:$OA$22,2,0)="Yes",NOT(ISNUMBER(VLOOKUP(DATE($A$2,$A$3+$A$1-1,AX5),HolidayList[Date],1,0)))),TRUE,FALSE),FALSE)</f>
        <v>0</v>
      </c>
      <c r="AY4" s="15" t="b">
        <f>IFERROR(IF(AND(VLOOKUP(AY6,$NZ$16:$OA$22,2,0)="Yes",NOT(ISNUMBER(VLOOKUP(DATE($A$2,$A$3+$A$1-1,AY5),HolidayList[Date],1,0)))),TRUE,FALSE),FALSE)</f>
        <v>0</v>
      </c>
      <c r="AZ4" s="15" t="b">
        <f>IFERROR(IF(AND(VLOOKUP(AZ6,$NZ$16:$OA$22,2,0)="Yes",NOT(ISNUMBER(VLOOKUP(DATE($A$2,$A$3+$A$1-1,AZ5),HolidayList[Date],1,0)))),TRUE,FALSE),FALSE)</f>
        <v>0</v>
      </c>
      <c r="BA4" s="15" t="b">
        <f>IFERROR(IF(AND(VLOOKUP(BA6,$NZ$16:$OA$22,2,0)="Yes",NOT(ISNUMBER(VLOOKUP(DATE($A$2,$A$3+$A$1-1,BA5),HolidayList[Date],1,0)))),TRUE,FALSE),FALSE)</f>
        <v>0</v>
      </c>
      <c r="BB4" s="15" t="b">
        <f>IFERROR(IF(AND(VLOOKUP(BB6,$NZ$16:$OA$22,2,0)="Yes",NOT(ISNUMBER(VLOOKUP(DATE($A$2,$A$3+$A$1-1,BB5),HolidayList[Date],1,0)))),TRUE,FALSE),FALSE)</f>
        <v>0</v>
      </c>
      <c r="BC4" s="15" t="b">
        <f>IFERROR(IF(AND(VLOOKUP(BC6,$NZ$16:$OA$22,2,0)="Yes",NOT(ISNUMBER(VLOOKUP(DATE($A$2,$A$3+$A$1-1,BC5),HolidayList[Date],1,0)))),TRUE,FALSE),FALSE)</f>
        <v>0</v>
      </c>
      <c r="BD4" s="15" t="b">
        <f>IFERROR(IF(AND(VLOOKUP(BD6,$NZ$16:$OA$22,2,0)="Yes",NOT(ISNUMBER(VLOOKUP(DATE($A$2,$A$3+$A$1-1,BD5),HolidayList[Date],1,0)))),TRUE,FALSE),FALSE)</f>
        <v>0</v>
      </c>
      <c r="BE4" s="15" t="b">
        <f>IFERROR(IF(AND(VLOOKUP(BE6,$NZ$16:$OA$22,2,0)="Yes",NOT(ISNUMBER(VLOOKUP(DATE($A$2,$A$3+$A$1-1,BE5),HolidayList[Date],1,0)))),TRUE,FALSE),FALSE)</f>
        <v>0</v>
      </c>
      <c r="BF4" s="15" t="b">
        <f>IFERROR(IF(AND(VLOOKUP(BF6,$NZ$16:$OA$22,2,0)="Yes",NOT(ISNUMBER(VLOOKUP(DATE($A$2,$A$3+$A$1-1,BF5),HolidayList[Date],1,0)))),TRUE,FALSE),FALSE)</f>
        <v>0</v>
      </c>
      <c r="BG4" s="15" t="b">
        <f>IFERROR(IF(AND(VLOOKUP(BG6,$NZ$16:$OA$22,2,0)="Yes",NOT(ISNUMBER(VLOOKUP(DATE($A$2,$A$3+$A$1-1,BG5),HolidayList[Date],1,0)))),TRUE,FALSE),FALSE)</f>
        <v>0</v>
      </c>
      <c r="BH4" s="15" t="b">
        <f>IFERROR(IF(AND(VLOOKUP(BH6,$NZ$16:$OA$22,2,0)="Yes",NOT(ISNUMBER(VLOOKUP(DATE($A$2,$A$3+$A$1-1,BH5),HolidayList[Date],1,0)))),TRUE,FALSE),FALSE)</f>
        <v>0</v>
      </c>
      <c r="BI4" s="15" t="b">
        <f>IFERROR(IF(AND(VLOOKUP(BI6,$NZ$16:$OA$22,2,0)="Yes",NOT(ISNUMBER(VLOOKUP(DATE($A$2,$A$3+$A$1-1,BI5),HolidayList[Date],1,0)))),TRUE,FALSE),FALSE)</f>
        <v>0</v>
      </c>
      <c r="BJ4" s="15" t="b">
        <f>IFERROR(IF(AND(VLOOKUP(BJ6,$NZ$16:$OA$22,2,0)="Yes",NOT(ISNUMBER(VLOOKUP(DATE($A$2,$A$3+$A$1-1,BJ5),HolidayList[Date],1,0)))),TRUE,FALSE),FALSE)</f>
        <v>0</v>
      </c>
      <c r="BK4" s="15" t="b">
        <f>IFERROR(IF(AND(VLOOKUP(BK6,$NZ$16:$OA$22,2,0)="Yes",NOT(ISNUMBER(VLOOKUP(DATE($A$2,$A$3+$A$1-1,BK5),HolidayList[Date],1,0)))),TRUE,FALSE),FALSE)</f>
        <v>0</v>
      </c>
      <c r="BL4" s="15" t="b">
        <f>IFERROR(IF(AND(VLOOKUP(BL6,$NZ$16:$OA$22,2,0)="Yes",NOT(ISNUMBER(VLOOKUP(DATE($A$2,$A$3+$A$1-1,BL5),HolidayList[Date],1,0)))),TRUE,FALSE),FALSE)</f>
        <v>0</v>
      </c>
      <c r="BM4" s="15" t="b">
        <f>IFERROR(IF(AND(VLOOKUP(BM6,$NZ$16:$OA$22,2,0)="Yes",NOT(ISNUMBER(VLOOKUP(DATE($A$2,$A$3+$A$1-1,BM5),HolidayList[Date],1,0)))),TRUE,FALSE),FALSE)</f>
        <v>0</v>
      </c>
      <c r="BN4" s="15" t="b">
        <f>IFERROR(IF(AND(VLOOKUP(BN6,$NZ$16:$OA$22,2,0)="Yes",NOT(ISNUMBER(VLOOKUP(DATE($A$2,$A$3+$A$1-1,BN5),HolidayList[Date],1,0)))),TRUE,FALSE),FALSE)</f>
        <v>0</v>
      </c>
      <c r="BO4" s="15" t="b">
        <f>IFERROR(IF(AND(VLOOKUP(BO6,$NZ$16:$OA$22,2,0)="Yes",NOT(ISNUMBER(VLOOKUP(DATE($A$2,$A$3+$A$1-1,BO5),HolidayList[Date],1,0)))),TRUE,FALSE),FALSE)</f>
        <v>0</v>
      </c>
      <c r="BP4" s="15" t="b">
        <f>IFERROR(IF(AND(VLOOKUP(BP6,$NZ$16:$OA$22,2,0)="Yes",NOT(ISNUMBER(VLOOKUP(DATE($A$2,$A$3+$A$1-1,BP5),HolidayList[Date],1,0)))),TRUE,FALSE),FALSE)</f>
        <v>0</v>
      </c>
      <c r="BQ4" s="15" t="b">
        <f>IFERROR(IF(AND(VLOOKUP(BQ6,$NZ$16:$OA$22,2,0)="Yes",NOT(ISNUMBER(VLOOKUP(DATE($A$2,$A$3+$A$1-1,BQ5),HolidayList[Date],1,0)))),TRUE,FALSE),FALSE)</f>
        <v>0</v>
      </c>
      <c r="BR4" s="15" t="b">
        <f>IFERROR(IF(AND(VLOOKUP(BR6,$NZ$16:$OA$22,2,0)="Yes",NOT(ISNUMBER(VLOOKUP(DATE($A$2,$A$3+$A$1-1,BR5),HolidayList[Date],1,0)))),TRUE,FALSE),FALSE)</f>
        <v>0</v>
      </c>
      <c r="BS4" s="15" t="b">
        <f>IFERROR(IF(AND(VLOOKUP(BS6,$NZ$16:$OA$22,2,0)="Yes",NOT(ISNUMBER(VLOOKUP(DATE($A$2,$A$3+$A$1-1,BS5),HolidayList[Date],1,0)))),TRUE,FALSE),FALSE)</f>
        <v>0</v>
      </c>
      <c r="BT4" s="15" t="b">
        <f>IFERROR(IF(AND(VLOOKUP(BT6,$NZ$16:$OA$22,2,0)="Yes",NOT(ISNUMBER(VLOOKUP(DATE($A$2,$A$3+$A$1-1,BT5),HolidayList[Date],1,0)))),TRUE,FALSE),FALSE)</f>
        <v>0</v>
      </c>
      <c r="BU4" s="15" t="b">
        <f>IFERROR(IF(AND(VLOOKUP(BU6,$NZ$16:$OA$22,2,0)="Yes",NOT(ISNUMBER(VLOOKUP(DATE($A$2,$A$3+$A$1-1,BU5),HolidayList[Date],1,0)))),TRUE,FALSE),FALSE)</f>
        <v>0</v>
      </c>
      <c r="BV4" s="15" t="b">
        <f>IFERROR(IF(AND(VLOOKUP(BV6,$NZ$16:$OA$22,2,0)="Yes",NOT(ISNUMBER(VLOOKUP(DATE($A$2,$A$3+$A$1-1,BV5),HolidayList[Date],1,0)))),TRUE,FALSE),FALSE)</f>
        <v>0</v>
      </c>
      <c r="BW4" s="15" t="b">
        <f>IFERROR(IF(AND(VLOOKUP(BW6,$NZ$16:$OA$22,2,0)="Yes",NOT(ISNUMBER(VLOOKUP(DATE($A$2,$A$3+$A$1-1,BW5),HolidayList[Date],1,0)))),TRUE,FALSE),FALSE)</f>
        <v>0</v>
      </c>
      <c r="BX4" s="15" t="b">
        <f>IFERROR(IF(AND(VLOOKUP(BX6,$NZ$16:$OA$22,2,0)="Yes",NOT(ISNUMBER(VLOOKUP(DATE($A$2,$A$3+$A$1-1,BX5),HolidayList[Date],1,0)))),TRUE,FALSE),FALSE)</f>
        <v>0</v>
      </c>
      <c r="BY4" s="15" t="b">
        <f>IFERROR(IF(AND(VLOOKUP(BY6,$NZ$16:$OA$22,2,0)="Yes",NOT(ISNUMBER(VLOOKUP(DATE($A$2,$A$3+$A$1-1,BY5),HolidayList[Date],1,0)))),TRUE,FALSE),FALSE)</f>
        <v>0</v>
      </c>
      <c r="BZ4" s="15" t="b">
        <f>IFERROR(IF(AND(VLOOKUP(BZ6,$NZ$16:$OA$22,2,0)="Yes",NOT(ISNUMBER(VLOOKUP(DATE($A$2,$A$3+$A$1-1,BZ5),HolidayList[Date],1,0)))),TRUE,FALSE),FALSE)</f>
        <v>0</v>
      </c>
      <c r="CA4" s="15" t="b">
        <f>IFERROR(IF(AND(VLOOKUP(CA6,$NZ$16:$OA$22,2,0)="Yes",NOT(ISNUMBER(VLOOKUP(DATE($A$2,$A$3+$A$1-1,CA5),HolidayList[Date],1,0)))),TRUE,FALSE),FALSE)</f>
        <v>0</v>
      </c>
      <c r="CB4" s="15" t="b">
        <f>IFERROR(IF(AND(VLOOKUP(CB6,$NZ$16:$OA$22,2,0)="Yes",NOT(ISNUMBER(VLOOKUP(DATE($A$2,$A$3+$A$1-1,CB5),HolidayList[Date],1,0)))),TRUE,FALSE),FALSE)</f>
        <v>0</v>
      </c>
      <c r="CC4" s="15" t="b">
        <f>IFERROR(IF(AND(VLOOKUP(CC6,$NZ$16:$OA$22,2,0)="Yes",NOT(ISNUMBER(VLOOKUP(DATE($A$2,$A$3+$A$1-1,CC5),HolidayList[Date],1,0)))),TRUE,FALSE),FALSE)</f>
        <v>0</v>
      </c>
      <c r="CD4" s="15" t="b">
        <f>IFERROR(IF(AND(VLOOKUP(CD6,$NZ$16:$OA$22,2,0)="Yes",NOT(ISNUMBER(VLOOKUP(DATE($A$2,$A$3+$A$1-1,CD5),HolidayList[Date],1,0)))),TRUE,FALSE),FALSE)</f>
        <v>0</v>
      </c>
      <c r="CE4" s="15" t="b">
        <f>IFERROR(IF(AND(VLOOKUP(CE6,$NZ$16:$OA$22,2,0)="Yes",NOT(ISNUMBER(VLOOKUP(DATE($A$2,$A$3+$A$1-1,CE5),HolidayList[Date],1,0)))),TRUE,FALSE),FALSE)</f>
        <v>0</v>
      </c>
      <c r="CF4" s="15" t="b">
        <f>IFERROR(IF(AND(VLOOKUP(CF6,$NZ$16:$OA$22,2,0)="Yes",NOT(ISNUMBER(VLOOKUP(DATE($A$2,$A$3+$A$1-1,CF5),HolidayList[Date],1,0)))),TRUE,FALSE),FALSE)</f>
        <v>0</v>
      </c>
      <c r="CG4" s="15" t="b">
        <f>IFERROR(IF(AND(VLOOKUP(CG6,$NZ$16:$OA$22,2,0)="Yes",NOT(ISNUMBER(VLOOKUP(DATE($A$2,$A$3+$A$1-1,CG5),HolidayList[Date],1,0)))),TRUE,FALSE),FALSE)</f>
        <v>0</v>
      </c>
      <c r="CH4" s="15" t="b">
        <f>IFERROR(IF(AND(VLOOKUP(CH6,$NZ$16:$OA$22,2,0)="Yes",NOT(ISNUMBER(VLOOKUP(DATE($A$2,$A$3+$A$1-1,CH5),HolidayList[Date],1,0)))),TRUE,FALSE),FALSE)</f>
        <v>0</v>
      </c>
      <c r="CI4" s="15" t="b">
        <f>IFERROR(IF(AND(VLOOKUP(CI6,$NZ$16:$OA$22,2,0)="Yes",NOT(ISNUMBER(VLOOKUP(DATE($A$2,$A$3+$A$1-1,CI5),HolidayList[Date],1,0)))),TRUE,FALSE),FALSE)</f>
        <v>0</v>
      </c>
      <c r="CJ4" s="15" t="b">
        <f>IFERROR(IF(AND(VLOOKUP(CJ6,$NZ$16:$OA$22,2,0)="Yes",NOT(ISNUMBER(VLOOKUP(DATE($A$2,$A$3+$A$1-1,CJ5),HolidayList[Date],1,0)))),TRUE,FALSE),FALSE)</f>
        <v>0</v>
      </c>
      <c r="CK4" s="15" t="b">
        <f>IFERROR(IF(AND(VLOOKUP(CK6,$NZ$16:$OA$22,2,0)="Yes",NOT(ISNUMBER(VLOOKUP(DATE($A$2,$A$3+$A$1-1,CK5),HolidayList[Date],1,0)))),TRUE,FALSE),FALSE)</f>
        <v>0</v>
      </c>
      <c r="CL4" s="15" t="b">
        <f>IFERROR(IF(AND(VLOOKUP(CL6,$NZ$16:$OA$22,2,0)="Yes",NOT(ISNUMBER(VLOOKUP(DATE($A$2,$A$3+$A$1-1,CL5),HolidayList[Date],1,0)))),TRUE,FALSE),FALSE)</f>
        <v>0</v>
      </c>
      <c r="CM4" s="15" t="b">
        <f>IFERROR(IF(AND(VLOOKUP(CM6,$NZ$16:$OA$22,2,0)="Yes",NOT(ISNUMBER(VLOOKUP(DATE($A$2,$A$3+$A$1-1,CM5),HolidayList[Date],1,0)))),TRUE,FALSE),FALSE)</f>
        <v>0</v>
      </c>
      <c r="CN4" s="15" t="b">
        <f>IFERROR(IF(AND(VLOOKUP(CN6,$NZ$16:$OA$22,2,0)="Yes",NOT(ISNUMBER(VLOOKUP(DATE($A$2,$A$3+$A$1-1,CN5),HolidayList[Date],1,0)))),TRUE,FALSE),FALSE)</f>
        <v>0</v>
      </c>
      <c r="CO4" s="15" t="b">
        <f>IFERROR(IF(AND(VLOOKUP(CO6,$NZ$16:$OA$22,2,0)="Yes",NOT(ISNUMBER(VLOOKUP(DATE($A$2,$A$3+$A$1-1,CO5),HolidayList[Date],1,0)))),TRUE,FALSE),FALSE)</f>
        <v>0</v>
      </c>
      <c r="CP4" s="15" t="b">
        <f>IFERROR(IF(AND(VLOOKUP(CP6,$NZ$16:$OA$22,2,0)="Yes",NOT(ISNUMBER(VLOOKUP(DATE($A$2,$A$3+$A$1-1,CP5),HolidayList[Date],1,0)))),TRUE,FALSE),FALSE)</f>
        <v>0</v>
      </c>
      <c r="CQ4" s="15" t="b">
        <f>IFERROR(IF(AND(VLOOKUP(CQ6,$NZ$16:$OA$22,2,0)="Yes",NOT(ISNUMBER(VLOOKUP(DATE($A$2,$A$3+$A$1-1,CQ5),HolidayList[Date],1,0)))),TRUE,FALSE),FALSE)</f>
        <v>0</v>
      </c>
      <c r="CR4" s="15" t="b">
        <f>IFERROR(IF(AND(VLOOKUP(CR6,$NZ$16:$OA$22,2,0)="Yes",NOT(ISNUMBER(VLOOKUP(DATE($A$2,$A$3+$A$1-1,CR5),HolidayList[Date],1,0)))),TRUE,FALSE),FALSE)</f>
        <v>0</v>
      </c>
      <c r="CS4" s="15" t="b">
        <f>IFERROR(IF(AND(VLOOKUP(CS6,$NZ$16:$OA$22,2,0)="Yes",NOT(ISNUMBER(VLOOKUP(DATE($A$2,$A$3+$A$1-1,CS5),HolidayList[Date],1,0)))),TRUE,FALSE),FALSE)</f>
        <v>0</v>
      </c>
      <c r="CT4" s="15" t="b">
        <f>IFERROR(IF(AND(VLOOKUP(CT6,$NZ$16:$OA$22,2,0)="Yes",NOT(ISNUMBER(VLOOKUP(DATE($A$2,$A$3+$A$1-1,CT5),HolidayList[Date],1,0)))),TRUE,FALSE),FALSE)</f>
        <v>0</v>
      </c>
      <c r="CU4" s="15" t="b">
        <f>IFERROR(IF(AND(VLOOKUP(CU6,$NZ$16:$OA$22,2,0)="Yes",NOT(ISNUMBER(VLOOKUP(DATE($A$2,$A$3+$A$1-1,CU5),HolidayList[Date],1,0)))),TRUE,FALSE),FALSE)</f>
        <v>0</v>
      </c>
      <c r="CV4" s="15" t="b">
        <f>IFERROR(IF(AND(VLOOKUP(CV6,$NZ$16:$OA$22,2,0)="Yes",NOT(ISNUMBER(VLOOKUP(DATE($A$2,$A$3+$A$1-1,CV5),HolidayList[Date],1,0)))),TRUE,FALSE),FALSE)</f>
        <v>0</v>
      </c>
      <c r="CW4" s="15" t="b">
        <f>IFERROR(IF(AND(VLOOKUP(CW6,$NZ$16:$OA$22,2,0)="Yes",NOT(ISNUMBER(VLOOKUP(DATE($A$2,$A$3+$A$1-1,CW5),HolidayList[Date],1,0)))),TRUE,FALSE),FALSE)</f>
        <v>0</v>
      </c>
      <c r="CX4" s="15" t="b">
        <f>IFERROR(IF(AND(VLOOKUP(CX6,$NZ$16:$OA$22,2,0)="Yes",NOT(ISNUMBER(VLOOKUP(DATE($A$2,$A$3+$A$1-1,CX5),HolidayList[Date],1,0)))),TRUE,FALSE),FALSE)</f>
        <v>0</v>
      </c>
      <c r="CY4" s="15" t="b">
        <f>IFERROR(IF(AND(VLOOKUP(CY6,$NZ$16:$OA$22,2,0)="Yes",NOT(ISNUMBER(VLOOKUP(DATE($A$2,$A$3+$A$1-1,CY5),HolidayList[Date],1,0)))),TRUE,FALSE),FALSE)</f>
        <v>0</v>
      </c>
      <c r="CZ4" s="15" t="b">
        <f>IFERROR(IF(AND(VLOOKUP(CZ6,$NZ$16:$OA$22,2,0)="Yes",NOT(ISNUMBER(VLOOKUP(DATE($A$2,$A$3+$A$1-1,CZ5),HolidayList[Date],1,0)))),TRUE,FALSE),FALSE)</f>
        <v>0</v>
      </c>
      <c r="DA4" s="15" t="b">
        <f>IFERROR(IF(AND(VLOOKUP(DA6,$NZ$16:$OA$22,2,0)="Yes",NOT(ISNUMBER(VLOOKUP(DATE($A$2,$A$3+$A$1-1,DA5),HolidayList[Date],1,0)))),TRUE,FALSE),FALSE)</f>
        <v>0</v>
      </c>
      <c r="DB4" s="15" t="b">
        <f>IFERROR(IF(AND(VLOOKUP(DB6,$NZ$16:$OA$22,2,0)="Yes",NOT(ISNUMBER(VLOOKUP(DATE($A$2,$A$3+$A$1-1,DB5),HolidayList[Date],1,0)))),TRUE,FALSE),FALSE)</f>
        <v>0</v>
      </c>
      <c r="DC4" s="15" t="b">
        <f>IFERROR(IF(AND(VLOOKUP(DC6,$NZ$16:$OA$22,2,0)="Yes",NOT(ISNUMBER(VLOOKUP(DATE($A$2,$A$3+$A$1-1,DC5),HolidayList[Date],1,0)))),TRUE,FALSE),FALSE)</f>
        <v>0</v>
      </c>
      <c r="DD4" s="15" t="b">
        <f>IFERROR(IF(AND(VLOOKUP(DD6,$NZ$16:$OA$22,2,0)="Yes",NOT(ISNUMBER(VLOOKUP(DATE($A$2,$A$3+$A$1-1,DD5),HolidayList[Date],1,0)))),TRUE,FALSE),FALSE)</f>
        <v>0</v>
      </c>
      <c r="DE4" s="15" t="b">
        <f>IFERROR(IF(AND(VLOOKUP(DE6,$NZ$16:$OA$22,2,0)="Yes",NOT(ISNUMBER(VLOOKUP(DATE($A$2,$A$3+$A$1-1,DE5),HolidayList[Date],1,0)))),TRUE,FALSE),FALSE)</f>
        <v>0</v>
      </c>
      <c r="DF4" s="15" t="b">
        <f>IFERROR(IF(AND(VLOOKUP(DF6,$NZ$16:$OA$22,2,0)="Yes",NOT(ISNUMBER(VLOOKUP(DATE($A$2,$A$3+$A$1-1,DF5),HolidayList[Date],1,0)))),TRUE,FALSE),FALSE)</f>
        <v>0</v>
      </c>
      <c r="DG4" s="15" t="b">
        <f>IFERROR(IF(AND(VLOOKUP(DG6,$NZ$16:$OA$22,2,0)="Yes",NOT(ISNUMBER(VLOOKUP(DATE($A$2,$A$3+$A$1-1,DG5),HolidayList[Date],1,0)))),TRUE,FALSE),FALSE)</f>
        <v>0</v>
      </c>
      <c r="DH4" s="15" t="b">
        <f>IFERROR(IF(AND(VLOOKUP(DH6,$NZ$16:$OA$22,2,0)="Yes",NOT(ISNUMBER(VLOOKUP(DATE($A$2,$A$3+$A$1-1,DH5),HolidayList[Date],1,0)))),TRUE,FALSE),FALSE)</f>
        <v>0</v>
      </c>
      <c r="DI4" s="15" t="b">
        <f>IFERROR(IF(AND(VLOOKUP(DI6,$NZ$16:$OA$22,2,0)="Yes",NOT(ISNUMBER(VLOOKUP(DATE($A$2,$A$3+$A$1-1,DI5),HolidayList[Date],1,0)))),TRUE,FALSE),FALSE)</f>
        <v>0</v>
      </c>
      <c r="DJ4" s="15" t="b">
        <f>IFERROR(IF(AND(VLOOKUP(DJ6,$NZ$16:$OA$22,2,0)="Yes",NOT(ISNUMBER(VLOOKUP(DATE($A$2,$A$3+$A$1-1,DJ5),HolidayList[Date],1,0)))),TRUE,FALSE),FALSE)</f>
        <v>0</v>
      </c>
      <c r="DK4" s="15" t="b">
        <f>IFERROR(IF(AND(VLOOKUP(DK6,$NZ$16:$OA$22,2,0)="Yes",NOT(ISNUMBER(VLOOKUP(DATE($A$2,$A$3+$A$1-1,DK5),HolidayList[Date],1,0)))),TRUE,FALSE),FALSE)</f>
        <v>0</v>
      </c>
      <c r="DL4" s="15" t="b">
        <f>IFERROR(IF(AND(VLOOKUP(DL6,$NZ$16:$OA$22,2,0)="Yes",NOT(ISNUMBER(VLOOKUP(DATE($A$2,$A$3+$A$1-1,DL5),HolidayList[Date],1,0)))),TRUE,FALSE),FALSE)</f>
        <v>0</v>
      </c>
      <c r="DM4" s="15" t="b">
        <f>IFERROR(IF(AND(VLOOKUP(DM6,$NZ$16:$OA$22,2,0)="Yes",NOT(ISNUMBER(VLOOKUP(DATE($A$2,$A$3+$A$1-1,DM5),HolidayList[Date],1,0)))),TRUE,FALSE),FALSE)</f>
        <v>0</v>
      </c>
      <c r="DN4" s="15" t="b">
        <f>IFERROR(IF(AND(VLOOKUP(DN6,$NZ$16:$OA$22,2,0)="Yes",NOT(ISNUMBER(VLOOKUP(DATE($A$2,$A$3+$A$1-1,DN5),HolidayList[Date],1,0)))),TRUE,FALSE),FALSE)</f>
        <v>0</v>
      </c>
      <c r="DO4" s="15" t="b">
        <f>IFERROR(IF(AND(VLOOKUP(DO6,$NZ$16:$OA$22,2,0)="Yes",NOT(ISNUMBER(VLOOKUP(DATE($A$2,$A$3+$A$1-1,DO5),HolidayList[Date],1,0)))),TRUE,FALSE),FALSE)</f>
        <v>0</v>
      </c>
      <c r="DP4" s="15" t="b">
        <f>IFERROR(IF(AND(VLOOKUP(DP6,$NZ$16:$OA$22,2,0)="Yes",NOT(ISNUMBER(VLOOKUP(DATE($A$2,$A$3+$A$1-1,DP5),HolidayList[Date],1,0)))),TRUE,FALSE),FALSE)</f>
        <v>0</v>
      </c>
      <c r="DQ4" s="15" t="b">
        <f>IFERROR(IF(AND(VLOOKUP(DQ6,$NZ$16:$OA$22,2,0)="Yes",NOT(ISNUMBER(VLOOKUP(DATE($A$2,$A$3+$A$1-1,DQ5),HolidayList[Date],1,0)))),TRUE,FALSE),FALSE)</f>
        <v>0</v>
      </c>
      <c r="DR4" s="15" t="b">
        <f>IFERROR(IF(AND(VLOOKUP(DR6,$NZ$16:$OA$22,2,0)="Yes",NOT(ISNUMBER(VLOOKUP(DATE($A$2,$A$3+$A$1-1,DR5),HolidayList[Date],1,0)))),TRUE,FALSE),FALSE)</f>
        <v>0</v>
      </c>
      <c r="DS4" s="15" t="b">
        <f>IFERROR(IF(AND(VLOOKUP(DS6,$NZ$16:$OA$22,2,0)="Yes",NOT(ISNUMBER(VLOOKUP(DATE($A$2,$A$3+$A$1-1,DS5),HolidayList[Date],1,0)))),TRUE,FALSE),FALSE)</f>
        <v>0</v>
      </c>
      <c r="DT4" s="15" t="b">
        <f>IFERROR(IF(AND(VLOOKUP(DT6,$NZ$16:$OA$22,2,0)="Yes",NOT(ISNUMBER(VLOOKUP(DATE($A$2,$A$3+$A$1-1,DT5),HolidayList[Date],1,0)))),TRUE,FALSE),FALSE)</f>
        <v>0</v>
      </c>
      <c r="DU4" s="15" t="b">
        <f>IFERROR(IF(AND(VLOOKUP(DU6,$NZ$16:$OA$22,2,0)="Yes",NOT(ISNUMBER(VLOOKUP(DATE($A$2,$A$3+$A$1-1,DU5),HolidayList[Date],1,0)))),TRUE,FALSE),FALSE)</f>
        <v>0</v>
      </c>
      <c r="DV4" s="15" t="b">
        <f>IFERROR(IF(AND(VLOOKUP(DV6,$NZ$16:$OA$22,2,0)="Yes",NOT(ISNUMBER(VLOOKUP(DATE($A$2,$A$3+$A$1-1,DV5),HolidayList[Date],1,0)))),TRUE,FALSE),FALSE)</f>
        <v>0</v>
      </c>
      <c r="DW4" s="15" t="b">
        <f>IFERROR(IF(AND(VLOOKUP(DW6,$NZ$16:$OA$22,2,0)="Yes",NOT(ISNUMBER(VLOOKUP(DATE($A$2,$A$3+$A$1-1,DW5),HolidayList[Date],1,0)))),TRUE,FALSE),FALSE)</f>
        <v>0</v>
      </c>
      <c r="DX4" s="15" t="b">
        <f>IFERROR(IF(AND(VLOOKUP(DX6,$NZ$16:$OA$22,2,0)="Yes",NOT(ISNUMBER(VLOOKUP(DATE($A$2,$A$3+$A$1-1,DX5),HolidayList[Date],1,0)))),TRUE,FALSE),FALSE)</f>
        <v>0</v>
      </c>
      <c r="DY4" s="15" t="b">
        <f>IFERROR(IF(AND(VLOOKUP(DY6,$NZ$16:$OA$22,2,0)="Yes",NOT(ISNUMBER(VLOOKUP(DATE($A$2,$A$3+$A$1-1,DY5),HolidayList[Date],1,0)))),TRUE,FALSE),FALSE)</f>
        <v>0</v>
      </c>
      <c r="DZ4" s="15" t="b">
        <f>IFERROR(IF(AND(VLOOKUP(DZ6,$NZ$16:$OA$22,2,0)="Yes",NOT(ISNUMBER(VLOOKUP(DATE($A$2,$A$3+$A$1-1,DZ5),HolidayList[Date],1,0)))),TRUE,FALSE),FALSE)</f>
        <v>0</v>
      </c>
      <c r="EA4" s="15" t="b">
        <f>IFERROR(IF(AND(VLOOKUP(EA6,$NZ$16:$OA$22,2,0)="Yes",NOT(ISNUMBER(VLOOKUP(DATE($A$2,$A$3+$A$1-1,EA5),HolidayList[Date],1,0)))),TRUE,FALSE),FALSE)</f>
        <v>0</v>
      </c>
      <c r="EB4" s="15" t="b">
        <f>IFERROR(IF(AND(VLOOKUP(EB6,$NZ$16:$OA$22,2,0)="Yes",NOT(ISNUMBER(VLOOKUP(DATE($A$2,$A$3+$A$1-1,EB5),HolidayList[Date],1,0)))),TRUE,FALSE),FALSE)</f>
        <v>0</v>
      </c>
      <c r="EC4" s="15" t="b">
        <f>IFERROR(IF(AND(VLOOKUP(EC6,$NZ$16:$OA$22,2,0)="Yes",NOT(ISNUMBER(VLOOKUP(DATE($A$2,$A$3+$A$1-1,EC5),HolidayList[Date],1,0)))),TRUE,FALSE),FALSE)</f>
        <v>0</v>
      </c>
      <c r="ED4" s="15" t="b">
        <f>IFERROR(IF(AND(VLOOKUP(ED6,$NZ$16:$OA$22,2,0)="Yes",NOT(ISNUMBER(VLOOKUP(DATE($A$2,$A$3+$A$1-1,ED5),HolidayList[Date],1,0)))),TRUE,FALSE),FALSE)</f>
        <v>0</v>
      </c>
      <c r="EE4" s="15" t="b">
        <f>IFERROR(IF(AND(VLOOKUP(EE6,$NZ$16:$OA$22,2,0)="Yes",NOT(ISNUMBER(VLOOKUP(DATE($A$2,$A$3+$A$1-1,EE5),HolidayList[Date],1,0)))),TRUE,FALSE),FALSE)</f>
        <v>0</v>
      </c>
      <c r="EF4" s="15" t="b">
        <f>IFERROR(IF(AND(VLOOKUP(EF6,$NZ$16:$OA$22,2,0)="Yes",NOT(ISNUMBER(VLOOKUP(DATE($A$2,$A$3+$A$1-1,EF5),HolidayList[Date],1,0)))),TRUE,FALSE),FALSE)</f>
        <v>0</v>
      </c>
      <c r="EG4" s="15" t="b">
        <f>IFERROR(IF(AND(VLOOKUP(EG6,$NZ$16:$OA$22,2,0)="Yes",NOT(ISNUMBER(VLOOKUP(DATE($A$2,$A$3+$A$1-1,EG5),HolidayList[Date],1,0)))),TRUE,FALSE),FALSE)</f>
        <v>0</v>
      </c>
      <c r="EH4" s="15" t="b">
        <f>IFERROR(IF(AND(VLOOKUP(EH6,$NZ$16:$OA$22,2,0)="Yes",NOT(ISNUMBER(VLOOKUP(DATE($A$2,$A$3+$A$1-1,EH5),HolidayList[Date],1,0)))),TRUE,FALSE),FALSE)</f>
        <v>0</v>
      </c>
      <c r="EI4" s="15" t="b">
        <f>IFERROR(IF(AND(VLOOKUP(EI6,$NZ$16:$OA$22,2,0)="Yes",NOT(ISNUMBER(VLOOKUP(DATE($A$2,$A$3+$A$1-1,EI5),HolidayList[Date],1,0)))),TRUE,FALSE),FALSE)</f>
        <v>0</v>
      </c>
      <c r="EJ4" s="15" t="b">
        <f>IFERROR(IF(AND(VLOOKUP(EJ6,$NZ$16:$OA$22,2,0)="Yes",NOT(ISNUMBER(VLOOKUP(DATE($A$2,$A$3+$A$1-1,EJ5),HolidayList[Date],1,0)))),TRUE,FALSE),FALSE)</f>
        <v>0</v>
      </c>
      <c r="EK4" s="15" t="b">
        <f>IFERROR(IF(AND(VLOOKUP(EK6,$NZ$16:$OA$22,2,0)="Yes",NOT(ISNUMBER(VLOOKUP(DATE($A$2,$A$3+$A$1-1,EK5),HolidayList[Date],1,0)))),TRUE,FALSE),FALSE)</f>
        <v>0</v>
      </c>
      <c r="EL4" s="15" t="b">
        <f>IFERROR(IF(AND(VLOOKUP(EL6,$NZ$16:$OA$22,2,0)="Yes",NOT(ISNUMBER(VLOOKUP(DATE($A$2,$A$3+$A$1-1,EL5),HolidayList[Date],1,0)))),TRUE,FALSE),FALSE)</f>
        <v>0</v>
      </c>
      <c r="EM4" s="15" t="b">
        <f>IFERROR(IF(AND(VLOOKUP(EM6,$NZ$16:$OA$22,2,0)="Yes",NOT(ISNUMBER(VLOOKUP(DATE($A$2,$A$3+$A$1-1,EM5),HolidayList[Date],1,0)))),TRUE,FALSE),FALSE)</f>
        <v>0</v>
      </c>
      <c r="EN4" s="15" t="b">
        <f>IFERROR(IF(AND(VLOOKUP(EN6,$NZ$16:$OA$22,2,0)="Yes",NOT(ISNUMBER(VLOOKUP(DATE($A$2,$A$3+$A$1-1,EN5),HolidayList[Date],1,0)))),TRUE,FALSE),FALSE)</f>
        <v>0</v>
      </c>
      <c r="EO4" s="15" t="b">
        <f>IFERROR(IF(AND(VLOOKUP(EO6,$NZ$16:$OA$22,2,0)="Yes",NOT(ISNUMBER(VLOOKUP(DATE($A$2,$A$3+$A$1-1,EO5),HolidayList[Date],1,0)))),TRUE,FALSE),FALSE)</f>
        <v>0</v>
      </c>
      <c r="EP4" s="15" t="b">
        <f>IFERROR(IF(AND(VLOOKUP(EP6,$NZ$16:$OA$22,2,0)="Yes",NOT(ISNUMBER(VLOOKUP(DATE($A$2,$A$3+$A$1-1,EP5),HolidayList[Date],1,0)))),TRUE,FALSE),FALSE)</f>
        <v>0</v>
      </c>
      <c r="EQ4" s="15" t="b">
        <f>IFERROR(IF(AND(VLOOKUP(EQ6,$NZ$16:$OA$22,2,0)="Yes",NOT(ISNUMBER(VLOOKUP(DATE($A$2,$A$3+$A$1-1,EQ5),HolidayList[Date],1,0)))),TRUE,FALSE),FALSE)</f>
        <v>0</v>
      </c>
      <c r="ER4" s="15" t="b">
        <f>IFERROR(IF(AND(VLOOKUP(ER6,$NZ$16:$OA$22,2,0)="Yes",NOT(ISNUMBER(VLOOKUP(DATE($A$2,$A$3+$A$1-1,ER5),HolidayList[Date],1,0)))),TRUE,FALSE),FALSE)</f>
        <v>0</v>
      </c>
      <c r="ES4" s="15" t="b">
        <f>IFERROR(IF(AND(VLOOKUP(ES6,$NZ$16:$OA$22,2,0)="Yes",NOT(ISNUMBER(VLOOKUP(DATE($A$2,$A$3+$A$1-1,ES5),HolidayList[Date],1,0)))),TRUE,FALSE),FALSE)</f>
        <v>0</v>
      </c>
      <c r="ET4" s="15" t="b">
        <f>IFERROR(IF(AND(VLOOKUP(ET6,$NZ$16:$OA$22,2,0)="Yes",NOT(ISNUMBER(VLOOKUP(DATE($A$2,$A$3+$A$1-1,ET5),HolidayList[Date],1,0)))),TRUE,FALSE),FALSE)</f>
        <v>0</v>
      </c>
      <c r="EU4" s="15" t="b">
        <f>IFERROR(IF(AND(VLOOKUP(EU6,$NZ$16:$OA$22,2,0)="Yes",NOT(ISNUMBER(VLOOKUP(DATE($A$2,$A$3+$A$1-1,EU5),HolidayList[Date],1,0)))),TRUE,FALSE),FALSE)</f>
        <v>0</v>
      </c>
      <c r="EV4" s="15" t="b">
        <f>IFERROR(IF(AND(VLOOKUP(EV6,$NZ$16:$OA$22,2,0)="Yes",NOT(ISNUMBER(VLOOKUP(DATE($A$2,$A$3+$A$1-1,EV5),HolidayList[Date],1,0)))),TRUE,FALSE),FALSE)</f>
        <v>0</v>
      </c>
      <c r="EW4" s="15" t="b">
        <f>IFERROR(IF(AND(VLOOKUP(EW6,$NZ$16:$OA$22,2,0)="Yes",NOT(ISNUMBER(VLOOKUP(DATE($A$2,$A$3+$A$1-1,EW5),HolidayList[Date],1,0)))),TRUE,FALSE),FALSE)</f>
        <v>0</v>
      </c>
      <c r="EX4" s="15" t="b">
        <f>IFERROR(IF(AND(VLOOKUP(EX6,$NZ$16:$OA$22,2,0)="Yes",NOT(ISNUMBER(VLOOKUP(DATE($A$2,$A$3+$A$1-1,EX5),HolidayList[Date],1,0)))),TRUE,FALSE),FALSE)</f>
        <v>0</v>
      </c>
      <c r="EY4" s="15" t="b">
        <f>IFERROR(IF(AND(VLOOKUP(EY6,$NZ$16:$OA$22,2,0)="Yes",NOT(ISNUMBER(VLOOKUP(DATE($A$2,$A$3+$A$1-1,EY5),HolidayList[Date],1,0)))),TRUE,FALSE),FALSE)</f>
        <v>0</v>
      </c>
      <c r="EZ4" s="15" t="b">
        <f>IFERROR(IF(AND(VLOOKUP(EZ6,$NZ$16:$OA$22,2,0)="Yes",NOT(ISNUMBER(VLOOKUP(DATE($A$2,$A$3+$A$1-1,EZ5),HolidayList[Date],1,0)))),TRUE,FALSE),FALSE)</f>
        <v>0</v>
      </c>
      <c r="FA4" s="15" t="b">
        <f>IFERROR(IF(AND(VLOOKUP(FA6,$NZ$16:$OA$22,2,0)="Yes",NOT(ISNUMBER(VLOOKUP(DATE($A$2,$A$3+$A$1-1,FA5),HolidayList[Date],1,0)))),TRUE,FALSE),FALSE)</f>
        <v>0</v>
      </c>
      <c r="FB4" s="15" t="b">
        <f>IFERROR(IF(AND(VLOOKUP(FB6,$NZ$16:$OA$22,2,0)="Yes",NOT(ISNUMBER(VLOOKUP(DATE($A$2,$A$3+$A$1-1,FB5),HolidayList[Date],1,0)))),TRUE,FALSE),FALSE)</f>
        <v>0</v>
      </c>
      <c r="FC4" s="15" t="b">
        <f>IFERROR(IF(AND(VLOOKUP(FC6,$NZ$16:$OA$22,2,0)="Yes",NOT(ISNUMBER(VLOOKUP(DATE($A$2,$A$3+$A$1-1,FC5),HolidayList[Date],1,0)))),TRUE,FALSE),FALSE)</f>
        <v>0</v>
      </c>
      <c r="FD4" s="15" t="b">
        <f>IFERROR(IF(AND(VLOOKUP(FD6,$NZ$16:$OA$22,2,0)="Yes",NOT(ISNUMBER(VLOOKUP(DATE($A$2,$A$3+$A$1-1,FD5),HolidayList[Date],1,0)))),TRUE,FALSE),FALSE)</f>
        <v>0</v>
      </c>
      <c r="FE4" s="15" t="b">
        <f>IFERROR(IF(AND(VLOOKUP(FE6,$NZ$16:$OA$22,2,0)="Yes",NOT(ISNUMBER(VLOOKUP(DATE($A$2,$A$3+$A$1-1,FE5),HolidayList[Date],1,0)))),TRUE,FALSE),FALSE)</f>
        <v>0</v>
      </c>
      <c r="FF4" s="15" t="b">
        <f>IFERROR(IF(AND(VLOOKUP(FF6,$NZ$16:$OA$22,2,0)="Yes",NOT(ISNUMBER(VLOOKUP(DATE($A$2,$A$3+$A$1-1,FF5),HolidayList[Date],1,0)))),TRUE,FALSE),FALSE)</f>
        <v>0</v>
      </c>
      <c r="FG4" s="15" t="b">
        <f>IFERROR(IF(AND(VLOOKUP(FG6,$NZ$16:$OA$22,2,0)="Yes",NOT(ISNUMBER(VLOOKUP(DATE($A$2,$A$3+$A$1-1,FG5),HolidayList[Date],1,0)))),TRUE,FALSE),FALSE)</f>
        <v>0</v>
      </c>
      <c r="FH4" s="15" t="b">
        <f>IFERROR(IF(AND(VLOOKUP(FH6,$NZ$16:$OA$22,2,0)="Yes",NOT(ISNUMBER(VLOOKUP(DATE($A$2,$A$3+$A$1-1,FH5),HolidayList[Date],1,0)))),TRUE,FALSE),FALSE)</f>
        <v>0</v>
      </c>
      <c r="FI4" s="15" t="b">
        <f>IFERROR(IF(AND(VLOOKUP(FI6,$NZ$16:$OA$22,2,0)="Yes",NOT(ISNUMBER(VLOOKUP(DATE($A$2,$A$3+$A$1-1,FI5),HolidayList[Date],1,0)))),TRUE,FALSE),FALSE)</f>
        <v>0</v>
      </c>
      <c r="FJ4" s="15" t="b">
        <f>IFERROR(IF(AND(VLOOKUP(FJ6,$NZ$16:$OA$22,2,0)="Yes",NOT(ISNUMBER(VLOOKUP(DATE($A$2,$A$3+$A$1-1,FJ5),HolidayList[Date],1,0)))),TRUE,FALSE),FALSE)</f>
        <v>0</v>
      </c>
      <c r="FK4" s="15" t="b">
        <f>IFERROR(IF(AND(VLOOKUP(FK6,$NZ$16:$OA$22,2,0)="Yes",NOT(ISNUMBER(VLOOKUP(DATE($A$2,$A$3+$A$1-1,FK5),HolidayList[Date],1,0)))),TRUE,FALSE),FALSE)</f>
        <v>0</v>
      </c>
      <c r="FL4" s="15" t="b">
        <f>IFERROR(IF(AND(VLOOKUP(FL6,$NZ$16:$OA$22,2,0)="Yes",NOT(ISNUMBER(VLOOKUP(DATE($A$2,$A$3+$A$1-1,FL5),HolidayList[Date],1,0)))),TRUE,FALSE),FALSE)</f>
        <v>0</v>
      </c>
      <c r="FM4" s="15" t="b">
        <f>IFERROR(IF(AND(VLOOKUP(FM6,$NZ$16:$OA$22,2,0)="Yes",NOT(ISNUMBER(VLOOKUP(DATE($A$2,$A$3+$A$1-1,FM5),HolidayList[Date],1,0)))),TRUE,FALSE),FALSE)</f>
        <v>0</v>
      </c>
      <c r="FN4" s="15" t="b">
        <f>IFERROR(IF(AND(VLOOKUP(FN6,$NZ$16:$OA$22,2,0)="Yes",NOT(ISNUMBER(VLOOKUP(DATE($A$2,$A$3+$A$1-1,FN5),HolidayList[Date],1,0)))),TRUE,FALSE),FALSE)</f>
        <v>0</v>
      </c>
      <c r="FO4" s="15" t="b">
        <f>IFERROR(IF(AND(VLOOKUP(FO6,$NZ$16:$OA$22,2,0)="Yes",NOT(ISNUMBER(VLOOKUP(DATE($A$2,$A$3+$A$1-1,FO5),HolidayList[Date],1,0)))),TRUE,FALSE),FALSE)</f>
        <v>0</v>
      </c>
      <c r="FP4" s="15" t="b">
        <f>IFERROR(IF(AND(VLOOKUP(FP6,$NZ$16:$OA$22,2,0)="Yes",NOT(ISNUMBER(VLOOKUP(DATE($A$2,$A$3+$A$1-1,FP5),HolidayList[Date],1,0)))),TRUE,FALSE),FALSE)</f>
        <v>0</v>
      </c>
      <c r="FQ4" s="15" t="b">
        <f>IFERROR(IF(AND(VLOOKUP(FQ6,$NZ$16:$OA$22,2,0)="Yes",NOT(ISNUMBER(VLOOKUP(DATE($A$2,$A$3+$A$1-1,FQ5),HolidayList[Date],1,0)))),TRUE,FALSE),FALSE)</f>
        <v>0</v>
      </c>
      <c r="FR4" s="15" t="b">
        <f>IFERROR(IF(AND(VLOOKUP(FR6,$NZ$16:$OA$22,2,0)="Yes",NOT(ISNUMBER(VLOOKUP(DATE($A$2,$A$3+$A$1-1,FR5),HolidayList[Date],1,0)))),TRUE,FALSE),FALSE)</f>
        <v>0</v>
      </c>
      <c r="FS4" s="15" t="b">
        <f>IFERROR(IF(AND(VLOOKUP(FS6,$NZ$16:$OA$22,2,0)="Yes",NOT(ISNUMBER(VLOOKUP(DATE($A$2,$A$3+$A$1-1,FS5),HolidayList[Date],1,0)))),TRUE,FALSE),FALSE)</f>
        <v>0</v>
      </c>
      <c r="FT4" s="15" t="b">
        <f>IFERROR(IF(AND(VLOOKUP(FT6,$NZ$16:$OA$22,2,0)="Yes",NOT(ISNUMBER(VLOOKUP(DATE($A$2,$A$3+$A$1-1,FT5),HolidayList[Date],1,0)))),TRUE,FALSE),FALSE)</f>
        <v>0</v>
      </c>
      <c r="FU4" s="15" t="b">
        <f>IFERROR(IF(AND(VLOOKUP(FU6,$NZ$16:$OA$22,2,0)="Yes",NOT(ISNUMBER(VLOOKUP(DATE($A$2,$A$3+$A$1-1,FU5),HolidayList[Date],1,0)))),TRUE,FALSE),FALSE)</f>
        <v>0</v>
      </c>
      <c r="FV4" s="15" t="b">
        <f>IFERROR(IF(AND(VLOOKUP(FV6,$NZ$16:$OA$22,2,0)="Yes",NOT(ISNUMBER(VLOOKUP(DATE($A$2,$A$3+$A$1-1,FV5),HolidayList[Date],1,0)))),TRUE,FALSE),FALSE)</f>
        <v>0</v>
      </c>
      <c r="FW4" s="15" t="b">
        <f>IFERROR(IF(AND(VLOOKUP(FW6,$NZ$16:$OA$22,2,0)="Yes",NOT(ISNUMBER(VLOOKUP(DATE($A$2,$A$3+$A$1-1,FW5),HolidayList[Date],1,0)))),TRUE,FALSE),FALSE)</f>
        <v>0</v>
      </c>
      <c r="FX4" s="15" t="b">
        <f>IFERROR(IF(AND(VLOOKUP(FX6,$NZ$16:$OA$22,2,0)="Yes",NOT(ISNUMBER(VLOOKUP(DATE($A$2,$A$3+$A$1-1,FX5),HolidayList[Date],1,0)))),TRUE,FALSE),FALSE)</f>
        <v>0</v>
      </c>
      <c r="FY4" s="15" t="b">
        <f>IFERROR(IF(AND(VLOOKUP(FY6,$NZ$16:$OA$22,2,0)="Yes",NOT(ISNUMBER(VLOOKUP(DATE($A$2,$A$3+$A$1-1,FY5),HolidayList[Date],1,0)))),TRUE,FALSE),FALSE)</f>
        <v>0</v>
      </c>
      <c r="FZ4" s="15" t="b">
        <f>IFERROR(IF(AND(VLOOKUP(FZ6,$NZ$16:$OA$22,2,0)="Yes",NOT(ISNUMBER(VLOOKUP(DATE($A$2,$A$3+$A$1-1,FZ5),HolidayList[Date],1,0)))),TRUE,FALSE),FALSE)</f>
        <v>0</v>
      </c>
      <c r="GA4" s="15" t="b">
        <f>IFERROR(IF(AND(VLOOKUP(GA6,$NZ$16:$OA$22,2,0)="Yes",NOT(ISNUMBER(VLOOKUP(DATE($A$2,$A$3+$A$1-1,GA5),HolidayList[Date],1,0)))),TRUE,FALSE),FALSE)</f>
        <v>0</v>
      </c>
      <c r="GB4" s="15" t="b">
        <f>IFERROR(IF(AND(VLOOKUP(GB6,$NZ$16:$OA$22,2,0)="Yes",NOT(ISNUMBER(VLOOKUP(DATE($A$2,$A$3+$A$1-1,GB5),HolidayList[Date],1,0)))),TRUE,FALSE),FALSE)</f>
        <v>0</v>
      </c>
      <c r="GC4" s="15" t="b">
        <f>IFERROR(IF(AND(VLOOKUP(GC6,$NZ$16:$OA$22,2,0)="Yes",NOT(ISNUMBER(VLOOKUP(DATE($A$2,$A$3+$A$1-1,GC5),HolidayList[Date],1,0)))),TRUE,FALSE),FALSE)</f>
        <v>0</v>
      </c>
      <c r="GD4" s="15" t="b">
        <f>IFERROR(IF(AND(VLOOKUP(GD6,$NZ$16:$OA$22,2,0)="Yes",NOT(ISNUMBER(VLOOKUP(DATE($A$2,$A$3+$A$1-1,GD5),HolidayList[Date],1,0)))),TRUE,FALSE),FALSE)</f>
        <v>0</v>
      </c>
      <c r="GE4" s="15" t="b">
        <f>IFERROR(IF(AND(VLOOKUP(GE6,$NZ$16:$OA$22,2,0)="Yes",NOT(ISNUMBER(VLOOKUP(DATE($A$2,$A$3+$A$1-1,GE5),HolidayList[Date],1,0)))),TRUE,FALSE),FALSE)</f>
        <v>0</v>
      </c>
      <c r="GF4" s="15" t="b">
        <f>IFERROR(IF(AND(VLOOKUP(GF6,$NZ$16:$OA$22,2,0)="Yes",NOT(ISNUMBER(VLOOKUP(DATE($A$2,$A$3+$A$1-1,GF5),HolidayList[Date],1,0)))),TRUE,FALSE),FALSE)</f>
        <v>0</v>
      </c>
      <c r="GG4" s="15" t="b">
        <f>IFERROR(IF(AND(VLOOKUP(GG6,$NZ$16:$OA$22,2,0)="Yes",NOT(ISNUMBER(VLOOKUP(DATE($A$2,$A$3+$A$1-1,GG5),HolidayList[Date],1,0)))),TRUE,FALSE),FALSE)</f>
        <v>0</v>
      </c>
      <c r="GH4" s="15" t="b">
        <f>IFERROR(IF(AND(VLOOKUP(GH6,$NZ$16:$OA$22,2,0)="Yes",NOT(ISNUMBER(VLOOKUP(DATE($A$2,$A$3+$A$1-1,GH5),HolidayList[Date],1,0)))),TRUE,FALSE),FALSE)</f>
        <v>0</v>
      </c>
      <c r="GI4" s="15" t="b">
        <f>IFERROR(IF(AND(VLOOKUP(GI6,$NZ$16:$OA$22,2,0)="Yes",NOT(ISNUMBER(VLOOKUP(DATE($A$2,$A$3+$A$1-1,GI5),HolidayList[Date],1,0)))),TRUE,FALSE),FALSE)</f>
        <v>0</v>
      </c>
      <c r="GJ4" s="15" t="b">
        <f>IFERROR(IF(AND(VLOOKUP(GJ6,$NZ$16:$OA$22,2,0)="Yes",NOT(ISNUMBER(VLOOKUP(DATE($A$2,$A$3+$A$1-1,GJ5),HolidayList[Date],1,0)))),TRUE,FALSE),FALSE)</f>
        <v>0</v>
      </c>
      <c r="GK4" s="15" t="b">
        <f>IFERROR(IF(AND(VLOOKUP(GK6,$NZ$16:$OA$22,2,0)="Yes",NOT(ISNUMBER(VLOOKUP(DATE($A$2,$A$3+$A$1-1,GK5),HolidayList[Date],1,0)))),TRUE,FALSE),FALSE)</f>
        <v>0</v>
      </c>
      <c r="GL4" s="15" t="b">
        <f>IFERROR(IF(AND(VLOOKUP(GL6,$NZ$16:$OA$22,2,0)="Yes",NOT(ISNUMBER(VLOOKUP(DATE($A$2,$A$3+$A$1-1,GL5),HolidayList[Date],1,0)))),TRUE,FALSE),FALSE)</f>
        <v>0</v>
      </c>
      <c r="GM4" s="15" t="b">
        <f>IFERROR(IF(AND(VLOOKUP(GM6,$NZ$16:$OA$22,2,0)="Yes",NOT(ISNUMBER(VLOOKUP(DATE($A$2,$A$3+$A$1-1,GM5),HolidayList[Date],1,0)))),TRUE,FALSE),FALSE)</f>
        <v>0</v>
      </c>
      <c r="GN4" s="15" t="b">
        <f>IFERROR(IF(AND(VLOOKUP(GN6,$NZ$16:$OA$22,2,0)="Yes",NOT(ISNUMBER(VLOOKUP(DATE($A$2,$A$3+$A$1-1,GN5),HolidayList[Date],1,0)))),TRUE,FALSE),FALSE)</f>
        <v>0</v>
      </c>
      <c r="GO4" s="15" t="b">
        <f>IFERROR(IF(AND(VLOOKUP(GO6,$NZ$16:$OA$22,2,0)="Yes",NOT(ISNUMBER(VLOOKUP(DATE($A$2,$A$3+$A$1-1,GO5),HolidayList[Date],1,0)))),TRUE,FALSE),FALSE)</f>
        <v>0</v>
      </c>
      <c r="GP4" s="15" t="b">
        <f>IFERROR(IF(AND(VLOOKUP(GP6,$NZ$16:$OA$22,2,0)="Yes",NOT(ISNUMBER(VLOOKUP(DATE($A$2,$A$3+$A$1-1,GP5),HolidayList[Date],1,0)))),TRUE,FALSE),FALSE)</f>
        <v>0</v>
      </c>
      <c r="GQ4" s="15" t="b">
        <f>IFERROR(IF(AND(VLOOKUP(GQ6,$NZ$16:$OA$22,2,0)="Yes",NOT(ISNUMBER(VLOOKUP(DATE($A$2,$A$3+$A$1-1,GQ5),HolidayList[Date],1,0)))),TRUE,FALSE),FALSE)</f>
        <v>0</v>
      </c>
      <c r="GR4" s="15" t="b">
        <f>IFERROR(IF(AND(VLOOKUP(GR6,$NZ$16:$OA$22,2,0)="Yes",NOT(ISNUMBER(VLOOKUP(DATE($A$2,$A$3+$A$1-1,GR5),HolidayList[Date],1,0)))),TRUE,FALSE),FALSE)</f>
        <v>0</v>
      </c>
      <c r="GS4" s="15" t="b">
        <f>IFERROR(IF(AND(VLOOKUP(GS6,$NZ$16:$OA$22,2,0)="Yes",NOT(ISNUMBER(VLOOKUP(DATE($A$2,$A$3+$A$1-1,GS5),HolidayList[Date],1,0)))),TRUE,FALSE),FALSE)</f>
        <v>0</v>
      </c>
      <c r="GT4" s="15" t="b">
        <f>IFERROR(IF(AND(VLOOKUP(GT6,$NZ$16:$OA$22,2,0)="Yes",NOT(ISNUMBER(VLOOKUP(DATE($A$2,$A$3+$A$1-1,GT5),HolidayList[Date],1,0)))),TRUE,FALSE),FALSE)</f>
        <v>0</v>
      </c>
      <c r="GU4" s="15" t="b">
        <f>IFERROR(IF(AND(VLOOKUP(GU6,$NZ$16:$OA$22,2,0)="Yes",NOT(ISNUMBER(VLOOKUP(DATE($A$2,$A$3+$A$1-1,GU5),HolidayList[Date],1,0)))),TRUE,FALSE),FALSE)</f>
        <v>0</v>
      </c>
      <c r="GV4" s="15" t="b">
        <f>IFERROR(IF(AND(VLOOKUP(GV6,$NZ$16:$OA$22,2,0)="Yes",NOT(ISNUMBER(VLOOKUP(DATE($A$2,$A$3+$A$1-1,GV5),HolidayList[Date],1,0)))),TRUE,FALSE),FALSE)</f>
        <v>0</v>
      </c>
      <c r="GW4" s="15" t="b">
        <f>IFERROR(IF(AND(VLOOKUP(GW6,$NZ$16:$OA$22,2,0)="Yes",NOT(ISNUMBER(VLOOKUP(DATE($A$2,$A$3+$A$1-1,GW5),HolidayList[Date],1,0)))),TRUE,FALSE),FALSE)</f>
        <v>0</v>
      </c>
      <c r="GX4" s="15" t="b">
        <f>IFERROR(IF(AND(VLOOKUP(GX6,$NZ$16:$OA$22,2,0)="Yes",NOT(ISNUMBER(VLOOKUP(DATE($A$2,$A$3+$A$1-1,GX5),HolidayList[Date],1,0)))),TRUE,FALSE),FALSE)</f>
        <v>0</v>
      </c>
      <c r="GY4" s="15" t="b">
        <f>IFERROR(IF(AND(VLOOKUP(GY6,$NZ$16:$OA$22,2,0)="Yes",NOT(ISNUMBER(VLOOKUP(DATE($A$2,$A$3+$A$1-1,GY5),HolidayList[Date],1,0)))),TRUE,FALSE),FALSE)</f>
        <v>0</v>
      </c>
      <c r="GZ4" s="15" t="b">
        <f>IFERROR(IF(AND(VLOOKUP(GZ6,$NZ$16:$OA$22,2,0)="Yes",NOT(ISNUMBER(VLOOKUP(DATE($A$2,$A$3+$A$1-1,GZ5),HolidayList[Date],1,0)))),TRUE,FALSE),FALSE)</f>
        <v>0</v>
      </c>
      <c r="HA4" s="15" t="b">
        <f>IFERROR(IF(AND(VLOOKUP(HA6,$NZ$16:$OA$22,2,0)="Yes",NOT(ISNUMBER(VLOOKUP(DATE($A$2,$A$3+$A$1-1,HA5),HolidayList[Date],1,0)))),TRUE,FALSE),FALSE)</f>
        <v>0</v>
      </c>
      <c r="HB4" s="15" t="b">
        <f>IFERROR(IF(AND(VLOOKUP(HB6,$NZ$16:$OA$22,2,0)="Yes",NOT(ISNUMBER(VLOOKUP(DATE($A$2,$A$3+$A$1-1,HB5),HolidayList[Date],1,0)))),TRUE,FALSE),FALSE)</f>
        <v>0</v>
      </c>
      <c r="HC4" s="15" t="b">
        <f>IFERROR(IF(AND(VLOOKUP(HC6,$NZ$16:$OA$22,2,0)="Yes",NOT(ISNUMBER(VLOOKUP(DATE($A$2,$A$3+$A$1-1,HC5),HolidayList[Date],1,0)))),TRUE,FALSE),FALSE)</f>
        <v>0</v>
      </c>
      <c r="HD4" s="15" t="b">
        <f>IFERROR(IF(AND(VLOOKUP(HD6,$NZ$16:$OA$22,2,0)="Yes",NOT(ISNUMBER(VLOOKUP(DATE($A$2,$A$3+$A$1-1,HD5),HolidayList[Date],1,0)))),TRUE,FALSE),FALSE)</f>
        <v>0</v>
      </c>
      <c r="HE4" s="15" t="b">
        <f>IFERROR(IF(AND(VLOOKUP(HE6,$NZ$16:$OA$22,2,0)="Yes",NOT(ISNUMBER(VLOOKUP(DATE($A$2,$A$3+$A$1-1,HE5),HolidayList[Date],1,0)))),TRUE,FALSE),FALSE)</f>
        <v>0</v>
      </c>
      <c r="HF4" s="15" t="b">
        <f>IFERROR(IF(AND(VLOOKUP(HF6,$NZ$16:$OA$22,2,0)="Yes",NOT(ISNUMBER(VLOOKUP(DATE($A$2,$A$3+$A$1-1,HF5),HolidayList[Date],1,0)))),TRUE,FALSE),FALSE)</f>
        <v>0</v>
      </c>
      <c r="HG4" s="15" t="b">
        <f>IFERROR(IF(AND(VLOOKUP(HG6,$NZ$16:$OA$22,2,0)="Yes",NOT(ISNUMBER(VLOOKUP(DATE($A$2,$A$3+$A$1-1,HG5),HolidayList[Date],1,0)))),TRUE,FALSE),FALSE)</f>
        <v>0</v>
      </c>
      <c r="HH4" s="15" t="b">
        <f>IFERROR(IF(AND(VLOOKUP(HH6,$NZ$16:$OA$22,2,0)="Yes",NOT(ISNUMBER(VLOOKUP(DATE($A$2,$A$3+$A$1-1,HH5),HolidayList[Date],1,0)))),TRUE,FALSE),FALSE)</f>
        <v>0</v>
      </c>
      <c r="HI4" s="15" t="b">
        <f>IFERROR(IF(AND(VLOOKUP(HI6,$NZ$16:$OA$22,2,0)="Yes",NOT(ISNUMBER(VLOOKUP(DATE($A$2,$A$3+$A$1-1,HI5),HolidayList[Date],1,0)))),TRUE,FALSE),FALSE)</f>
        <v>0</v>
      </c>
      <c r="HJ4" s="15" t="b">
        <f>IFERROR(IF(AND(VLOOKUP(HJ6,$NZ$16:$OA$22,2,0)="Yes",NOT(ISNUMBER(VLOOKUP(DATE($A$2,$A$3+$A$1-1,HJ5),HolidayList[Date],1,0)))),TRUE,FALSE),FALSE)</f>
        <v>0</v>
      </c>
      <c r="HK4" s="15" t="b">
        <f>IFERROR(IF(AND(VLOOKUP(HK6,$NZ$16:$OA$22,2,0)="Yes",NOT(ISNUMBER(VLOOKUP(DATE($A$2,$A$3+$A$1-1,HK5),HolidayList[Date],1,0)))),TRUE,FALSE),FALSE)</f>
        <v>0</v>
      </c>
      <c r="HL4" s="15" t="b">
        <f>IFERROR(IF(AND(VLOOKUP(HL6,$NZ$16:$OA$22,2,0)="Yes",NOT(ISNUMBER(VLOOKUP(DATE($A$2,$A$3+$A$1-1,HL5),HolidayList[Date],1,0)))),TRUE,FALSE),FALSE)</f>
        <v>0</v>
      </c>
      <c r="HM4" s="15" t="b">
        <f>IFERROR(IF(AND(VLOOKUP(HM6,$NZ$16:$OA$22,2,0)="Yes",NOT(ISNUMBER(VLOOKUP(DATE($A$2,$A$3+$A$1-1,HM5),HolidayList[Date],1,0)))),TRUE,FALSE),FALSE)</f>
        <v>0</v>
      </c>
      <c r="HN4" s="15" t="b">
        <f>IFERROR(IF(AND(VLOOKUP(HN6,$NZ$16:$OA$22,2,0)="Yes",NOT(ISNUMBER(VLOOKUP(DATE($A$2,$A$3+$A$1-1,HN5),HolidayList[Date],1,0)))),TRUE,FALSE),FALSE)</f>
        <v>0</v>
      </c>
      <c r="HO4" s="15" t="b">
        <f>IFERROR(IF(AND(VLOOKUP(HO6,$NZ$16:$OA$22,2,0)="Yes",NOT(ISNUMBER(VLOOKUP(DATE($A$2,$A$3+$A$1-1,HO5),HolidayList[Date],1,0)))),TRUE,FALSE),FALSE)</f>
        <v>0</v>
      </c>
      <c r="HP4" s="15" t="b">
        <f>IFERROR(IF(AND(VLOOKUP(HP6,$NZ$16:$OA$22,2,0)="Yes",NOT(ISNUMBER(VLOOKUP(DATE($A$2,$A$3+$A$1-1,HP5),HolidayList[Date],1,0)))),TRUE,FALSE),FALSE)</f>
        <v>0</v>
      </c>
      <c r="HQ4" s="15" t="b">
        <f>IFERROR(IF(AND(VLOOKUP(HQ6,$NZ$16:$OA$22,2,0)="Yes",NOT(ISNUMBER(VLOOKUP(DATE($A$2,$A$3+$A$1-1,HQ5),HolidayList[Date],1,0)))),TRUE,FALSE),FALSE)</f>
        <v>0</v>
      </c>
      <c r="HR4" s="15" t="b">
        <f>IFERROR(IF(AND(VLOOKUP(HR6,$NZ$16:$OA$22,2,0)="Yes",NOT(ISNUMBER(VLOOKUP(DATE($A$2,$A$3+$A$1-1,HR5),HolidayList[Date],1,0)))),TRUE,FALSE),FALSE)</f>
        <v>0</v>
      </c>
      <c r="HS4" s="15" t="b">
        <f>IFERROR(IF(AND(VLOOKUP(HS6,$NZ$16:$OA$22,2,0)="Yes",NOT(ISNUMBER(VLOOKUP(DATE($A$2,$A$3+$A$1-1,HS5),HolidayList[Date],1,0)))),TRUE,FALSE),FALSE)</f>
        <v>0</v>
      </c>
      <c r="HT4" s="15" t="b">
        <f>IFERROR(IF(AND(VLOOKUP(HT6,$NZ$16:$OA$22,2,0)="Yes",NOT(ISNUMBER(VLOOKUP(DATE($A$2,$A$3+$A$1-1,HT5),HolidayList[Date],1,0)))),TRUE,FALSE),FALSE)</f>
        <v>0</v>
      </c>
      <c r="HU4" s="15" t="b">
        <f>IFERROR(IF(AND(VLOOKUP(HU6,$NZ$16:$OA$22,2,0)="Yes",NOT(ISNUMBER(VLOOKUP(DATE($A$2,$A$3+$A$1-1,HU5),HolidayList[Date],1,0)))),TRUE,FALSE),FALSE)</f>
        <v>0</v>
      </c>
      <c r="HV4" s="15" t="b">
        <f>IFERROR(IF(AND(VLOOKUP(HV6,$NZ$16:$OA$22,2,0)="Yes",NOT(ISNUMBER(VLOOKUP(DATE($A$2,$A$3+$A$1-1,HV5),HolidayList[Date],1,0)))),TRUE,FALSE),FALSE)</f>
        <v>0</v>
      </c>
      <c r="HW4" s="15" t="b">
        <f>IFERROR(IF(AND(VLOOKUP(HW6,$NZ$16:$OA$22,2,0)="Yes",NOT(ISNUMBER(VLOOKUP(DATE($A$2,$A$3+$A$1-1,HW5),HolidayList[Date],1,0)))),TRUE,FALSE),FALSE)</f>
        <v>0</v>
      </c>
      <c r="HX4" s="15" t="b">
        <f>IFERROR(IF(AND(VLOOKUP(HX6,$NZ$16:$OA$22,2,0)="Yes",NOT(ISNUMBER(VLOOKUP(DATE($A$2,$A$3+$A$1-1,HX5),HolidayList[Date],1,0)))),TRUE,FALSE),FALSE)</f>
        <v>0</v>
      </c>
      <c r="HY4" s="15" t="b">
        <f>IFERROR(IF(AND(VLOOKUP(HY6,$NZ$16:$OA$22,2,0)="Yes",NOT(ISNUMBER(VLOOKUP(DATE($A$2,$A$3+$A$1-1,HY5),HolidayList[Date],1,0)))),TRUE,FALSE),FALSE)</f>
        <v>0</v>
      </c>
      <c r="HZ4" s="15" t="b">
        <f>IFERROR(IF(AND(VLOOKUP(HZ6,$NZ$16:$OA$22,2,0)="Yes",NOT(ISNUMBER(VLOOKUP(DATE($A$2,$A$3+$A$1-1,HZ5),HolidayList[Date],1,0)))),TRUE,FALSE),FALSE)</f>
        <v>0</v>
      </c>
      <c r="IA4" s="15" t="b">
        <f>IFERROR(IF(AND(VLOOKUP(IA6,$NZ$16:$OA$22,2,0)="Yes",NOT(ISNUMBER(VLOOKUP(DATE($A$2,$A$3+$A$1-1,IA5),HolidayList[Date],1,0)))),TRUE,FALSE),FALSE)</f>
        <v>0</v>
      </c>
      <c r="IB4" s="15" t="b">
        <f>IFERROR(IF(AND(VLOOKUP(IB6,$NZ$16:$OA$22,2,0)="Yes",NOT(ISNUMBER(VLOOKUP(DATE($A$2,$A$3+$A$1-1,IB5),HolidayList[Date],1,0)))),TRUE,FALSE),FALSE)</f>
        <v>0</v>
      </c>
      <c r="IC4" s="15" t="b">
        <f>IFERROR(IF(AND(VLOOKUP(IC6,$NZ$16:$OA$22,2,0)="Yes",NOT(ISNUMBER(VLOOKUP(DATE($A$2,$A$3+$A$1-1,IC5),HolidayList[Date],1,0)))),TRUE,FALSE),FALSE)</f>
        <v>0</v>
      </c>
      <c r="ID4" s="15" t="b">
        <f>IFERROR(IF(AND(VLOOKUP(ID6,$NZ$16:$OA$22,2,0)="Yes",NOT(ISNUMBER(VLOOKUP(DATE($A$2,$A$3+$A$1-1,ID5),HolidayList[Date],1,0)))),TRUE,FALSE),FALSE)</f>
        <v>0</v>
      </c>
      <c r="IE4" s="15" t="b">
        <f>IFERROR(IF(AND(VLOOKUP(IE6,$NZ$16:$OA$22,2,0)="Yes",NOT(ISNUMBER(VLOOKUP(DATE($A$2,$A$3+$A$1-1,IE5),HolidayList[Date],1,0)))),TRUE,FALSE),FALSE)</f>
        <v>0</v>
      </c>
      <c r="IF4" s="15" t="b">
        <f>IFERROR(IF(AND(VLOOKUP(IF6,$NZ$16:$OA$22,2,0)="Yes",NOT(ISNUMBER(VLOOKUP(DATE($A$2,$A$3+$A$1-1,IF5),HolidayList[Date],1,0)))),TRUE,FALSE),FALSE)</f>
        <v>0</v>
      </c>
      <c r="IG4" s="15" t="b">
        <f>IFERROR(IF(AND(VLOOKUP(IG6,$NZ$16:$OA$22,2,0)="Yes",NOT(ISNUMBER(VLOOKUP(DATE($A$2,$A$3+$A$1-1,IG5),HolidayList[Date],1,0)))),TRUE,FALSE),FALSE)</f>
        <v>0</v>
      </c>
      <c r="IH4" s="15" t="b">
        <f>IFERROR(IF(AND(VLOOKUP(IH6,$NZ$16:$OA$22,2,0)="Yes",NOT(ISNUMBER(VLOOKUP(DATE($A$2,$A$3+$A$1-1,IH5),HolidayList[Date],1,0)))),TRUE,FALSE),FALSE)</f>
        <v>0</v>
      </c>
      <c r="II4" s="15" t="b">
        <f>IFERROR(IF(AND(VLOOKUP(II6,$NZ$16:$OA$22,2,0)="Yes",NOT(ISNUMBER(VLOOKUP(DATE($A$2,$A$3+$A$1-1,II5),HolidayList[Date],1,0)))),TRUE,FALSE),FALSE)</f>
        <v>0</v>
      </c>
      <c r="IJ4" s="15" t="b">
        <f>IFERROR(IF(AND(VLOOKUP(IJ6,$NZ$16:$OA$22,2,0)="Yes",NOT(ISNUMBER(VLOOKUP(DATE($A$2,$A$3+$A$1-1,IJ5),HolidayList[Date],1,0)))),TRUE,FALSE),FALSE)</f>
        <v>0</v>
      </c>
      <c r="IK4" s="15" t="b">
        <f>IFERROR(IF(AND(VLOOKUP(IK6,$NZ$16:$OA$22,2,0)="Yes",NOT(ISNUMBER(VLOOKUP(DATE($A$2,$A$3+$A$1-1,IK5),HolidayList[Date],1,0)))),TRUE,FALSE),FALSE)</f>
        <v>0</v>
      </c>
      <c r="IL4" s="15" t="b">
        <f>IFERROR(IF(AND(VLOOKUP(IL6,$NZ$16:$OA$22,2,0)="Yes",NOT(ISNUMBER(VLOOKUP(DATE($A$2,$A$3+$A$1-1,IL5),HolidayList[Date],1,0)))),TRUE,FALSE),FALSE)</f>
        <v>0</v>
      </c>
      <c r="IM4" s="15" t="b">
        <f>IFERROR(IF(AND(VLOOKUP(IM6,$NZ$16:$OA$22,2,0)="Yes",NOT(ISNUMBER(VLOOKUP(DATE($A$2,$A$3+$A$1-1,IM5),HolidayList[Date],1,0)))),TRUE,FALSE),FALSE)</f>
        <v>0</v>
      </c>
      <c r="IN4" s="15" t="b">
        <f>IFERROR(IF(AND(VLOOKUP(IN6,$NZ$16:$OA$22,2,0)="Yes",NOT(ISNUMBER(VLOOKUP(DATE($A$2,$A$3+$A$1-1,IN5),HolidayList[Date],1,0)))),TRUE,FALSE),FALSE)</f>
        <v>0</v>
      </c>
      <c r="IO4" s="15" t="b">
        <f>IFERROR(IF(AND(VLOOKUP(IO6,$NZ$16:$OA$22,2,0)="Yes",NOT(ISNUMBER(VLOOKUP(DATE($A$2,$A$3+$A$1-1,IO5),HolidayList[Date],1,0)))),TRUE,FALSE),FALSE)</f>
        <v>0</v>
      </c>
      <c r="IP4" s="15" t="b">
        <f>IFERROR(IF(AND(VLOOKUP(IP6,$NZ$16:$OA$22,2,0)="Yes",NOT(ISNUMBER(VLOOKUP(DATE($A$2,$A$3+$A$1-1,IP5),HolidayList[Date],1,0)))),TRUE,FALSE),FALSE)</f>
        <v>0</v>
      </c>
      <c r="IQ4" s="15" t="b">
        <f>IFERROR(IF(AND(VLOOKUP(IQ6,$NZ$16:$OA$22,2,0)="Yes",NOT(ISNUMBER(VLOOKUP(DATE($A$2,$A$3+$A$1-1,IQ5),HolidayList[Date],1,0)))),TRUE,FALSE),FALSE)</f>
        <v>0</v>
      </c>
      <c r="IR4" s="15" t="b">
        <f>IFERROR(IF(AND(VLOOKUP(IR6,$NZ$16:$OA$22,2,0)="Yes",NOT(ISNUMBER(VLOOKUP(DATE($A$2,$A$3+$A$1-1,IR5),HolidayList[Date],1,0)))),TRUE,FALSE),FALSE)</f>
        <v>0</v>
      </c>
      <c r="IS4" s="15" t="b">
        <f>IFERROR(IF(AND(VLOOKUP(IS6,$NZ$16:$OA$22,2,0)="Yes",NOT(ISNUMBER(VLOOKUP(DATE($A$2,$A$3+$A$1-1,IS5),HolidayList[Date],1,0)))),TRUE,FALSE),FALSE)</f>
        <v>0</v>
      </c>
      <c r="IT4" s="15" t="b">
        <f>IFERROR(IF(AND(VLOOKUP(IT6,$NZ$16:$OA$22,2,0)="Yes",NOT(ISNUMBER(VLOOKUP(DATE($A$2,$A$3+$A$1-1,IT5),HolidayList[Date],1,0)))),TRUE,FALSE),FALSE)</f>
        <v>0</v>
      </c>
      <c r="IU4" s="15" t="b">
        <f>IFERROR(IF(AND(VLOOKUP(IU6,$NZ$16:$OA$22,2,0)="Yes",NOT(ISNUMBER(VLOOKUP(DATE($A$2,$A$3+$A$1-1,IU5),HolidayList[Date],1,0)))),TRUE,FALSE),FALSE)</f>
        <v>0</v>
      </c>
      <c r="IV4" s="15" t="b">
        <f>IFERROR(IF(AND(VLOOKUP(IV6,$NZ$16:$OA$22,2,0)="Yes",NOT(ISNUMBER(VLOOKUP(DATE($A$2,$A$3+$A$1-1,IV5),HolidayList[Date],1,0)))),TRUE,FALSE),FALSE)</f>
        <v>0</v>
      </c>
      <c r="IW4" s="15" t="b">
        <f>IFERROR(IF(AND(VLOOKUP(IW6,$NZ$16:$OA$22,2,0)="Yes",NOT(ISNUMBER(VLOOKUP(DATE($A$2,$A$3+$A$1-1,IW5),HolidayList[Date],1,0)))),TRUE,FALSE),FALSE)</f>
        <v>0</v>
      </c>
      <c r="IX4" s="15" t="b">
        <f>IFERROR(IF(AND(VLOOKUP(IX6,$NZ$16:$OA$22,2,0)="Yes",NOT(ISNUMBER(VLOOKUP(DATE($A$2,$A$3+$A$1-1,IX5),HolidayList[Date],1,0)))),TRUE,FALSE),FALSE)</f>
        <v>0</v>
      </c>
      <c r="IY4" s="15" t="b">
        <f>IFERROR(IF(AND(VLOOKUP(IY6,$NZ$16:$OA$22,2,0)="Yes",NOT(ISNUMBER(VLOOKUP(DATE($A$2,$A$3+$A$1-1,IY5),HolidayList[Date],1,0)))),TRUE,FALSE),FALSE)</f>
        <v>0</v>
      </c>
      <c r="IZ4" s="15" t="b">
        <f>IFERROR(IF(AND(VLOOKUP(IZ6,$NZ$16:$OA$22,2,0)="Yes",NOT(ISNUMBER(VLOOKUP(DATE($A$2,$A$3+$A$1-1,IZ5),HolidayList[Date],1,0)))),TRUE,FALSE),FALSE)</f>
        <v>0</v>
      </c>
      <c r="JA4" s="15" t="b">
        <f>IFERROR(IF(AND(VLOOKUP(JA6,$NZ$16:$OA$22,2,0)="Yes",NOT(ISNUMBER(VLOOKUP(DATE($A$2,$A$3+$A$1-1,JA5),HolidayList[Date],1,0)))),TRUE,FALSE),FALSE)</f>
        <v>0</v>
      </c>
      <c r="JB4" s="15" t="b">
        <f>IFERROR(IF(AND(VLOOKUP(JB6,$NZ$16:$OA$22,2,0)="Yes",NOT(ISNUMBER(VLOOKUP(DATE($A$2,$A$3+$A$1-1,JB5),HolidayList[Date],1,0)))),TRUE,FALSE),FALSE)</f>
        <v>0</v>
      </c>
      <c r="JC4" s="15" t="b">
        <f>IFERROR(IF(AND(VLOOKUP(JC6,$NZ$16:$OA$22,2,0)="Yes",NOT(ISNUMBER(VLOOKUP(DATE($A$2,$A$3+$A$1-1,JC5),HolidayList[Date],1,0)))),TRUE,FALSE),FALSE)</f>
        <v>0</v>
      </c>
      <c r="JD4" s="15" t="b">
        <f>IFERROR(IF(AND(VLOOKUP(JD6,$NZ$16:$OA$22,2,0)="Yes",NOT(ISNUMBER(VLOOKUP(DATE($A$2,$A$3+$A$1-1,JD5),HolidayList[Date],1,0)))),TRUE,FALSE),FALSE)</f>
        <v>0</v>
      </c>
      <c r="JE4" s="15" t="b">
        <f>IFERROR(IF(AND(VLOOKUP(JE6,$NZ$16:$OA$22,2,0)="Yes",NOT(ISNUMBER(VLOOKUP(DATE($A$2,$A$3+$A$1-1,JE5),HolidayList[Date],1,0)))),TRUE,FALSE),FALSE)</f>
        <v>0</v>
      </c>
      <c r="JF4" s="15" t="b">
        <f>IFERROR(IF(AND(VLOOKUP(JF6,$NZ$16:$OA$22,2,0)="Yes",NOT(ISNUMBER(VLOOKUP(DATE($A$2,$A$3+$A$1-1,JF5),HolidayList[Date],1,0)))),TRUE,FALSE),FALSE)</f>
        <v>0</v>
      </c>
      <c r="JG4" s="15" t="b">
        <f>IFERROR(IF(AND(VLOOKUP(JG6,$NZ$16:$OA$22,2,0)="Yes",NOT(ISNUMBER(VLOOKUP(DATE($A$2,$A$3+$A$1-1,JG5),HolidayList[Date],1,0)))),TRUE,FALSE),FALSE)</f>
        <v>0</v>
      </c>
      <c r="JH4" s="15" t="b">
        <f>IFERROR(IF(AND(VLOOKUP(JH6,$NZ$16:$OA$22,2,0)="Yes",NOT(ISNUMBER(VLOOKUP(DATE($A$2,$A$3+$A$1-1,JH5),HolidayList[Date],1,0)))),TRUE,FALSE),FALSE)</f>
        <v>0</v>
      </c>
      <c r="JI4" s="15" t="b">
        <f>IFERROR(IF(AND(VLOOKUP(JI6,$NZ$16:$OA$22,2,0)="Yes",NOT(ISNUMBER(VLOOKUP(DATE($A$2,$A$3+$A$1-1,JI5),HolidayList[Date],1,0)))),TRUE,FALSE),FALSE)</f>
        <v>0</v>
      </c>
      <c r="JJ4" s="15" t="b">
        <f>IFERROR(IF(AND(VLOOKUP(JJ6,$NZ$16:$OA$22,2,0)="Yes",NOT(ISNUMBER(VLOOKUP(DATE($A$2,$A$3+$A$1-1,JJ5),HolidayList[Date],1,0)))),TRUE,FALSE),FALSE)</f>
        <v>0</v>
      </c>
      <c r="JK4" s="15" t="b">
        <f>IFERROR(IF(AND(VLOOKUP(JK6,$NZ$16:$OA$22,2,0)="Yes",NOT(ISNUMBER(VLOOKUP(DATE($A$2,$A$3+$A$1-1,JK5),HolidayList[Date],1,0)))),TRUE,FALSE),FALSE)</f>
        <v>0</v>
      </c>
      <c r="JL4" s="15" t="b">
        <f>IFERROR(IF(AND(VLOOKUP(JL6,$NZ$16:$OA$22,2,0)="Yes",NOT(ISNUMBER(VLOOKUP(DATE($A$2,$A$3+$A$1-1,JL5),HolidayList[Date],1,0)))),TRUE,FALSE),FALSE)</f>
        <v>0</v>
      </c>
      <c r="JM4" s="15" t="b">
        <f>IFERROR(IF(AND(VLOOKUP(JM6,$NZ$16:$OA$22,2,0)="Yes",NOT(ISNUMBER(VLOOKUP(DATE($A$2,$A$3+$A$1-1,JM5),HolidayList[Date],1,0)))),TRUE,FALSE),FALSE)</f>
        <v>0</v>
      </c>
      <c r="JN4" s="15" t="b">
        <f>IFERROR(IF(AND(VLOOKUP(JN6,$NZ$16:$OA$22,2,0)="Yes",NOT(ISNUMBER(VLOOKUP(DATE($A$2,$A$3+$A$1-1,JN5),HolidayList[Date],1,0)))),TRUE,FALSE),FALSE)</f>
        <v>0</v>
      </c>
      <c r="JO4" s="15" t="b">
        <f>IFERROR(IF(AND(VLOOKUP(JO6,$NZ$16:$OA$22,2,0)="Yes",NOT(ISNUMBER(VLOOKUP(DATE($A$2,$A$3+$A$1-1,JO5),HolidayList[Date],1,0)))),TRUE,FALSE),FALSE)</f>
        <v>0</v>
      </c>
      <c r="JP4" s="15" t="b">
        <f>IFERROR(IF(AND(VLOOKUP(JP6,$NZ$16:$OA$22,2,0)="Yes",NOT(ISNUMBER(VLOOKUP(DATE($A$2,$A$3+$A$1-1,JP5),HolidayList[Date],1,0)))),TRUE,FALSE),FALSE)</f>
        <v>0</v>
      </c>
      <c r="JQ4" s="15" t="b">
        <f>IFERROR(IF(AND(VLOOKUP(JQ6,$NZ$16:$OA$22,2,0)="Yes",NOT(ISNUMBER(VLOOKUP(DATE($A$2,$A$3+$A$1-1,JQ5),HolidayList[Date],1,0)))),TRUE,FALSE),FALSE)</f>
        <v>0</v>
      </c>
      <c r="JR4" s="15" t="b">
        <f>IFERROR(IF(AND(VLOOKUP(JR6,$NZ$16:$OA$22,2,0)="Yes",NOT(ISNUMBER(VLOOKUP(DATE($A$2,$A$3+$A$1-1,JR5),HolidayList[Date],1,0)))),TRUE,FALSE),FALSE)</f>
        <v>0</v>
      </c>
      <c r="JS4" s="15" t="b">
        <f>IFERROR(IF(AND(VLOOKUP(JS6,$NZ$16:$OA$22,2,0)="Yes",NOT(ISNUMBER(VLOOKUP(DATE($A$2,$A$3+$A$1-1,JS5),HolidayList[Date],1,0)))),TRUE,FALSE),FALSE)</f>
        <v>0</v>
      </c>
      <c r="JT4" s="15" t="b">
        <f>IFERROR(IF(AND(VLOOKUP(JT6,$NZ$16:$OA$22,2,0)="Yes",NOT(ISNUMBER(VLOOKUP(DATE($A$2,$A$3+$A$1-1,JT5),HolidayList[Date],1,0)))),TRUE,FALSE),FALSE)</f>
        <v>0</v>
      </c>
      <c r="JU4" s="15" t="b">
        <f>IFERROR(IF(AND(VLOOKUP(JU6,$NZ$16:$OA$22,2,0)="Yes",NOT(ISNUMBER(VLOOKUP(DATE($A$2,$A$3+$A$1-1,JU5),HolidayList[Date],1,0)))),TRUE,FALSE),FALSE)</f>
        <v>0</v>
      </c>
      <c r="JV4" s="15" t="b">
        <f>IFERROR(IF(AND(VLOOKUP(JV6,$NZ$16:$OA$22,2,0)="Yes",NOT(ISNUMBER(VLOOKUP(DATE($A$2,$A$3+$A$1-1,JV5),HolidayList[Date],1,0)))),TRUE,FALSE),FALSE)</f>
        <v>0</v>
      </c>
      <c r="JW4" s="15" t="b">
        <f>IFERROR(IF(AND(VLOOKUP(JW6,$NZ$16:$OA$22,2,0)="Yes",NOT(ISNUMBER(VLOOKUP(DATE($A$2,$A$3+$A$1-1,JW5),HolidayList[Date],1,0)))),TRUE,FALSE),FALSE)</f>
        <v>0</v>
      </c>
      <c r="JX4" s="15" t="b">
        <f>IFERROR(IF(AND(VLOOKUP(JX6,$NZ$16:$OA$22,2,0)="Yes",NOT(ISNUMBER(VLOOKUP(DATE($A$2,$A$3+$A$1-1,JX5),HolidayList[Date],1,0)))),TRUE,FALSE),FALSE)</f>
        <v>0</v>
      </c>
      <c r="JY4" s="15" t="b">
        <f>IFERROR(IF(AND(VLOOKUP(JY6,$NZ$16:$OA$22,2,0)="Yes",NOT(ISNUMBER(VLOOKUP(DATE($A$2,$A$3+$A$1-1,JY5),HolidayList[Date],1,0)))),TRUE,FALSE),FALSE)</f>
        <v>0</v>
      </c>
      <c r="JZ4" s="15" t="b">
        <f>IFERROR(IF(AND(VLOOKUP(JZ6,$NZ$16:$OA$22,2,0)="Yes",NOT(ISNUMBER(VLOOKUP(DATE($A$2,$A$3+$A$1-1,JZ5),HolidayList[Date],1,0)))),TRUE,FALSE),FALSE)</f>
        <v>0</v>
      </c>
      <c r="KA4" s="15" t="b">
        <f>IFERROR(IF(AND(VLOOKUP(KA6,$NZ$16:$OA$22,2,0)="Yes",NOT(ISNUMBER(VLOOKUP(DATE($A$2,$A$3+$A$1-1,KA5),HolidayList[Date],1,0)))),TRUE,FALSE),FALSE)</f>
        <v>0</v>
      </c>
      <c r="KB4" s="15" t="b">
        <f>IFERROR(IF(AND(VLOOKUP(KB6,$NZ$16:$OA$22,2,0)="Yes",NOT(ISNUMBER(VLOOKUP(DATE($A$2,$A$3+$A$1-1,KB5),HolidayList[Date],1,0)))),TRUE,FALSE),FALSE)</f>
        <v>0</v>
      </c>
      <c r="KC4" s="15" t="b">
        <f>IFERROR(IF(AND(VLOOKUP(KC6,$NZ$16:$OA$22,2,0)="Yes",NOT(ISNUMBER(VLOOKUP(DATE($A$2,$A$3+$A$1-1,KC5),HolidayList[Date],1,0)))),TRUE,FALSE),FALSE)</f>
        <v>0</v>
      </c>
      <c r="KD4" s="15" t="b">
        <f>IFERROR(IF(AND(VLOOKUP(KD6,$NZ$16:$OA$22,2,0)="Yes",NOT(ISNUMBER(VLOOKUP(DATE($A$2,$A$3+$A$1-1,KD5),HolidayList[Date],1,0)))),TRUE,FALSE),FALSE)</f>
        <v>0</v>
      </c>
      <c r="KE4" s="15" t="b">
        <f>IFERROR(IF(AND(VLOOKUP(KE6,$NZ$16:$OA$22,2,0)="Yes",NOT(ISNUMBER(VLOOKUP(DATE($A$2,$A$3+$A$1-1,KE5),HolidayList[Date],1,0)))),TRUE,FALSE),FALSE)</f>
        <v>0</v>
      </c>
      <c r="KF4" s="15" t="b">
        <f>IFERROR(IF(AND(VLOOKUP(KF6,$NZ$16:$OA$22,2,0)="Yes",NOT(ISNUMBER(VLOOKUP(DATE($A$2,$A$3+$A$1-1,KF5),HolidayList[Date],1,0)))),TRUE,FALSE),FALSE)</f>
        <v>0</v>
      </c>
      <c r="KG4" s="15" t="b">
        <f>IFERROR(IF(AND(VLOOKUP(KG6,$NZ$16:$OA$22,2,0)="Yes",NOT(ISNUMBER(VLOOKUP(DATE($A$2,$A$3+$A$1-1,KG5),HolidayList[Date],1,0)))),TRUE,FALSE),FALSE)</f>
        <v>0</v>
      </c>
      <c r="KH4" s="15" t="b">
        <f>IFERROR(IF(AND(VLOOKUP(KH6,$NZ$16:$OA$22,2,0)="Yes",NOT(ISNUMBER(VLOOKUP(DATE($A$2,$A$3+$A$1-1,KH5),HolidayList[Date],1,0)))),TRUE,FALSE),FALSE)</f>
        <v>0</v>
      </c>
      <c r="KI4" s="15" t="b">
        <f>IFERROR(IF(AND(VLOOKUP(KI6,$NZ$16:$OA$22,2,0)="Yes",NOT(ISNUMBER(VLOOKUP(DATE($A$2,$A$3+$A$1-1,KI5),HolidayList[Date],1,0)))),TRUE,FALSE),FALSE)</f>
        <v>0</v>
      </c>
      <c r="KJ4" s="15" t="b">
        <f>IFERROR(IF(AND(VLOOKUP(KJ6,$NZ$16:$OA$22,2,0)="Yes",NOT(ISNUMBER(VLOOKUP(DATE($A$2,$A$3+$A$1-1,KJ5),HolidayList[Date],1,0)))),TRUE,FALSE),FALSE)</f>
        <v>0</v>
      </c>
      <c r="KK4" s="15" t="b">
        <f>IFERROR(IF(AND(VLOOKUP(KK6,$NZ$16:$OA$22,2,0)="Yes",NOT(ISNUMBER(VLOOKUP(DATE($A$2,$A$3+$A$1-1,KK5),HolidayList[Date],1,0)))),TRUE,FALSE),FALSE)</f>
        <v>0</v>
      </c>
      <c r="KL4" s="15" t="b">
        <f>IFERROR(IF(AND(VLOOKUP(KL6,$NZ$16:$OA$22,2,0)="Yes",NOT(ISNUMBER(VLOOKUP(DATE($A$2,$A$3+$A$1-1,KL5),HolidayList[Date],1,0)))),TRUE,FALSE),FALSE)</f>
        <v>0</v>
      </c>
      <c r="KM4" s="15" t="b">
        <f>IFERROR(IF(AND(VLOOKUP(KM6,$NZ$16:$OA$22,2,0)="Yes",NOT(ISNUMBER(VLOOKUP(DATE($A$2,$A$3+$A$1-1,KM5),HolidayList[Date],1,0)))),TRUE,FALSE),FALSE)</f>
        <v>0</v>
      </c>
      <c r="KN4" s="15" t="b">
        <f>IFERROR(IF(AND(VLOOKUP(KN6,$NZ$16:$OA$22,2,0)="Yes",NOT(ISNUMBER(VLOOKUP(DATE($A$2,$A$3+$A$1-1,KN5),HolidayList[Date],1,0)))),TRUE,FALSE),FALSE)</f>
        <v>0</v>
      </c>
      <c r="KO4" s="15" t="b">
        <f>IFERROR(IF(AND(VLOOKUP(KO6,$NZ$16:$OA$22,2,0)="Yes",NOT(ISNUMBER(VLOOKUP(DATE($A$2,$A$3+$A$1-1,KO5),HolidayList[Date],1,0)))),TRUE,FALSE),FALSE)</f>
        <v>0</v>
      </c>
      <c r="KP4" s="15" t="b">
        <f>IFERROR(IF(AND(VLOOKUP(KP6,$NZ$16:$OA$22,2,0)="Yes",NOT(ISNUMBER(VLOOKUP(DATE($A$2,$A$3+$A$1-1,KP5),HolidayList[Date],1,0)))),TRUE,FALSE),FALSE)</f>
        <v>0</v>
      </c>
      <c r="KQ4" s="15" t="b">
        <f>IFERROR(IF(AND(VLOOKUP(KQ6,$NZ$16:$OA$22,2,0)="Yes",NOT(ISNUMBER(VLOOKUP(DATE($A$2,$A$3+$A$1-1,KQ5),HolidayList[Date],1,0)))),TRUE,FALSE),FALSE)</f>
        <v>0</v>
      </c>
      <c r="KR4" s="15" t="b">
        <f>IFERROR(IF(AND(VLOOKUP(KR6,$NZ$16:$OA$22,2,0)="Yes",NOT(ISNUMBER(VLOOKUP(DATE($A$2,$A$3+$A$1-1,KR5),HolidayList[Date],1,0)))),TRUE,FALSE),FALSE)</f>
        <v>0</v>
      </c>
      <c r="KS4" s="15" t="b">
        <f>IFERROR(IF(AND(VLOOKUP(KS6,$NZ$16:$OA$22,2,0)="Yes",NOT(ISNUMBER(VLOOKUP(DATE($A$2,$A$3+$A$1-1,KS5),HolidayList[Date],1,0)))),TRUE,FALSE),FALSE)</f>
        <v>0</v>
      </c>
      <c r="KT4" s="15" t="b">
        <f>IFERROR(IF(AND(VLOOKUP(KT6,$NZ$16:$OA$22,2,0)="Yes",NOT(ISNUMBER(VLOOKUP(DATE($A$2,$A$3+$A$1-1,KT5),HolidayList[Date],1,0)))),TRUE,FALSE),FALSE)</f>
        <v>0</v>
      </c>
      <c r="KU4" s="15" t="b">
        <f>IFERROR(IF(AND(VLOOKUP(KU6,$NZ$16:$OA$22,2,0)="Yes",NOT(ISNUMBER(VLOOKUP(DATE($A$2,$A$3+$A$1-1,KU5),HolidayList[Date],1,0)))),TRUE,FALSE),FALSE)</f>
        <v>0</v>
      </c>
      <c r="KV4" s="15" t="b">
        <f>IFERROR(IF(AND(VLOOKUP(KV6,$NZ$16:$OA$22,2,0)="Yes",NOT(ISNUMBER(VLOOKUP(DATE($A$2,$A$3+$A$1-1,KV5),HolidayList[Date],1,0)))),TRUE,FALSE),FALSE)</f>
        <v>0</v>
      </c>
      <c r="KW4" s="15" t="b">
        <f>IFERROR(IF(AND(VLOOKUP(KW6,$NZ$16:$OA$22,2,0)="Yes",NOT(ISNUMBER(VLOOKUP(DATE($A$2,$A$3+$A$1-1,KW5),HolidayList[Date],1,0)))),TRUE,FALSE),FALSE)</f>
        <v>0</v>
      </c>
      <c r="KX4" s="15" t="b">
        <f>IFERROR(IF(AND(VLOOKUP(KX6,$NZ$16:$OA$22,2,0)="Yes",NOT(ISNUMBER(VLOOKUP(DATE($A$2,$A$3+$A$1-1,KX5),HolidayList[Date],1,0)))),TRUE,FALSE),FALSE)</f>
        <v>0</v>
      </c>
      <c r="KY4" s="15" t="b">
        <f>IFERROR(IF(AND(VLOOKUP(KY6,$NZ$16:$OA$22,2,0)="Yes",NOT(ISNUMBER(VLOOKUP(DATE($A$2,$A$3+$A$1-1,KY5),HolidayList[Date],1,0)))),TRUE,FALSE),FALSE)</f>
        <v>0</v>
      </c>
      <c r="KZ4" s="15" t="b">
        <f>IFERROR(IF(AND(VLOOKUP(KZ6,$NZ$16:$OA$22,2,0)="Yes",NOT(ISNUMBER(VLOOKUP(DATE($A$2,$A$3+$A$1-1,KZ5),HolidayList[Date],1,0)))),TRUE,FALSE),FALSE)</f>
        <v>0</v>
      </c>
      <c r="LA4" s="15" t="b">
        <f>IFERROR(IF(AND(VLOOKUP(LA6,$NZ$16:$OA$22,2,0)="Yes",NOT(ISNUMBER(VLOOKUP(DATE($A$2,$A$3+$A$1-1,LA5),HolidayList[Date],1,0)))),TRUE,FALSE),FALSE)</f>
        <v>0</v>
      </c>
      <c r="LB4" s="15" t="b">
        <f>IFERROR(IF(AND(VLOOKUP(LB6,$NZ$16:$OA$22,2,0)="Yes",NOT(ISNUMBER(VLOOKUP(DATE($A$2,$A$3+$A$1-1,LB5),HolidayList[Date],1,0)))),TRUE,FALSE),FALSE)</f>
        <v>0</v>
      </c>
      <c r="LC4" s="15" t="b">
        <f>IFERROR(IF(AND(VLOOKUP(LC6,$NZ$16:$OA$22,2,0)="Yes",NOT(ISNUMBER(VLOOKUP(DATE($A$2,$A$3+$A$1-1,LC5),HolidayList[Date],1,0)))),TRUE,FALSE),FALSE)</f>
        <v>0</v>
      </c>
      <c r="LD4" s="15" t="b">
        <f>IFERROR(IF(AND(VLOOKUP(LD6,$NZ$16:$OA$22,2,0)="Yes",NOT(ISNUMBER(VLOOKUP(DATE($A$2,$A$3+$A$1-1,LD5),HolidayList[Date],1,0)))),TRUE,FALSE),FALSE)</f>
        <v>0</v>
      </c>
      <c r="LE4" s="15" t="b">
        <f>IFERROR(IF(AND(VLOOKUP(LE6,$NZ$16:$OA$22,2,0)="Yes",NOT(ISNUMBER(VLOOKUP(DATE($A$2,$A$3+$A$1-1,LE5),HolidayList[Date],1,0)))),TRUE,FALSE),FALSE)</f>
        <v>0</v>
      </c>
      <c r="LF4" s="15" t="b">
        <f>IFERROR(IF(AND(VLOOKUP(LF6,$NZ$16:$OA$22,2,0)="Yes",NOT(ISNUMBER(VLOOKUP(DATE($A$2,$A$3+$A$1-1,LF5),HolidayList[Date],1,0)))),TRUE,FALSE),FALSE)</f>
        <v>0</v>
      </c>
      <c r="LG4" s="15" t="b">
        <f>IFERROR(IF(AND(VLOOKUP(LG6,$NZ$16:$OA$22,2,0)="Yes",NOT(ISNUMBER(VLOOKUP(DATE($A$2,$A$3+$A$1-1,LG5),HolidayList[Date],1,0)))),TRUE,FALSE),FALSE)</f>
        <v>0</v>
      </c>
      <c r="LH4" s="15" t="b">
        <f>IFERROR(IF(AND(VLOOKUP(LH6,$NZ$16:$OA$22,2,0)="Yes",NOT(ISNUMBER(VLOOKUP(DATE($A$2,$A$3+$A$1-1,LH5),HolidayList[Date],1,0)))),TRUE,FALSE),FALSE)</f>
        <v>0</v>
      </c>
      <c r="LI4" s="15" t="b">
        <f>IFERROR(IF(AND(VLOOKUP(LI6,$NZ$16:$OA$22,2,0)="Yes",NOT(ISNUMBER(VLOOKUP(DATE($A$2,$A$3+$A$1-1,LI5),HolidayList[Date],1,0)))),TRUE,FALSE),FALSE)</f>
        <v>0</v>
      </c>
      <c r="LJ4" s="15" t="b">
        <f>IFERROR(IF(AND(VLOOKUP(LJ6,$NZ$16:$OA$22,2,0)="Yes",NOT(ISNUMBER(VLOOKUP(DATE($A$2,$A$3+$A$1-1,LJ5),HolidayList[Date],1,0)))),TRUE,FALSE),FALSE)</f>
        <v>0</v>
      </c>
      <c r="LK4" s="15" t="b">
        <f>IFERROR(IF(AND(VLOOKUP(LK6,$NZ$16:$OA$22,2,0)="Yes",NOT(ISNUMBER(VLOOKUP(DATE($A$2,$A$3+$A$1-1,LK5),HolidayList[Date],1,0)))),TRUE,FALSE),FALSE)</f>
        <v>0</v>
      </c>
      <c r="LL4" s="15" t="b">
        <f>IFERROR(IF(AND(VLOOKUP(LL6,$NZ$16:$OA$22,2,0)="Yes",NOT(ISNUMBER(VLOOKUP(DATE($A$2,$A$3+$A$1-1,LL5),HolidayList[Date],1,0)))),TRUE,FALSE),FALSE)</f>
        <v>0</v>
      </c>
      <c r="LM4" s="15" t="b">
        <f>IFERROR(IF(AND(VLOOKUP(LM6,$NZ$16:$OA$22,2,0)="Yes",NOT(ISNUMBER(VLOOKUP(DATE($A$2,$A$3+$A$1-1,LM5),HolidayList[Date],1,0)))),TRUE,FALSE),FALSE)</f>
        <v>0</v>
      </c>
      <c r="LN4" s="15" t="b">
        <f>IFERROR(IF(AND(VLOOKUP(LN6,$NZ$16:$OA$22,2,0)="Yes",NOT(ISNUMBER(VLOOKUP(DATE($A$2,$A$3+$A$1-1,LN5),HolidayList[Date],1,0)))),TRUE,FALSE),FALSE)</f>
        <v>0</v>
      </c>
      <c r="LO4" s="15" t="b">
        <f>IFERROR(IF(AND(VLOOKUP(LO6,$NZ$16:$OA$22,2,0)="Yes",NOT(ISNUMBER(VLOOKUP(DATE($A$2,$A$3+$A$1-1,LO5),HolidayList[Date],1,0)))),TRUE,FALSE),FALSE)</f>
        <v>0</v>
      </c>
      <c r="LP4" s="15" t="b">
        <f>IFERROR(IF(AND(VLOOKUP(LP6,$NZ$16:$OA$22,2,0)="Yes",NOT(ISNUMBER(VLOOKUP(DATE($A$2,$A$3+$A$1-1,LP5),HolidayList[Date],1,0)))),TRUE,FALSE),FALSE)</f>
        <v>0</v>
      </c>
      <c r="LQ4" s="15" t="b">
        <f>IFERROR(IF(AND(VLOOKUP(LQ6,$NZ$16:$OA$22,2,0)="Yes",NOT(ISNUMBER(VLOOKUP(DATE($A$2,$A$3+$A$1-1,LQ5),HolidayList[Date],1,0)))),TRUE,FALSE),FALSE)</f>
        <v>0</v>
      </c>
      <c r="LR4" s="15" t="b">
        <f>IFERROR(IF(AND(VLOOKUP(LR6,$NZ$16:$OA$22,2,0)="Yes",NOT(ISNUMBER(VLOOKUP(DATE($A$2,$A$3+$A$1-1,LR5),HolidayList[Date],1,0)))),TRUE,FALSE),FALSE)</f>
        <v>0</v>
      </c>
      <c r="LS4" s="15" t="b">
        <f>IFERROR(IF(AND(VLOOKUP(LS6,$NZ$16:$OA$22,2,0)="Yes",NOT(ISNUMBER(VLOOKUP(DATE($A$2,$A$3+$A$1-1,LS5),HolidayList[Date],1,0)))),TRUE,FALSE),FALSE)</f>
        <v>0</v>
      </c>
      <c r="LT4" s="15" t="b">
        <f>IFERROR(IF(AND(VLOOKUP(LT6,$NZ$16:$OA$22,2,0)="Yes",NOT(ISNUMBER(VLOOKUP(DATE($A$2,$A$3+$A$1-1,LT5),HolidayList[Date],1,0)))),TRUE,FALSE),FALSE)</f>
        <v>0</v>
      </c>
      <c r="LU4" s="15" t="b">
        <f>IFERROR(IF(AND(VLOOKUP(LU6,$NZ$16:$OA$22,2,0)="Yes",NOT(ISNUMBER(VLOOKUP(DATE($A$2,$A$3+$A$1-1,LU5),HolidayList[Date],1,0)))),TRUE,FALSE),FALSE)</f>
        <v>0</v>
      </c>
      <c r="LV4" s="15" t="b">
        <f>IFERROR(IF(AND(VLOOKUP(LV6,$NZ$16:$OA$22,2,0)="Yes",NOT(ISNUMBER(VLOOKUP(DATE($A$2,$A$3+$A$1-1,LV5),HolidayList[Date],1,0)))),TRUE,FALSE),FALSE)</f>
        <v>0</v>
      </c>
      <c r="LW4" s="15" t="b">
        <f>IFERROR(IF(AND(VLOOKUP(LW6,$NZ$16:$OA$22,2,0)="Yes",NOT(ISNUMBER(VLOOKUP(DATE($A$2,$A$3+$A$1-1,LW5),HolidayList[Date],1,0)))),TRUE,FALSE),FALSE)</f>
        <v>0</v>
      </c>
      <c r="LX4" s="15" t="b">
        <f>IFERROR(IF(AND(VLOOKUP(LX6,$NZ$16:$OA$22,2,0)="Yes",NOT(ISNUMBER(VLOOKUP(DATE($A$2,$A$3+$A$1-1,LX5),HolidayList[Date],1,0)))),TRUE,FALSE),FALSE)</f>
        <v>0</v>
      </c>
      <c r="LY4" s="15" t="b">
        <f>IFERROR(IF(AND(VLOOKUP(LY6,$NZ$16:$OA$22,2,0)="Yes",NOT(ISNUMBER(VLOOKUP(DATE($A$2,$A$3+$A$1-1,LY5),HolidayList[Date],1,0)))),TRUE,FALSE),FALSE)</f>
        <v>0</v>
      </c>
      <c r="LZ4" s="15" t="b">
        <f>IFERROR(IF(AND(VLOOKUP(LZ6,$NZ$16:$OA$22,2,0)="Yes",NOT(ISNUMBER(VLOOKUP(DATE($A$2,$A$3+$A$1-1,LZ5),HolidayList[Date],1,0)))),TRUE,FALSE),FALSE)</f>
        <v>0</v>
      </c>
      <c r="MA4" s="15" t="b">
        <f>IFERROR(IF(AND(VLOOKUP(MA6,$NZ$16:$OA$22,2,0)="Yes",NOT(ISNUMBER(VLOOKUP(DATE($A$2,$A$3+$A$1-1,MA5),HolidayList[Date],1,0)))),TRUE,FALSE),FALSE)</f>
        <v>0</v>
      </c>
      <c r="MB4" s="15" t="b">
        <f>IFERROR(IF(AND(VLOOKUP(MB6,$NZ$16:$OA$22,2,0)="Yes",NOT(ISNUMBER(VLOOKUP(DATE($A$2,$A$3+$A$1-1,MB5),HolidayList[Date],1,0)))),TRUE,FALSE),FALSE)</f>
        <v>0</v>
      </c>
      <c r="MC4" s="15" t="b">
        <f>IFERROR(IF(AND(VLOOKUP(MC6,$NZ$16:$OA$22,2,0)="Yes",NOT(ISNUMBER(VLOOKUP(DATE($A$2,$A$3+$A$1-1,MC5),HolidayList[Date],1,0)))),TRUE,FALSE),FALSE)</f>
        <v>0</v>
      </c>
      <c r="MD4" s="15" t="b">
        <f>IFERROR(IF(AND(VLOOKUP(MD6,$NZ$16:$OA$22,2,0)="Yes",NOT(ISNUMBER(VLOOKUP(DATE($A$2,$A$3+$A$1-1,MD5),HolidayList[Date],1,0)))),TRUE,FALSE),FALSE)</f>
        <v>0</v>
      </c>
      <c r="ME4" s="15" t="b">
        <f>IFERROR(IF(AND(VLOOKUP(ME6,$NZ$16:$OA$22,2,0)="Yes",NOT(ISNUMBER(VLOOKUP(DATE($A$2,$A$3+$A$1-1,ME5),HolidayList[Date],1,0)))),TRUE,FALSE),FALSE)</f>
        <v>0</v>
      </c>
      <c r="MF4" s="15" t="b">
        <f>IFERROR(IF(AND(VLOOKUP(MF6,$NZ$16:$OA$22,2,0)="Yes",NOT(ISNUMBER(VLOOKUP(DATE($A$2,$A$3+$A$1-1,MF5),HolidayList[Date],1,0)))),TRUE,FALSE),FALSE)</f>
        <v>0</v>
      </c>
      <c r="MG4" s="15" t="b">
        <f>IFERROR(IF(AND(VLOOKUP(MG6,$NZ$16:$OA$22,2,0)="Yes",NOT(ISNUMBER(VLOOKUP(DATE($A$2,$A$3+$A$1-1,MG5),HolidayList[Date],1,0)))),TRUE,FALSE),FALSE)</f>
        <v>0</v>
      </c>
      <c r="MH4" s="15" t="b">
        <f>IFERROR(IF(AND(VLOOKUP(MH6,$NZ$16:$OA$22,2,0)="Yes",NOT(ISNUMBER(VLOOKUP(DATE($A$2,$A$3+$A$1-1,MH5),HolidayList[Date],1,0)))),TRUE,FALSE),FALSE)</f>
        <v>0</v>
      </c>
      <c r="MI4" s="15" t="b">
        <f>IFERROR(IF(AND(VLOOKUP(MI6,$NZ$16:$OA$22,2,0)="Yes",NOT(ISNUMBER(VLOOKUP(DATE($A$2,$A$3+$A$1-1,MI5),HolidayList[Date],1,0)))),TRUE,FALSE),FALSE)</f>
        <v>0</v>
      </c>
      <c r="MJ4" s="15" t="b">
        <f>IFERROR(IF(AND(VLOOKUP(MJ6,$NZ$16:$OA$22,2,0)="Yes",NOT(ISNUMBER(VLOOKUP(DATE($A$2,$A$3+$A$1-1,MJ5),HolidayList[Date],1,0)))),TRUE,FALSE),FALSE)</f>
        <v>0</v>
      </c>
      <c r="MK4" s="15" t="b">
        <f>IFERROR(IF(AND(VLOOKUP(MK6,$NZ$16:$OA$22,2,0)="Yes",NOT(ISNUMBER(VLOOKUP(DATE($A$2,$A$3+$A$1-1,MK5),HolidayList[Date],1,0)))),TRUE,FALSE),FALSE)</f>
        <v>0</v>
      </c>
      <c r="ML4" s="15" t="b">
        <f>IFERROR(IF(AND(VLOOKUP(ML6,$NZ$16:$OA$22,2,0)="Yes",NOT(ISNUMBER(VLOOKUP(DATE($A$2,$A$3+$A$1-1,ML5),HolidayList[Date],1,0)))),TRUE,FALSE),FALSE)</f>
        <v>0</v>
      </c>
      <c r="MM4" s="15" t="b">
        <f>IFERROR(IF(AND(VLOOKUP(MM6,$NZ$16:$OA$22,2,0)="Yes",NOT(ISNUMBER(VLOOKUP(DATE($A$2,$A$3+$A$1-1,MM5),HolidayList[Date],1,0)))),TRUE,FALSE),FALSE)</f>
        <v>0</v>
      </c>
      <c r="MN4" s="15" t="b">
        <f>IFERROR(IF(AND(VLOOKUP(MN6,$NZ$16:$OA$22,2,0)="Yes",NOT(ISNUMBER(VLOOKUP(DATE($A$2,$A$3+$A$1-1,MN5),HolidayList[Date],1,0)))),TRUE,FALSE),FALSE)</f>
        <v>0</v>
      </c>
      <c r="MO4" s="15" t="b">
        <f>IFERROR(IF(AND(VLOOKUP(MO6,$NZ$16:$OA$22,2,0)="Yes",NOT(ISNUMBER(VLOOKUP(DATE($A$2,$A$3+$A$1-1,MO5),HolidayList[Date],1,0)))),TRUE,FALSE),FALSE)</f>
        <v>0</v>
      </c>
      <c r="MP4" s="15" t="b">
        <f>IFERROR(IF(AND(VLOOKUP(MP6,$NZ$16:$OA$22,2,0)="Yes",NOT(ISNUMBER(VLOOKUP(DATE($A$2,$A$3+$A$1-1,MP5),HolidayList[Date],1,0)))),TRUE,FALSE),FALSE)</f>
        <v>0</v>
      </c>
      <c r="MQ4" s="15" t="b">
        <f>IFERROR(IF(AND(VLOOKUP(MQ6,$NZ$16:$OA$22,2,0)="Yes",NOT(ISNUMBER(VLOOKUP(DATE($A$2,$A$3+$A$1-1,MQ5),HolidayList[Date],1,0)))),TRUE,FALSE),FALSE)</f>
        <v>0</v>
      </c>
      <c r="MR4" s="15" t="b">
        <f>IFERROR(IF(AND(VLOOKUP(MR6,$NZ$16:$OA$22,2,0)="Yes",NOT(ISNUMBER(VLOOKUP(DATE($A$2,$A$3+$A$1-1,MR5),HolidayList[Date],1,0)))),TRUE,FALSE),FALSE)</f>
        <v>0</v>
      </c>
      <c r="MS4" s="15" t="b">
        <f>IFERROR(IF(AND(VLOOKUP(MS6,$NZ$16:$OA$22,2,0)="Yes",NOT(ISNUMBER(VLOOKUP(DATE($A$2,$A$3+$A$1-1,MS5),HolidayList[Date],1,0)))),TRUE,FALSE),FALSE)</f>
        <v>0</v>
      </c>
      <c r="MT4" s="15" t="b">
        <f>IFERROR(IF(AND(VLOOKUP(MT6,$NZ$16:$OA$22,2,0)="Yes",NOT(ISNUMBER(VLOOKUP(DATE($A$2,$A$3+$A$1-1,MT5),HolidayList[Date],1,0)))),TRUE,FALSE),FALSE)</f>
        <v>0</v>
      </c>
      <c r="MU4" s="15" t="b">
        <f>IFERROR(IF(AND(VLOOKUP(MU6,$NZ$16:$OA$22,2,0)="Yes",NOT(ISNUMBER(VLOOKUP(DATE($A$2,$A$3+$A$1-1,MU5),HolidayList[Date],1,0)))),TRUE,FALSE),FALSE)</f>
        <v>0</v>
      </c>
      <c r="MV4" s="15" t="b">
        <f>IFERROR(IF(AND(VLOOKUP(MV6,$NZ$16:$OA$22,2,0)="Yes",NOT(ISNUMBER(VLOOKUP(DATE($A$2,$A$3+$A$1-1,MV5),HolidayList[Date],1,0)))),TRUE,FALSE),FALSE)</f>
        <v>0</v>
      </c>
      <c r="MW4" s="15" t="b">
        <f>IFERROR(IF(AND(VLOOKUP(MW6,$NZ$16:$OA$22,2,0)="Yes",NOT(ISNUMBER(VLOOKUP(DATE($A$2,$A$3+$A$1-1,MW5),HolidayList[Date],1,0)))),TRUE,FALSE),FALSE)</f>
        <v>0</v>
      </c>
      <c r="MX4" s="15" t="b">
        <f>IFERROR(IF(AND(VLOOKUP(MX6,$NZ$16:$OA$22,2,0)="Yes",NOT(ISNUMBER(VLOOKUP(DATE($A$2,$A$3+$A$1-1,MX5),HolidayList[Date],1,0)))),TRUE,FALSE),FALSE)</f>
        <v>0</v>
      </c>
      <c r="MY4" s="15" t="b">
        <f>IFERROR(IF(AND(VLOOKUP(MY6,$NZ$16:$OA$22,2,0)="Yes",NOT(ISNUMBER(VLOOKUP(DATE($A$2,$A$3+$A$1-1,MY5),HolidayList[Date],1,0)))),TRUE,FALSE),FALSE)</f>
        <v>0</v>
      </c>
      <c r="MZ4" s="15" t="b">
        <f>IFERROR(IF(AND(VLOOKUP(MZ6,$NZ$16:$OA$22,2,0)="Yes",NOT(ISNUMBER(VLOOKUP(DATE($A$2,$A$3+$A$1-1,MZ5),HolidayList[Date],1,0)))),TRUE,FALSE),FALSE)</f>
        <v>0</v>
      </c>
      <c r="NA4" s="15" t="b">
        <f>IFERROR(IF(AND(VLOOKUP(NA6,$NZ$16:$OA$22,2,0)="Yes",NOT(ISNUMBER(VLOOKUP(DATE($A$2,$A$3+$A$1-1,NA5),HolidayList[Date],1,0)))),TRUE,FALSE),FALSE)</f>
        <v>0</v>
      </c>
      <c r="NB4" s="15" t="b">
        <f>IFERROR(IF(AND(VLOOKUP(NB6,$NZ$16:$OA$22,2,0)="Yes",NOT(ISNUMBER(VLOOKUP(DATE($A$2,$A$3+$A$1-1,NB5),HolidayList[Date],1,0)))),TRUE,FALSE),FALSE)</f>
        <v>0</v>
      </c>
      <c r="NC4" s="15" t="b">
        <f>IFERROR(IF(AND(VLOOKUP(NC6,$NZ$16:$OA$22,2,0)="Yes",NOT(ISNUMBER(VLOOKUP(DATE($A$2,$A$3+$A$1-1,NC5),HolidayList[Date],1,0)))),TRUE,FALSE),FALSE)</f>
        <v>0</v>
      </c>
      <c r="ND4" s="15" t="b">
        <f>IFERROR(IF(AND(VLOOKUP(ND6,$NZ$16:$OA$22,2,0)="Yes",NOT(ISNUMBER(VLOOKUP(DATE($A$2,$A$3+$A$1-1,ND5),HolidayList[Date],1,0)))),TRUE,FALSE),FALSE)</f>
        <v>0</v>
      </c>
      <c r="NE4" s="15" t="b">
        <f>IFERROR(IF(AND(VLOOKUP(NE6,$NZ$16:$OA$22,2,0)="Yes",NOT(ISNUMBER(VLOOKUP(DATE($A$2,$A$3+$A$1-1,NE5),HolidayList[Date],1,0)))),TRUE,FALSE),FALSE)</f>
        <v>0</v>
      </c>
      <c r="NF4" s="15" t="b">
        <f>IFERROR(IF(AND(VLOOKUP(NF6,$NZ$16:$OA$22,2,0)="Yes",NOT(ISNUMBER(VLOOKUP(DATE($A$2,$A$3+$A$1-1,NF5),HolidayList[Date],1,0)))),TRUE,FALSE),FALSE)</f>
        <v>0</v>
      </c>
      <c r="NG4" s="15" t="b">
        <f>IFERROR(IF(AND(VLOOKUP(NG6,$NZ$16:$OA$22,2,0)="Yes",NOT(ISNUMBER(VLOOKUP(DATE($A$2,$A$3+$A$1-1,NG5),HolidayList[Date],1,0)))),TRUE,FALSE),FALSE)</f>
        <v>0</v>
      </c>
      <c r="NH4" s="15" t="b">
        <f>IFERROR(IF(AND(VLOOKUP(NH6,$NZ$16:$OA$22,2,0)="Yes",NOT(ISNUMBER(VLOOKUP(DATE($A$2,$A$3+$A$1-1,NH5),HolidayList[Date],1,0)))),TRUE,FALSE),FALSE)</f>
        <v>0</v>
      </c>
      <c r="NI4" s="15" t="b">
        <f>IFERROR(IF(AND(VLOOKUP(NI6,$NZ$16:$OA$22,2,0)="Yes",NOT(ISNUMBER(VLOOKUP(DATE($A$2,$A$3+$A$1-1,NI5),HolidayList[Date],1,0)))),TRUE,FALSE),FALSE)</f>
        <v>0</v>
      </c>
    </row>
    <row r="5" spans="1:764" x14ac:dyDescent="0.45">
      <c r="A5" s="1"/>
      <c r="B5" s="7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1</v>
      </c>
      <c r="C5" s="7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2</v>
      </c>
      <c r="D5" s="7">
        <f t="shared" si="0"/>
        <v>3</v>
      </c>
      <c r="E5" s="7">
        <f t="shared" si="0"/>
        <v>4</v>
      </c>
      <c r="F5" s="7">
        <f t="shared" si="0"/>
        <v>5</v>
      </c>
      <c r="G5" s="7">
        <f t="shared" si="0"/>
        <v>6</v>
      </c>
      <c r="H5" s="7">
        <f t="shared" si="0"/>
        <v>7</v>
      </c>
      <c r="I5" s="7">
        <f t="shared" si="0"/>
        <v>8</v>
      </c>
      <c r="J5" s="7">
        <f t="shared" si="0"/>
        <v>9</v>
      </c>
      <c r="K5" s="7">
        <f t="shared" si="0"/>
        <v>10</v>
      </c>
      <c r="L5" s="7">
        <f t="shared" si="0"/>
        <v>11</v>
      </c>
      <c r="M5" s="7">
        <f t="shared" si="0"/>
        <v>12</v>
      </c>
      <c r="N5" s="7">
        <f t="shared" si="0"/>
        <v>13</v>
      </c>
      <c r="O5" s="7">
        <f t="shared" si="0"/>
        <v>14</v>
      </c>
      <c r="P5" s="7">
        <f t="shared" si="0"/>
        <v>15</v>
      </c>
      <c r="Q5" s="7">
        <f t="shared" si="0"/>
        <v>16</v>
      </c>
      <c r="R5" s="7">
        <f t="shared" si="0"/>
        <v>17</v>
      </c>
      <c r="S5" s="7">
        <f t="shared" si="0"/>
        <v>18</v>
      </c>
      <c r="T5" s="7">
        <f t="shared" si="0"/>
        <v>19</v>
      </c>
      <c r="U5" s="7">
        <f t="shared" si="0"/>
        <v>20</v>
      </c>
      <c r="V5" s="7">
        <f t="shared" si="0"/>
        <v>21</v>
      </c>
      <c r="W5" s="7">
        <f t="shared" si="0"/>
        <v>22</v>
      </c>
      <c r="X5" s="7">
        <f t="shared" si="0"/>
        <v>23</v>
      </c>
      <c r="Y5" s="7">
        <f t="shared" si="0"/>
        <v>24</v>
      </c>
      <c r="Z5" s="7">
        <f t="shared" si="0"/>
        <v>25</v>
      </c>
      <c r="AA5" s="7">
        <f t="shared" si="0"/>
        <v>26</v>
      </c>
      <c r="AB5" s="7">
        <f t="shared" si="0"/>
        <v>27</v>
      </c>
      <c r="AC5" s="7">
        <f t="shared" si="0"/>
        <v>28</v>
      </c>
      <c r="AD5" s="7">
        <f t="shared" si="0"/>
        <v>29</v>
      </c>
      <c r="AE5" s="7">
        <f t="shared" si="0"/>
        <v>30</v>
      </c>
      <c r="AF5" s="7" t="str">
        <f t="shared" si="0"/>
        <v/>
      </c>
      <c r="AG5" s="7" t="str">
        <f t="shared" si="0"/>
        <v/>
      </c>
      <c r="AH5" s="7" t="str">
        <f t="shared" si="0"/>
        <v/>
      </c>
      <c r="AI5" s="7" t="str">
        <f t="shared" si="0"/>
        <v/>
      </c>
      <c r="AJ5" s="7" t="str">
        <f t="shared" si="0"/>
        <v/>
      </c>
      <c r="AK5" s="7" t="str">
        <f t="shared" si="0"/>
        <v/>
      </c>
      <c r="AL5" s="7" t="str">
        <f t="shared" si="0"/>
        <v/>
      </c>
      <c r="AM5" s="7" t="str">
        <f t="shared" si="0"/>
        <v/>
      </c>
      <c r="AN5" s="7" t="str">
        <f t="shared" si="0"/>
        <v/>
      </c>
      <c r="AO5" s="7" t="str">
        <f t="shared" si="0"/>
        <v/>
      </c>
      <c r="AP5" s="7" t="str">
        <f t="shared" si="0"/>
        <v/>
      </c>
      <c r="AQ5" s="7" t="str">
        <f t="shared" si="0"/>
        <v/>
      </c>
      <c r="AR5" s="7" t="str">
        <f t="shared" si="0"/>
        <v/>
      </c>
      <c r="AS5" s="7" t="str">
        <f t="shared" si="0"/>
        <v/>
      </c>
      <c r="AT5" s="7" t="str">
        <f t="shared" si="0"/>
        <v/>
      </c>
      <c r="AU5" s="7" t="str">
        <f t="shared" si="0"/>
        <v/>
      </c>
      <c r="AV5" s="7" t="str">
        <f t="shared" si="0"/>
        <v/>
      </c>
      <c r="AW5" s="7" t="str">
        <f t="shared" si="0"/>
        <v/>
      </c>
      <c r="AX5" s="7" t="str">
        <f t="shared" si="0"/>
        <v/>
      </c>
      <c r="AY5" s="7" t="str">
        <f t="shared" si="0"/>
        <v/>
      </c>
      <c r="AZ5" s="7" t="str">
        <f t="shared" si="0"/>
        <v/>
      </c>
      <c r="BA5" s="7" t="str">
        <f t="shared" si="0"/>
        <v/>
      </c>
      <c r="BB5" s="7" t="str">
        <f t="shared" si="0"/>
        <v/>
      </c>
      <c r="BC5" s="7" t="str">
        <f t="shared" si="0"/>
        <v/>
      </c>
      <c r="BD5" s="7" t="str">
        <f t="shared" si="0"/>
        <v/>
      </c>
      <c r="BE5" s="7" t="str">
        <f t="shared" si="0"/>
        <v/>
      </c>
      <c r="BF5" s="7" t="str">
        <f t="shared" si="0"/>
        <v/>
      </c>
      <c r="BG5" s="7" t="str">
        <f t="shared" si="0"/>
        <v/>
      </c>
      <c r="BH5" s="7" t="str">
        <f t="shared" si="0"/>
        <v/>
      </c>
      <c r="BI5" s="7" t="str">
        <f t="shared" si="0"/>
        <v/>
      </c>
      <c r="BJ5" s="7" t="str">
        <f t="shared" si="0"/>
        <v/>
      </c>
      <c r="BK5" s="7" t="str">
        <f t="shared" si="0"/>
        <v/>
      </c>
      <c r="BL5" s="7" t="str">
        <f t="shared" si="0"/>
        <v/>
      </c>
      <c r="BM5" s="7" t="str">
        <f t="shared" si="0"/>
        <v/>
      </c>
      <c r="BN5" s="7" t="str">
        <f t="shared" si="0"/>
        <v/>
      </c>
      <c r="BO5" s="7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7" t="str">
        <f t="shared" si="1"/>
        <v/>
      </c>
      <c r="BQ5" s="7" t="str">
        <f t="shared" si="1"/>
        <v/>
      </c>
      <c r="BR5" s="7" t="str">
        <f t="shared" si="1"/>
        <v/>
      </c>
      <c r="BS5" s="7" t="str">
        <f t="shared" si="1"/>
        <v/>
      </c>
      <c r="BT5" s="7" t="str">
        <f t="shared" si="1"/>
        <v/>
      </c>
      <c r="BU5" s="7" t="str">
        <f t="shared" si="1"/>
        <v/>
      </c>
      <c r="BV5" s="7" t="str">
        <f t="shared" si="1"/>
        <v/>
      </c>
      <c r="BW5" s="7" t="str">
        <f t="shared" si="1"/>
        <v/>
      </c>
      <c r="BX5" s="7" t="str">
        <f t="shared" si="1"/>
        <v/>
      </c>
      <c r="BY5" s="7" t="str">
        <f t="shared" si="1"/>
        <v/>
      </c>
      <c r="BZ5" s="7" t="str">
        <f t="shared" si="1"/>
        <v/>
      </c>
      <c r="CA5" s="7" t="str">
        <f t="shared" si="1"/>
        <v/>
      </c>
      <c r="CB5" s="7" t="str">
        <f t="shared" si="1"/>
        <v/>
      </c>
      <c r="CC5" s="7" t="str">
        <f t="shared" si="1"/>
        <v/>
      </c>
      <c r="CD5" s="7" t="str">
        <f t="shared" si="1"/>
        <v/>
      </c>
      <c r="CE5" s="7" t="str">
        <f t="shared" si="1"/>
        <v/>
      </c>
      <c r="CF5" s="7" t="str">
        <f t="shared" si="1"/>
        <v/>
      </c>
      <c r="CG5" s="7" t="str">
        <f t="shared" si="1"/>
        <v/>
      </c>
      <c r="CH5" s="7" t="str">
        <f t="shared" si="1"/>
        <v/>
      </c>
      <c r="CI5" s="7" t="str">
        <f t="shared" si="1"/>
        <v/>
      </c>
      <c r="CJ5" s="7" t="str">
        <f t="shared" si="1"/>
        <v/>
      </c>
      <c r="CK5" s="7" t="str">
        <f t="shared" si="1"/>
        <v/>
      </c>
      <c r="CL5" s="7" t="str">
        <f t="shared" si="1"/>
        <v/>
      </c>
      <c r="CM5" s="7" t="str">
        <f t="shared" si="1"/>
        <v/>
      </c>
      <c r="CN5" s="7" t="str">
        <f t="shared" si="1"/>
        <v/>
      </c>
      <c r="CO5" s="7" t="str">
        <f t="shared" si="1"/>
        <v/>
      </c>
      <c r="CP5" s="7" t="str">
        <f t="shared" si="1"/>
        <v/>
      </c>
      <c r="CQ5" s="7" t="str">
        <f t="shared" si="1"/>
        <v/>
      </c>
      <c r="CR5" s="7" t="str">
        <f t="shared" si="1"/>
        <v/>
      </c>
      <c r="CS5" s="7" t="str">
        <f t="shared" si="1"/>
        <v/>
      </c>
      <c r="CT5" s="7" t="str">
        <f t="shared" si="1"/>
        <v/>
      </c>
      <c r="CU5" s="7" t="str">
        <f t="shared" si="1"/>
        <v/>
      </c>
      <c r="CV5" s="7" t="str">
        <f t="shared" si="1"/>
        <v/>
      </c>
      <c r="CW5" s="7" t="str">
        <f t="shared" si="1"/>
        <v/>
      </c>
      <c r="CX5" s="7" t="str">
        <f t="shared" si="1"/>
        <v/>
      </c>
      <c r="CY5" s="7" t="str">
        <f t="shared" si="1"/>
        <v/>
      </c>
      <c r="CZ5" s="7" t="str">
        <f t="shared" si="1"/>
        <v/>
      </c>
      <c r="DA5" s="7" t="str">
        <f t="shared" si="1"/>
        <v/>
      </c>
      <c r="DB5" s="7" t="str">
        <f t="shared" si="1"/>
        <v/>
      </c>
      <c r="DC5" s="7" t="str">
        <f t="shared" si="1"/>
        <v/>
      </c>
      <c r="DD5" s="7" t="str">
        <f t="shared" si="1"/>
        <v/>
      </c>
      <c r="DE5" s="7" t="str">
        <f t="shared" si="1"/>
        <v/>
      </c>
      <c r="DF5" s="7" t="str">
        <f t="shared" si="1"/>
        <v/>
      </c>
      <c r="DG5" s="7" t="str">
        <f t="shared" si="1"/>
        <v/>
      </c>
      <c r="DH5" s="7" t="str">
        <f t="shared" si="1"/>
        <v/>
      </c>
      <c r="DI5" s="7" t="str">
        <f t="shared" si="1"/>
        <v/>
      </c>
      <c r="DJ5" s="7" t="str">
        <f t="shared" si="1"/>
        <v/>
      </c>
      <c r="DK5" s="7" t="str">
        <f t="shared" si="1"/>
        <v/>
      </c>
      <c r="DL5" s="7" t="str">
        <f t="shared" si="1"/>
        <v/>
      </c>
      <c r="DM5" s="7" t="str">
        <f t="shared" si="1"/>
        <v/>
      </c>
      <c r="DN5" s="7" t="str">
        <f t="shared" si="1"/>
        <v/>
      </c>
      <c r="DO5" s="7" t="str">
        <f t="shared" si="1"/>
        <v/>
      </c>
      <c r="DP5" s="7" t="str">
        <f t="shared" si="1"/>
        <v/>
      </c>
      <c r="DQ5" s="7" t="str">
        <f t="shared" si="1"/>
        <v/>
      </c>
      <c r="DR5" s="7" t="str">
        <f t="shared" si="1"/>
        <v/>
      </c>
      <c r="DS5" s="7" t="str">
        <f t="shared" si="1"/>
        <v/>
      </c>
      <c r="DT5" s="7" t="str">
        <f t="shared" si="1"/>
        <v/>
      </c>
      <c r="DU5" s="7" t="str">
        <f t="shared" si="1"/>
        <v/>
      </c>
      <c r="DV5" s="7" t="str">
        <f t="shared" si="1"/>
        <v/>
      </c>
      <c r="DW5" s="7" t="str">
        <f t="shared" si="1"/>
        <v/>
      </c>
      <c r="DX5" s="7" t="str">
        <f t="shared" si="1"/>
        <v/>
      </c>
      <c r="DY5" s="7" t="str">
        <f t="shared" si="1"/>
        <v/>
      </c>
      <c r="DZ5" s="7" t="str">
        <f t="shared" si="1"/>
        <v/>
      </c>
      <c r="EA5" s="7" t="str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EB5" s="7" t="str">
        <f t="shared" si="2"/>
        <v/>
      </c>
      <c r="EC5" s="7" t="str">
        <f t="shared" si="2"/>
        <v/>
      </c>
      <c r="ED5" s="7" t="str">
        <f t="shared" si="2"/>
        <v/>
      </c>
      <c r="EE5" s="7" t="str">
        <f t="shared" si="2"/>
        <v/>
      </c>
      <c r="EF5" s="7" t="str">
        <f t="shared" si="2"/>
        <v/>
      </c>
      <c r="EG5" s="7" t="str">
        <f t="shared" si="2"/>
        <v/>
      </c>
      <c r="EH5" s="7" t="str">
        <f t="shared" si="2"/>
        <v/>
      </c>
      <c r="EI5" s="7" t="str">
        <f t="shared" si="2"/>
        <v/>
      </c>
      <c r="EJ5" s="7" t="str">
        <f t="shared" si="2"/>
        <v/>
      </c>
      <c r="EK5" s="7" t="str">
        <f t="shared" si="2"/>
        <v/>
      </c>
      <c r="EL5" s="7" t="str">
        <f t="shared" si="2"/>
        <v/>
      </c>
      <c r="EM5" s="7" t="str">
        <f t="shared" si="2"/>
        <v/>
      </c>
      <c r="EN5" s="7" t="str">
        <f t="shared" si="2"/>
        <v/>
      </c>
      <c r="EO5" s="7" t="str">
        <f t="shared" si="2"/>
        <v/>
      </c>
      <c r="EP5" s="7" t="str">
        <f t="shared" si="2"/>
        <v/>
      </c>
      <c r="EQ5" s="7" t="str">
        <f t="shared" si="2"/>
        <v/>
      </c>
      <c r="ER5" s="7" t="str">
        <f t="shared" si="2"/>
        <v/>
      </c>
      <c r="ES5" s="7" t="str">
        <f t="shared" si="2"/>
        <v/>
      </c>
      <c r="ET5" s="7" t="str">
        <f t="shared" si="2"/>
        <v/>
      </c>
      <c r="EU5" s="7" t="str">
        <f t="shared" si="2"/>
        <v/>
      </c>
      <c r="EV5" s="7" t="str">
        <f t="shared" si="2"/>
        <v/>
      </c>
      <c r="EW5" s="7" t="str">
        <f t="shared" si="2"/>
        <v/>
      </c>
      <c r="EX5" s="7" t="str">
        <f t="shared" si="2"/>
        <v/>
      </c>
      <c r="EY5" s="7" t="str">
        <f t="shared" si="2"/>
        <v/>
      </c>
      <c r="EZ5" s="7" t="str">
        <f t="shared" si="2"/>
        <v/>
      </c>
      <c r="FA5" s="7" t="str">
        <f t="shared" si="2"/>
        <v/>
      </c>
      <c r="FB5" s="7" t="str">
        <f t="shared" si="2"/>
        <v/>
      </c>
      <c r="FC5" s="7" t="str">
        <f t="shared" si="2"/>
        <v/>
      </c>
      <c r="FD5" s="7" t="str">
        <f t="shared" si="2"/>
        <v/>
      </c>
      <c r="FE5" s="7" t="str">
        <f t="shared" si="2"/>
        <v/>
      </c>
      <c r="FF5" s="7" t="str">
        <f t="shared" si="2"/>
        <v/>
      </c>
      <c r="FG5" s="7" t="str">
        <f t="shared" si="2"/>
        <v/>
      </c>
      <c r="FH5" s="7" t="str">
        <f t="shared" si="2"/>
        <v/>
      </c>
      <c r="FI5" s="7" t="str">
        <f t="shared" si="2"/>
        <v/>
      </c>
      <c r="FJ5" s="7" t="str">
        <f t="shared" si="2"/>
        <v/>
      </c>
      <c r="FK5" s="7" t="str">
        <f t="shared" si="2"/>
        <v/>
      </c>
      <c r="FL5" s="7" t="str">
        <f t="shared" si="2"/>
        <v/>
      </c>
      <c r="FM5" s="7" t="str">
        <f t="shared" si="2"/>
        <v/>
      </c>
      <c r="FN5" s="7" t="str">
        <f t="shared" si="2"/>
        <v/>
      </c>
      <c r="FO5" s="7" t="str">
        <f t="shared" si="2"/>
        <v/>
      </c>
      <c r="FP5" s="7" t="str">
        <f t="shared" si="2"/>
        <v/>
      </c>
      <c r="FQ5" s="7" t="str">
        <f t="shared" si="2"/>
        <v/>
      </c>
      <c r="FR5" s="7" t="str">
        <f t="shared" si="2"/>
        <v/>
      </c>
      <c r="FS5" s="7" t="str">
        <f t="shared" si="2"/>
        <v/>
      </c>
      <c r="FT5" s="7" t="str">
        <f t="shared" si="2"/>
        <v/>
      </c>
      <c r="FU5" s="7" t="str">
        <f t="shared" si="2"/>
        <v/>
      </c>
      <c r="FV5" s="7" t="str">
        <f t="shared" si="2"/>
        <v/>
      </c>
      <c r="FW5" s="7" t="str">
        <f t="shared" si="2"/>
        <v/>
      </c>
      <c r="FX5" s="7" t="str">
        <f t="shared" si="2"/>
        <v/>
      </c>
      <c r="FY5" s="7" t="str">
        <f t="shared" si="2"/>
        <v/>
      </c>
      <c r="FZ5" s="7" t="str">
        <f t="shared" si="2"/>
        <v/>
      </c>
      <c r="GA5" s="7" t="str">
        <f t="shared" si="2"/>
        <v/>
      </c>
      <c r="GB5" s="7" t="str">
        <f t="shared" si="2"/>
        <v/>
      </c>
      <c r="GC5" s="7" t="str">
        <f t="shared" si="2"/>
        <v/>
      </c>
      <c r="GD5" s="7" t="str">
        <f t="shared" si="2"/>
        <v/>
      </c>
      <c r="GE5" s="7" t="str">
        <f t="shared" si="2"/>
        <v/>
      </c>
      <c r="GF5" s="7" t="str">
        <f t="shared" si="2"/>
        <v/>
      </c>
      <c r="GG5" s="7" t="str">
        <f t="shared" si="2"/>
        <v/>
      </c>
      <c r="GH5" s="7" t="str">
        <f t="shared" si="2"/>
        <v/>
      </c>
      <c r="GI5" s="7" t="str">
        <f t="shared" si="2"/>
        <v/>
      </c>
      <c r="GJ5" s="7" t="str">
        <f t="shared" si="2"/>
        <v/>
      </c>
      <c r="GK5" s="7" t="str">
        <f t="shared" si="2"/>
        <v/>
      </c>
      <c r="GL5" s="7" t="str">
        <f t="shared" si="2"/>
        <v/>
      </c>
      <c r="GM5" s="7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7" t="str">
        <f t="shared" si="3"/>
        <v/>
      </c>
      <c r="GO5" s="7" t="str">
        <f t="shared" si="3"/>
        <v/>
      </c>
      <c r="GP5" s="7" t="str">
        <f t="shared" si="3"/>
        <v/>
      </c>
      <c r="GQ5" s="7" t="str">
        <f t="shared" si="3"/>
        <v/>
      </c>
      <c r="GR5" s="7" t="str">
        <f t="shared" si="3"/>
        <v/>
      </c>
      <c r="GS5" s="7" t="str">
        <f t="shared" si="3"/>
        <v/>
      </c>
      <c r="GT5" s="7" t="str">
        <f t="shared" si="3"/>
        <v/>
      </c>
      <c r="GU5" s="7" t="str">
        <f t="shared" si="3"/>
        <v/>
      </c>
      <c r="GV5" s="7" t="str">
        <f t="shared" si="3"/>
        <v/>
      </c>
      <c r="GW5" s="7" t="str">
        <f t="shared" si="3"/>
        <v/>
      </c>
      <c r="GX5" s="7" t="str">
        <f t="shared" si="3"/>
        <v/>
      </c>
      <c r="GY5" s="7" t="str">
        <f t="shared" si="3"/>
        <v/>
      </c>
      <c r="GZ5" s="7" t="str">
        <f t="shared" si="3"/>
        <v/>
      </c>
      <c r="HA5" s="7" t="str">
        <f t="shared" si="3"/>
        <v/>
      </c>
      <c r="HB5" s="7" t="str">
        <f t="shared" si="3"/>
        <v/>
      </c>
      <c r="HC5" s="7" t="str">
        <f t="shared" si="3"/>
        <v/>
      </c>
      <c r="HD5" s="7" t="str">
        <f t="shared" si="3"/>
        <v/>
      </c>
      <c r="HE5" s="7" t="str">
        <f t="shared" si="3"/>
        <v/>
      </c>
      <c r="HF5" s="7" t="str">
        <f t="shared" si="3"/>
        <v/>
      </c>
      <c r="HG5" s="7" t="str">
        <f t="shared" si="3"/>
        <v/>
      </c>
      <c r="HH5" s="7" t="str">
        <f t="shared" si="3"/>
        <v/>
      </c>
      <c r="HI5" s="7" t="str">
        <f t="shared" si="3"/>
        <v/>
      </c>
      <c r="HJ5" s="7" t="str">
        <f t="shared" si="3"/>
        <v/>
      </c>
      <c r="HK5" s="7" t="str">
        <f t="shared" si="3"/>
        <v/>
      </c>
      <c r="HL5" s="7" t="str">
        <f t="shared" si="3"/>
        <v/>
      </c>
      <c r="HM5" s="7" t="str">
        <f t="shared" si="3"/>
        <v/>
      </c>
      <c r="HN5" s="7" t="str">
        <f t="shared" si="3"/>
        <v/>
      </c>
      <c r="HO5" s="7" t="str">
        <f t="shared" si="3"/>
        <v/>
      </c>
      <c r="HP5" s="7" t="str">
        <f t="shared" si="3"/>
        <v/>
      </c>
      <c r="HQ5" s="7" t="str">
        <f t="shared" si="3"/>
        <v/>
      </c>
      <c r="HR5" s="7" t="str">
        <f t="shared" si="3"/>
        <v/>
      </c>
      <c r="HS5" s="7" t="str">
        <f t="shared" si="3"/>
        <v/>
      </c>
      <c r="HT5" s="7" t="str">
        <f t="shared" si="3"/>
        <v/>
      </c>
      <c r="HU5" s="7" t="str">
        <f t="shared" si="3"/>
        <v/>
      </c>
      <c r="HV5" s="7" t="str">
        <f t="shared" si="3"/>
        <v/>
      </c>
      <c r="HW5" s="7" t="str">
        <f t="shared" si="3"/>
        <v/>
      </c>
      <c r="HX5" s="7" t="str">
        <f t="shared" si="3"/>
        <v/>
      </c>
      <c r="HY5" s="7" t="str">
        <f t="shared" si="3"/>
        <v/>
      </c>
      <c r="HZ5" s="7" t="str">
        <f t="shared" si="3"/>
        <v/>
      </c>
      <c r="IA5" s="7" t="str">
        <f t="shared" si="3"/>
        <v/>
      </c>
      <c r="IB5" s="7" t="str">
        <f t="shared" si="3"/>
        <v/>
      </c>
      <c r="IC5" s="7" t="str">
        <f t="shared" si="3"/>
        <v/>
      </c>
      <c r="ID5" s="7" t="str">
        <f t="shared" si="3"/>
        <v/>
      </c>
      <c r="IE5" s="7" t="str">
        <f t="shared" si="3"/>
        <v/>
      </c>
      <c r="IF5" s="7" t="str">
        <f t="shared" si="3"/>
        <v/>
      </c>
      <c r="IG5" s="7" t="str">
        <f t="shared" si="3"/>
        <v/>
      </c>
      <c r="IH5" s="7" t="str">
        <f t="shared" si="3"/>
        <v/>
      </c>
      <c r="II5" s="7" t="str">
        <f t="shared" si="3"/>
        <v/>
      </c>
      <c r="IJ5" s="7" t="str">
        <f t="shared" si="3"/>
        <v/>
      </c>
      <c r="IK5" s="7" t="str">
        <f t="shared" si="3"/>
        <v/>
      </c>
      <c r="IL5" s="7" t="str">
        <f t="shared" si="3"/>
        <v/>
      </c>
      <c r="IM5" s="7" t="str">
        <f t="shared" si="3"/>
        <v/>
      </c>
      <c r="IN5" s="7" t="str">
        <f t="shared" si="3"/>
        <v/>
      </c>
      <c r="IO5" s="7" t="str">
        <f t="shared" si="3"/>
        <v/>
      </c>
      <c r="IP5" s="7" t="str">
        <f t="shared" si="3"/>
        <v/>
      </c>
      <c r="IQ5" s="7" t="str">
        <f t="shared" si="3"/>
        <v/>
      </c>
      <c r="IR5" s="7" t="str">
        <f t="shared" si="3"/>
        <v/>
      </c>
      <c r="IS5" s="7" t="str">
        <f t="shared" si="3"/>
        <v/>
      </c>
      <c r="IT5" s="7" t="str">
        <f t="shared" si="3"/>
        <v/>
      </c>
      <c r="IU5" s="7" t="str">
        <f t="shared" si="3"/>
        <v/>
      </c>
      <c r="IV5" s="7" t="str">
        <f t="shared" si="3"/>
        <v/>
      </c>
      <c r="IW5" s="7" t="str">
        <f t="shared" si="3"/>
        <v/>
      </c>
      <c r="IX5" s="7" t="str">
        <f t="shared" si="3"/>
        <v/>
      </c>
      <c r="IY5" s="7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7" t="str">
        <f t="shared" si="4"/>
        <v/>
      </c>
      <c r="JA5" s="7" t="str">
        <f t="shared" si="4"/>
        <v/>
      </c>
      <c r="JB5" s="7" t="str">
        <f t="shared" si="4"/>
        <v/>
      </c>
      <c r="JC5" s="7" t="str">
        <f t="shared" si="4"/>
        <v/>
      </c>
      <c r="JD5" s="7" t="str">
        <f t="shared" si="4"/>
        <v/>
      </c>
      <c r="JE5" s="7" t="str">
        <f t="shared" si="4"/>
        <v/>
      </c>
      <c r="JF5" s="7" t="str">
        <f t="shared" si="4"/>
        <v/>
      </c>
      <c r="JG5" s="7" t="str">
        <f t="shared" si="4"/>
        <v/>
      </c>
      <c r="JH5" s="7" t="str">
        <f t="shared" si="4"/>
        <v/>
      </c>
      <c r="JI5" s="7" t="str">
        <f t="shared" si="4"/>
        <v/>
      </c>
      <c r="JJ5" s="7" t="str">
        <f t="shared" si="4"/>
        <v/>
      </c>
      <c r="JK5" s="7" t="str">
        <f t="shared" si="4"/>
        <v/>
      </c>
      <c r="JL5" s="7" t="str">
        <f t="shared" si="4"/>
        <v/>
      </c>
      <c r="JM5" s="7" t="str">
        <f t="shared" si="4"/>
        <v/>
      </c>
      <c r="JN5" s="7" t="str">
        <f t="shared" si="4"/>
        <v/>
      </c>
      <c r="JO5" s="7" t="str">
        <f t="shared" si="4"/>
        <v/>
      </c>
      <c r="JP5" s="7" t="str">
        <f t="shared" si="4"/>
        <v/>
      </c>
      <c r="JQ5" s="7" t="str">
        <f t="shared" si="4"/>
        <v/>
      </c>
      <c r="JR5" s="7" t="str">
        <f t="shared" si="4"/>
        <v/>
      </c>
      <c r="JS5" s="7" t="str">
        <f t="shared" si="4"/>
        <v/>
      </c>
      <c r="JT5" s="7" t="str">
        <f t="shared" si="4"/>
        <v/>
      </c>
      <c r="JU5" s="7" t="str">
        <f t="shared" si="4"/>
        <v/>
      </c>
      <c r="JV5" s="7" t="str">
        <f t="shared" si="4"/>
        <v/>
      </c>
      <c r="JW5" s="7" t="str">
        <f t="shared" si="4"/>
        <v/>
      </c>
      <c r="JX5" s="7" t="str">
        <f t="shared" si="4"/>
        <v/>
      </c>
      <c r="JY5" s="7" t="str">
        <f t="shared" si="4"/>
        <v/>
      </c>
      <c r="JZ5" s="7" t="str">
        <f t="shared" si="4"/>
        <v/>
      </c>
      <c r="KA5" s="7" t="str">
        <f t="shared" si="4"/>
        <v/>
      </c>
      <c r="KB5" s="7" t="str">
        <f t="shared" si="4"/>
        <v/>
      </c>
      <c r="KC5" s="7" t="str">
        <f t="shared" si="4"/>
        <v/>
      </c>
      <c r="KD5" s="7" t="str">
        <f t="shared" si="4"/>
        <v/>
      </c>
      <c r="KE5" s="7" t="str">
        <f t="shared" si="4"/>
        <v/>
      </c>
      <c r="KF5" s="7" t="str">
        <f t="shared" si="4"/>
        <v/>
      </c>
      <c r="KG5" s="7" t="str">
        <f t="shared" si="4"/>
        <v/>
      </c>
      <c r="KH5" s="7" t="str">
        <f t="shared" si="4"/>
        <v/>
      </c>
      <c r="KI5" s="7" t="str">
        <f t="shared" si="4"/>
        <v/>
      </c>
      <c r="KJ5" s="7" t="str">
        <f t="shared" si="4"/>
        <v/>
      </c>
      <c r="KK5" s="7" t="str">
        <f t="shared" si="4"/>
        <v/>
      </c>
      <c r="KL5" s="7" t="str">
        <f t="shared" si="4"/>
        <v/>
      </c>
      <c r="KM5" s="7" t="str">
        <f t="shared" si="4"/>
        <v/>
      </c>
      <c r="KN5" s="7" t="str">
        <f t="shared" si="4"/>
        <v/>
      </c>
      <c r="KO5" s="7" t="str">
        <f t="shared" si="4"/>
        <v/>
      </c>
      <c r="KP5" s="7" t="str">
        <f t="shared" si="4"/>
        <v/>
      </c>
      <c r="KQ5" s="7" t="str">
        <f t="shared" si="4"/>
        <v/>
      </c>
      <c r="KR5" s="7" t="str">
        <f t="shared" si="4"/>
        <v/>
      </c>
      <c r="KS5" s="7" t="str">
        <f t="shared" si="4"/>
        <v/>
      </c>
      <c r="KT5" s="7" t="str">
        <f t="shared" si="4"/>
        <v/>
      </c>
      <c r="KU5" s="7" t="str">
        <f t="shared" si="4"/>
        <v/>
      </c>
      <c r="KV5" s="7" t="str">
        <f t="shared" si="4"/>
        <v/>
      </c>
      <c r="KW5" s="7" t="str">
        <f t="shared" si="4"/>
        <v/>
      </c>
      <c r="KX5" s="7" t="str">
        <f t="shared" si="4"/>
        <v/>
      </c>
      <c r="KY5" s="7" t="str">
        <f t="shared" si="4"/>
        <v/>
      </c>
      <c r="KZ5" s="7" t="str">
        <f t="shared" si="4"/>
        <v/>
      </c>
      <c r="LA5" s="7" t="str">
        <f t="shared" si="4"/>
        <v/>
      </c>
      <c r="LB5" s="7" t="str">
        <f t="shared" si="4"/>
        <v/>
      </c>
      <c r="LC5" s="7" t="str">
        <f t="shared" si="4"/>
        <v/>
      </c>
      <c r="LD5" s="7" t="str">
        <f t="shared" si="4"/>
        <v/>
      </c>
      <c r="LE5" s="7" t="str">
        <f t="shared" si="4"/>
        <v/>
      </c>
      <c r="LF5" s="7" t="str">
        <f t="shared" si="4"/>
        <v/>
      </c>
      <c r="LG5" s="7" t="str">
        <f t="shared" si="4"/>
        <v/>
      </c>
      <c r="LH5" s="7" t="str">
        <f t="shared" si="4"/>
        <v/>
      </c>
      <c r="LI5" s="7" t="str">
        <f t="shared" si="4"/>
        <v/>
      </c>
      <c r="LJ5" s="7" t="str">
        <f t="shared" si="4"/>
        <v/>
      </c>
      <c r="LK5" s="7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7" t="str">
        <f t="shared" si="5"/>
        <v/>
      </c>
      <c r="LM5" s="7" t="str">
        <f t="shared" si="5"/>
        <v/>
      </c>
      <c r="LN5" s="7" t="str">
        <f t="shared" si="5"/>
        <v/>
      </c>
      <c r="LO5" s="7" t="str">
        <f t="shared" si="5"/>
        <v/>
      </c>
      <c r="LP5" s="7" t="str">
        <f t="shared" si="5"/>
        <v/>
      </c>
      <c r="LQ5" s="7" t="str">
        <f t="shared" si="5"/>
        <v/>
      </c>
      <c r="LR5" s="7" t="str">
        <f t="shared" si="5"/>
        <v/>
      </c>
      <c r="LS5" s="7" t="str">
        <f t="shared" si="5"/>
        <v/>
      </c>
      <c r="LT5" s="7" t="str">
        <f t="shared" si="5"/>
        <v/>
      </c>
      <c r="LU5" s="7" t="str">
        <f t="shared" si="5"/>
        <v/>
      </c>
      <c r="LV5" s="7" t="str">
        <f t="shared" si="5"/>
        <v/>
      </c>
      <c r="LW5" s="7" t="str">
        <f t="shared" si="5"/>
        <v/>
      </c>
      <c r="LX5" s="7" t="str">
        <f t="shared" si="5"/>
        <v/>
      </c>
      <c r="LY5" s="7" t="str">
        <f t="shared" si="5"/>
        <v/>
      </c>
      <c r="LZ5" s="7" t="str">
        <f t="shared" si="5"/>
        <v/>
      </c>
      <c r="MA5" s="7" t="str">
        <f t="shared" si="5"/>
        <v/>
      </c>
      <c r="MB5" s="7" t="str">
        <f t="shared" si="5"/>
        <v/>
      </c>
      <c r="MC5" s="7" t="str">
        <f t="shared" si="5"/>
        <v/>
      </c>
      <c r="MD5" s="7" t="str">
        <f t="shared" si="5"/>
        <v/>
      </c>
      <c r="ME5" s="7" t="str">
        <f t="shared" si="5"/>
        <v/>
      </c>
      <c r="MF5" s="7" t="str">
        <f t="shared" si="5"/>
        <v/>
      </c>
      <c r="MG5" s="7" t="str">
        <f t="shared" si="5"/>
        <v/>
      </c>
      <c r="MH5" s="7" t="str">
        <f t="shared" si="5"/>
        <v/>
      </c>
      <c r="MI5" s="7" t="str">
        <f t="shared" si="5"/>
        <v/>
      </c>
      <c r="MJ5" s="7" t="str">
        <f t="shared" si="5"/>
        <v/>
      </c>
      <c r="MK5" s="7" t="str">
        <f t="shared" si="5"/>
        <v/>
      </c>
      <c r="ML5" s="7" t="str">
        <f t="shared" si="5"/>
        <v/>
      </c>
      <c r="MM5" s="7" t="str">
        <f t="shared" si="5"/>
        <v/>
      </c>
      <c r="MN5" s="7" t="str">
        <f t="shared" si="5"/>
        <v/>
      </c>
      <c r="MO5" s="7" t="str">
        <f t="shared" si="5"/>
        <v/>
      </c>
      <c r="MP5" s="7" t="str">
        <f t="shared" si="5"/>
        <v/>
      </c>
      <c r="MQ5" s="7" t="str">
        <f t="shared" si="5"/>
        <v/>
      </c>
      <c r="MR5" s="7" t="str">
        <f t="shared" si="5"/>
        <v/>
      </c>
      <c r="MS5" s="7" t="str">
        <f t="shared" si="5"/>
        <v/>
      </c>
      <c r="MT5" s="7" t="str">
        <f t="shared" si="5"/>
        <v/>
      </c>
      <c r="MU5" s="7" t="str">
        <f t="shared" si="5"/>
        <v/>
      </c>
      <c r="MV5" s="7" t="str">
        <f t="shared" si="5"/>
        <v/>
      </c>
      <c r="MW5" s="7" t="str">
        <f t="shared" si="5"/>
        <v/>
      </c>
      <c r="MX5" s="7" t="str">
        <f t="shared" si="5"/>
        <v/>
      </c>
      <c r="MY5" s="7" t="str">
        <f t="shared" si="5"/>
        <v/>
      </c>
      <c r="MZ5" s="7" t="str">
        <f t="shared" si="5"/>
        <v/>
      </c>
      <c r="NA5" s="7" t="str">
        <f t="shared" si="5"/>
        <v/>
      </c>
      <c r="NB5" s="7" t="str">
        <f t="shared" si="5"/>
        <v/>
      </c>
      <c r="NC5" s="7" t="str">
        <f t="shared" si="5"/>
        <v/>
      </c>
      <c r="ND5" s="7" t="str">
        <f t="shared" si="5"/>
        <v/>
      </c>
      <c r="NE5" s="7" t="str">
        <f t="shared" si="5"/>
        <v/>
      </c>
      <c r="NF5" s="7" t="str">
        <f t="shared" si="5"/>
        <v/>
      </c>
      <c r="NG5" s="7" t="str">
        <f t="shared" si="5"/>
        <v/>
      </c>
      <c r="NH5" s="7" t="str">
        <f t="shared" si="5"/>
        <v/>
      </c>
      <c r="NI5" s="7" t="str">
        <f t="shared" si="5"/>
        <v/>
      </c>
      <c r="NJ5" s="51" t="s">
        <v>26</v>
      </c>
      <c r="NK5" s="53" t="s">
        <v>27</v>
      </c>
      <c r="NL5" s="55" t="str">
        <f>"Leaves between " &amp; TEXT(Holidays!E2, "MM/DD/YYYY") &amp; " - " &amp; TEXT(Holidays!F2, "MM/DD/YYYY")</f>
        <v>Leaves between 04/11/2018 - 09/18/2018</v>
      </c>
      <c r="NM5" s="57" t="s">
        <v>135</v>
      </c>
      <c r="NN5" s="57" t="s">
        <v>136</v>
      </c>
      <c r="NO5" s="57" t="s">
        <v>137</v>
      </c>
      <c r="NP5" s="57" t="s">
        <v>138</v>
      </c>
      <c r="NQ5" s="57" t="s">
        <v>139</v>
      </c>
      <c r="NR5" s="57" t="s">
        <v>140</v>
      </c>
      <c r="NS5" s="57" t="s">
        <v>141</v>
      </c>
      <c r="NT5" s="57" t="s">
        <v>143</v>
      </c>
      <c r="NU5" s="57" t="s">
        <v>144</v>
      </c>
      <c r="NV5" s="57" t="s">
        <v>145</v>
      </c>
      <c r="NW5" s="57" t="s">
        <v>146</v>
      </c>
      <c r="NX5" s="57" t="s">
        <v>147</v>
      </c>
    </row>
    <row r="6" spans="1:764" x14ac:dyDescent="0.45">
      <c r="A6" s="4" t="s">
        <v>22</v>
      </c>
      <c r="B6" s="8" t="str">
        <f>IF(B$5="","",VLOOKUP(WEEKDAY(DATE($A$2,$A$3+$A$1-1,B5),2),Sheet3!$D$1:$E$7,2,0))</f>
        <v>Sun</v>
      </c>
      <c r="C6" s="8" t="str">
        <f>IF(C$5="","",VLOOKUP(WEEKDAY(DATE($A$2,$A$3+$A$1-1,C5),2),Sheet3!$D$1:$E$7,2,0))</f>
        <v>Mon</v>
      </c>
      <c r="D6" s="8" t="str">
        <f>IF(D$5="","",VLOOKUP(WEEKDAY(DATE($A$2,$A$3+$A$1-1,D5),2),Sheet3!$D$1:$E$7,2,0))</f>
        <v>Tue</v>
      </c>
      <c r="E6" s="8" t="str">
        <f>IF(E$5="","",VLOOKUP(WEEKDAY(DATE($A$2,$A$3+$A$1-1,E5),2),Sheet3!$D$1:$E$7,2,0))</f>
        <v>Wed</v>
      </c>
      <c r="F6" s="8" t="str">
        <f>IF(F$5="","",VLOOKUP(WEEKDAY(DATE($A$2,$A$3+$A$1-1,F5),2),Sheet3!$D$1:$E$7,2,0))</f>
        <v>Thu</v>
      </c>
      <c r="G6" s="8" t="str">
        <f>IF(G$5="","",VLOOKUP(WEEKDAY(DATE($A$2,$A$3+$A$1-1,G5),2),Sheet3!$D$1:$E$7,2,0))</f>
        <v>Fri</v>
      </c>
      <c r="H6" s="8" t="str">
        <f>IF(H$5="","",VLOOKUP(WEEKDAY(DATE($A$2,$A$3+$A$1-1,H5),2),Sheet3!$D$1:$E$7,2,0))</f>
        <v>Sat</v>
      </c>
      <c r="I6" s="8" t="str">
        <f>IF(I$5="","",VLOOKUP(WEEKDAY(DATE($A$2,$A$3+$A$1-1,I5),2),Sheet3!$D$1:$E$7,2,0))</f>
        <v>Sun</v>
      </c>
      <c r="J6" s="8" t="str">
        <f>IF(J$5="","",VLOOKUP(WEEKDAY(DATE($A$2,$A$3+$A$1-1,J5),2),Sheet3!$D$1:$E$7,2,0))</f>
        <v>Mon</v>
      </c>
      <c r="K6" s="8" t="str">
        <f>IF(K$5="","",VLOOKUP(WEEKDAY(DATE($A$2,$A$3+$A$1-1,K5),2),Sheet3!$D$1:$E$7,2,0))</f>
        <v>Tue</v>
      </c>
      <c r="L6" s="8" t="str">
        <f>IF(L$5="","",VLOOKUP(WEEKDAY(DATE($A$2,$A$3+$A$1-1,L5),2),Sheet3!$D$1:$E$7,2,0))</f>
        <v>Wed</v>
      </c>
      <c r="M6" s="8" t="str">
        <f>IF(M$5="","",VLOOKUP(WEEKDAY(DATE($A$2,$A$3+$A$1-1,M5),2),Sheet3!$D$1:$E$7,2,0))</f>
        <v>Thu</v>
      </c>
      <c r="N6" s="8" t="str">
        <f>IF(N$5="","",VLOOKUP(WEEKDAY(DATE($A$2,$A$3+$A$1-1,N5),2),Sheet3!$D$1:$E$7,2,0))</f>
        <v>Fri</v>
      </c>
      <c r="O6" s="8" t="str">
        <f>IF(O$5="","",VLOOKUP(WEEKDAY(DATE($A$2,$A$3+$A$1-1,O5),2),Sheet3!$D$1:$E$7,2,0))</f>
        <v>Sat</v>
      </c>
      <c r="P6" s="8" t="str">
        <f>IF(P$5="","",VLOOKUP(WEEKDAY(DATE($A$2,$A$3+$A$1-1,P5),2),Sheet3!$D$1:$E$7,2,0))</f>
        <v>Sun</v>
      </c>
      <c r="Q6" s="8" t="str">
        <f>IF(Q$5="","",VLOOKUP(WEEKDAY(DATE($A$2,$A$3+$A$1-1,Q5),2),Sheet3!$D$1:$E$7,2,0))</f>
        <v>Mon</v>
      </c>
      <c r="R6" s="8" t="str">
        <f>IF(R$5="","",VLOOKUP(WEEKDAY(DATE($A$2,$A$3+$A$1-1,R5),2),Sheet3!$D$1:$E$7,2,0))</f>
        <v>Tue</v>
      </c>
      <c r="S6" s="8" t="str">
        <f>IF(S$5="","",VLOOKUP(WEEKDAY(DATE($A$2,$A$3+$A$1-1,S5),2),Sheet3!$D$1:$E$7,2,0))</f>
        <v>Wed</v>
      </c>
      <c r="T6" s="8" t="str">
        <f>IF(T$5="","",VLOOKUP(WEEKDAY(DATE($A$2,$A$3+$A$1-1,T5),2),Sheet3!$D$1:$E$7,2,0))</f>
        <v>Thu</v>
      </c>
      <c r="U6" s="8" t="str">
        <f>IF(U$5="","",VLOOKUP(WEEKDAY(DATE($A$2,$A$3+$A$1-1,U5),2),Sheet3!$D$1:$E$7,2,0))</f>
        <v>Fri</v>
      </c>
      <c r="V6" s="8" t="str">
        <f>IF(V$5="","",VLOOKUP(WEEKDAY(DATE($A$2,$A$3+$A$1-1,V5),2),Sheet3!$D$1:$E$7,2,0))</f>
        <v>Sat</v>
      </c>
      <c r="W6" s="8" t="str">
        <f>IF(W$5="","",VLOOKUP(WEEKDAY(DATE($A$2,$A$3+$A$1-1,W5),2),Sheet3!$D$1:$E$7,2,0))</f>
        <v>Sun</v>
      </c>
      <c r="X6" s="8" t="str">
        <f>IF(X$5="","",VLOOKUP(WEEKDAY(DATE($A$2,$A$3+$A$1-1,X5),2),Sheet3!$D$1:$E$7,2,0))</f>
        <v>Mon</v>
      </c>
      <c r="Y6" s="8" t="str">
        <f>IF(Y$5="","",VLOOKUP(WEEKDAY(DATE($A$2,$A$3+$A$1-1,Y5),2),Sheet3!$D$1:$E$7,2,0))</f>
        <v>Tue</v>
      </c>
      <c r="Z6" s="8" t="str">
        <f>IF(Z$5="","",VLOOKUP(WEEKDAY(DATE($A$2,$A$3+$A$1-1,Z5),2),Sheet3!$D$1:$E$7,2,0))</f>
        <v>Wed</v>
      </c>
      <c r="AA6" s="8" t="str">
        <f>IF(AA$5="","",VLOOKUP(WEEKDAY(DATE($A$2,$A$3+$A$1-1,AA5),2),Sheet3!$D$1:$E$7,2,0))</f>
        <v>Thu</v>
      </c>
      <c r="AB6" s="8" t="str">
        <f>IF(AB$5="","",VLOOKUP(WEEKDAY(DATE($A$2,$A$3+$A$1-1,AB5),2),Sheet3!$D$1:$E$7,2,0))</f>
        <v>Fri</v>
      </c>
      <c r="AC6" s="8" t="str">
        <f>IF(AC$5="","",VLOOKUP(WEEKDAY(DATE($A$2,$A$3+$A$1-1,AC5),2),Sheet3!$D$1:$E$7,2,0))</f>
        <v>Sat</v>
      </c>
      <c r="AD6" s="8" t="str">
        <f>IF(AD$5="","",VLOOKUP(WEEKDAY(DATE($A$2,$A$3+$A$1-1,AD5),2),Sheet3!$D$1:$E$7,2,0))</f>
        <v>Sun</v>
      </c>
      <c r="AE6" s="8" t="str">
        <f>IF(AE$5="","",VLOOKUP(WEEKDAY(DATE($A$2,$A$3+$A$1-1,AE5),2),Sheet3!$D$1:$E$7,2,0))</f>
        <v>Mon</v>
      </c>
      <c r="AF6" s="8" t="str">
        <f>IF(AF$5="","",VLOOKUP(WEEKDAY(DATE($A$2,$A$3+$A$1-1,AF5),2),Sheet3!$D$1:$E$7,2,0))</f>
        <v/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/>
      </c>
      <c r="DW6" s="8" t="str">
        <f>IF(DW$5="","",VLOOKUP(WEEKDAY(DATE($A$2,$A$3+$A$1-1,DW5),2),Sheet3!$D$1:$E$7,2,0))</f>
        <v/>
      </c>
      <c r="DX6" s="8" t="str">
        <f>IF(DX$5="","",VLOOKUP(WEEKDAY(DATE($A$2,$A$3+$A$1-1,DX5),2),Sheet3!$D$1:$E$7,2,0))</f>
        <v/>
      </c>
      <c r="DY6" s="8" t="str">
        <f>IF(DY$5="","",VLOOKUP(WEEKDAY(DATE($A$2,$A$3+$A$1-1,DY5),2),Sheet3!$D$1:$E$7,2,0))</f>
        <v/>
      </c>
      <c r="DZ6" s="8" t="str">
        <f>IF(DZ$5="","",VLOOKUP(WEEKDAY(DATE($A$2,$A$3+$A$1-1,DZ5),2),Sheet3!$D$1:$E$7,2,0))</f>
        <v/>
      </c>
      <c r="EA6" s="8" t="str">
        <f>IF(EA$5="","",VLOOKUP(WEEKDAY(DATE($A$2,$A$3+$A$1-1,EA5),2),Sheet3!$D$1:$E$7,2,0))</f>
        <v/>
      </c>
      <c r="EB6" s="8" t="str">
        <f>IF(EB$5="","",VLOOKUP(WEEKDAY(DATE($A$2,$A$3+$A$1-1,EB5),2),Sheet3!$D$1:$E$7,2,0))</f>
        <v/>
      </c>
      <c r="EC6" s="8" t="str">
        <f>IF(EC$5="","",VLOOKUP(WEEKDAY(DATE($A$2,$A$3+$A$1-1,EC5),2),Sheet3!$D$1:$E$7,2,0))</f>
        <v/>
      </c>
      <c r="ED6" s="8" t="str">
        <f>IF(ED$5="","",VLOOKUP(WEEKDAY(DATE($A$2,$A$3+$A$1-1,ED5),2),Sheet3!$D$1:$E$7,2,0))</f>
        <v/>
      </c>
      <c r="EE6" s="8" t="str">
        <f>IF(EE$5="","",VLOOKUP(WEEKDAY(DATE($A$2,$A$3+$A$1-1,EE5),2),Sheet3!$D$1:$E$7,2,0))</f>
        <v/>
      </c>
      <c r="EF6" s="8" t="str">
        <f>IF(EF$5="","",VLOOKUP(WEEKDAY(DATE($A$2,$A$3+$A$1-1,EF5),2),Sheet3!$D$1:$E$7,2,0))</f>
        <v/>
      </c>
      <c r="EG6" s="8" t="str">
        <f>IF(EG$5="","",VLOOKUP(WEEKDAY(DATE($A$2,$A$3+$A$1-1,EG5),2),Sheet3!$D$1:$E$7,2,0))</f>
        <v/>
      </c>
      <c r="EH6" s="8" t="str">
        <f>IF(EH$5="","",VLOOKUP(WEEKDAY(DATE($A$2,$A$3+$A$1-1,EH5),2),Sheet3!$D$1:$E$7,2,0))</f>
        <v/>
      </c>
      <c r="EI6" s="8" t="str">
        <f>IF(EI$5="","",VLOOKUP(WEEKDAY(DATE($A$2,$A$3+$A$1-1,EI5),2),Sheet3!$D$1:$E$7,2,0))</f>
        <v/>
      </c>
      <c r="EJ6" s="8" t="str">
        <f>IF(EJ$5="","",VLOOKUP(WEEKDAY(DATE($A$2,$A$3+$A$1-1,EJ5),2),Sheet3!$D$1:$E$7,2,0))</f>
        <v/>
      </c>
      <c r="EK6" s="8" t="str">
        <f>IF(EK$5="","",VLOOKUP(WEEKDAY(DATE($A$2,$A$3+$A$1-1,EK5),2),Sheet3!$D$1:$E$7,2,0))</f>
        <v/>
      </c>
      <c r="EL6" s="8" t="str">
        <f>IF(EL$5="","",VLOOKUP(WEEKDAY(DATE($A$2,$A$3+$A$1-1,EL5),2),Sheet3!$D$1:$E$7,2,0))</f>
        <v/>
      </c>
      <c r="EM6" s="8" t="str">
        <f>IF(EM$5="","",VLOOKUP(WEEKDAY(DATE($A$2,$A$3+$A$1-1,EM5),2),Sheet3!$D$1:$E$7,2,0))</f>
        <v/>
      </c>
      <c r="EN6" s="8" t="str">
        <f>IF(EN$5="","",VLOOKUP(WEEKDAY(DATE($A$2,$A$3+$A$1-1,EN5),2),Sheet3!$D$1:$E$7,2,0))</f>
        <v/>
      </c>
      <c r="EO6" s="8" t="str">
        <f>IF(EO$5="","",VLOOKUP(WEEKDAY(DATE($A$2,$A$3+$A$1-1,EO5),2),Sheet3!$D$1:$E$7,2,0))</f>
        <v/>
      </c>
      <c r="EP6" s="8" t="str">
        <f>IF(EP$5="","",VLOOKUP(WEEKDAY(DATE($A$2,$A$3+$A$1-1,EP5),2),Sheet3!$D$1:$E$7,2,0))</f>
        <v/>
      </c>
      <c r="EQ6" s="8" t="str">
        <f>IF(EQ$5="","",VLOOKUP(WEEKDAY(DATE($A$2,$A$3+$A$1-1,EQ5),2),Sheet3!$D$1:$E$7,2,0))</f>
        <v/>
      </c>
      <c r="ER6" s="8" t="str">
        <f>IF(ER$5="","",VLOOKUP(WEEKDAY(DATE($A$2,$A$3+$A$1-1,ER5),2),Sheet3!$D$1:$E$7,2,0))</f>
        <v/>
      </c>
      <c r="ES6" s="8" t="str">
        <f>IF(ES$5="","",VLOOKUP(WEEKDAY(DATE($A$2,$A$3+$A$1-1,ES5),2),Sheet3!$D$1:$E$7,2,0))</f>
        <v/>
      </c>
      <c r="ET6" s="8" t="str">
        <f>IF(ET$5="","",VLOOKUP(WEEKDAY(DATE($A$2,$A$3+$A$1-1,ET5),2),Sheet3!$D$1:$E$7,2,0))</f>
        <v/>
      </c>
      <c r="EU6" s="8" t="str">
        <f>IF(EU$5="","",VLOOKUP(WEEKDAY(DATE($A$2,$A$3+$A$1-1,EU5),2),Sheet3!$D$1:$E$7,2,0))</f>
        <v/>
      </c>
      <c r="EV6" s="8" t="str">
        <f>IF(EV$5="","",VLOOKUP(WEEKDAY(DATE($A$2,$A$3+$A$1-1,EV5),2),Sheet3!$D$1:$E$7,2,0))</f>
        <v/>
      </c>
      <c r="EW6" s="8" t="str">
        <f>IF(EW$5="","",VLOOKUP(WEEKDAY(DATE($A$2,$A$3+$A$1-1,EW5),2),Sheet3!$D$1:$E$7,2,0))</f>
        <v/>
      </c>
      <c r="EX6" s="8" t="str">
        <f>IF(EX$5="","",VLOOKUP(WEEKDAY(DATE($A$2,$A$3+$A$1-1,EX5),2),Sheet3!$D$1:$E$7,2,0))</f>
        <v/>
      </c>
      <c r="EY6" s="8" t="str">
        <f>IF(EY$5="","",VLOOKUP(WEEKDAY(DATE($A$2,$A$3+$A$1-1,EY5),2),Sheet3!$D$1:$E$7,2,0))</f>
        <v/>
      </c>
      <c r="EZ6" s="8" t="str">
        <f>IF(EZ$5="","",VLOOKUP(WEEKDAY(DATE($A$2,$A$3+$A$1-1,EZ5),2),Sheet3!$D$1:$E$7,2,0))</f>
        <v/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/>
      </c>
      <c r="NJ6" s="52"/>
      <c r="NK6" s="54"/>
      <c r="NL6" s="56"/>
      <c r="NM6" s="58"/>
      <c r="NN6" s="58"/>
      <c r="NO6" s="58"/>
      <c r="NP6" s="58"/>
      <c r="NQ6" s="58"/>
      <c r="NR6" s="58"/>
      <c r="NS6" s="58"/>
      <c r="NT6" s="58"/>
      <c r="NU6" s="58"/>
      <c r="NV6" s="58"/>
      <c r="NW6" s="58"/>
      <c r="NX6" s="58"/>
      <c r="NZ6" s="26" t="s">
        <v>28</v>
      </c>
      <c r="OA6" s="26" t="s">
        <v>29</v>
      </c>
    </row>
    <row r="7" spans="1:764" hidden="1" x14ac:dyDescent="0.45">
      <c r="A7" s="4" t="s">
        <v>18</v>
      </c>
      <c r="B7" s="22" t="e">
        <f>IF(B$5="","",WEEKNUM(DATE($A$2,VLOOKUP($A$1,Sheet3!$A$1:$B$12,2,0),COLUMNS($A$6:A6)),2))</f>
        <v>#N/A</v>
      </c>
      <c r="C7" s="22" t="e">
        <f>IF(C$5="","",WEEKNUM(DATE($A$2,VLOOKUP($A$1,Sheet3!$A$1:$B$12,2,0),COLUMNS($A$6:B6)),2))</f>
        <v>#N/A</v>
      </c>
      <c r="D7" s="22" t="e">
        <f>IF(D$5="","",WEEKNUM(DATE($A$2,VLOOKUP($A$1,Sheet3!$A$1:$B$12,2,0),COLUMNS($A$6:C6)),2))</f>
        <v>#N/A</v>
      </c>
      <c r="E7" s="22" t="e">
        <f>IF(E$5="","",WEEKNUM(DATE($A$2,VLOOKUP($A$1,Sheet3!$A$1:$B$12,2,0),COLUMNS($A$6:D6)),2))</f>
        <v>#N/A</v>
      </c>
      <c r="F7" s="22" t="e">
        <f>IF(F$5="","",WEEKNUM(DATE($A$2,VLOOKUP($A$1,Sheet3!$A$1:$B$12,2,0),COLUMNS($A$6:E6)),2))</f>
        <v>#N/A</v>
      </c>
      <c r="G7" s="22" t="e">
        <f>IF(G$5="","",WEEKNUM(DATE($A$2,VLOOKUP($A$1,Sheet3!$A$1:$B$12,2,0),COLUMNS($A$6:F6)),2))</f>
        <v>#N/A</v>
      </c>
      <c r="H7" s="22" t="e">
        <f>IF(H$5="","",WEEKNUM(DATE($A$2,VLOOKUP($A$1,Sheet3!$A$1:$B$12,2,0),COLUMNS($A$6:G6)),2))</f>
        <v>#N/A</v>
      </c>
      <c r="I7" s="22" t="e">
        <f>IF(I$5="","",WEEKNUM(DATE($A$2,VLOOKUP($A$1,Sheet3!$A$1:$B$12,2,0),COLUMNS($A$6:H6)),2))</f>
        <v>#N/A</v>
      </c>
      <c r="J7" s="22" t="e">
        <f>IF(J$5="","",WEEKNUM(DATE($A$2,VLOOKUP($A$1,Sheet3!$A$1:$B$12,2,0),COLUMNS($A$6:I6)),2))</f>
        <v>#N/A</v>
      </c>
      <c r="K7" s="22" t="e">
        <f>IF(K$5="","",WEEKNUM(DATE($A$2,VLOOKUP($A$1,Sheet3!$A$1:$B$12,2,0),COLUMNS($A$6:J6)),2))</f>
        <v>#N/A</v>
      </c>
      <c r="L7" s="22" t="e">
        <f>IF(L$5="","",WEEKNUM(DATE($A$2,VLOOKUP($A$1,Sheet3!$A$1:$B$12,2,0),COLUMNS($A$6:K6)),2))</f>
        <v>#N/A</v>
      </c>
      <c r="M7" s="22" t="e">
        <f>IF(M$5="","",WEEKNUM(DATE($A$2,VLOOKUP($A$1,Sheet3!$A$1:$B$12,2,0),COLUMNS($A$6:L6)),2))</f>
        <v>#N/A</v>
      </c>
      <c r="N7" s="22" t="e">
        <f>IF(N$5="","",WEEKNUM(DATE($A$2,VLOOKUP($A$1,Sheet3!$A$1:$B$12,2,0),COLUMNS($A$6:M6)),2))</f>
        <v>#N/A</v>
      </c>
      <c r="O7" s="22" t="e">
        <f>IF(O$5="","",WEEKNUM(DATE($A$2,VLOOKUP($A$1,Sheet3!$A$1:$B$12,2,0),COLUMNS($A$6:N6)),2))</f>
        <v>#N/A</v>
      </c>
      <c r="P7" s="22" t="e">
        <f>IF(P$5="","",WEEKNUM(DATE($A$2,VLOOKUP($A$1,Sheet3!$A$1:$B$12,2,0),COLUMNS($A$6:O6)),2))</f>
        <v>#N/A</v>
      </c>
      <c r="Q7" s="22" t="e">
        <f>IF(Q$5="","",WEEKNUM(DATE($A$2,VLOOKUP($A$1,Sheet3!$A$1:$B$12,2,0),COLUMNS($A$6:P6)),2))</f>
        <v>#N/A</v>
      </c>
      <c r="R7" s="22" t="e">
        <f>IF(R$5="","",WEEKNUM(DATE($A$2,VLOOKUP($A$1,Sheet3!$A$1:$B$12,2,0),COLUMNS($A$6:Q6)),2))</f>
        <v>#N/A</v>
      </c>
      <c r="S7" s="22" t="e">
        <f>IF(S$5="","",WEEKNUM(DATE($A$2,VLOOKUP($A$1,Sheet3!$A$1:$B$12,2,0),COLUMNS($A$6:R6)),2))</f>
        <v>#N/A</v>
      </c>
      <c r="T7" s="22" t="e">
        <f>IF(T$5="","",WEEKNUM(DATE($A$2,VLOOKUP($A$1,Sheet3!$A$1:$B$12,2,0),COLUMNS($A$6:S6)),2))</f>
        <v>#N/A</v>
      </c>
      <c r="U7" s="22" t="e">
        <f>IF(U$5="","",WEEKNUM(DATE($A$2,VLOOKUP($A$1,Sheet3!$A$1:$B$12,2,0),COLUMNS($A$6:T6)),2))</f>
        <v>#N/A</v>
      </c>
      <c r="V7" s="22" t="e">
        <f>IF(V$5="","",WEEKNUM(DATE($A$2,VLOOKUP($A$1,Sheet3!$A$1:$B$12,2,0),COLUMNS($A$6:U6)),2))</f>
        <v>#N/A</v>
      </c>
      <c r="W7" s="22" t="e">
        <f>IF(W$5="","",WEEKNUM(DATE($A$2,VLOOKUP($A$1,Sheet3!$A$1:$B$12,2,0),COLUMNS($A$6:V6)),2))</f>
        <v>#N/A</v>
      </c>
      <c r="X7" s="22" t="e">
        <f>IF(X$5="","",WEEKNUM(DATE($A$2,VLOOKUP($A$1,Sheet3!$A$1:$B$12,2,0),COLUMNS($A$6:W6)),2))</f>
        <v>#N/A</v>
      </c>
      <c r="Y7" s="22" t="e">
        <f>IF(Y$5="","",WEEKNUM(DATE($A$2,VLOOKUP($A$1,Sheet3!$A$1:$B$12,2,0),COLUMNS($A$6:X6)),2))</f>
        <v>#N/A</v>
      </c>
      <c r="Z7" s="22" t="e">
        <f>IF(Z$5="","",WEEKNUM(DATE($A$2,VLOOKUP($A$1,Sheet3!$A$1:$B$12,2,0),COLUMNS($A$6:Y6)),2))</f>
        <v>#N/A</v>
      </c>
      <c r="AA7" s="22" t="e">
        <f>IF(AA$5="","",WEEKNUM(DATE($A$2,VLOOKUP($A$1,Sheet3!$A$1:$B$12,2,0),COLUMNS($A$6:Z6)),2))</f>
        <v>#N/A</v>
      </c>
      <c r="AB7" s="22" t="e">
        <f>IF(AB$5="","",WEEKNUM(DATE($A$2,VLOOKUP($A$1,Sheet3!$A$1:$B$12,2,0),COLUMNS($A$6:AA6)),2))</f>
        <v>#N/A</v>
      </c>
      <c r="AC7" s="22" t="e">
        <f>IF(AC$5="","",WEEKNUM(DATE($A$2,VLOOKUP($A$1,Sheet3!$A$1:$B$12,2,0),COLUMNS($A$6:AB6)),2))</f>
        <v>#N/A</v>
      </c>
      <c r="AD7" s="22" t="e">
        <f>IF(AD$5="","",WEEKNUM(DATE($A$2,VLOOKUP($A$1,Sheet3!$A$1:$B$12,2,0),COLUMNS($A$6:AC6)),2))</f>
        <v>#N/A</v>
      </c>
      <c r="AE7" s="22" t="e">
        <f>IF(AE$5="","",WEEKNUM(DATE($A$2,VLOOKUP($A$1,Sheet3!$A$1:$B$12,2,0),COLUMNS($A$6:AD6)),2))</f>
        <v>#N/A</v>
      </c>
      <c r="AF7" s="22" t="str">
        <f>IF(AF$5="","",WEEKNUM(DATE($A$2,VLOOKUP($A$1,Sheet3!$A$1:$B$12,2,0),COLUMNS($A$6:AE6)),2))</f>
        <v/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7"/>
      <c r="NM7" s="59"/>
      <c r="NN7" s="59"/>
      <c r="NO7" s="59"/>
      <c r="NP7" s="59"/>
      <c r="NQ7" s="59"/>
      <c r="NR7" s="59"/>
      <c r="NS7" s="59"/>
      <c r="NT7" s="59"/>
      <c r="NU7" s="59"/>
      <c r="NV7" s="59"/>
      <c r="NW7" s="59"/>
      <c r="NX7" s="59"/>
      <c r="NZ7" s="1"/>
      <c r="OA7" s="1"/>
    </row>
    <row r="8" spans="1:764" x14ac:dyDescent="0.45">
      <c r="A8" s="5" t="s">
        <v>41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 t="s">
        <v>33</v>
      </c>
      <c r="AO8" s="2" t="s">
        <v>33</v>
      </c>
      <c r="AP8" s="2" t="s">
        <v>33</v>
      </c>
      <c r="AQ8" s="2" t="s">
        <v>33</v>
      </c>
      <c r="AR8" s="2"/>
      <c r="AS8" s="2"/>
      <c r="AT8" s="2" t="s">
        <v>33</v>
      </c>
      <c r="AU8" s="2" t="s">
        <v>33</v>
      </c>
      <c r="AV8" s="2" t="s">
        <v>33</v>
      </c>
      <c r="AW8" s="2" t="s">
        <v>33</v>
      </c>
      <c r="AX8" s="2" t="s">
        <v>31</v>
      </c>
      <c r="AY8" s="2"/>
      <c r="AZ8" s="2"/>
      <c r="BA8" s="2" t="s">
        <v>35</v>
      </c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 t="s">
        <v>50</v>
      </c>
      <c r="CN8" s="2" t="s">
        <v>50</v>
      </c>
      <c r="CO8" s="2"/>
      <c r="CP8" s="2"/>
      <c r="CQ8" s="2"/>
      <c r="CR8" s="2" t="s">
        <v>35</v>
      </c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 t="s">
        <v>50</v>
      </c>
      <c r="DU8" s="2" t="s">
        <v>50</v>
      </c>
      <c r="DV8" s="2"/>
      <c r="DW8" s="2" t="s">
        <v>33</v>
      </c>
      <c r="DX8" s="2" t="s">
        <v>33</v>
      </c>
      <c r="DY8" s="2"/>
      <c r="DZ8" s="2"/>
      <c r="EA8" s="2" t="s">
        <v>35</v>
      </c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 t="s">
        <v>50</v>
      </c>
      <c r="FA8" s="2"/>
      <c r="FB8" s="2"/>
      <c r="FC8" s="2" t="s">
        <v>35</v>
      </c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 t="s">
        <v>35</v>
      </c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 t="s">
        <v>35</v>
      </c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 t="s">
        <v>35</v>
      </c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14">
        <f t="array" aca="1" ref="NJ8" ca="1">SUMPRODUCT((OFFSET($A8,0,31*($A$3-1)+1,1,31)&lt;&gt;"")*(IF(OFFSET($A8,0,31*($A$3-1)+1,1,31)=$OA$12,0.5,1)*(OFFSET($A$4,0,31*($A$3-1)+1,1,31))))</f>
        <v>0</v>
      </c>
      <c r="NK8" s="20">
        <f t="array" aca="1" ref="NK8" ca="1">SUMPRODUCT((OFFSET($A8,0,1,1,372)&lt;&gt;"")*(IF(OFFSET($A8,0,1,1,372)=$OA$12,0.5,1)*(OFFSET($A$3,0,1,1,372))))</f>
        <v>22.5</v>
      </c>
      <c r="NL8" s="28">
        <f t="array" aca="1" ref="NL8" ca="1">SUMPRODUCT((OFFSET($A8,0,31*($A$4)+DAY(Holidays!$E$2),1,Holidays!$G$2)&lt;&gt;"")*(IF(OFFSET($A8,0,31*($A$4)+DAY(Holidays!$E$2),1,Holidays!$G$2)=$OA$12,0.5,1)*(OFFSET($A$3,0,31*($A$4)+DAY(Holidays!$E$2),1,Holidays!$G$2))))</f>
        <v>19.5</v>
      </c>
      <c r="NM8" s="60">
        <f t="array" aca="1" ref="NM8" ca="1">SUMPRODUCT((OFFSET($A8,0,31*(VLOOKUP(NM$5,Sprints[],5,FALSE))+DAY(VLOOKUP(NM$5,Sprints[],2,FALSE)),1,VLOOKUP(NM$5,Sprints[],4,FALSE))&lt;&gt;"")*(IF(OFFSET($A8,0,31*(VLOOKUP(NM$5,Sprints[],5,FALSE))+DAY(VLOOKUP(NM$5,Sprints[],2,FALSE)),1,VLOOKUP(NM$5,Sprints[],4,FALSE))=$OA$12,0.5,1)*(OFFSET($A$3,0,31*(VLOOKUP(NM$5,Sprints[],5,FALSE))+DAY(VLOOKUP(NM$5,Sprints[],2,FALSE)),1,VLOOKUP(NM$5,Sprints[],4,FALSE)))))</f>
        <v>0</v>
      </c>
      <c r="NN8" s="60">
        <f t="array" aca="1" ref="NN8" ca="1">SUMPRODUCT((OFFSET($A8,0,31*(VLOOKUP(NN$5,Sprints[],5,FALSE))+DAY(VLOOKUP(NN$5,Sprints[],2,FALSE)),1,VLOOKUP(NN$5,Sprints[],4,FALSE))&lt;&gt;"")*(IF(OFFSET($A8,0,31*(VLOOKUP(NN$5,Sprints[],5,FALSE))+DAY(VLOOKUP(NN$5,Sprints[],2,FALSE)),1,VLOOKUP(NN$5,Sprints[],4,FALSE))=$OA$12,0.5,1)*(OFFSET($A$3,0,31*(VLOOKUP(NN$5,Sprints[],5,FALSE))+DAY(VLOOKUP(NN$5,Sprints[],2,FALSE)),1,VLOOKUP(NN$5,Sprints[],4,FALSE)))))</f>
        <v>0</v>
      </c>
      <c r="NO8" s="60">
        <f t="array" aca="1" ref="NO8" ca="1">SUMPRODUCT((OFFSET($A8,0,31*(VLOOKUP(NO$5,Sprints[],5,FALSE))+DAY(VLOOKUP(NO$5,Sprints[],2,FALSE)),1,VLOOKUP(NO$5,Sprints[],4,FALSE))&lt;&gt;"")*(IF(OFFSET($A8,0,31*(VLOOKUP(NO$5,Sprints[],5,FALSE))+DAY(VLOOKUP(NO$5,Sprints[],2,FALSE)),1,VLOOKUP(NO$5,Sprints[],4,FALSE))=$OA$12,0.5,1)*(OFFSET($A$3,0,31*(VLOOKUP(NO$5,Sprints[],5,FALSE))+DAY(VLOOKUP(NO$5,Sprints[],2,FALSE)),1,VLOOKUP(NO$5,Sprints[],4,FALSE)))))</f>
        <v>6</v>
      </c>
      <c r="NP8" s="60">
        <f t="array" aca="1" ref="NP8" ca="1">SUMPRODUCT((OFFSET($A8,0,31*(VLOOKUP(NP$5,Sprints[],5,FALSE))+DAY(VLOOKUP(NP$5,Sprints[],2,FALSE)),1,VLOOKUP(NP$5,Sprints[],4,FALSE))&lt;&gt;"")*(IF(OFFSET($A8,0,31*(VLOOKUP(NP$5,Sprints[],5,FALSE))+DAY(VLOOKUP(NP$5,Sprints[],2,FALSE)),1,VLOOKUP(NP$5,Sprints[],4,FALSE))=$OA$12,0.5,1)*(OFFSET($A$3,0,31*(VLOOKUP(NP$5,Sprints[],5,FALSE))+DAY(VLOOKUP(NP$5,Sprints[],2,FALSE)),1,VLOOKUP(NP$5,Sprints[],4,FALSE)))))</f>
        <v>3.5</v>
      </c>
      <c r="NQ8" s="60">
        <f t="array" aca="1" ref="NQ8" ca="1">SUMPRODUCT((OFFSET($A8,0,31*(VLOOKUP(NQ$5,Sprints[],5,FALSE))+DAY(VLOOKUP(NQ$5,Sprints[],2,FALSE)),1,VLOOKUP(NQ$5,Sprints[],4,FALSE))&lt;&gt;"")*(IF(OFFSET($A8,0,31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8" s="60">
        <f t="array" aca="1" ref="NR8" ca="1">SUMPRODUCT((OFFSET($A8,0,31*(VLOOKUP(NR$5,Sprints[],5,FALSE))+DAY(VLOOKUP(NR$5,Sprints[],2,FALSE)),1,VLOOKUP(NR$5,Sprints[],4,FALSE))&lt;&gt;"")*(IF(OFFSET($A8,0,31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8" s="60">
        <f t="array" aca="1" ref="NS8" ca="1">SUMPRODUCT((OFFSET($A8,0,31*(VLOOKUP(NS$5,Sprints[],5,FALSE))+DAY(VLOOKUP(NS$5,Sprints[],2,FALSE)),1,VLOOKUP(NS$5,Sprints[],4,FALSE))&lt;&gt;"")*(IF(OFFSET($A8,0,31*(VLOOKUP(NS$5,Sprints[],5,FALSE))+DAY(VLOOKUP(NS$5,Sprints[],2,FALSE)),1,VLOOKUP(NS$5,Sprints[],4,FALSE))=$OA$12,0.5,1)*(OFFSET($A$3,0,31*(VLOOKUP(NS$5,Sprints[],5,FALSE))+DAY(VLOOKUP(NS$5,Sprints[],2,FALSE)),1,VLOOKUP(NS$5,Sprints[],4,FALSE)))))</f>
        <v>3</v>
      </c>
      <c r="NT8" s="60">
        <f t="array" aca="1" ref="NT8" ca="1">SUMPRODUCT((OFFSET($A8,0,31*(VLOOKUP(NT$5,Sprints[],5,FALSE))+DAY(VLOOKUP(NT$5,Sprints[],2,FALSE)),1,VLOOKUP(NT$5,Sprints[],4,FALSE))&lt;&gt;"")*(IF(OFFSET($A8,0,31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8" s="60">
        <f t="array" aca="1" ref="NU8" ca="1">SUMPRODUCT((OFFSET($A8,0,31*(VLOOKUP(NU$5,Sprints[],5,FALSE))+DAY(VLOOKUP(NU$5,Sprints[],2,FALSE)),1,VLOOKUP(NU$5,Sprints[],4,FALSE))&lt;&gt;"")*(IF(OFFSET($A8,0,31*(VLOOKUP(NU$5,Sprints[],5,FALSE))+DAY(VLOOKUP(NU$5,Sprints[],2,FALSE)),1,VLOOKUP(NU$5,Sprints[],4,FALSE))=$OA$12,0.5,1)*(OFFSET($A$3,0,31*(VLOOKUP(NU$5,Sprints[],5,FALSE))+DAY(VLOOKUP(NU$5,Sprints[],2,FALSE)),1,VLOOKUP(NU$5,Sprints[],4,FALSE)))))</f>
        <v>5</v>
      </c>
      <c r="NV8" s="60">
        <f t="array" aca="1" ref="NV8" ca="1">SUMPRODUCT((OFFSET($A8,0,31*(VLOOKUP(NV$5,Sprints[],5,FALSE))+DAY(VLOOKUP(NV$5,Sprints[],2,FALSE)),1,VLOOKUP(NV$5,Sprints[],4,FALSE))&lt;&gt;"")*(IF(OFFSET($A8,0,31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8" s="60">
        <f t="array" aca="1" ref="NW8" ca="1">SUMPRODUCT((OFFSET($A8,0,31*(VLOOKUP(NW$5,Sprints[],5,FALSE))+DAY(VLOOKUP(NW$5,Sprints[],2,FALSE)),1,VLOOKUP(NW$5,Sprints[],4,FALSE))&lt;&gt;"")*(IF(OFFSET($A8,0,31*(VLOOKUP(NW$5,Sprints[],5,FALSE))+DAY(VLOOKUP(NW$5,Sprints[],2,FALSE)),1,VLOOKUP(NW$5,Sprints[],4,FALSE))=$OA$12,0.5,1)*(OFFSET($A$3,0,31*(VLOOKUP(NW$5,Sprints[],5,FALSE))+DAY(VLOOKUP(NW$5,Sprints[],2,FALSE)),1,VLOOKUP(NW$5,Sprints[],4,FALSE)))))</f>
        <v>2</v>
      </c>
      <c r="NX8" s="60">
        <f t="array" aca="1" ref="NX8" ca="1">SUMPRODUCT((OFFSET($A8,0,31*(VLOOKUP(NX$5,Sprints[],5,FALSE))+DAY(VLOOKUP(NX$5,Sprints[],2,FALSE)),1,VLOOKUP(NX$5,Sprints[],4,FALSE))&lt;&gt;"")*(IF(OFFSET($A8,0,31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  <c r="NZ8" s="24" t="s">
        <v>32</v>
      </c>
      <c r="OA8" s="25" t="s">
        <v>33</v>
      </c>
    </row>
    <row r="9" spans="1:764" x14ac:dyDescent="0.45">
      <c r="A9" s="5" t="s">
        <v>42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 t="s">
        <v>33</v>
      </c>
      <c r="AX9" s="2" t="s">
        <v>31</v>
      </c>
      <c r="AY9" s="2"/>
      <c r="AZ9" s="2"/>
      <c r="BA9" s="2" t="s">
        <v>35</v>
      </c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 t="s">
        <v>50</v>
      </c>
      <c r="BZ9" s="2" t="s">
        <v>50</v>
      </c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 t="s">
        <v>35</v>
      </c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 t="s">
        <v>33</v>
      </c>
      <c r="DG9" s="2" t="s">
        <v>33</v>
      </c>
      <c r="DH9" s="2" t="s">
        <v>33</v>
      </c>
      <c r="DI9" s="2" t="s">
        <v>33</v>
      </c>
      <c r="DJ9" s="2" t="s">
        <v>33</v>
      </c>
      <c r="DK9" s="2"/>
      <c r="DL9" s="2"/>
      <c r="DM9" s="2" t="s">
        <v>33</v>
      </c>
      <c r="DN9" s="2" t="s">
        <v>33</v>
      </c>
      <c r="DO9" s="2" t="s">
        <v>33</v>
      </c>
      <c r="DP9" s="2" t="s">
        <v>33</v>
      </c>
      <c r="DQ9" s="2" t="s">
        <v>33</v>
      </c>
      <c r="DR9" s="2"/>
      <c r="DS9" s="2"/>
      <c r="DT9" s="2" t="s">
        <v>33</v>
      </c>
      <c r="DU9" s="2" t="s">
        <v>33</v>
      </c>
      <c r="DV9" s="2" t="s">
        <v>33</v>
      </c>
      <c r="DW9" s="2" t="s">
        <v>33</v>
      </c>
      <c r="DX9" s="2" t="s">
        <v>33</v>
      </c>
      <c r="DY9" s="2"/>
      <c r="DZ9" s="2"/>
      <c r="EA9" s="2" t="s">
        <v>35</v>
      </c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 t="s">
        <v>35</v>
      </c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 t="s">
        <v>35</v>
      </c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 t="s">
        <v>35</v>
      </c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 t="s">
        <v>35</v>
      </c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14">
        <f t="array" aca="1" ref="NJ9" ca="1">SUMPRODUCT((OFFSET($A9,0,31*($A$3-1)+1,1,31)&lt;&gt;"")*(IF(OFFSET($A9,0,31*($A$3-1)+1,1,31)=$OA$12,0.5,1)*(OFFSET($A$4,0,31*($A$3-1)+1,1,31))))</f>
        <v>0</v>
      </c>
      <c r="NK9" s="20">
        <f t="array" aca="1" ref="NK9" ca="1">SUMPRODUCT((OFFSET($A9,0,1,1,372)&lt;&gt;"")*(IF(OFFSET($A9,0,1,1,372)=$OA$12,0.5,1)*(OFFSET($A$3,0,1,1,372))))</f>
        <v>25.5</v>
      </c>
      <c r="NL9" s="28">
        <f t="array" aca="1" ref="NL9" ca="1">SUMPRODUCT((OFFSET($A9,0,31*($A$4)+DAY(Holidays!$E$2),1,Holidays!$G$2)&lt;&gt;"")*(IF(OFFSET($A9,0,31*($A$4)+DAY(Holidays!$E$2),1,Holidays!$G$2)=$OA$12,0.5,1)*(OFFSET($A$3,0,31*($A$4)+DAY(Holidays!$E$2),1,Holidays!$G$2))))</f>
        <v>22.5</v>
      </c>
      <c r="NM9" s="60">
        <f t="array" aca="1" ref="NM9" ca="1">SUMPRODUCT((OFFSET($A9,0,31*($A$4)+DAY(VLOOKUP(NM$5,Sprints[],2,FALSE)),1,VLOOKUP(NM$5,Sprints[],4,FALSE))&lt;&gt;"")*(IF(OFFSET($A9,0,31*($A$4)+DAY(VLOOKUP(NM$5,Sprints[],2,FALSE)),1,VLOOKUP(NM$5,Sprints[],4,FALSE))=$OA$12,0.5,1)*(OFFSET($A$3,0,31*($A$4)+DAY(VLOOKUP(NM$5,Sprints[],2,FALSE)),1,VLOOKUP(NM$5,Sprints[],4,FALSE)))))</f>
        <v>0</v>
      </c>
      <c r="NN9" s="60">
        <f t="array" aca="1" ref="NN9" ca="1">SUMPRODUCT((OFFSET($A9,0,31*($A$4)+DAY(VLOOKUP(NN$5,Sprints[],2,FALSE)),1,VLOOKUP(NN$5,Sprints[],4,FALSE))&lt;&gt;"")*(IF(OFFSET($A9,0,31*($A$4)+DAY(VLOOKUP(NN$5,Sprints[],2,FALSE)),1,VLOOKUP(NN$5,Sprints[],4,FALSE))=$OA$12,0.5,1)*(OFFSET($A$3,0,31*($A$4)+DAY(VLOOKUP(NN$5,Sprints[],2,FALSE)),1,VLOOKUP(NN$5,Sprints[],4,FALSE)))))</f>
        <v>0</v>
      </c>
      <c r="NO9" s="60">
        <f t="array" aca="1" ref="NO9" ca="1">SUMPRODUCT((OFFSET($A9,0,31*($A$4)+DAY(VLOOKUP(NO$5,Sprints[],2,FALSE)),1,VLOOKUP(NO$5,Sprints[],4,FALSE))&lt;&gt;"")*(IF(OFFSET($A9,0,31*($A$4)+DAY(VLOOKUP(NO$5,Sprints[],2,FALSE)),1,VLOOKUP(NO$5,Sprints[],4,FALSE))=$OA$12,0.5,1)*(OFFSET($A$3,0,31*($A$4)+DAY(VLOOKUP(NO$5,Sprints[],2,FALSE)),1,VLOOKUP(NO$5,Sprints[],4,FALSE)))))</f>
        <v>0</v>
      </c>
      <c r="NP9" s="60">
        <f t="array" aca="1" ref="NP9" ca="1">SUMPRODUCT((OFFSET($A9,0,31*(VLOOKUP(NP$5,Sprints[],5,FALSE))+DAY(VLOOKUP(NP$5,Sprints[],2,FALSE)),1,VLOOKUP(NP$5,Sprints[],4,FALSE))&lt;&gt;"")*(IF(OFFSET($A9,0,31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9" s="60">
        <f t="array" aca="1" ref="NQ9" ca="1">SUMPRODUCT((OFFSET($A9,0,31*(VLOOKUP(NQ$5,Sprints[],5,FALSE))+DAY(VLOOKUP(NQ$5,Sprints[],2,FALSE)),1,VLOOKUP(NQ$5,Sprints[],4,FALSE))&lt;&gt;"")*(IF(OFFSET($A9,0,31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9" s="60">
        <f t="array" aca="1" ref="NR9" ca="1">SUMPRODUCT((OFFSET($A9,0,31*(VLOOKUP(NR$5,Sprints[],5,FALSE))+DAY(VLOOKUP(NR$5,Sprints[],2,FALSE)),1,VLOOKUP(NR$5,Sprints[],4,FALSE))&lt;&gt;"")*(IF(OFFSET($A9,0,31*(VLOOKUP(NR$5,Sprints[],5,FALSE))+DAY(VLOOKUP(NR$5,Sprints[],2,FALSE)),1,VLOOKUP(NR$5,Sprints[],4,FALSE))=$OA$12,0.5,1)*(OFFSET($A$3,0,31*(VLOOKUP(NR$5,Sprints[],5,FALSE))+DAY(VLOOKUP(NR$5,Sprints[],2,FALSE)),1,VLOOKUP(NR$5,Sprints[],4,FALSE)))))</f>
        <v>2</v>
      </c>
      <c r="NS9" s="60">
        <f t="array" aca="1" ref="NS9" ca="1">SUMPRODUCT((OFFSET($A9,0,31*(VLOOKUP(NS$5,Sprints[],5,FALSE))+DAY(VLOOKUP(NS$5,Sprints[],2,FALSE)),1,VLOOKUP(NS$5,Sprints[],4,FALSE))&lt;&gt;"")*(IF(OFFSET($A9,0,31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9" s="60">
        <f t="array" aca="1" ref="NT9" ca="1">SUMPRODUCT((OFFSET($A9,0,31*(VLOOKUP(NT$5,Sprints[],5,FALSE))+DAY(VLOOKUP(NT$5,Sprints[],2,FALSE)),1,VLOOKUP(NT$5,Sprints[],4,FALSE))&lt;&gt;"")*(IF(OFFSET($A9,0,31*(VLOOKUP(NT$5,Sprints[],5,FALSE))+DAY(VLOOKUP(NT$5,Sprints[],2,FALSE)),1,VLOOKUP(NT$5,Sprints[],4,FALSE))=$OA$12,0.5,1)*(OFFSET($A$3,0,31*(VLOOKUP(NT$5,Sprints[],5,FALSE))+DAY(VLOOKUP(NT$5,Sprints[],2,FALSE)),1,VLOOKUP(NT$5,Sprints[],4,FALSE)))))</f>
        <v>7</v>
      </c>
      <c r="NU9" s="60">
        <f t="array" aca="1" ref="NU9" ca="1">SUMPRODUCT((OFFSET($A9,0,31*(VLOOKUP(NU$5,Sprints[],5,FALSE))+DAY(VLOOKUP(NU$5,Sprints[],2,FALSE)),1,VLOOKUP(NU$5,Sprints[],4,FALSE))&lt;&gt;"")*(IF(OFFSET($A9,0,31*(VLOOKUP(NU$5,Sprints[],5,FALSE))+DAY(VLOOKUP(NU$5,Sprints[],2,FALSE)),1,VLOOKUP(NU$5,Sprints[],4,FALSE))=$OA$12,0.5,1)*(OFFSET($A$3,0,31*(VLOOKUP(NU$5,Sprints[],5,FALSE))+DAY(VLOOKUP(NU$5,Sprints[],2,FALSE)),1,VLOOKUP(NU$5,Sprints[],4,FALSE)))))</f>
        <v>9</v>
      </c>
      <c r="NV9" s="60">
        <f t="array" aca="1" ref="NV9" ca="1">SUMPRODUCT((OFFSET($A9,0,31*(VLOOKUP(NV$5,Sprints[],5,FALSE))+DAY(VLOOKUP(NV$5,Sprints[],2,FALSE)),1,VLOOKUP(NV$5,Sprints[],4,FALSE))&lt;&gt;"")*(IF(OFFSET($A9,0,31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9" s="60">
        <f t="array" aca="1" ref="NW9" ca="1">SUMPRODUCT((OFFSET($A9,0,31*(VLOOKUP(NW$5,Sprints[],5,FALSE))+DAY(VLOOKUP(NW$5,Sprints[],2,FALSE)),1,VLOOKUP(NW$5,Sprints[],4,FALSE))&lt;&gt;"")*(IF(OFFSET($A9,0,31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9" s="60">
        <f t="array" aca="1" ref="NX9" ca="1">SUMPRODUCT((OFFSET($A9,0,31*(VLOOKUP(NX$5,Sprints[],5,FALSE))+DAY(VLOOKUP(NX$5,Sprints[],2,FALSE)),1,VLOOKUP(NX$5,Sprints[],4,FALSE))&lt;&gt;"")*(IF(OFFSET($A9,0,31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  <c r="NZ9" s="18" t="s">
        <v>48</v>
      </c>
      <c r="OA9" s="25" t="s">
        <v>49</v>
      </c>
    </row>
    <row r="10" spans="1:764" x14ac:dyDescent="0.45">
      <c r="A10" s="5" t="s">
        <v>43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 t="s">
        <v>33</v>
      </c>
      <c r="AX10" s="2" t="s">
        <v>31</v>
      </c>
      <c r="AY10" s="2"/>
      <c r="AZ10" s="2"/>
      <c r="BA10" s="2" t="s">
        <v>35</v>
      </c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 t="s">
        <v>50</v>
      </c>
      <c r="CG10" s="2" t="s">
        <v>50</v>
      </c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 t="s">
        <v>35</v>
      </c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 t="s">
        <v>35</v>
      </c>
      <c r="EB10" s="2"/>
      <c r="EC10" s="2"/>
      <c r="ED10" s="2"/>
      <c r="EE10" s="2"/>
      <c r="EF10" s="2"/>
      <c r="EG10" s="2"/>
      <c r="EH10" s="2"/>
      <c r="EI10" s="2" t="s">
        <v>50</v>
      </c>
      <c r="EJ10" s="2" t="s">
        <v>50</v>
      </c>
      <c r="EK10" s="2" t="s">
        <v>50</v>
      </c>
      <c r="EL10" s="2" t="s">
        <v>50</v>
      </c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 t="s">
        <v>35</v>
      </c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 t="s">
        <v>35</v>
      </c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 t="s">
        <v>35</v>
      </c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 t="s">
        <v>35</v>
      </c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14">
        <f t="array" aca="1" ref="NJ10" ca="1">SUMPRODUCT((OFFSET($A10,0,31*($A$3-1)+1,1,31)&lt;&gt;"")*(IF(OFFSET($A10,0,31*($A$3-1)+1,1,31)=$OA$12,0.5,1)*(OFFSET($A$4,0,31*($A$3-1)+1,1,31))))</f>
        <v>0</v>
      </c>
      <c r="NK10" s="20">
        <f t="array" aca="1" ref="NK10" ca="1">SUMPRODUCT((OFFSET($A10,0,1,1,372)&lt;&gt;"")*(IF(OFFSET($A10,0,1,1,372)=$OA$12,0.5,1)*(OFFSET($A$3,0,1,1,372))))</f>
        <v>14.5</v>
      </c>
      <c r="NL10" s="28">
        <f t="array" aca="1" ref="NL10" ca="1">SUMPRODUCT((OFFSET($A10,0,31*($A$4)+DAY(Holidays!$E$2),1,Holidays!$G$2)&lt;&gt;"")*(IF(OFFSET($A10,0,31*($A$4)+DAY(Holidays!$E$2),1,Holidays!$G$2)=$OA$12,0.5,1)*(OFFSET($A$3,0,31*($A$4)+DAY(Holidays!$E$2),1,Holidays!$G$2))))</f>
        <v>11.5</v>
      </c>
      <c r="NM10" s="60">
        <f t="array" aca="1" ref="NM10" ca="1">SUMPRODUCT((OFFSET($A10,0,31*($A$4)+DAY(VLOOKUP(NM$5,Sprints[],2,FALSE)),1,VLOOKUP(NM$5,Sprints[],4,FALSE))&lt;&gt;"")*(IF(OFFSET($A10,0,31*($A$4)+DAY(VLOOKUP(NM$5,Sprints[],2,FALSE)),1,VLOOKUP(NM$5,Sprints[],4,FALSE))=$OA$12,0.5,1)*(OFFSET($A$3,0,31*($A$4)+DAY(VLOOKUP(NM$5,Sprints[],2,FALSE)),1,VLOOKUP(NM$5,Sprints[],4,FALSE)))))</f>
        <v>0</v>
      </c>
      <c r="NN10" s="60">
        <f t="array" aca="1" ref="NN10" ca="1">SUMPRODUCT((OFFSET($A10,0,31*($A$4)+DAY(VLOOKUP(NN$5,Sprints[],2,FALSE)),1,VLOOKUP(NN$5,Sprints[],4,FALSE))&lt;&gt;"")*(IF(OFFSET($A10,0,31*($A$4)+DAY(VLOOKUP(NN$5,Sprints[],2,FALSE)),1,VLOOKUP(NN$5,Sprints[],4,FALSE))=$OA$12,0.5,1)*(OFFSET($A$3,0,31*($A$4)+DAY(VLOOKUP(NN$5,Sprints[],2,FALSE)),1,VLOOKUP(NN$5,Sprints[],4,FALSE)))))</f>
        <v>0</v>
      </c>
      <c r="NO10" s="60">
        <f t="array" aca="1" ref="NO10" ca="1">SUMPRODUCT((OFFSET($A10,0,31*($A$4)+DAY(VLOOKUP(NO$5,Sprints[],2,FALSE)),1,VLOOKUP(NO$5,Sprints[],4,FALSE))&lt;&gt;"")*(IF(OFFSET($A10,0,31*($A$4)+DAY(VLOOKUP(NO$5,Sprints[],2,FALSE)),1,VLOOKUP(NO$5,Sprints[],4,FALSE))=$OA$12,0.5,1)*(OFFSET($A$3,0,31*($A$4)+DAY(VLOOKUP(NO$5,Sprints[],2,FALSE)),1,VLOOKUP(NO$5,Sprints[],4,FALSE)))))</f>
        <v>0</v>
      </c>
      <c r="NP10" s="60">
        <f t="array" aca="1" ref="NP10" ca="1">SUMPRODUCT((OFFSET($A10,0,31*(VLOOKUP(NP$5,Sprints[],5,FALSE))+DAY(VLOOKUP(NP$5,Sprints[],2,FALSE)),1,VLOOKUP(NP$5,Sprints[],4,FALSE))&lt;&gt;"")*(IF(OFFSET($A10,0,31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10" s="60">
        <f t="array" aca="1" ref="NQ10" ca="1">SUMPRODUCT((OFFSET($A10,0,31*(VLOOKUP(NQ$5,Sprints[],5,FALSE))+DAY(VLOOKUP(NQ$5,Sprints[],2,FALSE)),1,VLOOKUP(NQ$5,Sprints[],4,FALSE))&lt;&gt;"")*(IF(OFFSET($A10,0,31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10" s="60">
        <f t="array" aca="1" ref="NR10" ca="1">SUMPRODUCT((OFFSET($A10,0,31*(VLOOKUP(NR$5,Sprints[],5,FALSE))+DAY(VLOOKUP(NR$5,Sprints[],2,FALSE)),1,VLOOKUP(NR$5,Sprints[],4,FALSE))&lt;&gt;"")*(IF(OFFSET($A10,0,31*(VLOOKUP(NR$5,Sprints[],5,FALSE))+DAY(VLOOKUP(NR$5,Sprints[],2,FALSE)),1,VLOOKUP(NR$5,Sprints[],4,FALSE))=$OA$12,0.5,1)*(OFFSET($A$3,0,31*(VLOOKUP(NR$5,Sprints[],5,FALSE))+DAY(VLOOKUP(NR$5,Sprints[],2,FALSE)),1,VLOOKUP(NR$5,Sprints[],4,FALSE)))))</f>
        <v>2</v>
      </c>
      <c r="NS10" s="60">
        <f t="array" aca="1" ref="NS10" ca="1">SUMPRODUCT((OFFSET($A10,0,31*(VLOOKUP(NS$5,Sprints[],5,FALSE))+DAY(VLOOKUP(NS$5,Sprints[],2,FALSE)),1,VLOOKUP(NS$5,Sprints[],4,FALSE))&lt;&gt;"")*(IF(OFFSET($A10,0,31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10" s="60">
        <f t="array" aca="1" ref="NT10" ca="1">SUMPRODUCT((OFFSET($A10,0,31*(VLOOKUP(NT$5,Sprints[],5,FALSE))+DAY(VLOOKUP(NT$5,Sprints[],2,FALSE)),1,VLOOKUP(NT$5,Sprints[],4,FALSE))&lt;&gt;"")*(IF(OFFSET($A10,0,31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10" s="60">
        <f t="array" aca="1" ref="NU10" ca="1">SUMPRODUCT((OFFSET($A10,0,31*(VLOOKUP(NU$5,Sprints[],5,FALSE))+DAY(VLOOKUP(NU$5,Sprints[],2,FALSE)),1,VLOOKUP(NU$5,Sprints[],4,FALSE))&lt;&gt;"")*(IF(OFFSET($A10,0,31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10" s="60">
        <f t="array" aca="1" ref="NV10" ca="1">SUMPRODUCT((OFFSET($A10,0,31*(VLOOKUP(NV$5,Sprints[],5,FALSE))+DAY(VLOOKUP(NV$5,Sprints[],2,FALSE)),1,VLOOKUP(NV$5,Sprints[],4,FALSE))&lt;&gt;"")*(IF(OFFSET($A10,0,31*(VLOOKUP(NV$5,Sprints[],5,FALSE))+DAY(VLOOKUP(NV$5,Sprints[],2,FALSE)),1,VLOOKUP(NV$5,Sprints[],4,FALSE))=$OA$12,0.5,1)*(OFFSET($A$3,0,31*(VLOOKUP(NV$5,Sprints[],5,FALSE))+DAY(VLOOKUP(NV$5,Sprints[],2,FALSE)),1,VLOOKUP(NV$5,Sprints[],4,FALSE)))))</f>
        <v>4</v>
      </c>
      <c r="NW10" s="60">
        <f t="array" aca="1" ref="NW10" ca="1">SUMPRODUCT((OFFSET($A10,0,31*(VLOOKUP(NW$5,Sprints[],5,FALSE))+DAY(VLOOKUP(NW$5,Sprints[],2,FALSE)),1,VLOOKUP(NW$5,Sprints[],4,FALSE))&lt;&gt;"")*(IF(OFFSET($A10,0,31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10" s="60">
        <f t="array" aca="1" ref="NX10" ca="1">SUMPRODUCT((OFFSET($A10,0,31*(VLOOKUP(NX$5,Sprints[],5,FALSE))+DAY(VLOOKUP(NX$5,Sprints[],2,FALSE)),1,VLOOKUP(NX$5,Sprints[],4,FALSE))&lt;&gt;"")*(IF(OFFSET($A10,0,31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  <c r="NZ10" s="18" t="s">
        <v>51</v>
      </c>
      <c r="OA10" s="25" t="s">
        <v>50</v>
      </c>
    </row>
    <row r="11" spans="1:764" x14ac:dyDescent="0.45">
      <c r="A11" s="5" t="s">
        <v>44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 t="s">
        <v>33</v>
      </c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 t="s">
        <v>33</v>
      </c>
      <c r="AX11" s="2" t="s">
        <v>31</v>
      </c>
      <c r="AY11" s="2"/>
      <c r="AZ11" s="2"/>
      <c r="BA11" s="2" t="s">
        <v>35</v>
      </c>
      <c r="BB11" s="2"/>
      <c r="BC11" s="2"/>
      <c r="BD11" s="2"/>
      <c r="BE11" s="2" t="s">
        <v>50</v>
      </c>
      <c r="BF11" s="2"/>
      <c r="BG11" s="2"/>
      <c r="BH11" s="2" t="s">
        <v>50</v>
      </c>
      <c r="BI11" s="2" t="s">
        <v>50</v>
      </c>
      <c r="BJ11" s="2" t="s">
        <v>50</v>
      </c>
      <c r="BK11" s="2" t="s">
        <v>50</v>
      </c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 t="s">
        <v>50</v>
      </c>
      <c r="CD11" s="2" t="s">
        <v>50</v>
      </c>
      <c r="CE11" s="2" t="s">
        <v>50</v>
      </c>
      <c r="CF11" s="2" t="s">
        <v>50</v>
      </c>
      <c r="CG11" s="2" t="s">
        <v>50</v>
      </c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 t="s">
        <v>35</v>
      </c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 t="s">
        <v>35</v>
      </c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 t="s">
        <v>50</v>
      </c>
      <c r="EP11" s="2" t="s">
        <v>50</v>
      </c>
      <c r="EQ11" s="2" t="s">
        <v>50</v>
      </c>
      <c r="ER11" s="2" t="s">
        <v>50</v>
      </c>
      <c r="ES11" s="2" t="s">
        <v>50</v>
      </c>
      <c r="ET11" s="2"/>
      <c r="EU11" s="2"/>
      <c r="EV11" s="2"/>
      <c r="EW11" s="2"/>
      <c r="EX11" s="2"/>
      <c r="EY11" s="2"/>
      <c r="EZ11" s="2"/>
      <c r="FA11" s="2"/>
      <c r="FB11" s="2"/>
      <c r="FC11" s="2" t="s">
        <v>35</v>
      </c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 t="s">
        <v>35</v>
      </c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 t="s">
        <v>35</v>
      </c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 t="s">
        <v>35</v>
      </c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14">
        <f t="array" aca="1" ref="NJ11" ca="1">SUMPRODUCT((OFFSET($A11,0,31*($A$3-1)+1,1,31)&lt;&gt;"")*(IF(OFFSET($A11,0,31*($A$3-1)+1,1,31)=$OA$12,0.5,1)*(OFFSET($A$4,0,31*($A$3-1)+1,1,31))))</f>
        <v>1</v>
      </c>
      <c r="NK11" s="20">
        <f t="array" aca="1" ref="NK11" ca="1">SUMPRODUCT((OFFSET($A11,0,1,1,372)&lt;&gt;"")*(IF(OFFSET($A11,0,1,1,372)=$OA$12,0.5,1)*(OFFSET($A$3,0,1,1,372))))</f>
        <v>24.5</v>
      </c>
      <c r="NL11" s="28">
        <f t="array" aca="1" ref="NL11" ca="1">SUMPRODUCT((OFFSET($A11,0,31*($A$4)+DAY(Holidays!$E$2),1,Holidays!$G$2)&lt;&gt;"")*(IF(OFFSET($A11,0,31*($A$4)+DAY(Holidays!$E$2),1,Holidays!$G$2)=$OA$12,0.5,1)*(OFFSET($A$3,0,31*($A$4)+DAY(Holidays!$E$2),1,Holidays!$G$2))))</f>
        <v>21.5</v>
      </c>
      <c r="NM11" s="60">
        <f t="array" aca="1" ref="NM11" ca="1">SUMPRODUCT((OFFSET($A11,0,31*($A$4)+DAY(VLOOKUP(NM$5,Sprints[],2,FALSE)),1,VLOOKUP(NM$5,Sprints[],4,FALSE))&lt;&gt;"")*(IF(OFFSET($A11,0,31*($A$4)+DAY(VLOOKUP(NM$5,Sprints[],2,FALSE)),1,VLOOKUP(NM$5,Sprints[],4,FALSE))=$OA$12,0.5,1)*(OFFSET($A$3,0,31*($A$4)+DAY(VLOOKUP(NM$5,Sprints[],2,FALSE)),1,VLOOKUP(NM$5,Sprints[],4,FALSE)))))</f>
        <v>0</v>
      </c>
      <c r="NN11" s="60">
        <f t="array" aca="1" ref="NN11" ca="1">SUMPRODUCT((OFFSET($A11,0,31*($A$4)+DAY(VLOOKUP(NN$5,Sprints[],2,FALSE)),1,VLOOKUP(NN$5,Sprints[],4,FALSE))&lt;&gt;"")*(IF(OFFSET($A11,0,31*($A$4)+DAY(VLOOKUP(NN$5,Sprints[],2,FALSE)),1,VLOOKUP(NN$5,Sprints[],4,FALSE))=$OA$12,0.5,1)*(OFFSET($A$3,0,31*($A$4)+DAY(VLOOKUP(NN$5,Sprints[],2,FALSE)),1,VLOOKUP(NN$5,Sprints[],4,FALSE)))))</f>
        <v>1</v>
      </c>
      <c r="NO11" s="60">
        <f t="array" aca="1" ref="NO11" ca="1">SUMPRODUCT((OFFSET($A11,0,31*($A$4)+DAY(VLOOKUP(NO$5,Sprints[],2,FALSE)),1,VLOOKUP(NO$5,Sprints[],4,FALSE))&lt;&gt;"")*(IF(OFFSET($A11,0,31*($A$4)+DAY(VLOOKUP(NO$5,Sprints[],2,FALSE)),1,VLOOKUP(NO$5,Sprints[],4,FALSE))=$OA$12,0.5,1)*(OFFSET($A$3,0,31*($A$4)+DAY(VLOOKUP(NO$5,Sprints[],2,FALSE)),1,VLOOKUP(NO$5,Sprints[],4,FALSE)))))</f>
        <v>0</v>
      </c>
      <c r="NP11" s="60">
        <f t="array" aca="1" ref="NP11" ca="1">SUMPRODUCT((OFFSET($A11,0,31*(VLOOKUP(NP$5,Sprints[],5,FALSE))+DAY(VLOOKUP(NP$5,Sprints[],2,FALSE)),1,VLOOKUP(NP$5,Sprints[],4,FALSE))&lt;&gt;"")*(IF(OFFSET($A11,0,31*(VLOOKUP(NP$5,Sprints[],5,FALSE))+DAY(VLOOKUP(NP$5,Sprints[],2,FALSE)),1,VLOOKUP(NP$5,Sprints[],4,FALSE))=$OA$12,0.5,1)*(OFFSET($A$3,0,31*(VLOOKUP(NP$5,Sprints[],5,FALSE))+DAY(VLOOKUP(NP$5,Sprints[],2,FALSE)),1,VLOOKUP(NP$5,Sprints[],4,FALSE)))))</f>
        <v>5.5</v>
      </c>
      <c r="NQ11" s="60">
        <f t="array" aca="1" ref="NQ11" ca="1">SUMPRODUCT((OFFSET($A11,0,31*(VLOOKUP(NQ$5,Sprints[],5,FALSE))+DAY(VLOOKUP(NQ$5,Sprints[],2,FALSE)),1,VLOOKUP(NQ$5,Sprints[],4,FALSE))&lt;&gt;"")*(IF(OFFSET($A11,0,31*(VLOOKUP(NQ$5,Sprints[],5,FALSE))+DAY(VLOOKUP(NQ$5,Sprints[],2,FALSE)),1,VLOOKUP(NQ$5,Sprints[],4,FALSE))=$OA$12,0.5,1)*(OFFSET($A$3,0,31*(VLOOKUP(NQ$5,Sprints[],5,FALSE))+DAY(VLOOKUP(NQ$5,Sprints[],2,FALSE)),1,VLOOKUP(NQ$5,Sprints[],4,FALSE)))))</f>
        <v>2</v>
      </c>
      <c r="NR11" s="60">
        <f t="array" aca="1" ref="NR11" ca="1">SUMPRODUCT((OFFSET($A11,0,31*(VLOOKUP(NR$5,Sprints[],5,FALSE))+DAY(VLOOKUP(NR$5,Sprints[],2,FALSE)),1,VLOOKUP(NR$5,Sprints[],4,FALSE))&lt;&gt;"")*(IF(OFFSET($A11,0,31*(VLOOKUP(NR$5,Sprints[],5,FALSE))+DAY(VLOOKUP(NR$5,Sprints[],2,FALSE)),1,VLOOKUP(NR$5,Sprints[],4,FALSE))=$OA$12,0.5,1)*(OFFSET($A$3,0,31*(VLOOKUP(NR$5,Sprints[],5,FALSE))+DAY(VLOOKUP(NR$5,Sprints[],2,FALSE)),1,VLOOKUP(NR$5,Sprints[],4,FALSE)))))</f>
        <v>5</v>
      </c>
      <c r="NS11" s="60">
        <f t="array" aca="1" ref="NS11" ca="1">SUMPRODUCT((OFFSET($A11,0,31*(VLOOKUP(NS$5,Sprints[],5,FALSE))+DAY(VLOOKUP(NS$5,Sprints[],2,FALSE)),1,VLOOKUP(NS$5,Sprints[],4,FALSE))&lt;&gt;"")*(IF(OFFSET($A11,0,31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11" s="60">
        <f t="array" aca="1" ref="NT11" ca="1">SUMPRODUCT((OFFSET($A11,0,31*(VLOOKUP(NT$5,Sprints[],5,FALSE))+DAY(VLOOKUP(NT$5,Sprints[],2,FALSE)),1,VLOOKUP(NT$5,Sprints[],4,FALSE))&lt;&gt;"")*(IF(OFFSET($A11,0,31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11" s="60">
        <f t="array" aca="1" ref="NU11" ca="1">SUMPRODUCT((OFFSET($A11,0,31*(VLOOKUP(NU$5,Sprints[],5,FALSE))+DAY(VLOOKUP(NU$5,Sprints[],2,FALSE)),1,VLOOKUP(NU$5,Sprints[],4,FALSE))&lt;&gt;"")*(IF(OFFSET($A11,0,31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11" s="60">
        <f t="array" aca="1" ref="NV11" ca="1">SUMPRODUCT((OFFSET($A11,0,31*(VLOOKUP(NV$5,Sprints[],5,FALSE))+DAY(VLOOKUP(NV$5,Sprints[],2,FALSE)),1,VLOOKUP(NV$5,Sprints[],4,FALSE))&lt;&gt;"")*(IF(OFFSET($A11,0,31*(VLOOKUP(NV$5,Sprints[],5,FALSE))+DAY(VLOOKUP(NV$5,Sprints[],2,FALSE)),1,VLOOKUP(NV$5,Sprints[],4,FALSE))=$OA$12,0.5,1)*(OFFSET($A$3,0,31*(VLOOKUP(NV$5,Sprints[],5,FALSE))+DAY(VLOOKUP(NV$5,Sprints[],2,FALSE)),1,VLOOKUP(NV$5,Sprints[],4,FALSE)))))</f>
        <v>2</v>
      </c>
      <c r="NW11" s="60">
        <f t="array" aca="1" ref="NW11" ca="1">SUMPRODUCT((OFFSET($A11,0,31*(VLOOKUP(NW$5,Sprints[],5,FALSE))+DAY(VLOOKUP(NW$5,Sprints[],2,FALSE)),1,VLOOKUP(NW$5,Sprints[],4,FALSE))&lt;&gt;"")*(IF(OFFSET($A11,0,31*(VLOOKUP(NW$5,Sprints[],5,FALSE))+DAY(VLOOKUP(NW$5,Sprints[],2,FALSE)),1,VLOOKUP(NW$5,Sprints[],4,FALSE))=$OA$12,0.5,1)*(OFFSET($A$3,0,31*(VLOOKUP(NW$5,Sprints[],5,FALSE))+DAY(VLOOKUP(NW$5,Sprints[],2,FALSE)),1,VLOOKUP(NW$5,Sprints[],4,FALSE)))))</f>
        <v>4</v>
      </c>
      <c r="NX11" s="60">
        <f t="array" aca="1" ref="NX11" ca="1">SUMPRODUCT((OFFSET($A11,0,31*(VLOOKUP(NX$5,Sprints[],5,FALSE))+DAY(VLOOKUP(NX$5,Sprints[],2,FALSE)),1,VLOOKUP(NX$5,Sprints[],4,FALSE))&lt;&gt;"")*(IF(OFFSET($A11,0,31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  <c r="NZ11" s="24" t="s">
        <v>34</v>
      </c>
      <c r="OA11" s="25" t="s">
        <v>35</v>
      </c>
    </row>
    <row r="12" spans="1:764" x14ac:dyDescent="0.45">
      <c r="A12" s="5" t="s">
        <v>46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 t="s">
        <v>33</v>
      </c>
      <c r="AX12" s="2" t="s">
        <v>31</v>
      </c>
      <c r="AY12" s="2"/>
      <c r="AZ12" s="2"/>
      <c r="BA12" s="2" t="s">
        <v>35</v>
      </c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 t="s">
        <v>33</v>
      </c>
      <c r="CK12" s="2" t="s">
        <v>33</v>
      </c>
      <c r="CL12" s="2" t="s">
        <v>33</v>
      </c>
      <c r="CM12" s="2" t="s">
        <v>33</v>
      </c>
      <c r="CN12" s="2" t="s">
        <v>33</v>
      </c>
      <c r="CO12" s="2"/>
      <c r="CP12" s="2"/>
      <c r="CQ12" s="2"/>
      <c r="CR12" s="2" t="s">
        <v>35</v>
      </c>
      <c r="CS12" s="2" t="s">
        <v>33</v>
      </c>
      <c r="CT12" s="2" t="s">
        <v>33</v>
      </c>
      <c r="CU12" s="2" t="s">
        <v>33</v>
      </c>
      <c r="CV12" s="2" t="s">
        <v>33</v>
      </c>
      <c r="CW12" s="2"/>
      <c r="CX12" s="2"/>
      <c r="CY12" s="2" t="s">
        <v>33</v>
      </c>
      <c r="CZ12" s="2" t="s">
        <v>33</v>
      </c>
      <c r="DA12" s="2" t="s">
        <v>33</v>
      </c>
      <c r="DB12" s="2" t="s">
        <v>33</v>
      </c>
      <c r="DC12" s="2" t="s">
        <v>33</v>
      </c>
      <c r="DD12" s="2"/>
      <c r="DE12" s="2"/>
      <c r="DF12" s="2" t="s">
        <v>33</v>
      </c>
      <c r="DG12" s="2" t="s">
        <v>33</v>
      </c>
      <c r="DH12" s="2" t="s">
        <v>33</v>
      </c>
      <c r="DI12" s="2" t="s">
        <v>33</v>
      </c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 t="s">
        <v>35</v>
      </c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 t="s">
        <v>35</v>
      </c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 t="s">
        <v>35</v>
      </c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 t="s">
        <v>35</v>
      </c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 t="s">
        <v>35</v>
      </c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14">
        <f t="array" aca="1" ref="NJ12" ca="1">SUMPRODUCT((OFFSET($A12,0,31*($A$3-1)+1,1,31)&lt;&gt;"")*(IF(OFFSET($A12,0,31*($A$3-1)+1,1,31)=$OA$12,0.5,1)*(OFFSET($A$4,0,31*($A$3-1)+1,1,31))))</f>
        <v>0</v>
      </c>
      <c r="NK12" s="20">
        <f t="array" aca="1" ref="NK12" ca="1">SUMPRODUCT((OFFSET($A12,0,1,1,372)&lt;&gt;"")*(IF(OFFSET($A12,0,1,1,372)=$OA$12,0.5,1)*(OFFSET($A$3,0,1,1,372))))</f>
        <v>26.5</v>
      </c>
      <c r="NL12" s="28">
        <f t="array" aca="1" ref="NL12" ca="1">SUMPRODUCT((OFFSET($A12,0,31*($A$4)+DAY(Holidays!$E$2),1,Holidays!$G$2)&lt;&gt;"")*(IF(OFFSET($A12,0,31*($A$4)+DAY(Holidays!$E$2),1,Holidays!$G$2)=$OA$12,0.5,1)*(OFFSET($A$3,0,31*($A$4)+DAY(Holidays!$E$2),1,Holidays!$G$2))))</f>
        <v>23.5</v>
      </c>
      <c r="NM12" s="60">
        <f t="array" aca="1" ref="NM12" ca="1">SUMPRODUCT((OFFSET($A12,0,31*($A$4)+DAY(VLOOKUP(NM$5,Sprints[],2,FALSE)),1,VLOOKUP(NM$5,Sprints[],4,FALSE))&lt;&gt;"")*(IF(OFFSET($A12,0,31*($A$4)+DAY(VLOOKUP(NM$5,Sprints[],2,FALSE)),1,VLOOKUP(NM$5,Sprints[],4,FALSE))=$OA$12,0.5,1)*(OFFSET($A$3,0,31*($A$4)+DAY(VLOOKUP(NM$5,Sprints[],2,FALSE)),1,VLOOKUP(NM$5,Sprints[],4,FALSE)))))</f>
        <v>0</v>
      </c>
      <c r="NN12" s="60">
        <f t="array" aca="1" ref="NN12" ca="1">SUMPRODUCT((OFFSET($A12,0,31*($A$4)+DAY(VLOOKUP(NN$5,Sprints[],2,FALSE)),1,VLOOKUP(NN$5,Sprints[],4,FALSE))&lt;&gt;"")*(IF(OFFSET($A12,0,31*($A$4)+DAY(VLOOKUP(NN$5,Sprints[],2,FALSE)),1,VLOOKUP(NN$5,Sprints[],4,FALSE))=$OA$12,0.5,1)*(OFFSET($A$3,0,31*($A$4)+DAY(VLOOKUP(NN$5,Sprints[],2,FALSE)),1,VLOOKUP(NN$5,Sprints[],4,FALSE)))))</f>
        <v>0</v>
      </c>
      <c r="NO12" s="60">
        <f t="array" aca="1" ref="NO12" ca="1">SUMPRODUCT((OFFSET($A12,0,31*($A$4)+DAY(VLOOKUP(NO$5,Sprints[],2,FALSE)),1,VLOOKUP(NO$5,Sprints[],4,FALSE))&lt;&gt;"")*(IF(OFFSET($A12,0,31*($A$4)+DAY(VLOOKUP(NO$5,Sprints[],2,FALSE)),1,VLOOKUP(NO$5,Sprints[],4,FALSE))=$OA$12,0.5,1)*(OFFSET($A$3,0,31*($A$4)+DAY(VLOOKUP(NO$5,Sprints[],2,FALSE)),1,VLOOKUP(NO$5,Sprints[],4,FALSE)))))</f>
        <v>0</v>
      </c>
      <c r="NP12" s="60">
        <f t="array" aca="1" ref="NP12" ca="1">SUMPRODUCT((OFFSET($A12,0,31*(VLOOKUP(NP$5,Sprints[],5,FALSE))+DAY(VLOOKUP(NP$5,Sprints[],2,FALSE)),1,VLOOKUP(NP$5,Sprints[],4,FALSE))&lt;&gt;"")*(IF(OFFSET($A12,0,31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12" s="60">
        <f t="array" aca="1" ref="NQ12" ca="1">SUMPRODUCT((OFFSET($A12,0,31*(VLOOKUP(NQ$5,Sprints[],5,FALSE))+DAY(VLOOKUP(NQ$5,Sprints[],2,FALSE)),1,VLOOKUP(NQ$5,Sprints[],4,FALSE))&lt;&gt;"")*(IF(OFFSET($A12,0,31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12" s="60">
        <f t="array" aca="1" ref="NR12" ca="1">SUMPRODUCT((OFFSET($A12,0,31*(VLOOKUP(NR$5,Sprints[],5,FALSE))+DAY(VLOOKUP(NR$5,Sprints[],2,FALSE)),1,VLOOKUP(NR$5,Sprints[],4,FALSE))&lt;&gt;"")*(IF(OFFSET($A12,0,31*(VLOOKUP(NR$5,Sprints[],5,FALSE))+DAY(VLOOKUP(NR$5,Sprints[],2,FALSE)),1,VLOOKUP(NR$5,Sprints[],4,FALSE))=$OA$12,0.5,1)*(OFFSET($A$3,0,31*(VLOOKUP(NR$5,Sprints[],5,FALSE))+DAY(VLOOKUP(NR$5,Sprints[],2,FALSE)),1,VLOOKUP(NR$5,Sprints[],4,FALSE)))))</f>
        <v>2</v>
      </c>
      <c r="NS12" s="60">
        <f t="array" aca="1" ref="NS12" ca="1">SUMPRODUCT((OFFSET($A12,0,31*(VLOOKUP(NS$5,Sprints[],5,FALSE))+DAY(VLOOKUP(NS$5,Sprints[],2,FALSE)),1,VLOOKUP(NS$5,Sprints[],4,FALSE))&lt;&gt;"")*(IF(OFFSET($A12,0,31*(VLOOKUP(NS$5,Sprints[],5,FALSE))+DAY(VLOOKUP(NS$5,Sprints[],2,FALSE)),1,VLOOKUP(NS$5,Sprints[],4,FALSE))=$OA$12,0.5,1)*(OFFSET($A$3,0,31*(VLOOKUP(NS$5,Sprints[],5,FALSE))+DAY(VLOOKUP(NS$5,Sprints[],2,FALSE)),1,VLOOKUP(NS$5,Sprints[],4,FALSE)))))</f>
        <v>10</v>
      </c>
      <c r="NT12" s="60">
        <f t="array" aca="1" ref="NT12" ca="1">SUMPRODUCT((OFFSET($A12,0,31*(VLOOKUP(NT$5,Sprints[],5,FALSE))+DAY(VLOOKUP(NT$5,Sprints[],2,FALSE)),1,VLOOKUP(NT$5,Sprints[],4,FALSE))&lt;&gt;"")*(IF(OFFSET($A12,0,31*(VLOOKUP(NT$5,Sprints[],5,FALSE))+DAY(VLOOKUP(NT$5,Sprints[],2,FALSE)),1,VLOOKUP(NT$5,Sprints[],4,FALSE))=$OA$12,0.5,1)*(OFFSET($A$3,0,31*(VLOOKUP(NT$5,Sprints[],5,FALSE))+DAY(VLOOKUP(NT$5,Sprints[],2,FALSE)),1,VLOOKUP(NT$5,Sprints[],4,FALSE)))))</f>
        <v>7</v>
      </c>
      <c r="NU12" s="60">
        <f t="array" aca="1" ref="NU12" ca="1">SUMPRODUCT((OFFSET($A12,0,31*(VLOOKUP(NU$5,Sprints[],5,FALSE))+DAY(VLOOKUP(NU$5,Sprints[],2,FALSE)),1,VLOOKUP(NU$5,Sprints[],4,FALSE))&lt;&gt;"")*(IF(OFFSET($A12,0,31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12" s="60">
        <f t="array" aca="1" ref="NV12" ca="1">SUMPRODUCT((OFFSET($A12,0,31*(VLOOKUP(NV$5,Sprints[],5,FALSE))+DAY(VLOOKUP(NV$5,Sprints[],2,FALSE)),1,VLOOKUP(NV$5,Sprints[],4,FALSE))&lt;&gt;"")*(IF(OFFSET($A12,0,31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12" s="60">
        <f t="array" aca="1" ref="NW12" ca="1">SUMPRODUCT((OFFSET($A12,0,31*(VLOOKUP(NW$5,Sprints[],5,FALSE))+DAY(VLOOKUP(NW$5,Sprints[],2,FALSE)),1,VLOOKUP(NW$5,Sprints[],4,FALSE))&lt;&gt;"")*(IF(OFFSET($A12,0,31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12" s="60">
        <f t="array" aca="1" ref="NX12" ca="1">SUMPRODUCT((OFFSET($A12,0,31*(VLOOKUP(NX$5,Sprints[],5,FALSE))+DAY(VLOOKUP(NX$5,Sprints[],2,FALSE)),1,VLOOKUP(NX$5,Sprints[],4,FALSE))&lt;&gt;"")*(IF(OFFSET($A12,0,31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  <c r="NZ12" s="18" t="s">
        <v>30</v>
      </c>
      <c r="OA12" s="25" t="s">
        <v>31</v>
      </c>
    </row>
    <row r="13" spans="1:764" x14ac:dyDescent="0.45">
      <c r="A13" s="5" t="s">
        <v>45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 t="s">
        <v>33</v>
      </c>
      <c r="AX13" s="2" t="s">
        <v>31</v>
      </c>
      <c r="AY13" s="2"/>
      <c r="AZ13" s="2"/>
      <c r="BA13" s="2" t="s">
        <v>35</v>
      </c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 t="s">
        <v>35</v>
      </c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 t="s">
        <v>35</v>
      </c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 t="s">
        <v>35</v>
      </c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 t="s">
        <v>35</v>
      </c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 t="s">
        <v>35</v>
      </c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 t="s">
        <v>35</v>
      </c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14">
        <f t="array" aca="1" ref="NJ13" ca="1">SUMPRODUCT((OFFSET($A13,0,31*($A$3-1)+1,1,31)&lt;&gt;"")*(IF(OFFSET($A13,0,31*($A$3-1)+1,1,31)=$OA$12,0.5,1)*(OFFSET($A$4,0,31*($A$3-1)+1,1,31))))</f>
        <v>0</v>
      </c>
      <c r="NK13" s="20">
        <f t="array" aca="1" ref="NK13" ca="1">SUMPRODUCT((OFFSET($A13,0,1,1,372)&lt;&gt;"")*(IF(OFFSET($A13,0,1,1,372)=$OA$12,0.5,1)*(OFFSET($A$3,0,1,1,372))))</f>
        <v>8.5</v>
      </c>
      <c r="NL13" s="28">
        <f t="array" aca="1" ref="NL13" ca="1">SUMPRODUCT((OFFSET($A13,0,31*($A$4)+DAY(Holidays!$E$2),1,Holidays!$G$2)&lt;&gt;"")*(IF(OFFSET($A13,0,31*($A$4)+DAY(Holidays!$E$2),1,Holidays!$G$2)=$OA$12,0.5,1)*(OFFSET($A$3,0,31*($A$4)+DAY(Holidays!$E$2),1,Holidays!$G$2))))</f>
        <v>5.5</v>
      </c>
      <c r="NM13" s="60">
        <f t="array" aca="1" ref="NM13" ca="1">SUMPRODUCT((OFFSET($A13,0,31*($A$4)+DAY(VLOOKUP(NM$5,Sprints[],2,FALSE)),1,VLOOKUP(NM$5,Sprints[],4,FALSE))&lt;&gt;"")*(IF(OFFSET($A13,0,31*($A$4)+DAY(VLOOKUP(NM$5,Sprints[],2,FALSE)),1,VLOOKUP(NM$5,Sprints[],4,FALSE))=$OA$12,0.5,1)*(OFFSET($A$3,0,31*($A$4)+DAY(VLOOKUP(NM$5,Sprints[],2,FALSE)),1,VLOOKUP(NM$5,Sprints[],4,FALSE)))))</f>
        <v>0</v>
      </c>
      <c r="NN13" s="60">
        <f t="array" aca="1" ref="NN13" ca="1">SUMPRODUCT((OFFSET($A13,0,31*($A$4)+DAY(VLOOKUP(NN$5,Sprints[],2,FALSE)),1,VLOOKUP(NN$5,Sprints[],4,FALSE))&lt;&gt;"")*(IF(OFFSET($A13,0,31*($A$4)+DAY(VLOOKUP(NN$5,Sprints[],2,FALSE)),1,VLOOKUP(NN$5,Sprints[],4,FALSE))=$OA$12,0.5,1)*(OFFSET($A$3,0,31*($A$4)+DAY(VLOOKUP(NN$5,Sprints[],2,FALSE)),1,VLOOKUP(NN$5,Sprints[],4,FALSE)))))</f>
        <v>0</v>
      </c>
      <c r="NO13" s="60">
        <f t="array" aca="1" ref="NO13" ca="1">SUMPRODUCT((OFFSET($A13,0,31*($A$4)+DAY(VLOOKUP(NO$5,Sprints[],2,FALSE)),1,VLOOKUP(NO$5,Sprints[],4,FALSE))&lt;&gt;"")*(IF(OFFSET($A13,0,31*($A$4)+DAY(VLOOKUP(NO$5,Sprints[],2,FALSE)),1,VLOOKUP(NO$5,Sprints[],4,FALSE))=$OA$12,0.5,1)*(OFFSET($A$3,0,31*($A$4)+DAY(VLOOKUP(NO$5,Sprints[],2,FALSE)),1,VLOOKUP(NO$5,Sprints[],4,FALSE)))))</f>
        <v>0</v>
      </c>
      <c r="NP13" s="60">
        <f t="array" aca="1" ref="NP13" ca="1">SUMPRODUCT((OFFSET($A13,0,31*(VLOOKUP(NP$5,Sprints[],5,FALSE))+DAY(VLOOKUP(NP$5,Sprints[],2,FALSE)),1,VLOOKUP(NP$5,Sprints[],4,FALSE))&lt;&gt;"")*(IF(OFFSET($A13,0,31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13" s="60">
        <f t="array" aca="1" ref="NQ13" ca="1">SUMPRODUCT((OFFSET($A13,0,31*(VLOOKUP(NQ$5,Sprints[],5,FALSE))+DAY(VLOOKUP(NQ$5,Sprints[],2,FALSE)),1,VLOOKUP(NQ$5,Sprints[],4,FALSE))&lt;&gt;"")*(IF(OFFSET($A13,0,31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13" s="60">
        <f t="array" aca="1" ref="NR13" ca="1">SUMPRODUCT((OFFSET($A13,0,31*(VLOOKUP(NR$5,Sprints[],5,FALSE))+DAY(VLOOKUP(NR$5,Sprints[],2,FALSE)),1,VLOOKUP(NR$5,Sprints[],4,FALSE))&lt;&gt;"")*(IF(OFFSET($A13,0,31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13" s="60">
        <f t="array" aca="1" ref="NS13" ca="1">SUMPRODUCT((OFFSET($A13,0,31*(VLOOKUP(NS$5,Sprints[],5,FALSE))+DAY(VLOOKUP(NS$5,Sprints[],2,FALSE)),1,VLOOKUP(NS$5,Sprints[],4,FALSE))&lt;&gt;"")*(IF(OFFSET($A13,0,31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13" s="60">
        <f t="array" aca="1" ref="NT13" ca="1">SUMPRODUCT((OFFSET($A13,0,31*(VLOOKUP(NT$5,Sprints[],5,FALSE))+DAY(VLOOKUP(NT$5,Sprints[],2,FALSE)),1,VLOOKUP(NT$5,Sprints[],4,FALSE))&lt;&gt;"")*(IF(OFFSET($A13,0,31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13" s="60">
        <f t="array" aca="1" ref="NU13" ca="1">SUMPRODUCT((OFFSET($A13,0,31*(VLOOKUP(NU$5,Sprints[],5,FALSE))+DAY(VLOOKUP(NU$5,Sprints[],2,FALSE)),1,VLOOKUP(NU$5,Sprints[],4,FALSE))&lt;&gt;"")*(IF(OFFSET($A13,0,31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13" s="60">
        <f t="array" aca="1" ref="NV13" ca="1">SUMPRODUCT((OFFSET($A13,0,31*(VLOOKUP(NV$5,Sprints[],5,FALSE))+DAY(VLOOKUP(NV$5,Sprints[],2,FALSE)),1,VLOOKUP(NV$5,Sprints[],4,FALSE))&lt;&gt;"")*(IF(OFFSET($A13,0,31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13" s="60">
        <f t="array" aca="1" ref="NW13" ca="1">SUMPRODUCT((OFFSET($A13,0,31*(VLOOKUP(NW$5,Sprints[],5,FALSE))+DAY(VLOOKUP(NW$5,Sprints[],2,FALSE)),1,VLOOKUP(NW$5,Sprints[],4,FALSE))&lt;&gt;"")*(IF(OFFSET($A13,0,31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13" s="60">
        <f t="array" aca="1" ref="NX13" ca="1">SUMPRODUCT((OFFSET($A13,0,31*(VLOOKUP(NX$5,Sprints[],5,FALSE))+DAY(VLOOKUP(NX$5,Sprints[],2,FALSE)),1,VLOOKUP(NX$5,Sprints[],4,FALSE))&lt;&gt;"")*(IF(OFFSET($A13,0,31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14" spans="1:764" x14ac:dyDescent="0.45">
      <c r="A14" s="5" t="s">
        <v>47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 t="s">
        <v>33</v>
      </c>
      <c r="AX14" s="2" t="s">
        <v>31</v>
      </c>
      <c r="AY14" s="2"/>
      <c r="AZ14" s="2"/>
      <c r="BA14" s="2" t="s">
        <v>35</v>
      </c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 t="s">
        <v>50</v>
      </c>
      <c r="CD14" s="2" t="s">
        <v>50</v>
      </c>
      <c r="CE14" s="2" t="s">
        <v>50</v>
      </c>
      <c r="CF14" s="2" t="s">
        <v>50</v>
      </c>
      <c r="CG14" s="2" t="s">
        <v>50</v>
      </c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 t="s">
        <v>35</v>
      </c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 t="s">
        <v>35</v>
      </c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 t="s">
        <v>50</v>
      </c>
      <c r="EW14" s="2" t="s">
        <v>50</v>
      </c>
      <c r="EX14" s="2" t="s">
        <v>50</v>
      </c>
      <c r="EY14" s="2" t="s">
        <v>50</v>
      </c>
      <c r="EZ14" s="2" t="s">
        <v>50</v>
      </c>
      <c r="FA14" s="2"/>
      <c r="FB14" s="2"/>
      <c r="FC14" s="2" t="s">
        <v>35</v>
      </c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 t="s">
        <v>35</v>
      </c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 t="s">
        <v>35</v>
      </c>
      <c r="JO14" s="2" t="s">
        <v>35</v>
      </c>
      <c r="JP14" s="2"/>
      <c r="JQ14" s="2"/>
      <c r="JR14" s="2"/>
      <c r="JS14" s="2"/>
      <c r="JT14" s="2"/>
      <c r="JU14" s="2" t="s">
        <v>35</v>
      </c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 t="s">
        <v>35</v>
      </c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14">
        <f t="array" aca="1" ref="NJ14" ca="1">SUMPRODUCT((OFFSET($A14,0,31*($A$3-1)+1,1,31)&lt;&gt;"")*(IF(OFFSET($A14,0,31*($A$3-1)+1,1,31)=$OA$12,0.5,1)*(OFFSET($A$4,0,31*($A$3-1)+1,1,31))))</f>
        <v>0</v>
      </c>
      <c r="NK14" s="20">
        <f t="array" aca="1" ref="NK14" ca="1">SUMPRODUCT((OFFSET($A14,0,1,1,372)&lt;&gt;"")*(IF(OFFSET($A14,0,1,1,372)=$OA$12,0.5,1)*(OFFSET($A$3,0,1,1,372))))</f>
        <v>20.5</v>
      </c>
      <c r="NL14" s="28">
        <f t="array" aca="1" ref="NL14" ca="1">SUMPRODUCT((OFFSET($A14,0,31*($A$4)+DAY(Holidays!$E$2),1,Holidays!$G$2)&lt;&gt;"")*(IF(OFFSET($A14,0,31*($A$4)+DAY(Holidays!$E$2),1,Holidays!$G$2)=$OA$12,0.5,1)*(OFFSET($A$3,0,31*($A$4)+DAY(Holidays!$E$2),1,Holidays!$G$2))))</f>
        <v>15.5</v>
      </c>
      <c r="NM14" s="60">
        <f t="array" aca="1" ref="NM14" ca="1">SUMPRODUCT((OFFSET($A14,0,31*($A$4)+DAY(VLOOKUP(NM$5,Sprints[],2,FALSE)),1,VLOOKUP(NM$5,Sprints[],4,FALSE))&lt;&gt;"")*(IF(OFFSET($A14,0,31*($A$4)+DAY(VLOOKUP(NM$5,Sprints[],2,FALSE)),1,VLOOKUP(NM$5,Sprints[],4,FALSE))=$OA$12,0.5,1)*(OFFSET($A$3,0,31*($A$4)+DAY(VLOOKUP(NM$5,Sprints[],2,FALSE)),1,VLOOKUP(NM$5,Sprints[],4,FALSE)))))</f>
        <v>0</v>
      </c>
      <c r="NN14" s="60">
        <f t="array" aca="1" ref="NN14" ca="1">SUMPRODUCT((OFFSET($A14,0,31*($A$4)+DAY(VLOOKUP(NN$5,Sprints[],2,FALSE)),1,VLOOKUP(NN$5,Sprints[],4,FALSE))&lt;&gt;"")*(IF(OFFSET($A14,0,31*($A$4)+DAY(VLOOKUP(NN$5,Sprints[],2,FALSE)),1,VLOOKUP(NN$5,Sprints[],4,FALSE))=$OA$12,0.5,1)*(OFFSET($A$3,0,31*($A$4)+DAY(VLOOKUP(NN$5,Sprints[],2,FALSE)),1,VLOOKUP(NN$5,Sprints[],4,FALSE)))))</f>
        <v>0</v>
      </c>
      <c r="NO14" s="60">
        <f t="array" aca="1" ref="NO14" ca="1">SUMPRODUCT((OFFSET($A14,0,31*($A$4)+DAY(VLOOKUP(NO$5,Sprints[],2,FALSE)),1,VLOOKUP(NO$5,Sprints[],4,FALSE))&lt;&gt;"")*(IF(OFFSET($A14,0,31*($A$4)+DAY(VLOOKUP(NO$5,Sprints[],2,FALSE)),1,VLOOKUP(NO$5,Sprints[],4,FALSE))=$OA$12,0.5,1)*(OFFSET($A$3,0,31*($A$4)+DAY(VLOOKUP(NO$5,Sprints[],2,FALSE)),1,VLOOKUP(NO$5,Sprints[],4,FALSE)))))</f>
        <v>0</v>
      </c>
      <c r="NP14" s="60">
        <f t="array" aca="1" ref="NP14" ca="1">SUMPRODUCT((OFFSET($A14,0,31*(VLOOKUP(NP$5,Sprints[],5,FALSE))+DAY(VLOOKUP(NP$5,Sprints[],2,FALSE)),1,VLOOKUP(NP$5,Sprints[],4,FALSE))&lt;&gt;"")*(IF(OFFSET($A14,0,31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14" s="60">
        <f t="array" aca="1" ref="NQ14" ca="1">SUMPRODUCT((OFFSET($A14,0,31*(VLOOKUP(NQ$5,Sprints[],5,FALSE))+DAY(VLOOKUP(NQ$5,Sprints[],2,FALSE)),1,VLOOKUP(NQ$5,Sprints[],4,FALSE))&lt;&gt;"")*(IF(OFFSET($A14,0,31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14" s="60">
        <f t="array" aca="1" ref="NR14" ca="1">SUMPRODUCT((OFFSET($A14,0,31*(VLOOKUP(NR$5,Sprints[],5,FALSE))+DAY(VLOOKUP(NR$5,Sprints[],2,FALSE)),1,VLOOKUP(NR$5,Sprints[],4,FALSE))&lt;&gt;"")*(IF(OFFSET($A14,0,31*(VLOOKUP(NR$5,Sprints[],5,FALSE))+DAY(VLOOKUP(NR$5,Sprints[],2,FALSE)),1,VLOOKUP(NR$5,Sprints[],4,FALSE))=$OA$12,0.5,1)*(OFFSET($A$3,0,31*(VLOOKUP(NR$5,Sprints[],5,FALSE))+DAY(VLOOKUP(NR$5,Sprints[],2,FALSE)),1,VLOOKUP(NR$5,Sprints[],4,FALSE)))))</f>
        <v>5</v>
      </c>
      <c r="NS14" s="60">
        <f t="array" aca="1" ref="NS14" ca="1">SUMPRODUCT((OFFSET($A14,0,31*(VLOOKUP(NS$5,Sprints[],5,FALSE))+DAY(VLOOKUP(NS$5,Sprints[],2,FALSE)),1,VLOOKUP(NS$5,Sprints[],4,FALSE))&lt;&gt;"")*(IF(OFFSET($A14,0,31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14" s="60">
        <f t="array" aca="1" ref="NT14" ca="1">SUMPRODUCT((OFFSET($A14,0,31*(VLOOKUP(NT$5,Sprints[],5,FALSE))+DAY(VLOOKUP(NT$5,Sprints[],2,FALSE)),1,VLOOKUP(NT$5,Sprints[],4,FALSE))&lt;&gt;"")*(IF(OFFSET($A14,0,31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14" s="60">
        <f t="array" aca="1" ref="NU14" ca="1">SUMPRODUCT((OFFSET($A14,0,31*(VLOOKUP(NU$5,Sprints[],5,FALSE))+DAY(VLOOKUP(NU$5,Sprints[],2,FALSE)),1,VLOOKUP(NU$5,Sprints[],4,FALSE))&lt;&gt;"")*(IF(OFFSET($A14,0,31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14" s="60">
        <f t="array" aca="1" ref="NV14" ca="1">SUMPRODUCT((OFFSET($A14,0,31*(VLOOKUP(NV$5,Sprints[],5,FALSE))+DAY(VLOOKUP(NV$5,Sprints[],2,FALSE)),1,VLOOKUP(NV$5,Sprints[],4,FALSE))&lt;&gt;"")*(IF(OFFSET($A14,0,31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14" s="60">
        <f t="array" aca="1" ref="NW14" ca="1">SUMPRODUCT((OFFSET($A14,0,31*(VLOOKUP(NW$5,Sprints[],5,FALSE))+DAY(VLOOKUP(NW$5,Sprints[],2,FALSE)),1,VLOOKUP(NW$5,Sprints[],4,FALSE))&lt;&gt;"")*(IF(OFFSET($A14,0,31*(VLOOKUP(NW$5,Sprints[],5,FALSE))+DAY(VLOOKUP(NW$5,Sprints[],2,FALSE)),1,VLOOKUP(NW$5,Sprints[],4,FALSE))=$OA$12,0.5,1)*(OFFSET($A$3,0,31*(VLOOKUP(NW$5,Sprints[],5,FALSE))+DAY(VLOOKUP(NW$5,Sprints[],2,FALSE)),1,VLOOKUP(NW$5,Sprints[],4,FALSE)))))</f>
        <v>6</v>
      </c>
      <c r="NX14" s="60">
        <f t="array" aca="1" ref="NX14" ca="1">SUMPRODUCT((OFFSET($A14,0,31*(VLOOKUP(NX$5,Sprints[],5,FALSE))+DAY(VLOOKUP(NX$5,Sprints[],2,FALSE)),1,VLOOKUP(NX$5,Sprints[],4,FALSE))&lt;&gt;"")*(IF(OFFSET($A14,0,31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15" spans="1:764" x14ac:dyDescent="0.45">
      <c r="A15" s="1" t="s">
        <v>67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 t="s">
        <v>33</v>
      </c>
      <c r="AX15" s="2" t="s">
        <v>31</v>
      </c>
      <c r="AY15" s="2"/>
      <c r="AZ15" s="2"/>
      <c r="BA15" s="2" t="s">
        <v>35</v>
      </c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 t="s">
        <v>33</v>
      </c>
      <c r="CK15" s="2" t="s">
        <v>33</v>
      </c>
      <c r="CL15" s="2" t="s">
        <v>33</v>
      </c>
      <c r="CM15" s="2" t="s">
        <v>33</v>
      </c>
      <c r="CN15" s="2" t="s">
        <v>33</v>
      </c>
      <c r="CO15" s="2"/>
      <c r="CP15" s="2"/>
      <c r="CQ15" s="2"/>
      <c r="CR15" s="2" t="s">
        <v>35</v>
      </c>
      <c r="CS15" s="2" t="s">
        <v>33</v>
      </c>
      <c r="CT15" s="2" t="s">
        <v>33</v>
      </c>
      <c r="CU15" s="2" t="s">
        <v>33</v>
      </c>
      <c r="CV15" s="2" t="s">
        <v>33</v>
      </c>
      <c r="CW15" s="2"/>
      <c r="CX15" s="2"/>
      <c r="CY15" s="2" t="s">
        <v>33</v>
      </c>
      <c r="CZ15" s="2" t="s">
        <v>33</v>
      </c>
      <c r="DA15" s="2" t="s">
        <v>33</v>
      </c>
      <c r="DB15" s="2" t="s">
        <v>33</v>
      </c>
      <c r="DC15" s="2" t="s">
        <v>33</v>
      </c>
      <c r="DD15" s="2"/>
      <c r="DE15" s="2"/>
      <c r="DF15" s="2" t="s">
        <v>33</v>
      </c>
      <c r="DG15" s="2" t="s">
        <v>33</v>
      </c>
      <c r="DH15" s="2" t="s">
        <v>33</v>
      </c>
      <c r="DI15" s="2" t="s">
        <v>33</v>
      </c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 t="s">
        <v>35</v>
      </c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 t="s">
        <v>35</v>
      </c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 t="s">
        <v>35</v>
      </c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 t="s">
        <v>35</v>
      </c>
      <c r="JO15" s="2" t="s">
        <v>35</v>
      </c>
      <c r="JP15" s="2"/>
      <c r="JQ15" s="2"/>
      <c r="JR15" s="2"/>
      <c r="JS15" s="2"/>
      <c r="JT15" s="2"/>
      <c r="JU15" s="2" t="s">
        <v>35</v>
      </c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 t="s">
        <v>35</v>
      </c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14">
        <f t="array" aca="1" ref="NJ15" ca="1">SUMPRODUCT((OFFSET($A15,0,31*($A$3-1)+1,1,31)&lt;&gt;"")*(IF(OFFSET($A15,0,31*($A$3-1)+1,1,31)=$OA$12,0.5,1)*(OFFSET($A$4,0,31*($A$3-1)+1,1,31))))</f>
        <v>0</v>
      </c>
      <c r="NK15" s="20">
        <f t="array" aca="1" ref="NK15" ca="1">SUMPRODUCT((OFFSET($A15,0,1,1,372)&lt;&gt;"")*(IF(OFFSET($A15,0,1,1,372)=$OA$12,0.5,1)*(OFFSET($A$3,0,1,1,372))))</f>
        <v>28.5</v>
      </c>
      <c r="NL15" s="28">
        <f t="array" aca="1" ref="NL15" ca="1">SUMPRODUCT((OFFSET($A15,0,31*($A$4)+DAY(Holidays!$E$2),1,Holidays!$G$2)&lt;&gt;"")*(IF(OFFSET($A15,0,31*($A$4)+DAY(Holidays!$E$2),1,Holidays!$G$2)=$OA$12,0.5,1)*(OFFSET($A$3,0,31*($A$4)+DAY(Holidays!$E$2),1,Holidays!$G$2))))</f>
        <v>23.5</v>
      </c>
      <c r="NM15" s="60">
        <f t="array" aca="1" ref="NM15" ca="1">SUMPRODUCT((OFFSET($A15,0,31*($A$4)+DAY(VLOOKUP(NM$5,Sprints[],2,FALSE)),1,VLOOKUP(NM$5,Sprints[],4,FALSE))&lt;&gt;"")*(IF(OFFSET($A15,0,31*($A$4)+DAY(VLOOKUP(NM$5,Sprints[],2,FALSE)),1,VLOOKUP(NM$5,Sprints[],4,FALSE))=$OA$12,0.5,1)*(OFFSET($A$3,0,31*($A$4)+DAY(VLOOKUP(NM$5,Sprints[],2,FALSE)),1,VLOOKUP(NM$5,Sprints[],4,FALSE)))))</f>
        <v>0</v>
      </c>
      <c r="NN15" s="60">
        <f t="array" aca="1" ref="NN15" ca="1">SUMPRODUCT((OFFSET($A15,0,31*($A$4)+DAY(VLOOKUP(NN$5,Sprints[],2,FALSE)),1,VLOOKUP(NN$5,Sprints[],4,FALSE))&lt;&gt;"")*(IF(OFFSET($A15,0,31*($A$4)+DAY(VLOOKUP(NN$5,Sprints[],2,FALSE)),1,VLOOKUP(NN$5,Sprints[],4,FALSE))=$OA$12,0.5,1)*(OFFSET($A$3,0,31*($A$4)+DAY(VLOOKUP(NN$5,Sprints[],2,FALSE)),1,VLOOKUP(NN$5,Sprints[],4,FALSE)))))</f>
        <v>0</v>
      </c>
      <c r="NO15" s="60">
        <f t="array" aca="1" ref="NO15" ca="1">SUMPRODUCT((OFFSET($A15,0,31*($A$4)+DAY(VLOOKUP(NO$5,Sprints[],2,FALSE)),1,VLOOKUP(NO$5,Sprints[],4,FALSE))&lt;&gt;"")*(IF(OFFSET($A15,0,31*($A$4)+DAY(VLOOKUP(NO$5,Sprints[],2,FALSE)),1,VLOOKUP(NO$5,Sprints[],4,FALSE))=$OA$12,0.5,1)*(OFFSET($A$3,0,31*($A$4)+DAY(VLOOKUP(NO$5,Sprints[],2,FALSE)),1,VLOOKUP(NO$5,Sprints[],4,FALSE)))))</f>
        <v>0</v>
      </c>
      <c r="NP15" s="60">
        <f t="array" aca="1" ref="NP15" ca="1">SUMPRODUCT((OFFSET($A15,0,31*(VLOOKUP(NP$5,Sprints[],5,FALSE))+DAY(VLOOKUP(NP$5,Sprints[],2,FALSE)),1,VLOOKUP(NP$5,Sprints[],4,FALSE))&lt;&gt;"")*(IF(OFFSET($A15,0,31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15" s="60">
        <f t="array" aca="1" ref="NQ15" ca="1">SUMPRODUCT((OFFSET($A15,0,31*(VLOOKUP(NQ$5,Sprints[],5,FALSE))+DAY(VLOOKUP(NQ$5,Sprints[],2,FALSE)),1,VLOOKUP(NQ$5,Sprints[],4,FALSE))&lt;&gt;"")*(IF(OFFSET($A15,0,31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15" s="60">
        <f t="array" aca="1" ref="NR15" ca="1">SUMPRODUCT((OFFSET($A15,0,31*(VLOOKUP(NR$5,Sprints[],5,FALSE))+DAY(VLOOKUP(NR$5,Sprints[],2,FALSE)),1,VLOOKUP(NR$5,Sprints[],4,FALSE))&lt;&gt;"")*(IF(OFFSET($A15,0,31*(VLOOKUP(NR$5,Sprints[],5,FALSE))+DAY(VLOOKUP(NR$5,Sprints[],2,FALSE)),1,VLOOKUP(NR$5,Sprints[],4,FALSE))=$OA$12,0.5,1)*(OFFSET($A$3,0,31*(VLOOKUP(NR$5,Sprints[],5,FALSE))+DAY(VLOOKUP(NR$5,Sprints[],2,FALSE)),1,VLOOKUP(NR$5,Sprints[],4,FALSE)))))</f>
        <v>2</v>
      </c>
      <c r="NS15" s="60">
        <f t="array" aca="1" ref="NS15" ca="1">SUMPRODUCT((OFFSET($A15,0,31*(VLOOKUP(NS$5,Sprints[],5,FALSE))+DAY(VLOOKUP(NS$5,Sprints[],2,FALSE)),1,VLOOKUP(NS$5,Sprints[],4,FALSE))&lt;&gt;"")*(IF(OFFSET($A15,0,31*(VLOOKUP(NS$5,Sprints[],5,FALSE))+DAY(VLOOKUP(NS$5,Sprints[],2,FALSE)),1,VLOOKUP(NS$5,Sprints[],4,FALSE))=$OA$12,0.5,1)*(OFFSET($A$3,0,31*(VLOOKUP(NS$5,Sprints[],5,FALSE))+DAY(VLOOKUP(NS$5,Sprints[],2,FALSE)),1,VLOOKUP(NS$5,Sprints[],4,FALSE)))))</f>
        <v>10</v>
      </c>
      <c r="NT15" s="60">
        <f t="array" aca="1" ref="NT15" ca="1">SUMPRODUCT((OFFSET($A15,0,31*(VLOOKUP(NT$5,Sprints[],5,FALSE))+DAY(VLOOKUP(NT$5,Sprints[],2,FALSE)),1,VLOOKUP(NT$5,Sprints[],4,FALSE))&lt;&gt;"")*(IF(OFFSET($A15,0,31*(VLOOKUP(NT$5,Sprints[],5,FALSE))+DAY(VLOOKUP(NT$5,Sprints[],2,FALSE)),1,VLOOKUP(NT$5,Sprints[],4,FALSE))=$OA$12,0.5,1)*(OFFSET($A$3,0,31*(VLOOKUP(NT$5,Sprints[],5,FALSE))+DAY(VLOOKUP(NT$5,Sprints[],2,FALSE)),1,VLOOKUP(NT$5,Sprints[],4,FALSE)))))</f>
        <v>7</v>
      </c>
      <c r="NU15" s="60">
        <f t="array" aca="1" ref="NU15" ca="1">SUMPRODUCT((OFFSET($A15,0,31*(VLOOKUP(NU$5,Sprints[],5,FALSE))+DAY(VLOOKUP(NU$5,Sprints[],2,FALSE)),1,VLOOKUP(NU$5,Sprints[],4,FALSE))&lt;&gt;"")*(IF(OFFSET($A15,0,31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15" s="60">
        <f t="array" aca="1" ref="NV15" ca="1">SUMPRODUCT((OFFSET($A15,0,31*(VLOOKUP(NV$5,Sprints[],5,FALSE))+DAY(VLOOKUP(NV$5,Sprints[],2,FALSE)),1,VLOOKUP(NV$5,Sprints[],4,FALSE))&lt;&gt;"")*(IF(OFFSET($A15,0,31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15" s="60">
        <f t="array" aca="1" ref="NW15" ca="1">SUMPRODUCT((OFFSET($A15,0,31*(VLOOKUP(NW$5,Sprints[],5,FALSE))+DAY(VLOOKUP(NW$5,Sprints[],2,FALSE)),1,VLOOKUP(NW$5,Sprints[],4,FALSE))&lt;&gt;"")*(IF(OFFSET($A15,0,31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15" s="60">
        <f t="array" aca="1" ref="NX15" ca="1">SUMPRODUCT((OFFSET($A15,0,31*(VLOOKUP(NX$5,Sprints[],5,FALSE))+DAY(VLOOKUP(NX$5,Sprints[],2,FALSE)),1,VLOOKUP(NX$5,Sprints[],4,FALSE))&lt;&gt;"")*(IF(OFFSET($A15,0,31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  <c r="NZ15" s="17" t="s">
        <v>23</v>
      </c>
      <c r="OA15" s="17"/>
    </row>
    <row r="16" spans="1:764" x14ac:dyDescent="0.45">
      <c r="A16" s="1" t="s">
        <v>68</v>
      </c>
      <c r="B16" s="2"/>
      <c r="C16" s="2"/>
      <c r="D16" s="2"/>
      <c r="E16" s="2"/>
      <c r="F16" s="2"/>
      <c r="G16" s="2" t="s">
        <v>33</v>
      </c>
      <c r="H16" s="2"/>
      <c r="I16" s="2"/>
      <c r="J16" s="2"/>
      <c r="K16" s="2" t="s">
        <v>33</v>
      </c>
      <c r="L16" s="2" t="s">
        <v>33</v>
      </c>
      <c r="M16" s="2" t="s">
        <v>33</v>
      </c>
      <c r="N16" s="2" t="s">
        <v>33</v>
      </c>
      <c r="O16" s="2"/>
      <c r="P16" s="2"/>
      <c r="Q16" s="2" t="s">
        <v>33</v>
      </c>
      <c r="R16" s="2" t="s">
        <v>33</v>
      </c>
      <c r="S16" s="2" t="s">
        <v>33</v>
      </c>
      <c r="T16" s="2" t="s">
        <v>33</v>
      </c>
      <c r="U16" s="2" t="s">
        <v>33</v>
      </c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 t="s">
        <v>33</v>
      </c>
      <c r="AX16" s="2" t="s">
        <v>31</v>
      </c>
      <c r="AY16" s="2"/>
      <c r="AZ16" s="2"/>
      <c r="BA16" s="2" t="s">
        <v>35</v>
      </c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 t="s">
        <v>35</v>
      </c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 t="s">
        <v>50</v>
      </c>
      <c r="DN16" s="2" t="s">
        <v>50</v>
      </c>
      <c r="DO16" s="2" t="s">
        <v>50</v>
      </c>
      <c r="DP16" s="2" t="s">
        <v>50</v>
      </c>
      <c r="DQ16" s="2" t="s">
        <v>50</v>
      </c>
      <c r="DR16" s="2"/>
      <c r="DS16" s="2"/>
      <c r="DT16" s="2"/>
      <c r="DU16" s="2"/>
      <c r="DV16" s="2"/>
      <c r="DW16" s="2"/>
      <c r="DX16" s="2"/>
      <c r="DY16" s="2"/>
      <c r="DZ16" s="2"/>
      <c r="EA16" s="2" t="s">
        <v>35</v>
      </c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 t="s">
        <v>35</v>
      </c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 t="s">
        <v>35</v>
      </c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 t="s">
        <v>35</v>
      </c>
      <c r="JO16" s="2" t="s">
        <v>35</v>
      </c>
      <c r="JP16" s="2"/>
      <c r="JQ16" s="2"/>
      <c r="JR16" s="2"/>
      <c r="JS16" s="2"/>
      <c r="JT16" s="2"/>
      <c r="JU16" s="2" t="s">
        <v>35</v>
      </c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 t="s">
        <v>35</v>
      </c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14">
        <f t="array" aca="1" ref="NJ16" ca="1">SUMPRODUCT((OFFSET($A16,0,31*($A$3-1)+1,1,31)&lt;&gt;"")*(IF(OFFSET($A16,0,31*($A$3-1)+1,1,31)=$OA$12,0.5,1)*(OFFSET($A$4,0,31*($A$3-1)+1,1,31))))</f>
        <v>10</v>
      </c>
      <c r="NK16" s="20">
        <f t="array" aca="1" ref="NK16" ca="1">SUMPRODUCT((OFFSET($A16,0,1,1,372)&lt;&gt;"")*(IF(OFFSET($A16,0,1,1,372)=$OA$12,0.5,1)*(OFFSET($A$3,0,1,1,372))))</f>
        <v>25.5</v>
      </c>
      <c r="NL16" s="28">
        <f t="array" aca="1" ref="NL16" ca="1">SUMPRODUCT((OFFSET($A16,0,31*($A$4)+DAY(Holidays!$E$2),1,Holidays!$G$2)&lt;&gt;"")*(IF(OFFSET($A16,0,31*($A$4)+DAY(Holidays!$E$2),1,Holidays!$G$2)=$OA$12,0.5,1)*(OFFSET($A$3,0,31*($A$4)+DAY(Holidays!$E$2),1,Holidays!$G$2))))</f>
        <v>18.5</v>
      </c>
      <c r="NM16" s="60">
        <f t="array" aca="1" ref="NM16" ca="1">SUMPRODUCT((OFFSET($A16,0,31*($A$4)+DAY(VLOOKUP(NM$5,Sprints[],2,FALSE)),1,VLOOKUP(NM$5,Sprints[],4,FALSE))&lt;&gt;"")*(IF(OFFSET($A16,0,31*($A$4)+DAY(VLOOKUP(NM$5,Sprints[],2,FALSE)),1,VLOOKUP(NM$5,Sprints[],4,FALSE))=$OA$12,0.5,1)*(OFFSET($A$3,0,31*($A$4)+DAY(VLOOKUP(NM$5,Sprints[],2,FALSE)),1,VLOOKUP(NM$5,Sprints[],4,FALSE)))))</f>
        <v>5</v>
      </c>
      <c r="NN16" s="60">
        <f t="array" aca="1" ref="NN16" ca="1">SUMPRODUCT((OFFSET($A16,0,31*($A$4)+DAY(VLOOKUP(NN$5,Sprints[],2,FALSE)),1,VLOOKUP(NN$5,Sprints[],4,FALSE))&lt;&gt;"")*(IF(OFFSET($A16,0,31*($A$4)+DAY(VLOOKUP(NN$5,Sprints[],2,FALSE)),1,VLOOKUP(NN$5,Sprints[],4,FALSE))=$OA$12,0.5,1)*(OFFSET($A$3,0,31*($A$4)+DAY(VLOOKUP(NN$5,Sprints[],2,FALSE)),1,VLOOKUP(NN$5,Sprints[],4,FALSE)))))</f>
        <v>3</v>
      </c>
      <c r="NO16" s="60">
        <f t="array" aca="1" ref="NO16" ca="1">SUMPRODUCT((OFFSET($A16,0,31*($A$4)+DAY(VLOOKUP(NO$5,Sprints[],2,FALSE)),1,VLOOKUP(NO$5,Sprints[],4,FALSE))&lt;&gt;"")*(IF(OFFSET($A16,0,31*($A$4)+DAY(VLOOKUP(NO$5,Sprints[],2,FALSE)),1,VLOOKUP(NO$5,Sprints[],4,FALSE))=$OA$12,0.5,1)*(OFFSET($A$3,0,31*($A$4)+DAY(VLOOKUP(NO$5,Sprints[],2,FALSE)),1,VLOOKUP(NO$5,Sprints[],4,FALSE)))))</f>
        <v>5</v>
      </c>
      <c r="NP16" s="60">
        <f t="array" aca="1" ref="NP16" ca="1">SUMPRODUCT((OFFSET($A16,0,31*(VLOOKUP(NP$5,Sprints[],5,FALSE))+DAY(VLOOKUP(NP$5,Sprints[],2,FALSE)),1,VLOOKUP(NP$5,Sprints[],4,FALSE))&lt;&gt;"")*(IF(OFFSET($A16,0,31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16" s="60">
        <f t="array" aca="1" ref="NQ16" ca="1">SUMPRODUCT((OFFSET($A16,0,31*(VLOOKUP(NQ$5,Sprints[],5,FALSE))+DAY(VLOOKUP(NQ$5,Sprints[],2,FALSE)),1,VLOOKUP(NQ$5,Sprints[],4,FALSE))&lt;&gt;"")*(IF(OFFSET($A16,0,31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16" s="60">
        <f t="array" aca="1" ref="NR16" ca="1">SUMPRODUCT((OFFSET($A16,0,31*(VLOOKUP(NR$5,Sprints[],5,FALSE))+DAY(VLOOKUP(NR$5,Sprints[],2,FALSE)),1,VLOOKUP(NR$5,Sprints[],4,FALSE))&lt;&gt;"")*(IF(OFFSET($A16,0,31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16" s="60">
        <f t="array" aca="1" ref="NS16" ca="1">SUMPRODUCT((OFFSET($A16,0,31*(VLOOKUP(NS$5,Sprints[],5,FALSE))+DAY(VLOOKUP(NS$5,Sprints[],2,FALSE)),1,VLOOKUP(NS$5,Sprints[],4,FALSE))&lt;&gt;"")*(IF(OFFSET($A16,0,31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16" s="60">
        <f t="array" aca="1" ref="NT16" ca="1">SUMPRODUCT((OFFSET($A16,0,31*(VLOOKUP(NT$5,Sprints[],5,FALSE))+DAY(VLOOKUP(NT$5,Sprints[],2,FALSE)),1,VLOOKUP(NT$5,Sprints[],4,FALSE))&lt;&gt;"")*(IF(OFFSET($A16,0,31*(VLOOKUP(NT$5,Sprints[],5,FALSE))+DAY(VLOOKUP(NT$5,Sprints[],2,FALSE)),1,VLOOKUP(NT$5,Sprints[],4,FALSE))=$OA$12,0.5,1)*(OFFSET($A$3,0,31*(VLOOKUP(NT$5,Sprints[],5,FALSE))+DAY(VLOOKUP(NT$5,Sprints[],2,FALSE)),1,VLOOKUP(NT$5,Sprints[],4,FALSE)))))</f>
        <v>2</v>
      </c>
      <c r="NU16" s="60">
        <f t="array" aca="1" ref="NU16" ca="1">SUMPRODUCT((OFFSET($A16,0,31*(VLOOKUP(NU$5,Sprints[],5,FALSE))+DAY(VLOOKUP(NU$5,Sprints[],2,FALSE)),1,VLOOKUP(NU$5,Sprints[],4,FALSE))&lt;&gt;"")*(IF(OFFSET($A16,0,31*(VLOOKUP(NU$5,Sprints[],5,FALSE))+DAY(VLOOKUP(NU$5,Sprints[],2,FALSE)),1,VLOOKUP(NU$5,Sprints[],4,FALSE))=$OA$12,0.5,1)*(OFFSET($A$3,0,31*(VLOOKUP(NU$5,Sprints[],5,FALSE))+DAY(VLOOKUP(NU$5,Sprints[],2,FALSE)),1,VLOOKUP(NU$5,Sprints[],4,FALSE)))))</f>
        <v>4</v>
      </c>
      <c r="NV16" s="60">
        <f t="array" aca="1" ref="NV16" ca="1">SUMPRODUCT((OFFSET($A16,0,31*(VLOOKUP(NV$5,Sprints[],5,FALSE))+DAY(VLOOKUP(NV$5,Sprints[],2,FALSE)),1,VLOOKUP(NV$5,Sprints[],4,FALSE))&lt;&gt;"")*(IF(OFFSET($A16,0,31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16" s="60">
        <f t="array" aca="1" ref="NW16" ca="1">SUMPRODUCT((OFFSET($A16,0,31*(VLOOKUP(NW$5,Sprints[],5,FALSE))+DAY(VLOOKUP(NW$5,Sprints[],2,FALSE)),1,VLOOKUP(NW$5,Sprints[],4,FALSE))&lt;&gt;"")*(IF(OFFSET($A16,0,31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16" s="60">
        <f t="array" aca="1" ref="NX16" ca="1">SUMPRODUCT((OFFSET($A16,0,31*(VLOOKUP(NX$5,Sprints[],5,FALSE))+DAY(VLOOKUP(NX$5,Sprints[],2,FALSE)),1,VLOOKUP(NX$5,Sprints[],4,FALSE))&lt;&gt;"")*(IF(OFFSET($A16,0,31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  <c r="NZ16" s="16" t="s">
        <v>11</v>
      </c>
      <c r="OA16" s="16" t="s">
        <v>25</v>
      </c>
    </row>
    <row r="17" spans="1:391" x14ac:dyDescent="0.45">
      <c r="A17" s="1" t="s">
        <v>69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 t="s">
        <v>33</v>
      </c>
      <c r="AX17" s="2" t="s">
        <v>31</v>
      </c>
      <c r="AY17" s="2"/>
      <c r="AZ17" s="2"/>
      <c r="BA17" s="2" t="s">
        <v>35</v>
      </c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 t="s">
        <v>33</v>
      </c>
      <c r="BR17" s="2" t="s">
        <v>33</v>
      </c>
      <c r="BS17" s="2" t="s">
        <v>33</v>
      </c>
      <c r="BT17" s="2"/>
      <c r="BU17" s="2"/>
      <c r="BV17" s="2" t="s">
        <v>33</v>
      </c>
      <c r="BW17" s="2" t="s">
        <v>33</v>
      </c>
      <c r="BX17" s="2" t="s">
        <v>33</v>
      </c>
      <c r="BY17" s="2" t="s">
        <v>33</v>
      </c>
      <c r="BZ17" s="2" t="s">
        <v>33</v>
      </c>
      <c r="CA17" s="2"/>
      <c r="CB17" s="2"/>
      <c r="CC17" s="2" t="s">
        <v>33</v>
      </c>
      <c r="CD17" s="2" t="s">
        <v>33</v>
      </c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 t="s">
        <v>35</v>
      </c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 t="s">
        <v>50</v>
      </c>
      <c r="DU17" s="2" t="s">
        <v>50</v>
      </c>
      <c r="DV17" s="2"/>
      <c r="DW17" s="2"/>
      <c r="DX17" s="2"/>
      <c r="DY17" s="2"/>
      <c r="DZ17" s="2"/>
      <c r="EA17" s="2" t="s">
        <v>35</v>
      </c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 t="s">
        <v>35</v>
      </c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 t="s">
        <v>35</v>
      </c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 t="s">
        <v>35</v>
      </c>
      <c r="JO17" s="2" t="s">
        <v>35</v>
      </c>
      <c r="JP17" s="2"/>
      <c r="JQ17" s="2"/>
      <c r="JR17" s="2"/>
      <c r="JS17" s="2"/>
      <c r="JT17" s="2"/>
      <c r="JU17" s="2" t="s">
        <v>35</v>
      </c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 t="s">
        <v>35</v>
      </c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14">
        <f t="array" aca="1" ref="NJ17" ca="1">SUMPRODUCT((OFFSET($A17,0,31*($A$3-1)+1,1,31)&lt;&gt;"")*(IF(OFFSET($A17,0,31*($A$3-1)+1,1,31)=$OA$12,0.5,1)*(OFFSET($A$4,0,31*($A$3-1)+1,1,31))))</f>
        <v>0</v>
      </c>
      <c r="NK17" s="20">
        <f t="array" aca="1" ref="NK17" ca="1">SUMPRODUCT((OFFSET($A17,0,1,1,372)&lt;&gt;"")*(IF(OFFSET($A17,0,1,1,372)=$OA$12,0.5,1)*(OFFSET($A$3,0,1,1,372))))</f>
        <v>22.5</v>
      </c>
      <c r="NL17" s="28">
        <f t="array" aca="1" ref="NL17" ca="1">SUMPRODUCT((OFFSET($A17,0,31*($A$4)+DAY(Holidays!$E$2),1,Holidays!$G$2)&lt;&gt;"")*(IF(OFFSET($A17,0,31*($A$4)+DAY(Holidays!$E$2),1,Holidays!$G$2)=$OA$12,0.5,1)*(OFFSET($A$3,0,31*($A$4)+DAY(Holidays!$E$2),1,Holidays!$G$2))))</f>
        <v>17.5</v>
      </c>
      <c r="NM17" s="60">
        <f t="array" aca="1" ref="NM17" ca="1">SUMPRODUCT((OFFSET($A17,0,31*($A$4)+DAY(VLOOKUP(NM$5,Sprints[],2,FALSE)),1,VLOOKUP(NM$5,Sprints[],4,FALSE))&lt;&gt;"")*(IF(OFFSET($A17,0,31*($A$4)+DAY(VLOOKUP(NM$5,Sprints[],2,FALSE)),1,VLOOKUP(NM$5,Sprints[],4,FALSE))=$OA$12,0.5,1)*(OFFSET($A$3,0,31*($A$4)+DAY(VLOOKUP(NM$5,Sprints[],2,FALSE)),1,VLOOKUP(NM$5,Sprints[],4,FALSE)))))</f>
        <v>0</v>
      </c>
      <c r="NN17" s="60">
        <f t="array" aca="1" ref="NN17" ca="1">SUMPRODUCT((OFFSET($A17,0,31*($A$4)+DAY(VLOOKUP(NN$5,Sprints[],2,FALSE)),1,VLOOKUP(NN$5,Sprints[],4,FALSE))&lt;&gt;"")*(IF(OFFSET($A17,0,31*($A$4)+DAY(VLOOKUP(NN$5,Sprints[],2,FALSE)),1,VLOOKUP(NN$5,Sprints[],4,FALSE))=$OA$12,0.5,1)*(OFFSET($A$3,0,31*($A$4)+DAY(VLOOKUP(NN$5,Sprints[],2,FALSE)),1,VLOOKUP(NN$5,Sprints[],4,FALSE)))))</f>
        <v>0</v>
      </c>
      <c r="NO17" s="60">
        <f t="array" aca="1" ref="NO17" ca="1">SUMPRODUCT((OFFSET($A17,0,31*($A$4)+DAY(VLOOKUP(NO$5,Sprints[],2,FALSE)),1,VLOOKUP(NO$5,Sprints[],4,FALSE))&lt;&gt;"")*(IF(OFFSET($A17,0,31*($A$4)+DAY(VLOOKUP(NO$5,Sprints[],2,FALSE)),1,VLOOKUP(NO$5,Sprints[],4,FALSE))=$OA$12,0.5,1)*(OFFSET($A$3,0,31*($A$4)+DAY(VLOOKUP(NO$5,Sprints[],2,FALSE)),1,VLOOKUP(NO$5,Sprints[],4,FALSE)))))</f>
        <v>0</v>
      </c>
      <c r="NP17" s="60">
        <f t="array" aca="1" ref="NP17" ca="1">SUMPRODUCT((OFFSET($A17,0,31*(VLOOKUP(NP$5,Sprints[],5,FALSE))+DAY(VLOOKUP(NP$5,Sprints[],2,FALSE)),1,VLOOKUP(NP$5,Sprints[],4,FALSE))&lt;&gt;"")*(IF(OFFSET($A17,0,31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17" s="60">
        <f t="array" aca="1" ref="NQ17" ca="1">SUMPRODUCT((OFFSET($A17,0,31*(VLOOKUP(NQ$5,Sprints[],5,FALSE))+DAY(VLOOKUP(NQ$5,Sprints[],2,FALSE)),1,VLOOKUP(NQ$5,Sprints[],4,FALSE))&lt;&gt;"")*(IF(OFFSET($A17,0,31*(VLOOKUP(NQ$5,Sprints[],5,FALSE))+DAY(VLOOKUP(NQ$5,Sprints[],2,FALSE)),1,VLOOKUP(NQ$5,Sprints[],4,FALSE))=$OA$12,0.5,1)*(OFFSET($A$3,0,31*(VLOOKUP(NQ$5,Sprints[],5,FALSE))+DAY(VLOOKUP(NQ$5,Sprints[],2,FALSE)),1,VLOOKUP(NQ$5,Sprints[],4,FALSE)))))</f>
        <v>5</v>
      </c>
      <c r="NR17" s="60">
        <f t="array" aca="1" ref="NR17" ca="1">SUMPRODUCT((OFFSET($A17,0,31*(VLOOKUP(NR$5,Sprints[],5,FALSE))+DAY(VLOOKUP(NR$5,Sprints[],2,FALSE)),1,VLOOKUP(NR$5,Sprints[],4,FALSE))&lt;&gt;"")*(IF(OFFSET($A17,0,31*(VLOOKUP(NR$5,Sprints[],5,FALSE))+DAY(VLOOKUP(NR$5,Sprints[],2,FALSE)),1,VLOOKUP(NR$5,Sprints[],4,FALSE))=$OA$12,0.5,1)*(OFFSET($A$3,0,31*(VLOOKUP(NR$5,Sprints[],5,FALSE))+DAY(VLOOKUP(NR$5,Sprints[],2,FALSE)),1,VLOOKUP(NR$5,Sprints[],4,FALSE)))))</f>
        <v>5</v>
      </c>
      <c r="NS17" s="60">
        <f t="array" aca="1" ref="NS17" ca="1">SUMPRODUCT((OFFSET($A17,0,31*(VLOOKUP(NS$5,Sprints[],5,FALSE))+DAY(VLOOKUP(NS$5,Sprints[],2,FALSE)),1,VLOOKUP(NS$5,Sprints[],4,FALSE))&lt;&gt;"")*(IF(OFFSET($A17,0,31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17" s="60">
        <f t="array" aca="1" ref="NT17" ca="1">SUMPRODUCT((OFFSET($A17,0,31*(VLOOKUP(NT$5,Sprints[],5,FALSE))+DAY(VLOOKUP(NT$5,Sprints[],2,FALSE)),1,VLOOKUP(NT$5,Sprints[],4,FALSE))&lt;&gt;"")*(IF(OFFSET($A17,0,31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17" s="60">
        <f t="array" aca="1" ref="NU17" ca="1">SUMPRODUCT((OFFSET($A17,0,31*(VLOOKUP(NU$5,Sprints[],5,FALSE))+DAY(VLOOKUP(NU$5,Sprints[],2,FALSE)),1,VLOOKUP(NU$5,Sprints[],4,FALSE))&lt;&gt;"")*(IF(OFFSET($A17,0,31*(VLOOKUP(NU$5,Sprints[],5,FALSE))+DAY(VLOOKUP(NU$5,Sprints[],2,FALSE)),1,VLOOKUP(NU$5,Sprints[],4,FALSE))=$OA$12,0.5,1)*(OFFSET($A$3,0,31*(VLOOKUP(NU$5,Sprints[],5,FALSE))+DAY(VLOOKUP(NU$5,Sprints[],2,FALSE)),1,VLOOKUP(NU$5,Sprints[],4,FALSE)))))</f>
        <v>3</v>
      </c>
      <c r="NV17" s="60">
        <f t="array" aca="1" ref="NV17" ca="1">SUMPRODUCT((OFFSET($A17,0,31*(VLOOKUP(NV$5,Sprints[],5,FALSE))+DAY(VLOOKUP(NV$5,Sprints[],2,FALSE)),1,VLOOKUP(NV$5,Sprints[],4,FALSE))&lt;&gt;"")*(IF(OFFSET($A17,0,31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17" s="60">
        <f t="array" aca="1" ref="NW17" ca="1">SUMPRODUCT((OFFSET($A17,0,31*(VLOOKUP(NW$5,Sprints[],5,FALSE))+DAY(VLOOKUP(NW$5,Sprints[],2,FALSE)),1,VLOOKUP(NW$5,Sprints[],4,FALSE))&lt;&gt;"")*(IF(OFFSET($A17,0,31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17" s="60">
        <f t="array" aca="1" ref="NX17" ca="1">SUMPRODUCT((OFFSET($A17,0,31*(VLOOKUP(NX$5,Sprints[],5,FALSE))+DAY(VLOOKUP(NX$5,Sprints[],2,FALSE)),1,VLOOKUP(NX$5,Sprints[],4,FALSE))&lt;&gt;"")*(IF(OFFSET($A17,0,31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  <c r="NZ17" s="16" t="s">
        <v>12</v>
      </c>
      <c r="OA17" s="16" t="s">
        <v>25</v>
      </c>
    </row>
    <row r="18" spans="1:391" x14ac:dyDescent="0.45">
      <c r="A18" s="1" t="s">
        <v>70</v>
      </c>
      <c r="B18" s="2"/>
      <c r="C18" s="2" t="s">
        <v>33</v>
      </c>
      <c r="D18" s="2" t="s">
        <v>33</v>
      </c>
      <c r="E18" s="2" t="s">
        <v>33</v>
      </c>
      <c r="F18" s="2" t="s">
        <v>33</v>
      </c>
      <c r="G18" s="2" t="s">
        <v>33</v>
      </c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 t="s">
        <v>33</v>
      </c>
      <c r="AX18" s="2" t="s">
        <v>31</v>
      </c>
      <c r="AY18" s="2"/>
      <c r="AZ18" s="2"/>
      <c r="BA18" s="2" t="s">
        <v>35</v>
      </c>
      <c r="BB18" s="2"/>
      <c r="BC18" s="2"/>
      <c r="BD18" s="2"/>
      <c r="BE18" s="2"/>
      <c r="BF18" s="2"/>
      <c r="BG18" s="2"/>
      <c r="BH18" s="2" t="s">
        <v>50</v>
      </c>
      <c r="BI18" s="2" t="s">
        <v>50</v>
      </c>
      <c r="BJ18" s="2" t="s">
        <v>50</v>
      </c>
      <c r="BK18" s="2" t="s">
        <v>50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 t="s">
        <v>50</v>
      </c>
      <c r="CL18" s="2" t="s">
        <v>50</v>
      </c>
      <c r="CM18" s="2" t="s">
        <v>50</v>
      </c>
      <c r="CN18" s="2" t="s">
        <v>50</v>
      </c>
      <c r="CO18" s="2"/>
      <c r="CP18" s="2"/>
      <c r="CQ18" s="2"/>
      <c r="CR18" s="2" t="s">
        <v>35</v>
      </c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 t="s">
        <v>35</v>
      </c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 t="s">
        <v>35</v>
      </c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 t="s">
        <v>35</v>
      </c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 t="s">
        <v>35</v>
      </c>
      <c r="JO18" s="2" t="s">
        <v>35</v>
      </c>
      <c r="JP18" s="2"/>
      <c r="JQ18" s="2"/>
      <c r="JR18" s="2"/>
      <c r="JS18" s="2"/>
      <c r="JT18" s="2"/>
      <c r="JU18" s="2" t="s">
        <v>35</v>
      </c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 t="s">
        <v>35</v>
      </c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14">
        <f t="array" aca="1" ref="NJ18" ca="1">SUMPRODUCT((OFFSET($A18,0,31*($A$3-1)+1,1,31)&lt;&gt;"")*(IF(OFFSET($A18,0,31*($A$3-1)+1,1,31)=$OA$12,0.5,1)*(OFFSET($A$4,0,31*($A$3-1)+1,1,31))))</f>
        <v>5</v>
      </c>
      <c r="NK18" s="20">
        <f t="array" aca="1" ref="NK18" ca="1">SUMPRODUCT((OFFSET($A18,0,1,1,372)&lt;&gt;"")*(IF(OFFSET($A18,0,1,1,372)=$OA$12,0.5,1)*(OFFSET($A$3,0,1,1,372))))</f>
        <v>23.5</v>
      </c>
      <c r="NL18" s="28">
        <f t="array" aca="1" ref="NL18" ca="1">SUMPRODUCT((OFFSET($A18,0,31*($A$4)+DAY(Holidays!$E$2),1,Holidays!$G$2)&lt;&gt;"")*(IF(OFFSET($A18,0,31*($A$4)+DAY(Holidays!$E$2),1,Holidays!$G$2)=$OA$12,0.5,1)*(OFFSET($A$3,0,31*($A$4)+DAY(Holidays!$E$2),1,Holidays!$G$2))))</f>
        <v>13.5</v>
      </c>
      <c r="NM18" s="60">
        <f t="array" aca="1" ref="NM18" ca="1">SUMPRODUCT((OFFSET($A18,0,31*($A$4)+DAY(VLOOKUP(NM$5,Sprints[],2,FALSE)),1,VLOOKUP(NM$5,Sprints[],4,FALSE))&lt;&gt;"")*(IF(OFFSET($A18,0,31*($A$4)+DAY(VLOOKUP(NM$5,Sprints[],2,FALSE)),1,VLOOKUP(NM$5,Sprints[],4,FALSE))=$OA$12,0.5,1)*(OFFSET($A$3,0,31*($A$4)+DAY(VLOOKUP(NM$5,Sprints[],2,FALSE)),1,VLOOKUP(NM$5,Sprints[],4,FALSE)))))</f>
        <v>0</v>
      </c>
      <c r="NN18" s="60">
        <f t="array" aca="1" ref="NN18" ca="1">SUMPRODUCT((OFFSET($A18,0,31*($A$4)+DAY(VLOOKUP(NN$5,Sprints[],2,FALSE)),1,VLOOKUP(NN$5,Sprints[],4,FALSE))&lt;&gt;"")*(IF(OFFSET($A18,0,31*($A$4)+DAY(VLOOKUP(NN$5,Sprints[],2,FALSE)),1,VLOOKUP(NN$5,Sprints[],4,FALSE))=$OA$12,0.5,1)*(OFFSET($A$3,0,31*($A$4)+DAY(VLOOKUP(NN$5,Sprints[],2,FALSE)),1,VLOOKUP(NN$5,Sprints[],4,FALSE)))))</f>
        <v>0</v>
      </c>
      <c r="NO18" s="60">
        <f t="array" aca="1" ref="NO18" ca="1">SUMPRODUCT((OFFSET($A18,0,31*($A$4)+DAY(VLOOKUP(NO$5,Sprints[],2,FALSE)),1,VLOOKUP(NO$5,Sprints[],4,FALSE))&lt;&gt;"")*(IF(OFFSET($A18,0,31*($A$4)+DAY(VLOOKUP(NO$5,Sprints[],2,FALSE)),1,VLOOKUP(NO$5,Sprints[],4,FALSE))=$OA$12,0.5,1)*(OFFSET($A$3,0,31*($A$4)+DAY(VLOOKUP(NO$5,Sprints[],2,FALSE)),1,VLOOKUP(NO$5,Sprints[],4,FALSE)))))</f>
        <v>5</v>
      </c>
      <c r="NP18" s="60">
        <f t="array" aca="1" ref="NP18" ca="1">SUMPRODUCT((OFFSET($A18,0,31*(VLOOKUP(NP$5,Sprints[],5,FALSE))+DAY(VLOOKUP(NP$5,Sprints[],2,FALSE)),1,VLOOKUP(NP$5,Sprints[],4,FALSE))&lt;&gt;"")*(IF(OFFSET($A18,0,31*(VLOOKUP(NP$5,Sprints[],5,FALSE))+DAY(VLOOKUP(NP$5,Sprints[],2,FALSE)),1,VLOOKUP(NP$5,Sprints[],4,FALSE))=$OA$12,0.5,1)*(OFFSET($A$3,0,31*(VLOOKUP(NP$5,Sprints[],5,FALSE))+DAY(VLOOKUP(NP$5,Sprints[],2,FALSE)),1,VLOOKUP(NP$5,Sprints[],4,FALSE)))))</f>
        <v>4.5</v>
      </c>
      <c r="NQ18" s="60">
        <f t="array" aca="1" ref="NQ18" ca="1">SUMPRODUCT((OFFSET($A18,0,31*(VLOOKUP(NQ$5,Sprints[],5,FALSE))+DAY(VLOOKUP(NQ$5,Sprints[],2,FALSE)),1,VLOOKUP(NQ$5,Sprints[],4,FALSE))&lt;&gt;"")*(IF(OFFSET($A18,0,31*(VLOOKUP(NQ$5,Sprints[],5,FALSE))+DAY(VLOOKUP(NQ$5,Sprints[],2,FALSE)),1,VLOOKUP(NQ$5,Sprints[],4,FALSE))=$OA$12,0.5,1)*(OFFSET($A$3,0,31*(VLOOKUP(NQ$5,Sprints[],5,FALSE))+DAY(VLOOKUP(NQ$5,Sprints[],2,FALSE)),1,VLOOKUP(NQ$5,Sprints[],4,FALSE)))))</f>
        <v>2</v>
      </c>
      <c r="NR18" s="60">
        <f t="array" aca="1" ref="NR18" ca="1">SUMPRODUCT((OFFSET($A18,0,31*(VLOOKUP(NR$5,Sprints[],5,FALSE))+DAY(VLOOKUP(NR$5,Sprints[],2,FALSE)),1,VLOOKUP(NR$5,Sprints[],4,FALSE))&lt;&gt;"")*(IF(OFFSET($A18,0,31*(VLOOKUP(NR$5,Sprints[],5,FALSE))+DAY(VLOOKUP(NR$5,Sprints[],2,FALSE)),1,VLOOKUP(NR$5,Sprints[],4,FALSE))=$OA$12,0.5,1)*(OFFSET($A$3,0,31*(VLOOKUP(NR$5,Sprints[],5,FALSE))+DAY(VLOOKUP(NR$5,Sprints[],2,FALSE)),1,VLOOKUP(NR$5,Sprints[],4,FALSE)))))</f>
        <v>1</v>
      </c>
      <c r="NS18" s="60">
        <f t="array" aca="1" ref="NS18" ca="1">SUMPRODUCT((OFFSET($A18,0,31*(VLOOKUP(NS$5,Sprints[],5,FALSE))+DAY(VLOOKUP(NS$5,Sprints[],2,FALSE)),1,VLOOKUP(NS$5,Sprints[],4,FALSE))&lt;&gt;"")*(IF(OFFSET($A18,0,31*(VLOOKUP(NS$5,Sprints[],5,FALSE))+DAY(VLOOKUP(NS$5,Sprints[],2,FALSE)),1,VLOOKUP(NS$5,Sprints[],4,FALSE))=$OA$12,0.5,1)*(OFFSET($A$3,0,31*(VLOOKUP(NS$5,Sprints[],5,FALSE))+DAY(VLOOKUP(NS$5,Sprints[],2,FALSE)),1,VLOOKUP(NS$5,Sprints[],4,FALSE)))))</f>
        <v>4</v>
      </c>
      <c r="NT18" s="60">
        <f t="array" aca="1" ref="NT18" ca="1">SUMPRODUCT((OFFSET($A18,0,31*(VLOOKUP(NT$5,Sprints[],5,FALSE))+DAY(VLOOKUP(NT$5,Sprints[],2,FALSE)),1,VLOOKUP(NT$5,Sprints[],4,FALSE))&lt;&gt;"")*(IF(OFFSET($A18,0,31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18" s="60">
        <f t="array" aca="1" ref="NU18" ca="1">SUMPRODUCT((OFFSET($A18,0,31*(VLOOKUP(NU$5,Sprints[],5,FALSE))+DAY(VLOOKUP(NU$5,Sprints[],2,FALSE)),1,VLOOKUP(NU$5,Sprints[],4,FALSE))&lt;&gt;"")*(IF(OFFSET($A18,0,31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18" s="60">
        <f t="array" aca="1" ref="NV18" ca="1">SUMPRODUCT((OFFSET($A18,0,31*(VLOOKUP(NV$5,Sprints[],5,FALSE))+DAY(VLOOKUP(NV$5,Sprints[],2,FALSE)),1,VLOOKUP(NV$5,Sprints[],4,FALSE))&lt;&gt;"")*(IF(OFFSET($A18,0,31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18" s="60">
        <f t="array" aca="1" ref="NW18" ca="1">SUMPRODUCT((OFFSET($A18,0,31*(VLOOKUP(NW$5,Sprints[],5,FALSE))+DAY(VLOOKUP(NW$5,Sprints[],2,FALSE)),1,VLOOKUP(NW$5,Sprints[],4,FALSE))&lt;&gt;"")*(IF(OFFSET($A18,0,31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18" s="60">
        <f t="array" aca="1" ref="NX18" ca="1">SUMPRODUCT((OFFSET($A18,0,31*(VLOOKUP(NX$5,Sprints[],5,FALSE))+DAY(VLOOKUP(NX$5,Sprints[],2,FALSE)),1,VLOOKUP(NX$5,Sprints[],4,FALSE))&lt;&gt;"")*(IF(OFFSET($A18,0,31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  <c r="NZ18" s="16" t="s">
        <v>13</v>
      </c>
      <c r="OA18" s="16" t="s">
        <v>25</v>
      </c>
    </row>
    <row r="19" spans="1:391" x14ac:dyDescent="0.45">
      <c r="A19" s="1" t="s">
        <v>71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 t="s">
        <v>33</v>
      </c>
      <c r="AX19" s="2" t="s">
        <v>31</v>
      </c>
      <c r="AY19" s="2"/>
      <c r="AZ19" s="2"/>
      <c r="BA19" s="2" t="s">
        <v>35</v>
      </c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 t="s">
        <v>35</v>
      </c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 t="s">
        <v>35</v>
      </c>
      <c r="EB19" s="2"/>
      <c r="EC19" s="2"/>
      <c r="ED19" s="2"/>
      <c r="EE19" s="2"/>
      <c r="EF19" s="2"/>
      <c r="EG19" s="2"/>
      <c r="EH19" s="2" t="s">
        <v>50</v>
      </c>
      <c r="EI19" s="2" t="s">
        <v>50</v>
      </c>
      <c r="EJ19" s="2" t="s">
        <v>50</v>
      </c>
      <c r="EK19" s="2" t="s">
        <v>50</v>
      </c>
      <c r="EL19" s="2" t="s">
        <v>50</v>
      </c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 t="s">
        <v>35</v>
      </c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 t="s">
        <v>35</v>
      </c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 t="s">
        <v>35</v>
      </c>
      <c r="JO19" s="2" t="s">
        <v>35</v>
      </c>
      <c r="JP19" s="2"/>
      <c r="JQ19" s="2"/>
      <c r="JR19" s="2"/>
      <c r="JS19" s="2"/>
      <c r="JT19" s="2"/>
      <c r="JU19" s="2" t="s">
        <v>35</v>
      </c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 t="s">
        <v>35</v>
      </c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14">
        <f t="array" aca="1" ref="NJ19" ca="1">SUMPRODUCT((OFFSET($A19,0,31*($A$3-1)+1,1,31)&lt;&gt;"")*(IF(OFFSET($A19,0,31*($A$3-1)+1,1,31)=$OA$12,0.5,1)*(OFFSET($A$4,0,31*($A$3-1)+1,1,31))))</f>
        <v>0</v>
      </c>
      <c r="NK19" s="20">
        <f t="array" aca="1" ref="NK19" ca="1">SUMPRODUCT((OFFSET($A19,0,1,1,372)&lt;&gt;"")*(IF(OFFSET($A19,0,1,1,372)=$OA$12,0.5,1)*(OFFSET($A$3,0,1,1,372))))</f>
        <v>15.5</v>
      </c>
      <c r="NL19" s="28">
        <f t="array" aca="1" ref="NL19" ca="1">SUMPRODUCT((OFFSET($A19,0,31*($A$4)+DAY(Holidays!$E$2),1,Holidays!$G$2)&lt;&gt;"")*(IF(OFFSET($A19,0,31*($A$4)+DAY(Holidays!$E$2),1,Holidays!$G$2)=$OA$12,0.5,1)*(OFFSET($A$3,0,31*($A$4)+DAY(Holidays!$E$2),1,Holidays!$G$2))))</f>
        <v>10.5</v>
      </c>
      <c r="NM19" s="60">
        <f t="array" aca="1" ref="NM19" ca="1">SUMPRODUCT((OFFSET($A19,0,31*($A$4)+DAY(VLOOKUP(NM$5,Sprints[],2,FALSE)),1,VLOOKUP(NM$5,Sprints[],4,FALSE))&lt;&gt;"")*(IF(OFFSET($A19,0,31*($A$4)+DAY(VLOOKUP(NM$5,Sprints[],2,FALSE)),1,VLOOKUP(NM$5,Sprints[],4,FALSE))=$OA$12,0.5,1)*(OFFSET($A$3,0,31*($A$4)+DAY(VLOOKUP(NM$5,Sprints[],2,FALSE)),1,VLOOKUP(NM$5,Sprints[],4,FALSE)))))</f>
        <v>0</v>
      </c>
      <c r="NN19" s="60">
        <f t="array" aca="1" ref="NN19" ca="1">SUMPRODUCT((OFFSET($A19,0,31*($A$4)+DAY(VLOOKUP(NN$5,Sprints[],2,FALSE)),1,VLOOKUP(NN$5,Sprints[],4,FALSE))&lt;&gt;"")*(IF(OFFSET($A19,0,31*($A$4)+DAY(VLOOKUP(NN$5,Sprints[],2,FALSE)),1,VLOOKUP(NN$5,Sprints[],4,FALSE))=$OA$12,0.5,1)*(OFFSET($A$3,0,31*($A$4)+DAY(VLOOKUP(NN$5,Sprints[],2,FALSE)),1,VLOOKUP(NN$5,Sprints[],4,FALSE)))))</f>
        <v>0</v>
      </c>
      <c r="NO19" s="60">
        <f t="array" aca="1" ref="NO19" ca="1">SUMPRODUCT((OFFSET($A19,0,31*($A$4)+DAY(VLOOKUP(NO$5,Sprints[],2,FALSE)),1,VLOOKUP(NO$5,Sprints[],4,FALSE))&lt;&gt;"")*(IF(OFFSET($A19,0,31*($A$4)+DAY(VLOOKUP(NO$5,Sprints[],2,FALSE)),1,VLOOKUP(NO$5,Sprints[],4,FALSE))=$OA$12,0.5,1)*(OFFSET($A$3,0,31*($A$4)+DAY(VLOOKUP(NO$5,Sprints[],2,FALSE)),1,VLOOKUP(NO$5,Sprints[],4,FALSE)))))</f>
        <v>0</v>
      </c>
      <c r="NP19" s="60">
        <f t="array" aca="1" ref="NP19" ca="1">SUMPRODUCT((OFFSET($A19,0,31*(VLOOKUP(NP$5,Sprints[],5,FALSE))+DAY(VLOOKUP(NP$5,Sprints[],2,FALSE)),1,VLOOKUP(NP$5,Sprints[],4,FALSE))&lt;&gt;"")*(IF(OFFSET($A19,0,31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19" s="60">
        <f t="array" aca="1" ref="NQ19" ca="1">SUMPRODUCT((OFFSET($A19,0,31*(VLOOKUP(NQ$5,Sprints[],5,FALSE))+DAY(VLOOKUP(NQ$5,Sprints[],2,FALSE)),1,VLOOKUP(NQ$5,Sprints[],4,FALSE))&lt;&gt;"")*(IF(OFFSET($A19,0,31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19" s="60">
        <f t="array" aca="1" ref="NR19" ca="1">SUMPRODUCT((OFFSET($A19,0,31*(VLOOKUP(NR$5,Sprints[],5,FALSE))+DAY(VLOOKUP(NR$5,Sprints[],2,FALSE)),1,VLOOKUP(NR$5,Sprints[],4,FALSE))&lt;&gt;"")*(IF(OFFSET($A19,0,31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19" s="60">
        <f t="array" aca="1" ref="NS19" ca="1">SUMPRODUCT((OFFSET($A19,0,31*(VLOOKUP(NS$5,Sprints[],5,FALSE))+DAY(VLOOKUP(NS$5,Sprints[],2,FALSE)),1,VLOOKUP(NS$5,Sprints[],4,FALSE))&lt;&gt;"")*(IF(OFFSET($A19,0,31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19" s="60">
        <f t="array" aca="1" ref="NT19" ca="1">SUMPRODUCT((OFFSET($A19,0,31*(VLOOKUP(NT$5,Sprints[],5,FALSE))+DAY(VLOOKUP(NT$5,Sprints[],2,FALSE)),1,VLOOKUP(NT$5,Sprints[],4,FALSE))&lt;&gt;"")*(IF(OFFSET($A19,0,31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19" s="60">
        <f t="array" aca="1" ref="NU19" ca="1">SUMPRODUCT((OFFSET($A19,0,31*(VLOOKUP(NU$5,Sprints[],5,FALSE))+DAY(VLOOKUP(NU$5,Sprints[],2,FALSE)),1,VLOOKUP(NU$5,Sprints[],4,FALSE))&lt;&gt;"")*(IF(OFFSET($A19,0,31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19" s="60">
        <f t="array" aca="1" ref="NV19" ca="1">SUMPRODUCT((OFFSET($A19,0,31*(VLOOKUP(NV$5,Sprints[],5,FALSE))+DAY(VLOOKUP(NV$5,Sprints[],2,FALSE)),1,VLOOKUP(NV$5,Sprints[],4,FALSE))&lt;&gt;"")*(IF(OFFSET($A19,0,31*(VLOOKUP(NV$5,Sprints[],5,FALSE))+DAY(VLOOKUP(NV$5,Sprints[],2,FALSE)),1,VLOOKUP(NV$5,Sprints[],4,FALSE))=$OA$12,0.5,1)*(OFFSET($A$3,0,31*(VLOOKUP(NV$5,Sprints[],5,FALSE))+DAY(VLOOKUP(NV$5,Sprints[],2,FALSE)),1,VLOOKUP(NV$5,Sprints[],4,FALSE)))))</f>
        <v>5</v>
      </c>
      <c r="NW19" s="60">
        <f t="array" aca="1" ref="NW19" ca="1">SUMPRODUCT((OFFSET($A19,0,31*(VLOOKUP(NW$5,Sprints[],5,FALSE))+DAY(VLOOKUP(NW$5,Sprints[],2,FALSE)),1,VLOOKUP(NW$5,Sprints[],4,FALSE))&lt;&gt;"")*(IF(OFFSET($A19,0,31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19" s="60">
        <f t="array" aca="1" ref="NX19" ca="1">SUMPRODUCT((OFFSET($A19,0,31*(VLOOKUP(NX$5,Sprints[],5,FALSE))+DAY(VLOOKUP(NX$5,Sprints[],2,FALSE)),1,VLOOKUP(NX$5,Sprints[],4,FALSE))&lt;&gt;"")*(IF(OFFSET($A19,0,31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  <c r="NZ19" s="16" t="s">
        <v>14</v>
      </c>
      <c r="OA19" s="16" t="s">
        <v>25</v>
      </c>
    </row>
    <row r="20" spans="1:391" x14ac:dyDescent="0.45">
      <c r="A20" s="1" t="s">
        <v>72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 t="s">
        <v>33</v>
      </c>
      <c r="AX20" s="2" t="s">
        <v>31</v>
      </c>
      <c r="AY20" s="2"/>
      <c r="AZ20" s="2"/>
      <c r="BA20" s="2" t="s">
        <v>35</v>
      </c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 t="s">
        <v>50</v>
      </c>
      <c r="BP20" s="2" t="s">
        <v>50</v>
      </c>
      <c r="BQ20" s="2" t="s">
        <v>50</v>
      </c>
      <c r="BR20" s="2" t="s">
        <v>50</v>
      </c>
      <c r="BS20" s="2" t="s">
        <v>50</v>
      </c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 t="s">
        <v>35</v>
      </c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 t="s">
        <v>35</v>
      </c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 t="s">
        <v>35</v>
      </c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 t="s">
        <v>35</v>
      </c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 t="s">
        <v>35</v>
      </c>
      <c r="JO20" s="2" t="s">
        <v>35</v>
      </c>
      <c r="JP20" s="2"/>
      <c r="JQ20" s="2"/>
      <c r="JR20" s="2"/>
      <c r="JS20" s="2"/>
      <c r="JT20" s="2"/>
      <c r="JU20" s="2" t="s">
        <v>35</v>
      </c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 t="s">
        <v>35</v>
      </c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14">
        <f t="array" aca="1" ref="NJ20" ca="1">SUMPRODUCT((OFFSET($A20,0,31*($A$3-1)+1,1,31)&lt;&gt;"")*(IF(OFFSET($A20,0,31*($A$3-1)+1,1,31)=$OA$12,0.5,1)*(OFFSET($A$4,0,31*($A$3-1)+1,1,31))))</f>
        <v>0</v>
      </c>
      <c r="NK20" s="20">
        <f t="array" aca="1" ref="NK20" ca="1">SUMPRODUCT((OFFSET($A20,0,1,1,372)&lt;&gt;"")*(IF(OFFSET($A20,0,1,1,372)=$OA$12,0.5,1)*(OFFSET($A$3,0,1,1,372))))</f>
        <v>15.5</v>
      </c>
      <c r="NL20" s="28">
        <f t="array" aca="1" ref="NL20" ca="1">SUMPRODUCT((OFFSET($A20,0,31*($A$4)+DAY(Holidays!$E$2),1,Holidays!$G$2)&lt;&gt;"")*(IF(OFFSET($A20,0,31*($A$4)+DAY(Holidays!$E$2),1,Holidays!$G$2)=$OA$12,0.5,1)*(OFFSET($A$3,0,31*($A$4)+DAY(Holidays!$E$2),1,Holidays!$G$2))))</f>
        <v>10.5</v>
      </c>
      <c r="NM20" s="60">
        <f t="array" aca="1" ref="NM20" ca="1">SUMPRODUCT((OFFSET($A20,0,31*($A$4)+DAY(VLOOKUP(NM$5,Sprints[],2,FALSE)),1,VLOOKUP(NM$5,Sprints[],4,FALSE))&lt;&gt;"")*(IF(OFFSET($A20,0,31*($A$4)+DAY(VLOOKUP(NM$5,Sprints[],2,FALSE)),1,VLOOKUP(NM$5,Sprints[],4,FALSE))=$OA$12,0.5,1)*(OFFSET($A$3,0,31*($A$4)+DAY(VLOOKUP(NM$5,Sprints[],2,FALSE)),1,VLOOKUP(NM$5,Sprints[],4,FALSE)))))</f>
        <v>0</v>
      </c>
      <c r="NN20" s="60">
        <f t="array" aca="1" ref="NN20" ca="1">SUMPRODUCT((OFFSET($A20,0,31*($A$4)+DAY(VLOOKUP(NN$5,Sprints[],2,FALSE)),1,VLOOKUP(NN$5,Sprints[],4,FALSE))&lt;&gt;"")*(IF(OFFSET($A20,0,31*($A$4)+DAY(VLOOKUP(NN$5,Sprints[],2,FALSE)),1,VLOOKUP(NN$5,Sprints[],4,FALSE))=$OA$12,0.5,1)*(OFFSET($A$3,0,31*($A$4)+DAY(VLOOKUP(NN$5,Sprints[],2,FALSE)),1,VLOOKUP(NN$5,Sprints[],4,FALSE)))))</f>
        <v>0</v>
      </c>
      <c r="NO20" s="60">
        <f t="array" aca="1" ref="NO20" ca="1">SUMPRODUCT((OFFSET($A20,0,31*($A$4)+DAY(VLOOKUP(NO$5,Sprints[],2,FALSE)),1,VLOOKUP(NO$5,Sprints[],4,FALSE))&lt;&gt;"")*(IF(OFFSET($A20,0,31*($A$4)+DAY(VLOOKUP(NO$5,Sprints[],2,FALSE)),1,VLOOKUP(NO$5,Sprints[],4,FALSE))=$OA$12,0.5,1)*(OFFSET($A$3,0,31*($A$4)+DAY(VLOOKUP(NO$5,Sprints[],2,FALSE)),1,VLOOKUP(NO$5,Sprints[],4,FALSE)))))</f>
        <v>0</v>
      </c>
      <c r="NP20" s="60">
        <f t="array" aca="1" ref="NP20" ca="1">SUMPRODUCT((OFFSET($A20,0,31*(VLOOKUP(NP$5,Sprints[],5,FALSE))+DAY(VLOOKUP(NP$5,Sprints[],2,FALSE)),1,VLOOKUP(NP$5,Sprints[],4,FALSE))&lt;&gt;"")*(IF(OFFSET($A20,0,31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20" s="60">
        <f t="array" aca="1" ref="NQ20" ca="1">SUMPRODUCT((OFFSET($A20,0,31*(VLOOKUP(NQ$5,Sprints[],5,FALSE))+DAY(VLOOKUP(NQ$5,Sprints[],2,FALSE)),1,VLOOKUP(NQ$5,Sprints[],4,FALSE))&lt;&gt;"")*(IF(OFFSET($A20,0,31*(VLOOKUP(NQ$5,Sprints[],5,FALSE))+DAY(VLOOKUP(NQ$5,Sprints[],2,FALSE)),1,VLOOKUP(NQ$5,Sprints[],4,FALSE))=$OA$12,0.5,1)*(OFFSET($A$3,0,31*(VLOOKUP(NQ$5,Sprints[],5,FALSE))+DAY(VLOOKUP(NQ$5,Sprints[],2,FALSE)),1,VLOOKUP(NQ$5,Sprints[],4,FALSE)))))</f>
        <v>5</v>
      </c>
      <c r="NR20" s="60">
        <f t="array" aca="1" ref="NR20" ca="1">SUMPRODUCT((OFFSET($A20,0,31*(VLOOKUP(NR$5,Sprints[],5,FALSE))+DAY(VLOOKUP(NR$5,Sprints[],2,FALSE)),1,VLOOKUP(NR$5,Sprints[],4,FALSE))&lt;&gt;"")*(IF(OFFSET($A20,0,31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20" s="60">
        <f t="array" aca="1" ref="NS20" ca="1">SUMPRODUCT((OFFSET($A20,0,31*(VLOOKUP(NS$5,Sprints[],5,FALSE))+DAY(VLOOKUP(NS$5,Sprints[],2,FALSE)),1,VLOOKUP(NS$5,Sprints[],4,FALSE))&lt;&gt;"")*(IF(OFFSET($A20,0,31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20" s="60">
        <f t="array" aca="1" ref="NT20" ca="1">SUMPRODUCT((OFFSET($A20,0,31*(VLOOKUP(NT$5,Sprints[],5,FALSE))+DAY(VLOOKUP(NT$5,Sprints[],2,FALSE)),1,VLOOKUP(NT$5,Sprints[],4,FALSE))&lt;&gt;"")*(IF(OFFSET($A20,0,31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20" s="60">
        <f t="array" aca="1" ref="NU20" ca="1">SUMPRODUCT((OFFSET($A20,0,31*(VLOOKUP(NU$5,Sprints[],5,FALSE))+DAY(VLOOKUP(NU$5,Sprints[],2,FALSE)),1,VLOOKUP(NU$5,Sprints[],4,FALSE))&lt;&gt;"")*(IF(OFFSET($A20,0,31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20" s="60">
        <f t="array" aca="1" ref="NV20" ca="1">SUMPRODUCT((OFFSET($A20,0,31*(VLOOKUP(NV$5,Sprints[],5,FALSE))+DAY(VLOOKUP(NV$5,Sprints[],2,FALSE)),1,VLOOKUP(NV$5,Sprints[],4,FALSE))&lt;&gt;"")*(IF(OFFSET($A20,0,31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20" s="60">
        <f t="array" aca="1" ref="NW20" ca="1">SUMPRODUCT((OFFSET($A20,0,31*(VLOOKUP(NW$5,Sprints[],5,FALSE))+DAY(VLOOKUP(NW$5,Sprints[],2,FALSE)),1,VLOOKUP(NW$5,Sprints[],4,FALSE))&lt;&gt;"")*(IF(OFFSET($A20,0,31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20" s="60">
        <f t="array" aca="1" ref="NX20" ca="1">SUMPRODUCT((OFFSET($A20,0,31*(VLOOKUP(NX$5,Sprints[],5,FALSE))+DAY(VLOOKUP(NX$5,Sprints[],2,FALSE)),1,VLOOKUP(NX$5,Sprints[],4,FALSE))&lt;&gt;"")*(IF(OFFSET($A20,0,31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  <c r="NZ20" s="16" t="s">
        <v>15</v>
      </c>
      <c r="OA20" s="16" t="s">
        <v>25</v>
      </c>
    </row>
    <row r="21" spans="1:391" x14ac:dyDescent="0.45">
      <c r="A21" s="1" t="s">
        <v>73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 t="s">
        <v>31</v>
      </c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 t="s">
        <v>33</v>
      </c>
      <c r="AX21" s="2" t="s">
        <v>33</v>
      </c>
      <c r="AY21" s="2"/>
      <c r="AZ21" s="2"/>
      <c r="BA21" s="2" t="s">
        <v>35</v>
      </c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 t="s">
        <v>50</v>
      </c>
      <c r="CK21" s="2"/>
      <c r="CL21" s="2"/>
      <c r="CM21" s="2"/>
      <c r="CN21" s="2" t="s">
        <v>33</v>
      </c>
      <c r="CO21" s="2"/>
      <c r="CP21" s="2"/>
      <c r="CQ21" s="2"/>
      <c r="CR21" s="2" t="s">
        <v>35</v>
      </c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 t="s">
        <v>50</v>
      </c>
      <c r="DG21" s="2" t="s">
        <v>50</v>
      </c>
      <c r="DH21" s="2" t="s">
        <v>50</v>
      </c>
      <c r="DI21" s="2" t="s">
        <v>50</v>
      </c>
      <c r="DJ21" s="2" t="s">
        <v>50</v>
      </c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 t="s">
        <v>35</v>
      </c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 t="s">
        <v>35</v>
      </c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 t="s">
        <v>35</v>
      </c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 t="s">
        <v>35</v>
      </c>
      <c r="JO21" s="2" t="s">
        <v>35</v>
      </c>
      <c r="JP21" s="2"/>
      <c r="JQ21" s="2"/>
      <c r="JR21" s="2"/>
      <c r="JS21" s="2"/>
      <c r="JT21" s="2"/>
      <c r="JU21" s="2" t="s">
        <v>35</v>
      </c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 t="s">
        <v>35</v>
      </c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14">
        <f t="array" aca="1" ref="NJ21" ca="1">SUMPRODUCT((OFFSET($A21,0,31*($A$3-1)+1,1,31)&lt;&gt;"")*(IF(OFFSET($A21,0,31*($A$3-1)+1,1,31)=$OA$12,0.5,1)*(OFFSET($A$4,0,31*($A$3-1)+1,1,31))))</f>
        <v>0.5</v>
      </c>
      <c r="NK21" s="20">
        <f t="array" aca="1" ref="NK21" ca="1">SUMPRODUCT((OFFSET($A21,0,1,1,372)&lt;&gt;"")*(IF(OFFSET($A21,0,1,1,372)=$OA$12,0.5,1)*(OFFSET($A$3,0,1,1,372))))</f>
        <v>18.5</v>
      </c>
      <c r="NL21" s="28">
        <f t="array" aca="1" ref="NL21" ca="1">SUMPRODUCT((OFFSET($A21,0,31*($A$4)+DAY(Holidays!$E$2),1,Holidays!$G$2)&lt;&gt;"")*(IF(OFFSET($A21,0,31*($A$4)+DAY(Holidays!$E$2),1,Holidays!$G$2)=$OA$12,0.5,1)*(OFFSET($A$3,0,31*($A$4)+DAY(Holidays!$E$2),1,Holidays!$G$2))))</f>
        <v>13.5</v>
      </c>
      <c r="NM21" s="60">
        <f t="array" aca="1" ref="NM21" ca="1">SUMPRODUCT((OFFSET($A21,0,31*($A$4)+DAY(VLOOKUP(NM$5,Sprints[],2,FALSE)),1,VLOOKUP(NM$5,Sprints[],4,FALSE))&lt;&gt;"")*(IF(OFFSET($A21,0,31*($A$4)+DAY(VLOOKUP(NM$5,Sprints[],2,FALSE)),1,VLOOKUP(NM$5,Sprints[],4,FALSE))=$OA$12,0.5,1)*(OFFSET($A$3,0,31*($A$4)+DAY(VLOOKUP(NM$5,Sprints[],2,FALSE)),1,VLOOKUP(NM$5,Sprints[],4,FALSE)))))</f>
        <v>0</v>
      </c>
      <c r="NN21" s="60">
        <f t="array" aca="1" ref="NN21" ca="1">SUMPRODUCT((OFFSET($A21,0,31*($A$4)+DAY(VLOOKUP(NN$5,Sprints[],2,FALSE)),1,VLOOKUP(NN$5,Sprints[],4,FALSE))&lt;&gt;"")*(IF(OFFSET($A21,0,31*($A$4)+DAY(VLOOKUP(NN$5,Sprints[],2,FALSE)),1,VLOOKUP(NN$5,Sprints[],4,FALSE))=$OA$12,0.5,1)*(OFFSET($A$3,0,31*($A$4)+DAY(VLOOKUP(NN$5,Sprints[],2,FALSE)),1,VLOOKUP(NN$5,Sprints[],4,FALSE)))))</f>
        <v>0.5</v>
      </c>
      <c r="NO21" s="60">
        <f t="array" aca="1" ref="NO21" ca="1">SUMPRODUCT((OFFSET($A21,0,31*($A$4)+DAY(VLOOKUP(NO$5,Sprints[],2,FALSE)),1,VLOOKUP(NO$5,Sprints[],4,FALSE))&lt;&gt;"")*(IF(OFFSET($A21,0,31*($A$4)+DAY(VLOOKUP(NO$5,Sprints[],2,FALSE)),1,VLOOKUP(NO$5,Sprints[],4,FALSE))=$OA$12,0.5,1)*(OFFSET($A$3,0,31*($A$4)+DAY(VLOOKUP(NO$5,Sprints[],2,FALSE)),1,VLOOKUP(NO$5,Sprints[],4,FALSE)))))</f>
        <v>0</v>
      </c>
      <c r="NP21" s="60">
        <f t="array" aca="1" ref="NP21" ca="1">SUMPRODUCT((OFFSET($A21,0,31*(VLOOKUP(NP$5,Sprints[],5,FALSE))+DAY(VLOOKUP(NP$5,Sprints[],2,FALSE)),1,VLOOKUP(NP$5,Sprints[],4,FALSE))&lt;&gt;"")*(IF(OFFSET($A21,0,31*(VLOOKUP(NP$5,Sprints[],5,FALSE))+DAY(VLOOKUP(NP$5,Sprints[],2,FALSE)),1,VLOOKUP(NP$5,Sprints[],4,FALSE))=$OA$12,0.5,1)*(OFFSET($A$3,0,31*(VLOOKUP(NP$5,Sprints[],5,FALSE))+DAY(VLOOKUP(NP$5,Sprints[],2,FALSE)),1,VLOOKUP(NP$5,Sprints[],4,FALSE)))))</f>
        <v>3</v>
      </c>
      <c r="NQ21" s="60">
        <f t="array" aca="1" ref="NQ21" ca="1">SUMPRODUCT((OFFSET($A21,0,31*(VLOOKUP(NQ$5,Sprints[],5,FALSE))+DAY(VLOOKUP(NQ$5,Sprints[],2,FALSE)),1,VLOOKUP(NQ$5,Sprints[],4,FALSE))&lt;&gt;"")*(IF(OFFSET($A21,0,31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21" s="60">
        <f t="array" aca="1" ref="NR21" ca="1">SUMPRODUCT((OFFSET($A21,0,31*(VLOOKUP(NR$5,Sprints[],5,FALSE))+DAY(VLOOKUP(NR$5,Sprints[],2,FALSE)),1,VLOOKUP(NR$5,Sprints[],4,FALSE))&lt;&gt;"")*(IF(OFFSET($A21,0,31*(VLOOKUP(NR$5,Sprints[],5,FALSE))+DAY(VLOOKUP(NR$5,Sprints[],2,FALSE)),1,VLOOKUP(NR$5,Sprints[],4,FALSE))=$OA$12,0.5,1)*(OFFSET($A$3,0,31*(VLOOKUP(NR$5,Sprints[],5,FALSE))+DAY(VLOOKUP(NR$5,Sprints[],2,FALSE)),1,VLOOKUP(NR$5,Sprints[],4,FALSE)))))</f>
        <v>1</v>
      </c>
      <c r="NS21" s="60">
        <f t="array" aca="1" ref="NS21" ca="1">SUMPRODUCT((OFFSET($A21,0,31*(VLOOKUP(NS$5,Sprints[],5,FALSE))+DAY(VLOOKUP(NS$5,Sprints[],2,FALSE)),1,VLOOKUP(NS$5,Sprints[],4,FALSE))&lt;&gt;"")*(IF(OFFSET($A21,0,31*(VLOOKUP(NS$5,Sprints[],5,FALSE))+DAY(VLOOKUP(NS$5,Sprints[],2,FALSE)),1,VLOOKUP(NS$5,Sprints[],4,FALSE))=$OA$12,0.5,1)*(OFFSET($A$3,0,31*(VLOOKUP(NS$5,Sprints[],5,FALSE))+DAY(VLOOKUP(NS$5,Sprints[],2,FALSE)),1,VLOOKUP(NS$5,Sprints[],4,FALSE)))))</f>
        <v>2</v>
      </c>
      <c r="NT21" s="60">
        <f t="array" aca="1" ref="NT21" ca="1">SUMPRODUCT((OFFSET($A21,0,31*(VLOOKUP(NT$5,Sprints[],5,FALSE))+DAY(VLOOKUP(NT$5,Sprints[],2,FALSE)),1,VLOOKUP(NT$5,Sprints[],4,FALSE))&lt;&gt;"")*(IF(OFFSET($A21,0,31*(VLOOKUP(NT$5,Sprints[],5,FALSE))+DAY(VLOOKUP(NT$5,Sprints[],2,FALSE)),1,VLOOKUP(NT$5,Sprints[],4,FALSE))=$OA$12,0.5,1)*(OFFSET($A$3,0,31*(VLOOKUP(NT$5,Sprints[],5,FALSE))+DAY(VLOOKUP(NT$5,Sprints[],2,FALSE)),1,VLOOKUP(NT$5,Sprints[],4,FALSE)))))</f>
        <v>5</v>
      </c>
      <c r="NU21" s="60">
        <f t="array" aca="1" ref="NU21" ca="1">SUMPRODUCT((OFFSET($A21,0,31*(VLOOKUP(NU$5,Sprints[],5,FALSE))+DAY(VLOOKUP(NU$5,Sprints[],2,FALSE)),1,VLOOKUP(NU$5,Sprints[],4,FALSE))&lt;&gt;"")*(IF(OFFSET($A21,0,31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21" s="60">
        <f t="array" aca="1" ref="NV21" ca="1">SUMPRODUCT((OFFSET($A21,0,31*(VLOOKUP(NV$5,Sprints[],5,FALSE))+DAY(VLOOKUP(NV$5,Sprints[],2,FALSE)),1,VLOOKUP(NV$5,Sprints[],4,FALSE))&lt;&gt;"")*(IF(OFFSET($A21,0,31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21" s="60">
        <f t="array" aca="1" ref="NW21" ca="1">SUMPRODUCT((OFFSET($A21,0,31*(VLOOKUP(NW$5,Sprints[],5,FALSE))+DAY(VLOOKUP(NW$5,Sprints[],2,FALSE)),1,VLOOKUP(NW$5,Sprints[],4,FALSE))&lt;&gt;"")*(IF(OFFSET($A21,0,31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21" s="60">
        <f t="array" aca="1" ref="NX21" ca="1">SUMPRODUCT((OFFSET($A21,0,31*(VLOOKUP(NX$5,Sprints[],5,FALSE))+DAY(VLOOKUP(NX$5,Sprints[],2,FALSE)),1,VLOOKUP(NX$5,Sprints[],4,FALSE))&lt;&gt;"")*(IF(OFFSET($A21,0,31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  <c r="NZ21" s="16" t="s">
        <v>16</v>
      </c>
      <c r="OA21" s="16" t="s">
        <v>24</v>
      </c>
    </row>
    <row r="22" spans="1:391" x14ac:dyDescent="0.45">
      <c r="A22" s="1" t="s">
        <v>74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 t="s">
        <v>33</v>
      </c>
      <c r="AX22" s="2" t="s">
        <v>31</v>
      </c>
      <c r="AY22" s="2"/>
      <c r="AZ22" s="2"/>
      <c r="BA22" s="2" t="s">
        <v>35</v>
      </c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 t="s">
        <v>50</v>
      </c>
      <c r="CD22" s="2" t="s">
        <v>50</v>
      </c>
      <c r="CE22" s="2" t="s">
        <v>50</v>
      </c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 t="s">
        <v>35</v>
      </c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 t="s">
        <v>35</v>
      </c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 t="s">
        <v>35</v>
      </c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 t="s">
        <v>35</v>
      </c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 t="s">
        <v>35</v>
      </c>
      <c r="JO22" s="2" t="s">
        <v>35</v>
      </c>
      <c r="JP22" s="2"/>
      <c r="JQ22" s="2"/>
      <c r="JR22" s="2"/>
      <c r="JS22" s="2"/>
      <c r="JT22" s="2"/>
      <c r="JU22" s="2" t="s">
        <v>35</v>
      </c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 t="s">
        <v>35</v>
      </c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14">
        <f t="array" aca="1" ref="NJ22" ca="1">SUMPRODUCT((OFFSET($A22,0,31*($A$3-1)+1,1,31)&lt;&gt;"")*(IF(OFFSET($A22,0,31*($A$3-1)+1,1,31)=$OA$12,0.5,1)*(OFFSET($A$4,0,31*($A$3-1)+1,1,31))))</f>
        <v>0</v>
      </c>
      <c r="NK22" s="20">
        <f t="array" aca="1" ref="NK22" ca="1">SUMPRODUCT((OFFSET($A22,0,1,1,372)&lt;&gt;"")*(IF(OFFSET($A22,0,1,1,372)=$OA$12,0.5,1)*(OFFSET($A$3,0,1,1,372))))</f>
        <v>13.5</v>
      </c>
      <c r="NL22" s="28">
        <f t="array" aca="1" ref="NL22" ca="1">SUMPRODUCT((OFFSET($A22,0,31*($A$4)+DAY(Holidays!$E$2),1,Holidays!$G$2)&lt;&gt;"")*(IF(OFFSET($A22,0,31*($A$4)+DAY(Holidays!$E$2),1,Holidays!$G$2)=$OA$12,0.5,1)*(OFFSET($A$3,0,31*($A$4)+DAY(Holidays!$E$2),1,Holidays!$G$2))))</f>
        <v>8.5</v>
      </c>
      <c r="NM22" s="60">
        <f t="array" aca="1" ref="NM22" ca="1">SUMPRODUCT((OFFSET($A22,0,31*($A$4)+DAY(VLOOKUP(NM$5,Sprints[],2,FALSE)),1,VLOOKUP(NM$5,Sprints[],4,FALSE))&lt;&gt;"")*(IF(OFFSET($A22,0,31*($A$4)+DAY(VLOOKUP(NM$5,Sprints[],2,FALSE)),1,VLOOKUP(NM$5,Sprints[],4,FALSE))=$OA$12,0.5,1)*(OFFSET($A$3,0,31*($A$4)+DAY(VLOOKUP(NM$5,Sprints[],2,FALSE)),1,VLOOKUP(NM$5,Sprints[],4,FALSE)))))</f>
        <v>0</v>
      </c>
      <c r="NN22" s="60">
        <f t="array" aca="1" ref="NN22" ca="1">SUMPRODUCT((OFFSET($A22,0,31*($A$4)+DAY(VLOOKUP(NN$5,Sprints[],2,FALSE)),1,VLOOKUP(NN$5,Sprints[],4,FALSE))&lt;&gt;"")*(IF(OFFSET($A22,0,31*($A$4)+DAY(VLOOKUP(NN$5,Sprints[],2,FALSE)),1,VLOOKUP(NN$5,Sprints[],4,FALSE))=$OA$12,0.5,1)*(OFFSET($A$3,0,31*($A$4)+DAY(VLOOKUP(NN$5,Sprints[],2,FALSE)),1,VLOOKUP(NN$5,Sprints[],4,FALSE)))))</f>
        <v>0</v>
      </c>
      <c r="NO22" s="60">
        <f t="array" aca="1" ref="NO22" ca="1">SUMPRODUCT((OFFSET($A22,0,31*($A$4)+DAY(VLOOKUP(NO$5,Sprints[],2,FALSE)),1,VLOOKUP(NO$5,Sprints[],4,FALSE))&lt;&gt;"")*(IF(OFFSET($A22,0,31*($A$4)+DAY(VLOOKUP(NO$5,Sprints[],2,FALSE)),1,VLOOKUP(NO$5,Sprints[],4,FALSE))=$OA$12,0.5,1)*(OFFSET($A$3,0,31*($A$4)+DAY(VLOOKUP(NO$5,Sprints[],2,FALSE)),1,VLOOKUP(NO$5,Sprints[],4,FALSE)))))</f>
        <v>0</v>
      </c>
      <c r="NP22" s="60">
        <f t="array" aca="1" ref="NP22" ca="1">SUMPRODUCT((OFFSET($A22,0,31*(VLOOKUP(NP$5,Sprints[],5,FALSE))+DAY(VLOOKUP(NP$5,Sprints[],2,FALSE)),1,VLOOKUP(NP$5,Sprints[],4,FALSE))&lt;&gt;"")*(IF(OFFSET($A22,0,31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22" s="60">
        <f t="array" aca="1" ref="NQ22" ca="1">SUMPRODUCT((OFFSET($A22,0,31*(VLOOKUP(NQ$5,Sprints[],5,FALSE))+DAY(VLOOKUP(NQ$5,Sprints[],2,FALSE)),1,VLOOKUP(NQ$5,Sprints[],4,FALSE))&lt;&gt;"")*(IF(OFFSET($A22,0,31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22" s="60">
        <f t="array" aca="1" ref="NR22" ca="1">SUMPRODUCT((OFFSET($A22,0,31*(VLOOKUP(NR$5,Sprints[],5,FALSE))+DAY(VLOOKUP(NR$5,Sprints[],2,FALSE)),1,VLOOKUP(NR$5,Sprints[],4,FALSE))&lt;&gt;"")*(IF(OFFSET($A22,0,31*(VLOOKUP(NR$5,Sprints[],5,FALSE))+DAY(VLOOKUP(NR$5,Sprints[],2,FALSE)),1,VLOOKUP(NR$5,Sprints[],4,FALSE))=$OA$12,0.5,1)*(OFFSET($A$3,0,31*(VLOOKUP(NR$5,Sprints[],5,FALSE))+DAY(VLOOKUP(NR$5,Sprints[],2,FALSE)),1,VLOOKUP(NR$5,Sprints[],4,FALSE)))))</f>
        <v>3</v>
      </c>
      <c r="NS22" s="60">
        <f t="array" aca="1" ref="NS22" ca="1">SUMPRODUCT((OFFSET($A22,0,31*(VLOOKUP(NS$5,Sprints[],5,FALSE))+DAY(VLOOKUP(NS$5,Sprints[],2,FALSE)),1,VLOOKUP(NS$5,Sprints[],4,FALSE))&lt;&gt;"")*(IF(OFFSET($A22,0,31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22" s="60">
        <f t="array" aca="1" ref="NT22" ca="1">SUMPRODUCT((OFFSET($A22,0,31*(VLOOKUP(NT$5,Sprints[],5,FALSE))+DAY(VLOOKUP(NT$5,Sprints[],2,FALSE)),1,VLOOKUP(NT$5,Sprints[],4,FALSE))&lt;&gt;"")*(IF(OFFSET($A22,0,31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22" s="60">
        <f t="array" aca="1" ref="NU22" ca="1">SUMPRODUCT((OFFSET($A22,0,31*(VLOOKUP(NU$5,Sprints[],5,FALSE))+DAY(VLOOKUP(NU$5,Sprints[],2,FALSE)),1,VLOOKUP(NU$5,Sprints[],4,FALSE))&lt;&gt;"")*(IF(OFFSET($A22,0,31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22" s="60">
        <f t="array" aca="1" ref="NV22" ca="1">SUMPRODUCT((OFFSET($A22,0,31*(VLOOKUP(NV$5,Sprints[],5,FALSE))+DAY(VLOOKUP(NV$5,Sprints[],2,FALSE)),1,VLOOKUP(NV$5,Sprints[],4,FALSE))&lt;&gt;"")*(IF(OFFSET($A22,0,31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22" s="60">
        <f t="array" aca="1" ref="NW22" ca="1">SUMPRODUCT((OFFSET($A22,0,31*(VLOOKUP(NW$5,Sprints[],5,FALSE))+DAY(VLOOKUP(NW$5,Sprints[],2,FALSE)),1,VLOOKUP(NW$5,Sprints[],4,FALSE))&lt;&gt;"")*(IF(OFFSET($A22,0,31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22" s="60">
        <f t="array" aca="1" ref="NX22" ca="1">SUMPRODUCT((OFFSET($A22,0,31*(VLOOKUP(NX$5,Sprints[],5,FALSE))+DAY(VLOOKUP(NX$5,Sprints[],2,FALSE)),1,VLOOKUP(NX$5,Sprints[],4,FALSE))&lt;&gt;"")*(IF(OFFSET($A22,0,31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  <c r="NZ22" s="16" t="s">
        <v>17</v>
      </c>
      <c r="OA22" s="16" t="s">
        <v>24</v>
      </c>
    </row>
    <row r="23" spans="1:391" x14ac:dyDescent="0.45">
      <c r="A23" s="1" t="s">
        <v>75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 t="s">
        <v>33</v>
      </c>
      <c r="AX23" s="2" t="s">
        <v>31</v>
      </c>
      <c r="AY23" s="2"/>
      <c r="AZ23" s="2"/>
      <c r="BA23" s="2" t="s">
        <v>35</v>
      </c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 t="s">
        <v>35</v>
      </c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 t="s">
        <v>35</v>
      </c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 t="s">
        <v>35</v>
      </c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 t="s">
        <v>35</v>
      </c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 t="s">
        <v>35</v>
      </c>
      <c r="JO23" s="2" t="s">
        <v>35</v>
      </c>
      <c r="JP23" s="2"/>
      <c r="JQ23" s="2"/>
      <c r="JR23" s="2"/>
      <c r="JS23" s="2"/>
      <c r="JT23" s="2"/>
      <c r="JU23" s="2" t="s">
        <v>35</v>
      </c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 t="s">
        <v>35</v>
      </c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14">
        <f t="array" aca="1" ref="NJ23" ca="1">SUMPRODUCT((OFFSET($A23,0,31*($A$3-1)+1,1,31)&lt;&gt;"")*(IF(OFFSET($A23,0,31*($A$3-1)+1,1,31)=$OA$12,0.5,1)*(OFFSET($A$4,0,31*($A$3-1)+1,1,31))))</f>
        <v>0</v>
      </c>
      <c r="NK23" s="20">
        <f t="array" aca="1" ref="NK23" ca="1">SUMPRODUCT((OFFSET($A23,0,1,1,372)&lt;&gt;"")*(IF(OFFSET($A23,0,1,1,372)=$OA$12,0.5,1)*(OFFSET($A$3,0,1,1,372))))</f>
        <v>10.5</v>
      </c>
      <c r="NL23" s="28">
        <f t="array" aca="1" ref="NL23" ca="1">SUMPRODUCT((OFFSET($A23,0,31*($A$4)+DAY(Holidays!$E$2),1,Holidays!$G$2)&lt;&gt;"")*(IF(OFFSET($A23,0,31*($A$4)+DAY(Holidays!$E$2),1,Holidays!$G$2)=$OA$12,0.5,1)*(OFFSET($A$3,0,31*($A$4)+DAY(Holidays!$E$2),1,Holidays!$G$2))))</f>
        <v>5.5</v>
      </c>
      <c r="NM23" s="60">
        <f t="array" aca="1" ref="NM23" ca="1">SUMPRODUCT((OFFSET($A23,0,31*($A$4)+DAY(VLOOKUP(NM$5,Sprints[],2,FALSE)),1,VLOOKUP(NM$5,Sprints[],4,FALSE))&lt;&gt;"")*(IF(OFFSET($A23,0,31*($A$4)+DAY(VLOOKUP(NM$5,Sprints[],2,FALSE)),1,VLOOKUP(NM$5,Sprints[],4,FALSE))=$OA$12,0.5,1)*(OFFSET($A$3,0,31*($A$4)+DAY(VLOOKUP(NM$5,Sprints[],2,FALSE)),1,VLOOKUP(NM$5,Sprints[],4,FALSE)))))</f>
        <v>0</v>
      </c>
      <c r="NN23" s="60">
        <f t="array" aca="1" ref="NN23" ca="1">SUMPRODUCT((OFFSET($A23,0,31*($A$4)+DAY(VLOOKUP(NN$5,Sprints[],2,FALSE)),1,VLOOKUP(NN$5,Sprints[],4,FALSE))&lt;&gt;"")*(IF(OFFSET($A23,0,31*($A$4)+DAY(VLOOKUP(NN$5,Sprints[],2,FALSE)),1,VLOOKUP(NN$5,Sprints[],4,FALSE))=$OA$12,0.5,1)*(OFFSET($A$3,0,31*($A$4)+DAY(VLOOKUP(NN$5,Sprints[],2,FALSE)),1,VLOOKUP(NN$5,Sprints[],4,FALSE)))))</f>
        <v>0</v>
      </c>
      <c r="NO23" s="60">
        <f t="array" aca="1" ref="NO23" ca="1">SUMPRODUCT((OFFSET($A23,0,31*($A$4)+DAY(VLOOKUP(NO$5,Sprints[],2,FALSE)),1,VLOOKUP(NO$5,Sprints[],4,FALSE))&lt;&gt;"")*(IF(OFFSET($A23,0,31*($A$4)+DAY(VLOOKUP(NO$5,Sprints[],2,FALSE)),1,VLOOKUP(NO$5,Sprints[],4,FALSE))=$OA$12,0.5,1)*(OFFSET($A$3,0,31*($A$4)+DAY(VLOOKUP(NO$5,Sprints[],2,FALSE)),1,VLOOKUP(NO$5,Sprints[],4,FALSE)))))</f>
        <v>0</v>
      </c>
      <c r="NP23" s="60">
        <f t="array" aca="1" ref="NP23" ca="1">SUMPRODUCT((OFFSET($A23,0,31*(VLOOKUP(NP$5,Sprints[],5,FALSE))+DAY(VLOOKUP(NP$5,Sprints[],2,FALSE)),1,VLOOKUP(NP$5,Sprints[],4,FALSE))&lt;&gt;"")*(IF(OFFSET($A23,0,31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23" s="60">
        <f t="array" aca="1" ref="NQ23" ca="1">SUMPRODUCT((OFFSET($A23,0,31*(VLOOKUP(NQ$5,Sprints[],5,FALSE))+DAY(VLOOKUP(NQ$5,Sprints[],2,FALSE)),1,VLOOKUP(NQ$5,Sprints[],4,FALSE))&lt;&gt;"")*(IF(OFFSET($A23,0,31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23" s="60">
        <f t="array" aca="1" ref="NR23" ca="1">SUMPRODUCT((OFFSET($A23,0,31*(VLOOKUP(NR$5,Sprints[],5,FALSE))+DAY(VLOOKUP(NR$5,Sprints[],2,FALSE)),1,VLOOKUP(NR$5,Sprints[],4,FALSE))&lt;&gt;"")*(IF(OFFSET($A23,0,31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23" s="60">
        <f t="array" aca="1" ref="NS23" ca="1">SUMPRODUCT((OFFSET($A23,0,31*(VLOOKUP(NS$5,Sprints[],5,FALSE))+DAY(VLOOKUP(NS$5,Sprints[],2,FALSE)),1,VLOOKUP(NS$5,Sprints[],4,FALSE))&lt;&gt;"")*(IF(OFFSET($A23,0,31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23" s="60">
        <f t="array" aca="1" ref="NT23" ca="1">SUMPRODUCT((OFFSET($A23,0,31*(VLOOKUP(NT$5,Sprints[],5,FALSE))+DAY(VLOOKUP(NT$5,Sprints[],2,FALSE)),1,VLOOKUP(NT$5,Sprints[],4,FALSE))&lt;&gt;"")*(IF(OFFSET($A23,0,31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23" s="60">
        <f t="array" aca="1" ref="NU23" ca="1">SUMPRODUCT((OFFSET($A23,0,31*(VLOOKUP(NU$5,Sprints[],5,FALSE))+DAY(VLOOKUP(NU$5,Sprints[],2,FALSE)),1,VLOOKUP(NU$5,Sprints[],4,FALSE))&lt;&gt;"")*(IF(OFFSET($A23,0,31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23" s="60">
        <f t="array" aca="1" ref="NV23" ca="1">SUMPRODUCT((OFFSET($A23,0,31*(VLOOKUP(NV$5,Sprints[],5,FALSE))+DAY(VLOOKUP(NV$5,Sprints[],2,FALSE)),1,VLOOKUP(NV$5,Sprints[],4,FALSE))&lt;&gt;"")*(IF(OFFSET($A23,0,31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23" s="60">
        <f t="array" aca="1" ref="NW23" ca="1">SUMPRODUCT((OFFSET($A23,0,31*(VLOOKUP(NW$5,Sprints[],5,FALSE))+DAY(VLOOKUP(NW$5,Sprints[],2,FALSE)),1,VLOOKUP(NW$5,Sprints[],4,FALSE))&lt;&gt;"")*(IF(OFFSET($A23,0,31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23" s="60">
        <f t="array" aca="1" ref="NX23" ca="1">SUMPRODUCT((OFFSET($A23,0,31*(VLOOKUP(NX$5,Sprints[],5,FALSE))+DAY(VLOOKUP(NX$5,Sprints[],2,FALSE)),1,VLOOKUP(NX$5,Sprints[],4,FALSE))&lt;&gt;"")*(IF(OFFSET($A23,0,31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24" spans="1:391" ht="14.65" customHeight="1" x14ac:dyDescent="0.45">
      <c r="A24" s="1" t="s">
        <v>76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 t="s">
        <v>33</v>
      </c>
      <c r="AX24" s="2" t="s">
        <v>31</v>
      </c>
      <c r="AY24" s="2"/>
      <c r="AZ24" s="2"/>
      <c r="BA24" s="2" t="s">
        <v>35</v>
      </c>
      <c r="BB24" s="2" t="s">
        <v>50</v>
      </c>
      <c r="BC24" s="2" t="s">
        <v>50</v>
      </c>
      <c r="BD24" s="2" t="s">
        <v>50</v>
      </c>
      <c r="BE24" s="2" t="s">
        <v>50</v>
      </c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 t="s">
        <v>50</v>
      </c>
      <c r="CK24" s="2" t="s">
        <v>50</v>
      </c>
      <c r="CL24" s="2" t="s">
        <v>50</v>
      </c>
      <c r="CM24" s="2" t="s">
        <v>50</v>
      </c>
      <c r="CN24" s="2" t="s">
        <v>50</v>
      </c>
      <c r="CO24" s="2"/>
      <c r="CP24" s="2"/>
      <c r="CQ24" s="2"/>
      <c r="CR24" s="2" t="s">
        <v>35</v>
      </c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 t="s">
        <v>35</v>
      </c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 t="s">
        <v>50</v>
      </c>
      <c r="EP24" s="2" t="s">
        <v>50</v>
      </c>
      <c r="EQ24" s="2" t="s">
        <v>50</v>
      </c>
      <c r="ER24" s="2" t="s">
        <v>50</v>
      </c>
      <c r="ES24" s="2" t="s">
        <v>50</v>
      </c>
      <c r="ET24" s="2"/>
      <c r="EU24" s="2"/>
      <c r="EV24" s="2"/>
      <c r="EW24" s="2"/>
      <c r="EX24" s="2"/>
      <c r="EY24" s="2"/>
      <c r="EZ24" s="2"/>
      <c r="FA24" s="2"/>
      <c r="FB24" s="2"/>
      <c r="FC24" s="2" t="s">
        <v>35</v>
      </c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 t="s">
        <v>35</v>
      </c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 t="s">
        <v>35</v>
      </c>
      <c r="JO24" s="2" t="s">
        <v>35</v>
      </c>
      <c r="JP24" s="2"/>
      <c r="JQ24" s="2"/>
      <c r="JR24" s="2"/>
      <c r="JS24" s="2"/>
      <c r="JT24" s="2"/>
      <c r="JU24" s="2" t="s">
        <v>35</v>
      </c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 t="s">
        <v>35</v>
      </c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14">
        <f t="array" aca="1" ref="NJ24" ca="1">SUMPRODUCT((OFFSET($A24,0,31*($A$3-1)+1,1,31)&lt;&gt;"")*(IF(OFFSET($A24,0,31*($A$3-1)+1,1,31)=$OA$12,0.5,1)*(OFFSET($A$4,0,31*($A$3-1)+1,1,31))))</f>
        <v>0</v>
      </c>
      <c r="NK24" s="20">
        <f t="array" aca="1" ref="NK24" ca="1">SUMPRODUCT((OFFSET($A24,0,1,1,372)&lt;&gt;"")*(IF(OFFSET($A24,0,1,1,372)=$OA$12,0.5,1)*(OFFSET($A$3,0,1,1,372))))</f>
        <v>24.5</v>
      </c>
      <c r="NL24" s="28">
        <f t="array" aca="1" ref="NL24" ca="1">SUMPRODUCT((OFFSET($A24,0,31*($A$4)+DAY(Holidays!$E$2),1,Holidays!$G$2)&lt;&gt;"")*(IF(OFFSET($A24,0,31*($A$4)+DAY(Holidays!$E$2),1,Holidays!$G$2)=$OA$12,0.5,1)*(OFFSET($A$3,0,31*($A$4)+DAY(Holidays!$E$2),1,Holidays!$G$2))))</f>
        <v>19.5</v>
      </c>
      <c r="NM24" s="60">
        <f t="array" aca="1" ref="NM24" ca="1">SUMPRODUCT((OFFSET($A24,0,31*($A$4)+DAY(VLOOKUP(NM$5,Sprints[],2,FALSE)),1,VLOOKUP(NM$5,Sprints[],4,FALSE))&lt;&gt;"")*(IF(OFFSET($A24,0,31*($A$4)+DAY(VLOOKUP(NM$5,Sprints[],2,FALSE)),1,VLOOKUP(NM$5,Sprints[],4,FALSE))=$OA$12,0.5,1)*(OFFSET($A$3,0,31*($A$4)+DAY(VLOOKUP(NM$5,Sprints[],2,FALSE)),1,VLOOKUP(NM$5,Sprints[],4,FALSE)))))</f>
        <v>0</v>
      </c>
      <c r="NN24" s="60">
        <f t="array" aca="1" ref="NN24" ca="1">SUMPRODUCT((OFFSET($A24,0,31*($A$4)+DAY(VLOOKUP(NN$5,Sprints[],2,FALSE)),1,VLOOKUP(NN$5,Sprints[],4,FALSE))&lt;&gt;"")*(IF(OFFSET($A24,0,31*($A$4)+DAY(VLOOKUP(NN$5,Sprints[],2,FALSE)),1,VLOOKUP(NN$5,Sprints[],4,FALSE))=$OA$12,0.5,1)*(OFFSET($A$3,0,31*($A$4)+DAY(VLOOKUP(NN$5,Sprints[],2,FALSE)),1,VLOOKUP(NN$5,Sprints[],4,FALSE)))))</f>
        <v>0</v>
      </c>
      <c r="NO24" s="60">
        <f t="array" aca="1" ref="NO24" ca="1">SUMPRODUCT((OFFSET($A24,0,31*($A$4)+DAY(VLOOKUP(NO$5,Sprints[],2,FALSE)),1,VLOOKUP(NO$5,Sprints[],4,FALSE))&lt;&gt;"")*(IF(OFFSET($A24,0,31*($A$4)+DAY(VLOOKUP(NO$5,Sprints[],2,FALSE)),1,VLOOKUP(NO$5,Sprints[],4,FALSE))=$OA$12,0.5,1)*(OFFSET($A$3,0,31*($A$4)+DAY(VLOOKUP(NO$5,Sprints[],2,FALSE)),1,VLOOKUP(NO$5,Sprints[],4,FALSE)))))</f>
        <v>0</v>
      </c>
      <c r="NP24" s="60">
        <f t="array" aca="1" ref="NP24" ca="1">SUMPRODUCT((OFFSET($A24,0,31*(VLOOKUP(NP$5,Sprints[],5,FALSE))+DAY(VLOOKUP(NP$5,Sprints[],2,FALSE)),1,VLOOKUP(NP$5,Sprints[],4,FALSE))&lt;&gt;"")*(IF(OFFSET($A24,0,31*(VLOOKUP(NP$5,Sprints[],5,FALSE))+DAY(VLOOKUP(NP$5,Sprints[],2,FALSE)),1,VLOOKUP(NP$5,Sprints[],4,FALSE))=$OA$12,0.5,1)*(OFFSET($A$3,0,31*(VLOOKUP(NP$5,Sprints[],5,FALSE))+DAY(VLOOKUP(NP$5,Sprints[],2,FALSE)),1,VLOOKUP(NP$5,Sprints[],4,FALSE)))))</f>
        <v>6.5</v>
      </c>
      <c r="NQ24" s="60">
        <f t="array" aca="1" ref="NQ24" ca="1">SUMPRODUCT((OFFSET($A24,0,31*(VLOOKUP(NQ$5,Sprints[],5,FALSE))+DAY(VLOOKUP(NQ$5,Sprints[],2,FALSE)),1,VLOOKUP(NQ$5,Sprints[],4,FALSE))&lt;&gt;"")*(IF(OFFSET($A24,0,31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24" s="60">
        <f t="array" aca="1" ref="NR24" ca="1">SUMPRODUCT((OFFSET($A24,0,31*(VLOOKUP(NR$5,Sprints[],5,FALSE))+DAY(VLOOKUP(NR$5,Sprints[],2,FALSE)),1,VLOOKUP(NR$5,Sprints[],4,FALSE))&lt;&gt;"")*(IF(OFFSET($A24,0,31*(VLOOKUP(NR$5,Sprints[],5,FALSE))+DAY(VLOOKUP(NR$5,Sprints[],2,FALSE)),1,VLOOKUP(NR$5,Sprints[],4,FALSE))=$OA$12,0.5,1)*(OFFSET($A$3,0,31*(VLOOKUP(NR$5,Sprints[],5,FALSE))+DAY(VLOOKUP(NR$5,Sprints[],2,FALSE)),1,VLOOKUP(NR$5,Sprints[],4,FALSE)))))</f>
        <v>2</v>
      </c>
      <c r="NS24" s="60">
        <f t="array" aca="1" ref="NS24" ca="1">SUMPRODUCT((OFFSET($A24,0,31*(VLOOKUP(NS$5,Sprints[],5,FALSE))+DAY(VLOOKUP(NS$5,Sprints[],2,FALSE)),1,VLOOKUP(NS$5,Sprints[],4,FALSE))&lt;&gt;"")*(IF(OFFSET($A24,0,31*(VLOOKUP(NS$5,Sprints[],5,FALSE))+DAY(VLOOKUP(NS$5,Sprints[],2,FALSE)),1,VLOOKUP(NS$5,Sprints[],4,FALSE))=$OA$12,0.5,1)*(OFFSET($A$3,0,31*(VLOOKUP(NS$5,Sprints[],5,FALSE))+DAY(VLOOKUP(NS$5,Sprints[],2,FALSE)),1,VLOOKUP(NS$5,Sprints[],4,FALSE)))))</f>
        <v>4</v>
      </c>
      <c r="NT24" s="60">
        <f t="array" aca="1" ref="NT24" ca="1">SUMPRODUCT((OFFSET($A24,0,31*(VLOOKUP(NT$5,Sprints[],5,FALSE))+DAY(VLOOKUP(NT$5,Sprints[],2,FALSE)),1,VLOOKUP(NT$5,Sprints[],4,FALSE))&lt;&gt;"")*(IF(OFFSET($A24,0,31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24" s="60">
        <f t="array" aca="1" ref="NU24" ca="1">SUMPRODUCT((OFFSET($A24,0,31*(VLOOKUP(NU$5,Sprints[],5,FALSE))+DAY(VLOOKUP(NU$5,Sprints[],2,FALSE)),1,VLOOKUP(NU$5,Sprints[],4,FALSE))&lt;&gt;"")*(IF(OFFSET($A24,0,31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24" s="60">
        <f t="array" aca="1" ref="NV24" ca="1">SUMPRODUCT((OFFSET($A24,0,31*(VLOOKUP(NV$5,Sprints[],5,FALSE))+DAY(VLOOKUP(NV$5,Sprints[],2,FALSE)),1,VLOOKUP(NV$5,Sprints[],4,FALSE))&lt;&gt;"")*(IF(OFFSET($A24,0,31*(VLOOKUP(NV$5,Sprints[],5,FALSE))+DAY(VLOOKUP(NV$5,Sprints[],2,FALSE)),1,VLOOKUP(NV$5,Sprints[],4,FALSE))=$OA$12,0.5,1)*(OFFSET($A$3,0,31*(VLOOKUP(NV$5,Sprints[],5,FALSE))+DAY(VLOOKUP(NV$5,Sprints[],2,FALSE)),1,VLOOKUP(NV$5,Sprints[],4,FALSE)))))</f>
        <v>2</v>
      </c>
      <c r="NW24" s="60">
        <f t="array" aca="1" ref="NW24" ca="1">SUMPRODUCT((OFFSET($A24,0,31*(VLOOKUP(NW$5,Sprints[],5,FALSE))+DAY(VLOOKUP(NW$5,Sprints[],2,FALSE)),1,VLOOKUP(NW$5,Sprints[],4,FALSE))&lt;&gt;"")*(IF(OFFSET($A24,0,31*(VLOOKUP(NW$5,Sprints[],5,FALSE))+DAY(VLOOKUP(NW$5,Sprints[],2,FALSE)),1,VLOOKUP(NW$5,Sprints[],4,FALSE))=$OA$12,0.5,1)*(OFFSET($A$3,0,31*(VLOOKUP(NW$5,Sprints[],5,FALSE))+DAY(VLOOKUP(NW$5,Sprints[],2,FALSE)),1,VLOOKUP(NW$5,Sprints[],4,FALSE)))))</f>
        <v>4</v>
      </c>
      <c r="NX24" s="60">
        <f t="array" aca="1" ref="NX24" ca="1">SUMPRODUCT((OFFSET($A24,0,31*(VLOOKUP(NX$5,Sprints[],5,FALSE))+DAY(VLOOKUP(NX$5,Sprints[],2,FALSE)),1,VLOOKUP(NX$5,Sprints[],4,FALSE))&lt;&gt;"")*(IF(OFFSET($A24,0,31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25" spans="1:391" ht="15.4" customHeight="1" x14ac:dyDescent="0.45">
      <c r="A25" s="1" t="s">
        <v>77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 t="s">
        <v>33</v>
      </c>
      <c r="AX25" s="2" t="s">
        <v>31</v>
      </c>
      <c r="AY25" s="2"/>
      <c r="AZ25" s="2"/>
      <c r="BA25" s="2" t="s">
        <v>35</v>
      </c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 t="s">
        <v>50</v>
      </c>
      <c r="BS25" s="2" t="s">
        <v>50</v>
      </c>
      <c r="BT25" s="2"/>
      <c r="BU25" s="2"/>
      <c r="BV25" s="2"/>
      <c r="BW25" s="2"/>
      <c r="BX25" s="2"/>
      <c r="BY25" s="2"/>
      <c r="BZ25" s="2"/>
      <c r="CA25" s="2"/>
      <c r="CB25" s="2"/>
      <c r="CC25" s="2" t="s">
        <v>50</v>
      </c>
      <c r="CD25" s="2" t="s">
        <v>50</v>
      </c>
      <c r="CE25" s="2" t="s">
        <v>50</v>
      </c>
      <c r="CF25" s="2" t="s">
        <v>50</v>
      </c>
      <c r="CG25" s="2" t="s">
        <v>50</v>
      </c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 t="s">
        <v>35</v>
      </c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 t="s">
        <v>35</v>
      </c>
      <c r="EB25" s="2"/>
      <c r="EC25" s="2"/>
      <c r="ED25" s="2"/>
      <c r="EE25" s="2"/>
      <c r="EF25" s="2"/>
      <c r="EG25" s="2"/>
      <c r="EH25" s="2" t="s">
        <v>50</v>
      </c>
      <c r="EI25" s="2" t="s">
        <v>50</v>
      </c>
      <c r="EJ25" s="2" t="s">
        <v>50</v>
      </c>
      <c r="EK25" s="2" t="s">
        <v>50</v>
      </c>
      <c r="EL25" s="2" t="s">
        <v>50</v>
      </c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 t="s">
        <v>35</v>
      </c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 t="s">
        <v>35</v>
      </c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 t="s">
        <v>35</v>
      </c>
      <c r="JO25" s="2" t="s">
        <v>35</v>
      </c>
      <c r="JP25" s="2"/>
      <c r="JQ25" s="2"/>
      <c r="JR25" s="2"/>
      <c r="JS25" s="2"/>
      <c r="JT25" s="2"/>
      <c r="JU25" s="2" t="s">
        <v>35</v>
      </c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 t="s">
        <v>35</v>
      </c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14">
        <f t="array" aca="1" ref="NJ25" ca="1">SUMPRODUCT((OFFSET($A25,0,31*($A$3-1)+1,1,31)&lt;&gt;"")*(IF(OFFSET($A25,0,31*($A$3-1)+1,1,31)=$OA$12,0.5,1)*(OFFSET($A$4,0,31*($A$3-1)+1,1,31))))</f>
        <v>0</v>
      </c>
      <c r="NK25" s="20">
        <f t="array" aca="1" ref="NK25" ca="1">SUMPRODUCT((OFFSET($A25,0,1,1,372)&lt;&gt;"")*(IF(OFFSET($A25,0,1,1,372)=$OA$12,0.5,1)*(OFFSET($A$3,0,1,1,372))))</f>
        <v>22.5</v>
      </c>
      <c r="NL25" s="28">
        <f t="array" aca="1" ref="NL25" ca="1">SUMPRODUCT((OFFSET($A25,0,31*($A$4)+DAY(Holidays!$E$2),1,Holidays!$G$2)&lt;&gt;"")*(IF(OFFSET($A25,0,31*($A$4)+DAY(Holidays!$E$2),1,Holidays!$G$2)=$OA$12,0.5,1)*(OFFSET($A$3,0,31*($A$4)+DAY(Holidays!$E$2),1,Holidays!$G$2))))</f>
        <v>17.5</v>
      </c>
      <c r="NM25" s="60">
        <f t="array" aca="1" ref="NM25" ca="1">SUMPRODUCT((OFFSET($A25,0,31*($A$4)+DAY(VLOOKUP(NM$5,Sprints[],2,FALSE)),1,VLOOKUP(NM$5,Sprints[],4,FALSE))&lt;&gt;"")*(IF(OFFSET($A25,0,31*($A$4)+DAY(VLOOKUP(NM$5,Sprints[],2,FALSE)),1,VLOOKUP(NM$5,Sprints[],4,FALSE))=$OA$12,0.5,1)*(OFFSET($A$3,0,31*($A$4)+DAY(VLOOKUP(NM$5,Sprints[],2,FALSE)),1,VLOOKUP(NM$5,Sprints[],4,FALSE)))))</f>
        <v>0</v>
      </c>
      <c r="NN25" s="60">
        <f t="array" aca="1" ref="NN25" ca="1">SUMPRODUCT((OFFSET($A25,0,31*($A$4)+DAY(VLOOKUP(NN$5,Sprints[],2,FALSE)),1,VLOOKUP(NN$5,Sprints[],4,FALSE))&lt;&gt;"")*(IF(OFFSET($A25,0,31*($A$4)+DAY(VLOOKUP(NN$5,Sprints[],2,FALSE)),1,VLOOKUP(NN$5,Sprints[],4,FALSE))=$OA$12,0.5,1)*(OFFSET($A$3,0,31*($A$4)+DAY(VLOOKUP(NN$5,Sprints[],2,FALSE)),1,VLOOKUP(NN$5,Sprints[],4,FALSE)))))</f>
        <v>0</v>
      </c>
      <c r="NO25" s="60">
        <f t="array" aca="1" ref="NO25" ca="1">SUMPRODUCT((OFFSET($A25,0,31*($A$4)+DAY(VLOOKUP(NO$5,Sprints[],2,FALSE)),1,VLOOKUP(NO$5,Sprints[],4,FALSE))&lt;&gt;"")*(IF(OFFSET($A25,0,31*($A$4)+DAY(VLOOKUP(NO$5,Sprints[],2,FALSE)),1,VLOOKUP(NO$5,Sprints[],4,FALSE))=$OA$12,0.5,1)*(OFFSET($A$3,0,31*($A$4)+DAY(VLOOKUP(NO$5,Sprints[],2,FALSE)),1,VLOOKUP(NO$5,Sprints[],4,FALSE)))))</f>
        <v>0</v>
      </c>
      <c r="NP25" s="60">
        <f t="array" aca="1" ref="NP25" ca="1">SUMPRODUCT((OFFSET($A25,0,31*(VLOOKUP(NP$5,Sprints[],5,FALSE))+DAY(VLOOKUP(NP$5,Sprints[],2,FALSE)),1,VLOOKUP(NP$5,Sprints[],4,FALSE))&lt;&gt;"")*(IF(OFFSET($A25,0,31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25" s="60">
        <f t="array" aca="1" ref="NQ25" ca="1">SUMPRODUCT((OFFSET($A25,0,31*(VLOOKUP(NQ$5,Sprints[],5,FALSE))+DAY(VLOOKUP(NQ$5,Sprints[],2,FALSE)),1,VLOOKUP(NQ$5,Sprints[],4,FALSE))&lt;&gt;"")*(IF(OFFSET($A25,0,31*(VLOOKUP(NQ$5,Sprints[],5,FALSE))+DAY(VLOOKUP(NQ$5,Sprints[],2,FALSE)),1,VLOOKUP(NQ$5,Sprints[],4,FALSE))=$OA$12,0.5,1)*(OFFSET($A$3,0,31*(VLOOKUP(NQ$5,Sprints[],5,FALSE))+DAY(VLOOKUP(NQ$5,Sprints[],2,FALSE)),1,VLOOKUP(NQ$5,Sprints[],4,FALSE)))))</f>
        <v>2</v>
      </c>
      <c r="NR25" s="60">
        <f t="array" aca="1" ref="NR25" ca="1">SUMPRODUCT((OFFSET($A25,0,31*(VLOOKUP(NR$5,Sprints[],5,FALSE))+DAY(VLOOKUP(NR$5,Sprints[],2,FALSE)),1,VLOOKUP(NR$5,Sprints[],4,FALSE))&lt;&gt;"")*(IF(OFFSET($A25,0,31*(VLOOKUP(NR$5,Sprints[],5,FALSE))+DAY(VLOOKUP(NR$5,Sprints[],2,FALSE)),1,VLOOKUP(NR$5,Sprints[],4,FALSE))=$OA$12,0.5,1)*(OFFSET($A$3,0,31*(VLOOKUP(NR$5,Sprints[],5,FALSE))+DAY(VLOOKUP(NR$5,Sprints[],2,FALSE)),1,VLOOKUP(NR$5,Sprints[],4,FALSE)))))</f>
        <v>5</v>
      </c>
      <c r="NS25" s="60">
        <f t="array" aca="1" ref="NS25" ca="1">SUMPRODUCT((OFFSET($A25,0,31*(VLOOKUP(NS$5,Sprints[],5,FALSE))+DAY(VLOOKUP(NS$5,Sprints[],2,FALSE)),1,VLOOKUP(NS$5,Sprints[],4,FALSE))&lt;&gt;"")*(IF(OFFSET($A25,0,31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25" s="60">
        <f t="array" aca="1" ref="NT25" ca="1">SUMPRODUCT((OFFSET($A25,0,31*(VLOOKUP(NT$5,Sprints[],5,FALSE))+DAY(VLOOKUP(NT$5,Sprints[],2,FALSE)),1,VLOOKUP(NT$5,Sprints[],4,FALSE))&lt;&gt;"")*(IF(OFFSET($A25,0,31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25" s="60">
        <f t="array" aca="1" ref="NU25" ca="1">SUMPRODUCT((OFFSET($A25,0,31*(VLOOKUP(NU$5,Sprints[],5,FALSE))+DAY(VLOOKUP(NU$5,Sprints[],2,FALSE)),1,VLOOKUP(NU$5,Sprints[],4,FALSE))&lt;&gt;"")*(IF(OFFSET($A25,0,31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25" s="60">
        <f t="array" aca="1" ref="NV25" ca="1">SUMPRODUCT((OFFSET($A25,0,31*(VLOOKUP(NV$5,Sprints[],5,FALSE))+DAY(VLOOKUP(NV$5,Sprints[],2,FALSE)),1,VLOOKUP(NV$5,Sprints[],4,FALSE))&lt;&gt;"")*(IF(OFFSET($A25,0,31*(VLOOKUP(NV$5,Sprints[],5,FALSE))+DAY(VLOOKUP(NV$5,Sprints[],2,FALSE)),1,VLOOKUP(NV$5,Sprints[],4,FALSE))=$OA$12,0.5,1)*(OFFSET($A$3,0,31*(VLOOKUP(NV$5,Sprints[],5,FALSE))+DAY(VLOOKUP(NV$5,Sprints[],2,FALSE)),1,VLOOKUP(NV$5,Sprints[],4,FALSE)))))</f>
        <v>5</v>
      </c>
      <c r="NW25" s="60">
        <f t="array" aca="1" ref="NW25" ca="1">SUMPRODUCT((OFFSET($A25,0,31*(VLOOKUP(NW$5,Sprints[],5,FALSE))+DAY(VLOOKUP(NW$5,Sprints[],2,FALSE)),1,VLOOKUP(NW$5,Sprints[],4,FALSE))&lt;&gt;"")*(IF(OFFSET($A25,0,31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25" s="60">
        <f t="array" aca="1" ref="NX25" ca="1">SUMPRODUCT((OFFSET($A25,0,31*(VLOOKUP(NX$5,Sprints[],5,FALSE))+DAY(VLOOKUP(NX$5,Sprints[],2,FALSE)),1,VLOOKUP(NX$5,Sprints[],4,FALSE))&lt;&gt;"")*(IF(OFFSET($A25,0,31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26" spans="1:391" x14ac:dyDescent="0.45">
      <c r="A26" s="1" t="s">
        <v>78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 t="s">
        <v>33</v>
      </c>
      <c r="AX26" s="2" t="s">
        <v>31</v>
      </c>
      <c r="AY26" s="2"/>
      <c r="AZ26" s="2"/>
      <c r="BA26" s="2" t="s">
        <v>35</v>
      </c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 t="s">
        <v>50</v>
      </c>
      <c r="BX26" s="2" t="s">
        <v>50</v>
      </c>
      <c r="BY26" s="2" t="s">
        <v>50</v>
      </c>
      <c r="BZ26" s="2" t="s">
        <v>50</v>
      </c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 t="s">
        <v>35</v>
      </c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 t="s">
        <v>50</v>
      </c>
      <c r="DN26" s="2" t="s">
        <v>50</v>
      </c>
      <c r="DO26" s="2" t="s">
        <v>50</v>
      </c>
      <c r="DP26" s="2" t="s">
        <v>50</v>
      </c>
      <c r="DQ26" s="2" t="s">
        <v>50</v>
      </c>
      <c r="DR26" s="2"/>
      <c r="DS26" s="2"/>
      <c r="DT26" s="2"/>
      <c r="DU26" s="2"/>
      <c r="DV26" s="2"/>
      <c r="DW26" s="2"/>
      <c r="DX26" s="2"/>
      <c r="DY26" s="2"/>
      <c r="DZ26" s="2"/>
      <c r="EA26" s="2" t="s">
        <v>35</v>
      </c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 t="s">
        <v>35</v>
      </c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 t="s">
        <v>35</v>
      </c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 t="s">
        <v>35</v>
      </c>
      <c r="JO26" s="2" t="s">
        <v>35</v>
      </c>
      <c r="JP26" s="2"/>
      <c r="JQ26" s="2"/>
      <c r="JR26" s="2"/>
      <c r="JS26" s="2"/>
      <c r="JT26" s="2"/>
      <c r="JU26" s="2" t="s">
        <v>35</v>
      </c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 t="s">
        <v>35</v>
      </c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14">
        <f t="array" aca="1" ref="NJ26" ca="1">SUMPRODUCT((OFFSET($A26,0,31*($A$3-1)+1,1,31)&lt;&gt;"")*(IF(OFFSET($A26,0,31*($A$3-1)+1,1,31)=$OA$12,0.5,1)*(OFFSET($A$4,0,31*($A$3-1)+1,1,31))))</f>
        <v>0</v>
      </c>
      <c r="NK26" s="20">
        <f t="array" aca="1" ref="NK26" ca="1">SUMPRODUCT((OFFSET($A26,0,1,1,372)&lt;&gt;"")*(IF(OFFSET($A26,0,1,1,372)=$OA$12,0.5,1)*(OFFSET($A$3,0,1,1,372))))</f>
        <v>19.5</v>
      </c>
      <c r="NL26" s="28">
        <f t="array" aca="1" ref="NL26" ca="1">SUMPRODUCT((OFFSET($A26,0,31*($A$4)+DAY(Holidays!$E$2),1,Holidays!$G$2)&lt;&gt;"")*(IF(OFFSET($A26,0,31*($A$4)+DAY(Holidays!$E$2),1,Holidays!$G$2)=$OA$12,0.5,1)*(OFFSET($A$3,0,31*($A$4)+DAY(Holidays!$E$2),1,Holidays!$G$2))))</f>
        <v>14.5</v>
      </c>
      <c r="NM26" s="60">
        <f t="array" aca="1" ref="NM26" ca="1">SUMPRODUCT((OFFSET($A26,0,31*($A$4)+DAY(VLOOKUP(NM$5,Sprints[],2,FALSE)),1,VLOOKUP(NM$5,Sprints[],4,FALSE))&lt;&gt;"")*(IF(OFFSET($A26,0,31*($A$4)+DAY(VLOOKUP(NM$5,Sprints[],2,FALSE)),1,VLOOKUP(NM$5,Sprints[],4,FALSE))=$OA$12,0.5,1)*(OFFSET($A$3,0,31*($A$4)+DAY(VLOOKUP(NM$5,Sprints[],2,FALSE)),1,VLOOKUP(NM$5,Sprints[],4,FALSE)))))</f>
        <v>0</v>
      </c>
      <c r="NN26" s="60">
        <f t="array" aca="1" ref="NN26" ca="1">SUMPRODUCT((OFFSET($A26,0,31*($A$4)+DAY(VLOOKUP(NN$5,Sprints[],2,FALSE)),1,VLOOKUP(NN$5,Sprints[],4,FALSE))&lt;&gt;"")*(IF(OFFSET($A26,0,31*($A$4)+DAY(VLOOKUP(NN$5,Sprints[],2,FALSE)),1,VLOOKUP(NN$5,Sprints[],4,FALSE))=$OA$12,0.5,1)*(OFFSET($A$3,0,31*($A$4)+DAY(VLOOKUP(NN$5,Sprints[],2,FALSE)),1,VLOOKUP(NN$5,Sprints[],4,FALSE)))))</f>
        <v>0</v>
      </c>
      <c r="NO26" s="60">
        <f t="array" aca="1" ref="NO26" ca="1">SUMPRODUCT((OFFSET($A26,0,31*($A$4)+DAY(VLOOKUP(NO$5,Sprints[],2,FALSE)),1,VLOOKUP(NO$5,Sprints[],4,FALSE))&lt;&gt;"")*(IF(OFFSET($A26,0,31*($A$4)+DAY(VLOOKUP(NO$5,Sprints[],2,FALSE)),1,VLOOKUP(NO$5,Sprints[],4,FALSE))=$OA$12,0.5,1)*(OFFSET($A$3,0,31*($A$4)+DAY(VLOOKUP(NO$5,Sprints[],2,FALSE)),1,VLOOKUP(NO$5,Sprints[],4,FALSE)))))</f>
        <v>0</v>
      </c>
      <c r="NP26" s="60">
        <f t="array" aca="1" ref="NP26" ca="1">SUMPRODUCT((OFFSET($A26,0,31*(VLOOKUP(NP$5,Sprints[],5,FALSE))+DAY(VLOOKUP(NP$5,Sprints[],2,FALSE)),1,VLOOKUP(NP$5,Sprints[],4,FALSE))&lt;&gt;"")*(IF(OFFSET($A26,0,31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26" s="60">
        <f t="array" aca="1" ref="NQ26" ca="1">SUMPRODUCT((OFFSET($A26,0,31*(VLOOKUP(NQ$5,Sprints[],5,FALSE))+DAY(VLOOKUP(NQ$5,Sprints[],2,FALSE)),1,VLOOKUP(NQ$5,Sprints[],4,FALSE))&lt;&gt;"")*(IF(OFFSET($A26,0,31*(VLOOKUP(NQ$5,Sprints[],5,FALSE))+DAY(VLOOKUP(NQ$5,Sprints[],2,FALSE)),1,VLOOKUP(NQ$5,Sprints[],4,FALSE))=$OA$12,0.5,1)*(OFFSET($A$3,0,31*(VLOOKUP(NQ$5,Sprints[],5,FALSE))+DAY(VLOOKUP(NQ$5,Sprints[],2,FALSE)),1,VLOOKUP(NQ$5,Sprints[],4,FALSE)))))</f>
        <v>1</v>
      </c>
      <c r="NR26" s="60">
        <f t="array" aca="1" ref="NR26" ca="1">SUMPRODUCT((OFFSET($A26,0,31*(VLOOKUP(NR$5,Sprints[],5,FALSE))+DAY(VLOOKUP(NR$5,Sprints[],2,FALSE)),1,VLOOKUP(NR$5,Sprints[],4,FALSE))&lt;&gt;"")*(IF(OFFSET($A26,0,31*(VLOOKUP(NR$5,Sprints[],5,FALSE))+DAY(VLOOKUP(NR$5,Sprints[],2,FALSE)),1,VLOOKUP(NR$5,Sprints[],4,FALSE))=$OA$12,0.5,1)*(OFFSET($A$3,0,31*(VLOOKUP(NR$5,Sprints[],5,FALSE))+DAY(VLOOKUP(NR$5,Sprints[],2,FALSE)),1,VLOOKUP(NR$5,Sprints[],4,FALSE)))))</f>
        <v>3</v>
      </c>
      <c r="NS26" s="60">
        <f t="array" aca="1" ref="NS26" ca="1">SUMPRODUCT((OFFSET($A26,0,31*(VLOOKUP(NS$5,Sprints[],5,FALSE))+DAY(VLOOKUP(NS$5,Sprints[],2,FALSE)),1,VLOOKUP(NS$5,Sprints[],4,FALSE))&lt;&gt;"")*(IF(OFFSET($A26,0,31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26" s="60">
        <f t="array" aca="1" ref="NT26" ca="1">SUMPRODUCT((OFFSET($A26,0,31*(VLOOKUP(NT$5,Sprints[],5,FALSE))+DAY(VLOOKUP(NT$5,Sprints[],2,FALSE)),1,VLOOKUP(NT$5,Sprints[],4,FALSE))&lt;&gt;"")*(IF(OFFSET($A26,0,31*(VLOOKUP(NT$5,Sprints[],5,FALSE))+DAY(VLOOKUP(NT$5,Sprints[],2,FALSE)),1,VLOOKUP(NT$5,Sprints[],4,FALSE))=$OA$12,0.5,1)*(OFFSET($A$3,0,31*(VLOOKUP(NT$5,Sprints[],5,FALSE))+DAY(VLOOKUP(NT$5,Sprints[],2,FALSE)),1,VLOOKUP(NT$5,Sprints[],4,FALSE)))))</f>
        <v>2</v>
      </c>
      <c r="NU26" s="60">
        <f t="array" aca="1" ref="NU26" ca="1">SUMPRODUCT((OFFSET($A26,0,31*(VLOOKUP(NU$5,Sprints[],5,FALSE))+DAY(VLOOKUP(NU$5,Sprints[],2,FALSE)),1,VLOOKUP(NU$5,Sprints[],4,FALSE))&lt;&gt;"")*(IF(OFFSET($A26,0,31*(VLOOKUP(NU$5,Sprints[],5,FALSE))+DAY(VLOOKUP(NU$5,Sprints[],2,FALSE)),1,VLOOKUP(NU$5,Sprints[],4,FALSE))=$OA$12,0.5,1)*(OFFSET($A$3,0,31*(VLOOKUP(NU$5,Sprints[],5,FALSE))+DAY(VLOOKUP(NU$5,Sprints[],2,FALSE)),1,VLOOKUP(NU$5,Sprints[],4,FALSE)))))</f>
        <v>4</v>
      </c>
      <c r="NV26" s="60">
        <f t="array" aca="1" ref="NV26" ca="1">SUMPRODUCT((OFFSET($A26,0,31*(VLOOKUP(NV$5,Sprints[],5,FALSE))+DAY(VLOOKUP(NV$5,Sprints[],2,FALSE)),1,VLOOKUP(NV$5,Sprints[],4,FALSE))&lt;&gt;"")*(IF(OFFSET($A26,0,31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26" s="60">
        <f t="array" aca="1" ref="NW26" ca="1">SUMPRODUCT((OFFSET($A26,0,31*(VLOOKUP(NW$5,Sprints[],5,FALSE))+DAY(VLOOKUP(NW$5,Sprints[],2,FALSE)),1,VLOOKUP(NW$5,Sprints[],4,FALSE))&lt;&gt;"")*(IF(OFFSET($A26,0,31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26" s="60">
        <f t="array" aca="1" ref="NX26" ca="1">SUMPRODUCT((OFFSET($A26,0,31*(VLOOKUP(NX$5,Sprints[],5,FALSE))+DAY(VLOOKUP(NX$5,Sprints[],2,FALSE)),1,VLOOKUP(NX$5,Sprints[],4,FALSE))&lt;&gt;"")*(IF(OFFSET($A26,0,31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27" spans="1:391" x14ac:dyDescent="0.45">
      <c r="A27" s="1" t="s">
        <v>79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 t="s">
        <v>33</v>
      </c>
      <c r="AX27" s="2" t="s">
        <v>31</v>
      </c>
      <c r="AY27" s="2"/>
      <c r="AZ27" s="2"/>
      <c r="BA27" s="2" t="s">
        <v>35</v>
      </c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 t="s">
        <v>50</v>
      </c>
      <c r="CM27" s="2" t="s">
        <v>50</v>
      </c>
      <c r="CN27" s="2" t="s">
        <v>50</v>
      </c>
      <c r="CO27" s="2"/>
      <c r="CP27" s="2"/>
      <c r="CQ27" s="2"/>
      <c r="CR27" s="2" t="s">
        <v>35</v>
      </c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 t="s">
        <v>35</v>
      </c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 t="s">
        <v>50</v>
      </c>
      <c r="EW27" s="2" t="s">
        <v>50</v>
      </c>
      <c r="EX27" s="2" t="s">
        <v>50</v>
      </c>
      <c r="EY27" s="2" t="s">
        <v>50</v>
      </c>
      <c r="EZ27" s="2" t="s">
        <v>50</v>
      </c>
      <c r="FA27" s="2"/>
      <c r="FB27" s="2"/>
      <c r="FC27" s="2" t="s">
        <v>35</v>
      </c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 t="s">
        <v>35</v>
      </c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 t="s">
        <v>35</v>
      </c>
      <c r="JO27" s="2" t="s">
        <v>35</v>
      </c>
      <c r="JP27" s="2"/>
      <c r="JQ27" s="2"/>
      <c r="JR27" s="2"/>
      <c r="JS27" s="2"/>
      <c r="JT27" s="2"/>
      <c r="JU27" s="2" t="s">
        <v>35</v>
      </c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 t="s">
        <v>35</v>
      </c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14">
        <f t="array" aca="1" ref="NJ27" ca="1">SUMPRODUCT((OFFSET($A27,0,31*($A$3-1)+1,1,31)&lt;&gt;"")*(IF(OFFSET($A27,0,31*($A$3-1)+1,1,31)=$OA$12,0.5,1)*(OFFSET($A$4,0,31*($A$3-1)+1,1,31))))</f>
        <v>0</v>
      </c>
      <c r="NK27" s="20">
        <f t="array" aca="1" ref="NK27" ca="1">SUMPRODUCT((OFFSET($A27,0,1,1,372)&lt;&gt;"")*(IF(OFFSET($A27,0,1,1,372)=$OA$12,0.5,1)*(OFFSET($A$3,0,1,1,372))))</f>
        <v>18.5</v>
      </c>
      <c r="NL27" s="28">
        <f t="array" aca="1" ref="NL27" ca="1">SUMPRODUCT((OFFSET($A27,0,31*($A$4)+DAY(Holidays!$E$2),1,Holidays!$G$2)&lt;&gt;"")*(IF(OFFSET($A27,0,31*($A$4)+DAY(Holidays!$E$2),1,Holidays!$G$2)=$OA$12,0.5,1)*(OFFSET($A$3,0,31*($A$4)+DAY(Holidays!$E$2),1,Holidays!$G$2))))</f>
        <v>13.5</v>
      </c>
      <c r="NM27" s="60">
        <f t="array" aca="1" ref="NM27" ca="1">SUMPRODUCT((OFFSET($A27,0,31*($A$4)+DAY(VLOOKUP(NM$5,Sprints[],2,FALSE)),1,VLOOKUP(NM$5,Sprints[],4,FALSE))&lt;&gt;"")*(IF(OFFSET($A27,0,31*($A$4)+DAY(VLOOKUP(NM$5,Sprints[],2,FALSE)),1,VLOOKUP(NM$5,Sprints[],4,FALSE))=$OA$12,0.5,1)*(OFFSET($A$3,0,31*($A$4)+DAY(VLOOKUP(NM$5,Sprints[],2,FALSE)),1,VLOOKUP(NM$5,Sprints[],4,FALSE)))))</f>
        <v>0</v>
      </c>
      <c r="NN27" s="60">
        <f t="array" aca="1" ref="NN27" ca="1">SUMPRODUCT((OFFSET($A27,0,31*($A$4)+DAY(VLOOKUP(NN$5,Sprints[],2,FALSE)),1,VLOOKUP(NN$5,Sprints[],4,FALSE))&lt;&gt;"")*(IF(OFFSET($A27,0,31*($A$4)+DAY(VLOOKUP(NN$5,Sprints[],2,FALSE)),1,VLOOKUP(NN$5,Sprints[],4,FALSE))=$OA$12,0.5,1)*(OFFSET($A$3,0,31*($A$4)+DAY(VLOOKUP(NN$5,Sprints[],2,FALSE)),1,VLOOKUP(NN$5,Sprints[],4,FALSE)))))</f>
        <v>0</v>
      </c>
      <c r="NO27" s="60">
        <f t="array" aca="1" ref="NO27" ca="1">SUMPRODUCT((OFFSET($A27,0,31*($A$4)+DAY(VLOOKUP(NO$5,Sprints[],2,FALSE)),1,VLOOKUP(NO$5,Sprints[],4,FALSE))&lt;&gt;"")*(IF(OFFSET($A27,0,31*($A$4)+DAY(VLOOKUP(NO$5,Sprints[],2,FALSE)),1,VLOOKUP(NO$5,Sprints[],4,FALSE))=$OA$12,0.5,1)*(OFFSET($A$3,0,31*($A$4)+DAY(VLOOKUP(NO$5,Sprints[],2,FALSE)),1,VLOOKUP(NO$5,Sprints[],4,FALSE)))))</f>
        <v>0</v>
      </c>
      <c r="NP27" s="60">
        <f t="array" aca="1" ref="NP27" ca="1">SUMPRODUCT((OFFSET($A27,0,31*(VLOOKUP(NP$5,Sprints[],5,FALSE))+DAY(VLOOKUP(NP$5,Sprints[],2,FALSE)),1,VLOOKUP(NP$5,Sprints[],4,FALSE))&lt;&gt;"")*(IF(OFFSET($A27,0,31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27" s="60">
        <f t="array" aca="1" ref="NQ27" ca="1">SUMPRODUCT((OFFSET($A27,0,31*(VLOOKUP(NQ$5,Sprints[],5,FALSE))+DAY(VLOOKUP(NQ$5,Sprints[],2,FALSE)),1,VLOOKUP(NQ$5,Sprints[],4,FALSE))&lt;&gt;"")*(IF(OFFSET($A27,0,31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27" s="60">
        <f t="array" aca="1" ref="NR27" ca="1">SUMPRODUCT((OFFSET($A27,0,31*(VLOOKUP(NR$5,Sprints[],5,FALSE))+DAY(VLOOKUP(NR$5,Sprints[],2,FALSE)),1,VLOOKUP(NR$5,Sprints[],4,FALSE))&lt;&gt;"")*(IF(OFFSET($A27,0,31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27" s="60">
        <f t="array" aca="1" ref="NS27" ca="1">SUMPRODUCT((OFFSET($A27,0,31*(VLOOKUP(NS$5,Sprints[],5,FALSE))+DAY(VLOOKUP(NS$5,Sprints[],2,FALSE)),1,VLOOKUP(NS$5,Sprints[],4,FALSE))&lt;&gt;"")*(IF(OFFSET($A27,0,31*(VLOOKUP(NS$5,Sprints[],5,FALSE))+DAY(VLOOKUP(NS$5,Sprints[],2,FALSE)),1,VLOOKUP(NS$5,Sprints[],4,FALSE))=$OA$12,0.5,1)*(OFFSET($A$3,0,31*(VLOOKUP(NS$5,Sprints[],5,FALSE))+DAY(VLOOKUP(NS$5,Sprints[],2,FALSE)),1,VLOOKUP(NS$5,Sprints[],4,FALSE)))))</f>
        <v>4</v>
      </c>
      <c r="NT27" s="60">
        <f t="array" aca="1" ref="NT27" ca="1">SUMPRODUCT((OFFSET($A27,0,31*(VLOOKUP(NT$5,Sprints[],5,FALSE))+DAY(VLOOKUP(NT$5,Sprints[],2,FALSE)),1,VLOOKUP(NT$5,Sprints[],4,FALSE))&lt;&gt;"")*(IF(OFFSET($A27,0,31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27" s="60">
        <f t="array" aca="1" ref="NU27" ca="1">SUMPRODUCT((OFFSET($A27,0,31*(VLOOKUP(NU$5,Sprints[],5,FALSE))+DAY(VLOOKUP(NU$5,Sprints[],2,FALSE)),1,VLOOKUP(NU$5,Sprints[],4,FALSE))&lt;&gt;"")*(IF(OFFSET($A27,0,31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27" s="60">
        <f t="array" aca="1" ref="NV27" ca="1">SUMPRODUCT((OFFSET($A27,0,31*(VLOOKUP(NV$5,Sprints[],5,FALSE))+DAY(VLOOKUP(NV$5,Sprints[],2,FALSE)),1,VLOOKUP(NV$5,Sprints[],4,FALSE))&lt;&gt;"")*(IF(OFFSET($A27,0,31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27" s="60">
        <f t="array" aca="1" ref="NW27" ca="1">SUMPRODUCT((OFFSET($A27,0,31*(VLOOKUP(NW$5,Sprints[],5,FALSE))+DAY(VLOOKUP(NW$5,Sprints[],2,FALSE)),1,VLOOKUP(NW$5,Sprints[],4,FALSE))&lt;&gt;"")*(IF(OFFSET($A27,0,31*(VLOOKUP(NW$5,Sprints[],5,FALSE))+DAY(VLOOKUP(NW$5,Sprints[],2,FALSE)),1,VLOOKUP(NW$5,Sprints[],4,FALSE))=$OA$12,0.5,1)*(OFFSET($A$3,0,31*(VLOOKUP(NW$5,Sprints[],5,FALSE))+DAY(VLOOKUP(NW$5,Sprints[],2,FALSE)),1,VLOOKUP(NW$5,Sprints[],4,FALSE)))))</f>
        <v>6</v>
      </c>
      <c r="NX27" s="60">
        <f t="array" aca="1" ref="NX27" ca="1">SUMPRODUCT((OFFSET($A27,0,31*(VLOOKUP(NX$5,Sprints[],5,FALSE))+DAY(VLOOKUP(NX$5,Sprints[],2,FALSE)),1,VLOOKUP(NX$5,Sprints[],4,FALSE))&lt;&gt;"")*(IF(OFFSET($A27,0,31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28" spans="1:391" x14ac:dyDescent="0.45">
      <c r="A28" t="s">
        <v>80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 t="s">
        <v>33</v>
      </c>
      <c r="AX28" s="2" t="s">
        <v>31</v>
      </c>
      <c r="AY28" s="2"/>
      <c r="AZ28" s="2"/>
      <c r="BA28" s="2" t="s">
        <v>35</v>
      </c>
      <c r="BB28" s="2"/>
      <c r="BC28" s="2"/>
      <c r="BD28" s="2"/>
      <c r="BE28" s="2"/>
      <c r="BF28" s="2"/>
      <c r="BG28" s="2"/>
      <c r="BH28" s="2"/>
      <c r="BI28" s="2"/>
      <c r="BJ28" s="2"/>
      <c r="BK28" s="2" t="s">
        <v>50</v>
      </c>
      <c r="BL28" s="2"/>
      <c r="BM28" s="2"/>
      <c r="BN28" s="2"/>
      <c r="BO28" s="2" t="s">
        <v>50</v>
      </c>
      <c r="BP28" s="2" t="s">
        <v>50</v>
      </c>
      <c r="BQ28" s="2" t="s">
        <v>50</v>
      </c>
      <c r="BR28" s="2" t="s">
        <v>50</v>
      </c>
      <c r="BS28" s="2" t="s">
        <v>50</v>
      </c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 t="s">
        <v>50</v>
      </c>
      <c r="CK28" s="2" t="s">
        <v>50</v>
      </c>
      <c r="CL28" s="2" t="s">
        <v>50</v>
      </c>
      <c r="CM28" s="2" t="s">
        <v>50</v>
      </c>
      <c r="CN28" s="2" t="s">
        <v>50</v>
      </c>
      <c r="CO28" s="2"/>
      <c r="CP28" s="2"/>
      <c r="CQ28" s="2"/>
      <c r="CR28" s="2" t="s">
        <v>35</v>
      </c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 t="s">
        <v>35</v>
      </c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 t="s">
        <v>50</v>
      </c>
      <c r="EP28" s="2" t="s">
        <v>50</v>
      </c>
      <c r="EQ28" s="2" t="s">
        <v>50</v>
      </c>
      <c r="ER28" s="2" t="s">
        <v>50</v>
      </c>
      <c r="ES28" s="2" t="s">
        <v>50</v>
      </c>
      <c r="ET28" s="2"/>
      <c r="EU28" s="2"/>
      <c r="EV28" s="2"/>
      <c r="EW28" s="2"/>
      <c r="EX28" s="2"/>
      <c r="EY28" s="2"/>
      <c r="EZ28" s="2"/>
      <c r="FA28" s="2"/>
      <c r="FB28" s="2"/>
      <c r="FC28" s="2" t="s">
        <v>35</v>
      </c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 t="s">
        <v>35</v>
      </c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 t="s">
        <v>35</v>
      </c>
      <c r="JO28" s="2" t="s">
        <v>35</v>
      </c>
      <c r="JP28" s="2"/>
      <c r="JQ28" s="2"/>
      <c r="JR28" s="2"/>
      <c r="JS28" s="2"/>
      <c r="JT28" s="2"/>
      <c r="JU28" s="2" t="s">
        <v>35</v>
      </c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 t="s">
        <v>35</v>
      </c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14">
        <f t="array" aca="1" ref="NJ28" ca="1">SUMPRODUCT((OFFSET($A28,0,31*($A$3-1)+1,1,31)&lt;&gt;"")*(IF(OFFSET($A28,0,31*($A$3-1)+1,1,31)=$OA$12,0.5,1)*(OFFSET($A$4,0,31*($A$3-1)+1,1,31))))</f>
        <v>0</v>
      </c>
      <c r="NK28" s="20">
        <f t="array" aca="1" ref="NK28" ca="1">SUMPRODUCT((OFFSET($A28,0,1,1,372)&lt;&gt;"")*(IF(OFFSET($A28,0,1,1,372)=$OA$12,0.5,1)*(OFFSET($A$3,0,1,1,372))))</f>
        <v>26.5</v>
      </c>
      <c r="NL28" s="28">
        <f t="array" aca="1" ref="NL28" ca="1">SUMPRODUCT((OFFSET($A28,0,31*($A$4)+DAY(Holidays!$E$2),1,Holidays!$G$2)&lt;&gt;"")*(IF(OFFSET($A28,0,31*($A$4)+DAY(Holidays!$E$2),1,Holidays!$G$2)=$OA$12,0.5,1)*(OFFSET($A$3,0,31*($A$4)+DAY(Holidays!$E$2),1,Holidays!$G$2))))</f>
        <v>21.5</v>
      </c>
      <c r="NM28" s="60">
        <f t="array" aca="1" ref="NM28" ca="1">SUMPRODUCT((OFFSET($A28,0,31*($A$4)+DAY(VLOOKUP(NM$5,Sprints[],2,FALSE)),1,VLOOKUP(NM$5,Sprints[],4,FALSE))&lt;&gt;"")*(IF(OFFSET($A28,0,31*($A$4)+DAY(VLOOKUP(NM$5,Sprints[],2,FALSE)),1,VLOOKUP(NM$5,Sprints[],4,FALSE))=$OA$12,0.5,1)*(OFFSET($A$3,0,31*($A$4)+DAY(VLOOKUP(NM$5,Sprints[],2,FALSE)),1,VLOOKUP(NM$5,Sprints[],4,FALSE)))))</f>
        <v>0</v>
      </c>
      <c r="NN28" s="60">
        <f t="array" aca="1" ref="NN28" ca="1">SUMPRODUCT((OFFSET($A28,0,31*($A$4)+DAY(VLOOKUP(NN$5,Sprints[],2,FALSE)),1,VLOOKUP(NN$5,Sprints[],4,FALSE))&lt;&gt;"")*(IF(OFFSET($A28,0,31*($A$4)+DAY(VLOOKUP(NN$5,Sprints[],2,FALSE)),1,VLOOKUP(NN$5,Sprints[],4,FALSE))=$OA$12,0.5,1)*(OFFSET($A$3,0,31*($A$4)+DAY(VLOOKUP(NN$5,Sprints[],2,FALSE)),1,VLOOKUP(NN$5,Sprints[],4,FALSE)))))</f>
        <v>0</v>
      </c>
      <c r="NO28" s="60">
        <f t="array" aca="1" ref="NO28" ca="1">SUMPRODUCT((OFFSET($A28,0,31*($A$4)+DAY(VLOOKUP(NO$5,Sprints[],2,FALSE)),1,VLOOKUP(NO$5,Sprints[],4,FALSE))&lt;&gt;"")*(IF(OFFSET($A28,0,31*($A$4)+DAY(VLOOKUP(NO$5,Sprints[],2,FALSE)),1,VLOOKUP(NO$5,Sprints[],4,FALSE))=$OA$12,0.5,1)*(OFFSET($A$3,0,31*($A$4)+DAY(VLOOKUP(NO$5,Sprints[],2,FALSE)),1,VLOOKUP(NO$5,Sprints[],4,FALSE)))))</f>
        <v>0</v>
      </c>
      <c r="NP28" s="60">
        <f t="array" aca="1" ref="NP28" ca="1">SUMPRODUCT((OFFSET($A28,0,31*(VLOOKUP(NP$5,Sprints[],5,FALSE))+DAY(VLOOKUP(NP$5,Sprints[],2,FALSE)),1,VLOOKUP(NP$5,Sprints[],4,FALSE))&lt;&gt;"")*(IF(OFFSET($A28,0,31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28" s="60">
        <f t="array" aca="1" ref="NQ28" ca="1">SUMPRODUCT((OFFSET($A28,0,31*(VLOOKUP(NQ$5,Sprints[],5,FALSE))+DAY(VLOOKUP(NQ$5,Sprints[],2,FALSE)),1,VLOOKUP(NQ$5,Sprints[],4,FALSE))&lt;&gt;"")*(IF(OFFSET($A28,0,31*(VLOOKUP(NQ$5,Sprints[],5,FALSE))+DAY(VLOOKUP(NQ$5,Sprints[],2,FALSE)),1,VLOOKUP(NQ$5,Sprints[],4,FALSE))=$OA$12,0.5,1)*(OFFSET($A$3,0,31*(VLOOKUP(NQ$5,Sprints[],5,FALSE))+DAY(VLOOKUP(NQ$5,Sprints[],2,FALSE)),1,VLOOKUP(NQ$5,Sprints[],4,FALSE)))))</f>
        <v>6</v>
      </c>
      <c r="NR28" s="60">
        <f t="array" aca="1" ref="NR28" ca="1">SUMPRODUCT((OFFSET($A28,0,31*(VLOOKUP(NR$5,Sprints[],5,FALSE))+DAY(VLOOKUP(NR$5,Sprints[],2,FALSE)),1,VLOOKUP(NR$5,Sprints[],4,FALSE))&lt;&gt;"")*(IF(OFFSET($A28,0,31*(VLOOKUP(NR$5,Sprints[],5,FALSE))+DAY(VLOOKUP(NR$5,Sprints[],2,FALSE)),1,VLOOKUP(NR$5,Sprints[],4,FALSE))=$OA$12,0.5,1)*(OFFSET($A$3,0,31*(VLOOKUP(NR$5,Sprints[],5,FALSE))+DAY(VLOOKUP(NR$5,Sprints[],2,FALSE)),1,VLOOKUP(NR$5,Sprints[],4,FALSE)))))</f>
        <v>2</v>
      </c>
      <c r="NS28" s="60">
        <f t="array" aca="1" ref="NS28" ca="1">SUMPRODUCT((OFFSET($A28,0,31*(VLOOKUP(NS$5,Sprints[],5,FALSE))+DAY(VLOOKUP(NS$5,Sprints[],2,FALSE)),1,VLOOKUP(NS$5,Sprints[],4,FALSE))&lt;&gt;"")*(IF(OFFSET($A28,0,31*(VLOOKUP(NS$5,Sprints[],5,FALSE))+DAY(VLOOKUP(NS$5,Sprints[],2,FALSE)),1,VLOOKUP(NS$5,Sprints[],4,FALSE))=$OA$12,0.5,1)*(OFFSET($A$3,0,31*(VLOOKUP(NS$5,Sprints[],5,FALSE))+DAY(VLOOKUP(NS$5,Sprints[],2,FALSE)),1,VLOOKUP(NS$5,Sprints[],4,FALSE)))))</f>
        <v>4</v>
      </c>
      <c r="NT28" s="60">
        <f t="array" aca="1" ref="NT28" ca="1">SUMPRODUCT((OFFSET($A28,0,31*(VLOOKUP(NT$5,Sprints[],5,FALSE))+DAY(VLOOKUP(NT$5,Sprints[],2,FALSE)),1,VLOOKUP(NT$5,Sprints[],4,FALSE))&lt;&gt;"")*(IF(OFFSET($A28,0,31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28" s="60">
        <f t="array" aca="1" ref="NU28" ca="1">SUMPRODUCT((OFFSET($A28,0,31*(VLOOKUP(NU$5,Sprints[],5,FALSE))+DAY(VLOOKUP(NU$5,Sprints[],2,FALSE)),1,VLOOKUP(NU$5,Sprints[],4,FALSE))&lt;&gt;"")*(IF(OFFSET($A28,0,31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28" s="60">
        <f t="array" aca="1" ref="NV28" ca="1">SUMPRODUCT((OFFSET($A28,0,31*(VLOOKUP(NV$5,Sprints[],5,FALSE))+DAY(VLOOKUP(NV$5,Sprints[],2,FALSE)),1,VLOOKUP(NV$5,Sprints[],4,FALSE))&lt;&gt;"")*(IF(OFFSET($A28,0,31*(VLOOKUP(NV$5,Sprints[],5,FALSE))+DAY(VLOOKUP(NV$5,Sprints[],2,FALSE)),1,VLOOKUP(NV$5,Sprints[],4,FALSE))=$OA$12,0.5,1)*(OFFSET($A$3,0,31*(VLOOKUP(NV$5,Sprints[],5,FALSE))+DAY(VLOOKUP(NV$5,Sprints[],2,FALSE)),1,VLOOKUP(NV$5,Sprints[],4,FALSE)))))</f>
        <v>2</v>
      </c>
      <c r="NW28" s="60">
        <f t="array" aca="1" ref="NW28" ca="1">SUMPRODUCT((OFFSET($A28,0,31*(VLOOKUP(NW$5,Sprints[],5,FALSE))+DAY(VLOOKUP(NW$5,Sprints[],2,FALSE)),1,VLOOKUP(NW$5,Sprints[],4,FALSE))&lt;&gt;"")*(IF(OFFSET($A28,0,31*(VLOOKUP(NW$5,Sprints[],5,FALSE))+DAY(VLOOKUP(NW$5,Sprints[],2,FALSE)),1,VLOOKUP(NW$5,Sprints[],4,FALSE))=$OA$12,0.5,1)*(OFFSET($A$3,0,31*(VLOOKUP(NW$5,Sprints[],5,FALSE))+DAY(VLOOKUP(NW$5,Sprints[],2,FALSE)),1,VLOOKUP(NW$5,Sprints[],4,FALSE)))))</f>
        <v>4</v>
      </c>
      <c r="NX28" s="60">
        <f t="array" aca="1" ref="NX28" ca="1">SUMPRODUCT((OFFSET($A28,0,31*(VLOOKUP(NX$5,Sprints[],5,FALSE))+DAY(VLOOKUP(NX$5,Sprints[],2,FALSE)),1,VLOOKUP(NX$5,Sprints[],4,FALSE))&lt;&gt;"")*(IF(OFFSET($A28,0,31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29" spans="1:391" x14ac:dyDescent="0.45">
      <c r="A29" s="5" t="s">
        <v>81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 t="s">
        <v>33</v>
      </c>
      <c r="AX29" s="2" t="s">
        <v>31</v>
      </c>
      <c r="AY29" s="2"/>
      <c r="AZ29" s="2"/>
      <c r="BA29" s="2" t="s">
        <v>35</v>
      </c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 t="s">
        <v>50</v>
      </c>
      <c r="CG29" s="2" t="s">
        <v>50</v>
      </c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 t="s">
        <v>35</v>
      </c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 t="s">
        <v>35</v>
      </c>
      <c r="EB29" s="2"/>
      <c r="EC29" s="2"/>
      <c r="ED29" s="2"/>
      <c r="EE29" s="2"/>
      <c r="EF29" s="2"/>
      <c r="EG29" s="2"/>
      <c r="EH29" s="2" t="s">
        <v>50</v>
      </c>
      <c r="EI29" s="2" t="s">
        <v>50</v>
      </c>
      <c r="EJ29" s="2" t="s">
        <v>50</v>
      </c>
      <c r="EK29" s="2" t="s">
        <v>50</v>
      </c>
      <c r="EL29" s="2" t="s">
        <v>50</v>
      </c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 t="s">
        <v>35</v>
      </c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 t="s">
        <v>35</v>
      </c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 t="s">
        <v>35</v>
      </c>
      <c r="JO29" s="2" t="s">
        <v>35</v>
      </c>
      <c r="JP29" s="2"/>
      <c r="JQ29" s="2"/>
      <c r="JR29" s="2"/>
      <c r="JS29" s="2"/>
      <c r="JT29" s="2"/>
      <c r="JU29" s="2" t="s">
        <v>35</v>
      </c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 t="s">
        <v>35</v>
      </c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14">
        <f t="array" aca="1" ref="NJ29" ca="1">SUMPRODUCT((OFFSET($A29,0,31*($A$3-1)+1,1,31)&lt;&gt;"")*(IF(OFFSET($A29,0,31*($A$3-1)+1,1,31)=$OA$12,0.5,1)*(OFFSET($A$4,0,31*($A$3-1)+1,1,31))))</f>
        <v>0</v>
      </c>
      <c r="NK29" s="20">
        <f t="array" aca="1" ref="NK29" ca="1">SUMPRODUCT((OFFSET($A29,0,1,1,372)&lt;&gt;"")*(IF(OFFSET($A29,0,1,1,372)=$OA$12,0.5,1)*(OFFSET($A$3,0,1,1,372))))</f>
        <v>17.5</v>
      </c>
      <c r="NL29" s="28">
        <f t="array" aca="1" ref="NL29" ca="1">SUMPRODUCT((OFFSET($A29,0,31*($A$4)+DAY(Holidays!$E$2),1,Holidays!$G$2)&lt;&gt;"")*(IF(OFFSET($A29,0,31*($A$4)+DAY(Holidays!$E$2),1,Holidays!$G$2)=$OA$12,0.5,1)*(OFFSET($A$3,0,31*($A$4)+DAY(Holidays!$E$2),1,Holidays!$G$2))))</f>
        <v>12.5</v>
      </c>
      <c r="NM29" s="60">
        <f t="array" aca="1" ref="NM29" ca="1">SUMPRODUCT((OFFSET($A29,0,31*($A$4)+DAY(VLOOKUP(NM$5,Sprints[],2,FALSE)),1,VLOOKUP(NM$5,Sprints[],4,FALSE))&lt;&gt;"")*(IF(OFFSET($A29,0,31*($A$4)+DAY(VLOOKUP(NM$5,Sprints[],2,FALSE)),1,VLOOKUP(NM$5,Sprints[],4,FALSE))=$OA$12,0.5,1)*(OFFSET($A$3,0,31*($A$4)+DAY(VLOOKUP(NM$5,Sprints[],2,FALSE)),1,VLOOKUP(NM$5,Sprints[],4,FALSE)))))</f>
        <v>0</v>
      </c>
      <c r="NN29" s="60">
        <f t="array" aca="1" ref="NN29" ca="1">SUMPRODUCT((OFFSET($A29,0,31*($A$4)+DAY(VLOOKUP(NN$5,Sprints[],2,FALSE)),1,VLOOKUP(NN$5,Sprints[],4,FALSE))&lt;&gt;"")*(IF(OFFSET($A29,0,31*($A$4)+DAY(VLOOKUP(NN$5,Sprints[],2,FALSE)),1,VLOOKUP(NN$5,Sprints[],4,FALSE))=$OA$12,0.5,1)*(OFFSET($A$3,0,31*($A$4)+DAY(VLOOKUP(NN$5,Sprints[],2,FALSE)),1,VLOOKUP(NN$5,Sprints[],4,FALSE)))))</f>
        <v>0</v>
      </c>
      <c r="NO29" s="60">
        <f t="array" aca="1" ref="NO29" ca="1">SUMPRODUCT((OFFSET($A29,0,31*($A$4)+DAY(VLOOKUP(NO$5,Sprints[],2,FALSE)),1,VLOOKUP(NO$5,Sprints[],4,FALSE))&lt;&gt;"")*(IF(OFFSET($A29,0,31*($A$4)+DAY(VLOOKUP(NO$5,Sprints[],2,FALSE)),1,VLOOKUP(NO$5,Sprints[],4,FALSE))=$OA$12,0.5,1)*(OFFSET($A$3,0,31*($A$4)+DAY(VLOOKUP(NO$5,Sprints[],2,FALSE)),1,VLOOKUP(NO$5,Sprints[],4,FALSE)))))</f>
        <v>0</v>
      </c>
      <c r="NP29" s="60">
        <f t="array" aca="1" ref="NP29" ca="1">SUMPRODUCT((OFFSET($A29,0,31*(VLOOKUP(NP$5,Sprints[],5,FALSE))+DAY(VLOOKUP(NP$5,Sprints[],2,FALSE)),1,VLOOKUP(NP$5,Sprints[],4,FALSE))&lt;&gt;"")*(IF(OFFSET($A29,0,31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29" s="60">
        <f t="array" aca="1" ref="NQ29" ca="1">SUMPRODUCT((OFFSET($A29,0,31*(VLOOKUP(NQ$5,Sprints[],5,FALSE))+DAY(VLOOKUP(NQ$5,Sprints[],2,FALSE)),1,VLOOKUP(NQ$5,Sprints[],4,FALSE))&lt;&gt;"")*(IF(OFFSET($A29,0,31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29" s="60">
        <f t="array" aca="1" ref="NR29" ca="1">SUMPRODUCT((OFFSET($A29,0,31*(VLOOKUP(NR$5,Sprints[],5,FALSE))+DAY(VLOOKUP(NR$5,Sprints[],2,FALSE)),1,VLOOKUP(NR$5,Sprints[],4,FALSE))&lt;&gt;"")*(IF(OFFSET($A29,0,31*(VLOOKUP(NR$5,Sprints[],5,FALSE))+DAY(VLOOKUP(NR$5,Sprints[],2,FALSE)),1,VLOOKUP(NR$5,Sprints[],4,FALSE))=$OA$12,0.5,1)*(OFFSET($A$3,0,31*(VLOOKUP(NR$5,Sprints[],5,FALSE))+DAY(VLOOKUP(NR$5,Sprints[],2,FALSE)),1,VLOOKUP(NR$5,Sprints[],4,FALSE)))))</f>
        <v>2</v>
      </c>
      <c r="NS29" s="60">
        <f t="array" aca="1" ref="NS29" ca="1">SUMPRODUCT((OFFSET($A29,0,31*(VLOOKUP(NS$5,Sprints[],5,FALSE))+DAY(VLOOKUP(NS$5,Sprints[],2,FALSE)),1,VLOOKUP(NS$5,Sprints[],4,FALSE))&lt;&gt;"")*(IF(OFFSET($A29,0,31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29" s="60">
        <f t="array" aca="1" ref="NT29" ca="1">SUMPRODUCT((OFFSET($A29,0,31*(VLOOKUP(NT$5,Sprints[],5,FALSE))+DAY(VLOOKUP(NT$5,Sprints[],2,FALSE)),1,VLOOKUP(NT$5,Sprints[],4,FALSE))&lt;&gt;"")*(IF(OFFSET($A29,0,31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29" s="60">
        <f t="array" aca="1" ref="NU29" ca="1">SUMPRODUCT((OFFSET($A29,0,31*(VLOOKUP(NU$5,Sprints[],5,FALSE))+DAY(VLOOKUP(NU$5,Sprints[],2,FALSE)),1,VLOOKUP(NU$5,Sprints[],4,FALSE))&lt;&gt;"")*(IF(OFFSET($A29,0,31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29" s="60">
        <f t="array" aca="1" ref="NV29" ca="1">SUMPRODUCT((OFFSET($A29,0,31*(VLOOKUP(NV$5,Sprints[],5,FALSE))+DAY(VLOOKUP(NV$5,Sprints[],2,FALSE)),1,VLOOKUP(NV$5,Sprints[],4,FALSE))&lt;&gt;"")*(IF(OFFSET($A29,0,31*(VLOOKUP(NV$5,Sprints[],5,FALSE))+DAY(VLOOKUP(NV$5,Sprints[],2,FALSE)),1,VLOOKUP(NV$5,Sprints[],4,FALSE))=$OA$12,0.5,1)*(OFFSET($A$3,0,31*(VLOOKUP(NV$5,Sprints[],5,FALSE))+DAY(VLOOKUP(NV$5,Sprints[],2,FALSE)),1,VLOOKUP(NV$5,Sprints[],4,FALSE)))))</f>
        <v>5</v>
      </c>
      <c r="NW29" s="60">
        <f t="array" aca="1" ref="NW29" ca="1">SUMPRODUCT((OFFSET($A29,0,31*(VLOOKUP(NW$5,Sprints[],5,FALSE))+DAY(VLOOKUP(NW$5,Sprints[],2,FALSE)),1,VLOOKUP(NW$5,Sprints[],4,FALSE))&lt;&gt;"")*(IF(OFFSET($A29,0,31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29" s="60">
        <f t="array" aca="1" ref="NX29" ca="1">SUMPRODUCT((OFFSET($A29,0,31*(VLOOKUP(NX$5,Sprints[],5,FALSE))+DAY(VLOOKUP(NX$5,Sprints[],2,FALSE)),1,VLOOKUP(NX$5,Sprints[],4,FALSE))&lt;&gt;"")*(IF(OFFSET($A29,0,31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  <c r="NZ29" s="65"/>
    </row>
    <row r="30" spans="1:391" x14ac:dyDescent="0.45">
      <c r="A30" s="1" t="s">
        <v>82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 t="s">
        <v>33</v>
      </c>
      <c r="AX30" s="2" t="s">
        <v>31</v>
      </c>
      <c r="AY30" s="2"/>
      <c r="AZ30" s="2"/>
      <c r="BA30" s="2" t="s">
        <v>35</v>
      </c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 t="s">
        <v>50</v>
      </c>
      <c r="BY30" s="2" t="s">
        <v>50</v>
      </c>
      <c r="BZ30" s="2" t="s">
        <v>50</v>
      </c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 t="s">
        <v>35</v>
      </c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 t="s">
        <v>35</v>
      </c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 t="s">
        <v>35</v>
      </c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 t="s">
        <v>35</v>
      </c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 t="s">
        <v>35</v>
      </c>
      <c r="JO30" s="2" t="s">
        <v>35</v>
      </c>
      <c r="JP30" s="2"/>
      <c r="JQ30" s="2"/>
      <c r="JR30" s="2"/>
      <c r="JS30" s="2"/>
      <c r="JT30" s="2"/>
      <c r="JU30" s="2" t="s">
        <v>35</v>
      </c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 t="s">
        <v>35</v>
      </c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14">
        <f t="array" aca="1" ref="NJ30" ca="1">SUMPRODUCT((OFFSET($A30,0,31*($A$3-1)+1,1,31)&lt;&gt;"")*(IF(OFFSET($A30,0,31*($A$3-1)+1,1,31)=$OA$12,0.5,1)*(OFFSET($A$4,0,31*($A$3-1)+1,1,31))))</f>
        <v>0</v>
      </c>
      <c r="NK30" s="20">
        <f t="array" aca="1" ref="NK30" ca="1">SUMPRODUCT((OFFSET($A30,0,1,1,372)&lt;&gt;"")*(IF(OFFSET($A30,0,1,1,372)=$OA$12,0.5,1)*(OFFSET($A$3,0,1,1,372))))</f>
        <v>13.5</v>
      </c>
      <c r="NL30" s="28">
        <f t="array" aca="1" ref="NL30" ca="1">SUMPRODUCT((OFFSET($A30,0,31*($A$4)+DAY(Holidays!$E$2),1,Holidays!$G$2)&lt;&gt;"")*(IF(OFFSET($A30,0,31*($A$4)+DAY(Holidays!$E$2),1,Holidays!$G$2)=$OA$12,0.5,1)*(OFFSET($A$3,0,31*($A$4)+DAY(Holidays!$E$2),1,Holidays!$G$2))))</f>
        <v>8.5</v>
      </c>
      <c r="NM30" s="60">
        <f t="array" aca="1" ref="NM30" ca="1">SUMPRODUCT((OFFSET($A30,0,31*($A$4)+DAY(VLOOKUP(NM$5,Sprints[],2,FALSE)),1,VLOOKUP(NM$5,Sprints[],4,FALSE))&lt;&gt;"")*(IF(OFFSET($A30,0,31*($A$4)+DAY(VLOOKUP(NM$5,Sprints[],2,FALSE)),1,VLOOKUP(NM$5,Sprints[],4,FALSE))=$OA$12,0.5,1)*(OFFSET($A$3,0,31*($A$4)+DAY(VLOOKUP(NM$5,Sprints[],2,FALSE)),1,VLOOKUP(NM$5,Sprints[],4,FALSE)))))</f>
        <v>0</v>
      </c>
      <c r="NN30" s="60">
        <f t="array" aca="1" ref="NN30" ca="1">SUMPRODUCT((OFFSET($A30,0,31*($A$4)+DAY(VLOOKUP(NN$5,Sprints[],2,FALSE)),1,VLOOKUP(NN$5,Sprints[],4,FALSE))&lt;&gt;"")*(IF(OFFSET($A30,0,31*($A$4)+DAY(VLOOKUP(NN$5,Sprints[],2,FALSE)),1,VLOOKUP(NN$5,Sprints[],4,FALSE))=$OA$12,0.5,1)*(OFFSET($A$3,0,31*($A$4)+DAY(VLOOKUP(NN$5,Sprints[],2,FALSE)),1,VLOOKUP(NN$5,Sprints[],4,FALSE)))))</f>
        <v>0</v>
      </c>
      <c r="NO30" s="60">
        <f t="array" aca="1" ref="NO30" ca="1">SUMPRODUCT((OFFSET($A30,0,31*($A$4)+DAY(VLOOKUP(NO$5,Sprints[],2,FALSE)),1,VLOOKUP(NO$5,Sprints[],4,FALSE))&lt;&gt;"")*(IF(OFFSET($A30,0,31*($A$4)+DAY(VLOOKUP(NO$5,Sprints[],2,FALSE)),1,VLOOKUP(NO$5,Sprints[],4,FALSE))=$OA$12,0.5,1)*(OFFSET($A$3,0,31*($A$4)+DAY(VLOOKUP(NO$5,Sprints[],2,FALSE)),1,VLOOKUP(NO$5,Sprints[],4,FALSE)))))</f>
        <v>0</v>
      </c>
      <c r="NP30" s="60">
        <f t="array" aca="1" ref="NP30" ca="1">SUMPRODUCT((OFFSET($A30,0,31*(VLOOKUP(NP$5,Sprints[],5,FALSE))+DAY(VLOOKUP(NP$5,Sprints[],2,FALSE)),1,VLOOKUP(NP$5,Sprints[],4,FALSE))&lt;&gt;"")*(IF(OFFSET($A30,0,31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30" s="60">
        <f t="array" aca="1" ref="NQ30" ca="1">SUMPRODUCT((OFFSET($A30,0,31*(VLOOKUP(NQ$5,Sprints[],5,FALSE))+DAY(VLOOKUP(NQ$5,Sprints[],2,FALSE)),1,VLOOKUP(NQ$5,Sprints[],4,FALSE))&lt;&gt;"")*(IF(OFFSET($A30,0,31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30" s="60">
        <f t="array" aca="1" ref="NR30" ca="1">SUMPRODUCT((OFFSET($A30,0,31*(VLOOKUP(NR$5,Sprints[],5,FALSE))+DAY(VLOOKUP(NR$5,Sprints[],2,FALSE)),1,VLOOKUP(NR$5,Sprints[],4,FALSE))&lt;&gt;"")*(IF(OFFSET($A30,0,31*(VLOOKUP(NR$5,Sprints[],5,FALSE))+DAY(VLOOKUP(NR$5,Sprints[],2,FALSE)),1,VLOOKUP(NR$5,Sprints[],4,FALSE))=$OA$12,0.5,1)*(OFFSET($A$3,0,31*(VLOOKUP(NR$5,Sprints[],5,FALSE))+DAY(VLOOKUP(NR$5,Sprints[],2,FALSE)),1,VLOOKUP(NR$5,Sprints[],4,FALSE)))))</f>
        <v>3</v>
      </c>
      <c r="NS30" s="60">
        <f t="array" aca="1" ref="NS30" ca="1">SUMPRODUCT((OFFSET($A30,0,31*(VLOOKUP(NS$5,Sprints[],5,FALSE))+DAY(VLOOKUP(NS$5,Sprints[],2,FALSE)),1,VLOOKUP(NS$5,Sprints[],4,FALSE))&lt;&gt;"")*(IF(OFFSET($A30,0,31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30" s="60">
        <f t="array" aca="1" ref="NT30" ca="1">SUMPRODUCT((OFFSET($A30,0,31*(VLOOKUP(NT$5,Sprints[],5,FALSE))+DAY(VLOOKUP(NT$5,Sprints[],2,FALSE)),1,VLOOKUP(NT$5,Sprints[],4,FALSE))&lt;&gt;"")*(IF(OFFSET($A30,0,31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30" s="60">
        <f t="array" aca="1" ref="NU30" ca="1">SUMPRODUCT((OFFSET($A30,0,31*(VLOOKUP(NU$5,Sprints[],5,FALSE))+DAY(VLOOKUP(NU$5,Sprints[],2,FALSE)),1,VLOOKUP(NU$5,Sprints[],4,FALSE))&lt;&gt;"")*(IF(OFFSET($A30,0,31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30" s="60">
        <f t="array" aca="1" ref="NV30" ca="1">SUMPRODUCT((OFFSET($A30,0,31*(VLOOKUP(NV$5,Sprints[],5,FALSE))+DAY(VLOOKUP(NV$5,Sprints[],2,FALSE)),1,VLOOKUP(NV$5,Sprints[],4,FALSE))&lt;&gt;"")*(IF(OFFSET($A30,0,31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30" s="60">
        <f t="array" aca="1" ref="NW30" ca="1">SUMPRODUCT((OFFSET($A30,0,31*(VLOOKUP(NW$5,Sprints[],5,FALSE))+DAY(VLOOKUP(NW$5,Sprints[],2,FALSE)),1,VLOOKUP(NW$5,Sprints[],4,FALSE))&lt;&gt;"")*(IF(OFFSET($A30,0,31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30" s="60">
        <f t="array" aca="1" ref="NX30" ca="1">SUMPRODUCT((OFFSET($A30,0,31*(VLOOKUP(NX$5,Sprints[],5,FALSE))+DAY(VLOOKUP(NX$5,Sprints[],2,FALSE)),1,VLOOKUP(NX$5,Sprints[],4,FALSE))&lt;&gt;"")*(IF(OFFSET($A30,0,31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31" spans="1:391" x14ac:dyDescent="0.45">
      <c r="A31" s="1" t="s">
        <v>83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 t="s">
        <v>33</v>
      </c>
      <c r="AX31" s="2" t="s">
        <v>31</v>
      </c>
      <c r="AY31" s="2"/>
      <c r="AZ31" s="2"/>
      <c r="BA31" s="2" t="s">
        <v>35</v>
      </c>
      <c r="BB31" s="2"/>
      <c r="BC31" s="2"/>
      <c r="BD31" s="2"/>
      <c r="BE31" s="2"/>
      <c r="BF31" s="2"/>
      <c r="BG31" s="2"/>
      <c r="BH31" s="2"/>
      <c r="BI31" s="2"/>
      <c r="BJ31" s="2" t="s">
        <v>50</v>
      </c>
      <c r="BK31" s="2" t="s">
        <v>50</v>
      </c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 t="s">
        <v>50</v>
      </c>
      <c r="CD31" s="2" t="s">
        <v>50</v>
      </c>
      <c r="CE31" s="2" t="s">
        <v>50</v>
      </c>
      <c r="CF31" s="2" t="s">
        <v>50</v>
      </c>
      <c r="CG31" s="2" t="s">
        <v>50</v>
      </c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 t="s">
        <v>35</v>
      </c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 t="s">
        <v>50</v>
      </c>
      <c r="DG31" s="2" t="s">
        <v>50</v>
      </c>
      <c r="DH31" s="2" t="s">
        <v>50</v>
      </c>
      <c r="DI31" s="2" t="s">
        <v>50</v>
      </c>
      <c r="DJ31" s="2" t="s">
        <v>50</v>
      </c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 t="s">
        <v>35</v>
      </c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 t="s">
        <v>35</v>
      </c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 t="s">
        <v>35</v>
      </c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 t="s">
        <v>35</v>
      </c>
      <c r="JO31" s="2" t="s">
        <v>35</v>
      </c>
      <c r="JP31" s="2"/>
      <c r="JQ31" s="2"/>
      <c r="JR31" s="2"/>
      <c r="JS31" s="2"/>
      <c r="JT31" s="2"/>
      <c r="JU31" s="2" t="s">
        <v>35</v>
      </c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 t="s">
        <v>35</v>
      </c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14">
        <f t="array" aca="1" ref="NJ31" ca="1">SUMPRODUCT((OFFSET($A31,0,31*($A$3-1)+1,1,31)&lt;&gt;"")*(IF(OFFSET($A31,0,31*($A$3-1)+1,1,31)=$OA$12,0.5,1)*(OFFSET($A$4,0,31*($A$3-1)+1,1,31))))</f>
        <v>0</v>
      </c>
      <c r="NK31" s="20">
        <f t="array" aca="1" ref="NK31" ca="1">SUMPRODUCT((OFFSET($A31,0,1,1,372)&lt;&gt;"")*(IF(OFFSET($A31,0,1,1,372)=$OA$12,0.5,1)*(OFFSET($A$3,0,1,1,372))))</f>
        <v>22.5</v>
      </c>
      <c r="NL31" s="28">
        <f t="array" aca="1" ref="NL31" ca="1">SUMPRODUCT((OFFSET($A31,0,31*($A$4)+DAY(Holidays!$E$2),1,Holidays!$G$2)&lt;&gt;"")*(IF(OFFSET($A31,0,31*($A$4)+DAY(Holidays!$E$2),1,Holidays!$G$2)=$OA$12,0.5,1)*(OFFSET($A$3,0,31*($A$4)+DAY(Holidays!$E$2),1,Holidays!$G$2))))</f>
        <v>17.5</v>
      </c>
      <c r="NM31" s="60">
        <f t="array" aca="1" ref="NM31" ca="1">SUMPRODUCT((OFFSET($A31,0,31*($A$4)+DAY(VLOOKUP(NM$5,Sprints[],2,FALSE)),1,VLOOKUP(NM$5,Sprints[],4,FALSE))&lt;&gt;"")*(IF(OFFSET($A31,0,31*($A$4)+DAY(VLOOKUP(NM$5,Sprints[],2,FALSE)),1,VLOOKUP(NM$5,Sprints[],4,FALSE))=$OA$12,0.5,1)*(OFFSET($A$3,0,31*($A$4)+DAY(VLOOKUP(NM$5,Sprints[],2,FALSE)),1,VLOOKUP(NM$5,Sprints[],4,FALSE)))))</f>
        <v>0</v>
      </c>
      <c r="NN31" s="60">
        <f t="array" aca="1" ref="NN31" ca="1">SUMPRODUCT((OFFSET($A31,0,31*($A$4)+DAY(VLOOKUP(NN$5,Sprints[],2,FALSE)),1,VLOOKUP(NN$5,Sprints[],4,FALSE))&lt;&gt;"")*(IF(OFFSET($A31,0,31*($A$4)+DAY(VLOOKUP(NN$5,Sprints[],2,FALSE)),1,VLOOKUP(NN$5,Sprints[],4,FALSE))=$OA$12,0.5,1)*(OFFSET($A$3,0,31*($A$4)+DAY(VLOOKUP(NN$5,Sprints[],2,FALSE)),1,VLOOKUP(NN$5,Sprints[],4,FALSE)))))</f>
        <v>0</v>
      </c>
      <c r="NO31" s="60">
        <f t="array" aca="1" ref="NO31" ca="1">SUMPRODUCT((OFFSET($A31,0,31*($A$4)+DAY(VLOOKUP(NO$5,Sprints[],2,FALSE)),1,VLOOKUP(NO$5,Sprints[],4,FALSE))&lt;&gt;"")*(IF(OFFSET($A31,0,31*($A$4)+DAY(VLOOKUP(NO$5,Sprints[],2,FALSE)),1,VLOOKUP(NO$5,Sprints[],4,FALSE))=$OA$12,0.5,1)*(OFFSET($A$3,0,31*($A$4)+DAY(VLOOKUP(NO$5,Sprints[],2,FALSE)),1,VLOOKUP(NO$5,Sprints[],4,FALSE)))))</f>
        <v>0</v>
      </c>
      <c r="NP31" s="60">
        <f t="array" aca="1" ref="NP31" ca="1">SUMPRODUCT((OFFSET($A31,0,31*(VLOOKUP(NP$5,Sprints[],5,FALSE))+DAY(VLOOKUP(NP$5,Sprints[],2,FALSE)),1,VLOOKUP(NP$5,Sprints[],4,FALSE))&lt;&gt;"")*(IF(OFFSET($A31,0,31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31" s="60">
        <f t="array" aca="1" ref="NQ31" ca="1">SUMPRODUCT((OFFSET($A31,0,31*(VLOOKUP(NQ$5,Sprints[],5,FALSE))+DAY(VLOOKUP(NQ$5,Sprints[],2,FALSE)),1,VLOOKUP(NQ$5,Sprints[],4,FALSE))&lt;&gt;"")*(IF(OFFSET($A31,0,31*(VLOOKUP(NQ$5,Sprints[],5,FALSE))+DAY(VLOOKUP(NQ$5,Sprints[],2,FALSE)),1,VLOOKUP(NQ$5,Sprints[],4,FALSE))=$OA$12,0.5,1)*(OFFSET($A$3,0,31*(VLOOKUP(NQ$5,Sprints[],5,FALSE))+DAY(VLOOKUP(NQ$5,Sprints[],2,FALSE)),1,VLOOKUP(NQ$5,Sprints[],4,FALSE)))))</f>
        <v>2</v>
      </c>
      <c r="NR31" s="60">
        <f t="array" aca="1" ref="NR31" ca="1">SUMPRODUCT((OFFSET($A31,0,31*(VLOOKUP(NR$5,Sprints[],5,FALSE))+DAY(VLOOKUP(NR$5,Sprints[],2,FALSE)),1,VLOOKUP(NR$5,Sprints[],4,FALSE))&lt;&gt;"")*(IF(OFFSET($A31,0,31*(VLOOKUP(NR$5,Sprints[],5,FALSE))+DAY(VLOOKUP(NR$5,Sprints[],2,FALSE)),1,VLOOKUP(NR$5,Sprints[],4,FALSE))=$OA$12,0.5,1)*(OFFSET($A$3,0,31*(VLOOKUP(NR$5,Sprints[],5,FALSE))+DAY(VLOOKUP(NR$5,Sprints[],2,FALSE)),1,VLOOKUP(NR$5,Sprints[],4,FALSE)))))</f>
        <v>5</v>
      </c>
      <c r="NS31" s="60">
        <f t="array" aca="1" ref="NS31" ca="1">SUMPRODUCT((OFFSET($A31,0,31*(VLOOKUP(NS$5,Sprints[],5,FALSE))+DAY(VLOOKUP(NS$5,Sprints[],2,FALSE)),1,VLOOKUP(NS$5,Sprints[],4,FALSE))&lt;&gt;"")*(IF(OFFSET($A31,0,31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31" s="60">
        <f t="array" aca="1" ref="NT31" ca="1">SUMPRODUCT((OFFSET($A31,0,31*(VLOOKUP(NT$5,Sprints[],5,FALSE))+DAY(VLOOKUP(NT$5,Sprints[],2,FALSE)),1,VLOOKUP(NT$5,Sprints[],4,FALSE))&lt;&gt;"")*(IF(OFFSET($A31,0,31*(VLOOKUP(NT$5,Sprints[],5,FALSE))+DAY(VLOOKUP(NT$5,Sprints[],2,FALSE)),1,VLOOKUP(NT$5,Sprints[],4,FALSE))=$OA$12,0.5,1)*(OFFSET($A$3,0,31*(VLOOKUP(NT$5,Sprints[],5,FALSE))+DAY(VLOOKUP(NT$5,Sprints[],2,FALSE)),1,VLOOKUP(NT$5,Sprints[],4,FALSE)))))</f>
        <v>5</v>
      </c>
      <c r="NU31" s="60">
        <f t="array" aca="1" ref="NU31" ca="1">SUMPRODUCT((OFFSET($A31,0,31*(VLOOKUP(NU$5,Sprints[],5,FALSE))+DAY(VLOOKUP(NU$5,Sprints[],2,FALSE)),1,VLOOKUP(NU$5,Sprints[],4,FALSE))&lt;&gt;"")*(IF(OFFSET($A31,0,31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31" s="60">
        <f t="array" aca="1" ref="NV31" ca="1">SUMPRODUCT((OFFSET($A31,0,31*(VLOOKUP(NV$5,Sprints[],5,FALSE))+DAY(VLOOKUP(NV$5,Sprints[],2,FALSE)),1,VLOOKUP(NV$5,Sprints[],4,FALSE))&lt;&gt;"")*(IF(OFFSET($A31,0,31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31" s="60">
        <f t="array" aca="1" ref="NW31" ca="1">SUMPRODUCT((OFFSET($A31,0,31*(VLOOKUP(NW$5,Sprints[],5,FALSE))+DAY(VLOOKUP(NW$5,Sprints[],2,FALSE)),1,VLOOKUP(NW$5,Sprints[],4,FALSE))&lt;&gt;"")*(IF(OFFSET($A31,0,31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31" s="60">
        <f t="array" aca="1" ref="NX31" ca="1">SUMPRODUCT((OFFSET($A31,0,31*(VLOOKUP(NX$5,Sprints[],5,FALSE))+DAY(VLOOKUP(NX$5,Sprints[],2,FALSE)),1,VLOOKUP(NX$5,Sprints[],4,FALSE))&lt;&gt;"")*(IF(OFFSET($A31,0,31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32" spans="1:391" x14ac:dyDescent="0.45">
      <c r="A32" s="1" t="s">
        <v>84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 t="s">
        <v>33</v>
      </c>
      <c r="O32" s="2"/>
      <c r="P32" s="2"/>
      <c r="Q32" s="2" t="s">
        <v>33</v>
      </c>
      <c r="R32" s="2" t="s">
        <v>33</v>
      </c>
      <c r="S32" s="2" t="s">
        <v>33</v>
      </c>
      <c r="T32" s="2" t="s">
        <v>33</v>
      </c>
      <c r="U32" s="2" t="s">
        <v>33</v>
      </c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 t="s">
        <v>33</v>
      </c>
      <c r="AX32" s="2" t="s">
        <v>31</v>
      </c>
      <c r="AY32" s="2"/>
      <c r="AZ32" s="2"/>
      <c r="BA32" s="2" t="s">
        <v>35</v>
      </c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 t="s">
        <v>50</v>
      </c>
      <c r="CK32" s="2" t="s">
        <v>50</v>
      </c>
      <c r="CL32" s="2" t="s">
        <v>50</v>
      </c>
      <c r="CM32" s="2" t="s">
        <v>50</v>
      </c>
      <c r="CN32" s="2" t="s">
        <v>50</v>
      </c>
      <c r="CO32" s="2"/>
      <c r="CP32" s="2"/>
      <c r="CQ32" s="2"/>
      <c r="CR32" s="2" t="s">
        <v>35</v>
      </c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 t="s">
        <v>35</v>
      </c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 t="s">
        <v>50</v>
      </c>
      <c r="EP32" s="2" t="s">
        <v>50</v>
      </c>
      <c r="EQ32" s="2" t="s">
        <v>50</v>
      </c>
      <c r="ER32" s="2" t="s">
        <v>50</v>
      </c>
      <c r="ES32" s="2" t="s">
        <v>50</v>
      </c>
      <c r="ET32" s="2"/>
      <c r="EU32" s="2"/>
      <c r="EV32" s="2"/>
      <c r="EW32" s="2"/>
      <c r="EX32" s="2"/>
      <c r="EY32" s="2"/>
      <c r="EZ32" s="2"/>
      <c r="FA32" s="2"/>
      <c r="FB32" s="2"/>
      <c r="FC32" s="2" t="s">
        <v>35</v>
      </c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 t="s">
        <v>35</v>
      </c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 t="s">
        <v>35</v>
      </c>
      <c r="JO32" s="2" t="s">
        <v>35</v>
      </c>
      <c r="JP32" s="2"/>
      <c r="JQ32" s="2"/>
      <c r="JR32" s="2"/>
      <c r="JS32" s="2"/>
      <c r="JT32" s="2"/>
      <c r="JU32" s="2" t="s">
        <v>35</v>
      </c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 t="s">
        <v>35</v>
      </c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14">
        <f t="array" aca="1" ref="NJ32" ca="1">SUMPRODUCT((OFFSET($A32,0,31*($A$3-1)+1,1,31)&lt;&gt;"")*(IF(OFFSET($A32,0,31*($A$3-1)+1,1,31)=$OA$12,0.5,1)*(OFFSET($A$4,0,31*($A$3-1)+1,1,31))))</f>
        <v>6</v>
      </c>
      <c r="NK32" s="20">
        <f t="array" aca="1" ref="NK32" ca="1">SUMPRODUCT((OFFSET($A32,0,1,1,372)&lt;&gt;"")*(IF(OFFSET($A32,0,1,1,372)=$OA$12,0.5,1)*(OFFSET($A$3,0,1,1,372))))</f>
        <v>26.5</v>
      </c>
      <c r="NL32" s="28">
        <f t="array" aca="1" ref="NL32" ca="1">SUMPRODUCT((OFFSET($A32,0,31*($A$4)+DAY(Holidays!$E$2),1,Holidays!$G$2)&lt;&gt;"")*(IF(OFFSET($A32,0,31*($A$4)+DAY(Holidays!$E$2),1,Holidays!$G$2)=$OA$12,0.5,1)*(OFFSET($A$3,0,31*($A$4)+DAY(Holidays!$E$2),1,Holidays!$G$2))))</f>
        <v>21.5</v>
      </c>
      <c r="NM32" s="60">
        <f t="array" aca="1" ref="NM32" ca="1">SUMPRODUCT((OFFSET($A32,0,31*($A$4)+DAY(VLOOKUP(NM$5,Sprints[],2,FALSE)),1,VLOOKUP(NM$5,Sprints[],4,FALSE))&lt;&gt;"")*(IF(OFFSET($A32,0,31*($A$4)+DAY(VLOOKUP(NM$5,Sprints[],2,FALSE)),1,VLOOKUP(NM$5,Sprints[],4,FALSE))=$OA$12,0.5,1)*(OFFSET($A$3,0,31*($A$4)+DAY(VLOOKUP(NM$5,Sprints[],2,FALSE)),1,VLOOKUP(NM$5,Sprints[],4,FALSE)))))</f>
        <v>3</v>
      </c>
      <c r="NN32" s="60">
        <f t="array" aca="1" ref="NN32" ca="1">SUMPRODUCT((OFFSET($A32,0,31*($A$4)+DAY(VLOOKUP(NN$5,Sprints[],2,FALSE)),1,VLOOKUP(NN$5,Sprints[],4,FALSE))&lt;&gt;"")*(IF(OFFSET($A32,0,31*($A$4)+DAY(VLOOKUP(NN$5,Sprints[],2,FALSE)),1,VLOOKUP(NN$5,Sprints[],4,FALSE))=$OA$12,0.5,1)*(OFFSET($A$3,0,31*($A$4)+DAY(VLOOKUP(NN$5,Sprints[],2,FALSE)),1,VLOOKUP(NN$5,Sprints[],4,FALSE)))))</f>
        <v>3</v>
      </c>
      <c r="NO32" s="60">
        <f t="array" aca="1" ref="NO32" ca="1">SUMPRODUCT((OFFSET($A32,0,31*($A$4)+DAY(VLOOKUP(NO$5,Sprints[],2,FALSE)),1,VLOOKUP(NO$5,Sprints[],4,FALSE))&lt;&gt;"")*(IF(OFFSET($A32,0,31*($A$4)+DAY(VLOOKUP(NO$5,Sprints[],2,FALSE)),1,VLOOKUP(NO$5,Sprints[],4,FALSE))=$OA$12,0.5,1)*(OFFSET($A$3,0,31*($A$4)+DAY(VLOOKUP(NO$5,Sprints[],2,FALSE)),1,VLOOKUP(NO$5,Sprints[],4,FALSE)))))</f>
        <v>1</v>
      </c>
      <c r="NP32" s="60">
        <f t="array" aca="1" ref="NP32" ca="1">SUMPRODUCT((OFFSET($A32,0,31*(VLOOKUP(NP$5,Sprints[],5,FALSE))+DAY(VLOOKUP(NP$5,Sprints[],2,FALSE)),1,VLOOKUP(NP$5,Sprints[],4,FALSE))&lt;&gt;"")*(IF(OFFSET($A32,0,31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32" s="60">
        <f t="array" aca="1" ref="NQ32" ca="1">SUMPRODUCT((OFFSET($A32,0,31*(VLOOKUP(NQ$5,Sprints[],5,FALSE))+DAY(VLOOKUP(NQ$5,Sprints[],2,FALSE)),1,VLOOKUP(NQ$5,Sprints[],4,FALSE))&lt;&gt;"")*(IF(OFFSET($A32,0,31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32" s="60">
        <f t="array" aca="1" ref="NR32" ca="1">SUMPRODUCT((OFFSET($A32,0,31*(VLOOKUP(NR$5,Sprints[],5,FALSE))+DAY(VLOOKUP(NR$5,Sprints[],2,FALSE)),1,VLOOKUP(NR$5,Sprints[],4,FALSE))&lt;&gt;"")*(IF(OFFSET($A32,0,31*(VLOOKUP(NR$5,Sprints[],5,FALSE))+DAY(VLOOKUP(NR$5,Sprints[],2,FALSE)),1,VLOOKUP(NR$5,Sprints[],4,FALSE))=$OA$12,0.5,1)*(OFFSET($A$3,0,31*(VLOOKUP(NR$5,Sprints[],5,FALSE))+DAY(VLOOKUP(NR$5,Sprints[],2,FALSE)),1,VLOOKUP(NR$5,Sprints[],4,FALSE)))))</f>
        <v>2</v>
      </c>
      <c r="NS32" s="60">
        <f t="array" aca="1" ref="NS32" ca="1">SUMPRODUCT((OFFSET($A32,0,31*(VLOOKUP(NS$5,Sprints[],5,FALSE))+DAY(VLOOKUP(NS$5,Sprints[],2,FALSE)),1,VLOOKUP(NS$5,Sprints[],4,FALSE))&lt;&gt;"")*(IF(OFFSET($A32,0,31*(VLOOKUP(NS$5,Sprints[],5,FALSE))+DAY(VLOOKUP(NS$5,Sprints[],2,FALSE)),1,VLOOKUP(NS$5,Sprints[],4,FALSE))=$OA$12,0.5,1)*(OFFSET($A$3,0,31*(VLOOKUP(NS$5,Sprints[],5,FALSE))+DAY(VLOOKUP(NS$5,Sprints[],2,FALSE)),1,VLOOKUP(NS$5,Sprints[],4,FALSE)))))</f>
        <v>4</v>
      </c>
      <c r="NT32" s="60">
        <f t="array" aca="1" ref="NT32" ca="1">SUMPRODUCT((OFFSET($A32,0,31*(VLOOKUP(NT$5,Sprints[],5,FALSE))+DAY(VLOOKUP(NT$5,Sprints[],2,FALSE)),1,VLOOKUP(NT$5,Sprints[],4,FALSE))&lt;&gt;"")*(IF(OFFSET($A32,0,31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32" s="60">
        <f t="array" aca="1" ref="NU32" ca="1">SUMPRODUCT((OFFSET($A32,0,31*(VLOOKUP(NU$5,Sprints[],5,FALSE))+DAY(VLOOKUP(NU$5,Sprints[],2,FALSE)),1,VLOOKUP(NU$5,Sprints[],4,FALSE))&lt;&gt;"")*(IF(OFFSET($A32,0,31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32" s="60">
        <f t="array" aca="1" ref="NV32" ca="1">SUMPRODUCT((OFFSET($A32,0,31*(VLOOKUP(NV$5,Sprints[],5,FALSE))+DAY(VLOOKUP(NV$5,Sprints[],2,FALSE)),1,VLOOKUP(NV$5,Sprints[],4,FALSE))&lt;&gt;"")*(IF(OFFSET($A32,0,31*(VLOOKUP(NV$5,Sprints[],5,FALSE))+DAY(VLOOKUP(NV$5,Sprints[],2,FALSE)),1,VLOOKUP(NV$5,Sprints[],4,FALSE))=$OA$12,0.5,1)*(OFFSET($A$3,0,31*(VLOOKUP(NV$5,Sprints[],5,FALSE))+DAY(VLOOKUP(NV$5,Sprints[],2,FALSE)),1,VLOOKUP(NV$5,Sprints[],4,FALSE)))))</f>
        <v>2</v>
      </c>
      <c r="NW32" s="60">
        <f t="array" aca="1" ref="NW32" ca="1">SUMPRODUCT((OFFSET($A32,0,31*(VLOOKUP(NW$5,Sprints[],5,FALSE))+DAY(VLOOKUP(NW$5,Sprints[],2,FALSE)),1,VLOOKUP(NW$5,Sprints[],4,FALSE))&lt;&gt;"")*(IF(OFFSET($A32,0,31*(VLOOKUP(NW$5,Sprints[],5,FALSE))+DAY(VLOOKUP(NW$5,Sprints[],2,FALSE)),1,VLOOKUP(NW$5,Sprints[],4,FALSE))=$OA$12,0.5,1)*(OFFSET($A$3,0,31*(VLOOKUP(NW$5,Sprints[],5,FALSE))+DAY(VLOOKUP(NW$5,Sprints[],2,FALSE)),1,VLOOKUP(NW$5,Sprints[],4,FALSE)))))</f>
        <v>4</v>
      </c>
      <c r="NX32" s="60">
        <f t="array" aca="1" ref="NX32" ca="1">SUMPRODUCT((OFFSET($A32,0,31*(VLOOKUP(NX$5,Sprints[],5,FALSE))+DAY(VLOOKUP(NX$5,Sprints[],2,FALSE)),1,VLOOKUP(NX$5,Sprints[],4,FALSE))&lt;&gt;"")*(IF(OFFSET($A32,0,31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33" spans="1:388" ht="14.65" customHeight="1" x14ac:dyDescent="0.45">
      <c r="A33" s="1" t="s">
        <v>85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 t="s">
        <v>33</v>
      </c>
      <c r="AX33" s="2" t="s">
        <v>31</v>
      </c>
      <c r="AY33" s="2"/>
      <c r="AZ33" s="2"/>
      <c r="BA33" s="2" t="s">
        <v>35</v>
      </c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 t="s">
        <v>50</v>
      </c>
      <c r="BZ33" s="2" t="s">
        <v>50</v>
      </c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 t="s">
        <v>35</v>
      </c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 t="s">
        <v>35</v>
      </c>
      <c r="EB33" s="2"/>
      <c r="EC33" s="2"/>
      <c r="ED33" s="2"/>
      <c r="EE33" s="2"/>
      <c r="EF33" s="2"/>
      <c r="EG33" s="2"/>
      <c r="EH33" s="2" t="s">
        <v>50</v>
      </c>
      <c r="EI33" s="2" t="s">
        <v>50</v>
      </c>
      <c r="EJ33" s="2" t="s">
        <v>50</v>
      </c>
      <c r="EK33" s="2" t="s">
        <v>50</v>
      </c>
      <c r="EL33" s="2" t="s">
        <v>50</v>
      </c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 t="s">
        <v>35</v>
      </c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 t="s">
        <v>35</v>
      </c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 t="s">
        <v>35</v>
      </c>
      <c r="JO33" s="2" t="s">
        <v>35</v>
      </c>
      <c r="JP33" s="2"/>
      <c r="JQ33" s="2"/>
      <c r="JR33" s="2"/>
      <c r="JS33" s="2"/>
      <c r="JT33" s="2"/>
      <c r="JU33" s="2" t="s">
        <v>35</v>
      </c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 t="s">
        <v>35</v>
      </c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14">
        <f t="array" aca="1" ref="NJ33" ca="1">SUMPRODUCT((OFFSET($A33,0,31*($A$3-1)+1,1,31)&lt;&gt;"")*(IF(OFFSET($A33,0,31*($A$3-1)+1,1,31)=$OA$12,0.5,1)*(OFFSET($A$4,0,31*($A$3-1)+1,1,31))))</f>
        <v>0</v>
      </c>
      <c r="NK33" s="20">
        <f t="array" aca="1" ref="NK33" ca="1">SUMPRODUCT((OFFSET($A33,0,1,1,372)&lt;&gt;"")*(IF(OFFSET($A33,0,1,1,372)=$OA$12,0.5,1)*(OFFSET($A$3,0,1,1,372))))</f>
        <v>17.5</v>
      </c>
      <c r="NL33" s="28">
        <f t="array" aca="1" ref="NL33" ca="1">SUMPRODUCT((OFFSET($A33,0,31*($A$4)+DAY(Holidays!$E$2),1,Holidays!$G$2)&lt;&gt;"")*(IF(OFFSET($A33,0,31*($A$4)+DAY(Holidays!$E$2),1,Holidays!$G$2)=$OA$12,0.5,1)*(OFFSET($A$3,0,31*($A$4)+DAY(Holidays!$E$2),1,Holidays!$G$2))))</f>
        <v>12.5</v>
      </c>
      <c r="NM33" s="60">
        <f t="array" aca="1" ref="NM33" ca="1">SUMPRODUCT((OFFSET($A33,0,31*($A$4)+DAY(VLOOKUP(NM$5,Sprints[],2,FALSE)),1,VLOOKUP(NM$5,Sprints[],4,FALSE))&lt;&gt;"")*(IF(OFFSET($A33,0,31*($A$4)+DAY(VLOOKUP(NM$5,Sprints[],2,FALSE)),1,VLOOKUP(NM$5,Sprints[],4,FALSE))=$OA$12,0.5,1)*(OFFSET($A$3,0,31*($A$4)+DAY(VLOOKUP(NM$5,Sprints[],2,FALSE)),1,VLOOKUP(NM$5,Sprints[],4,FALSE)))))</f>
        <v>0</v>
      </c>
      <c r="NN33" s="60">
        <f t="array" aca="1" ref="NN33" ca="1">SUMPRODUCT((OFFSET($A33,0,31*($A$4)+DAY(VLOOKUP(NN$5,Sprints[],2,FALSE)),1,VLOOKUP(NN$5,Sprints[],4,FALSE))&lt;&gt;"")*(IF(OFFSET($A33,0,31*($A$4)+DAY(VLOOKUP(NN$5,Sprints[],2,FALSE)),1,VLOOKUP(NN$5,Sprints[],4,FALSE))=$OA$12,0.5,1)*(OFFSET($A$3,0,31*($A$4)+DAY(VLOOKUP(NN$5,Sprints[],2,FALSE)),1,VLOOKUP(NN$5,Sprints[],4,FALSE)))))</f>
        <v>0</v>
      </c>
      <c r="NO33" s="60">
        <f t="array" aca="1" ref="NO33" ca="1">SUMPRODUCT((OFFSET($A33,0,31*($A$4)+DAY(VLOOKUP(NO$5,Sprints[],2,FALSE)),1,VLOOKUP(NO$5,Sprints[],4,FALSE))&lt;&gt;"")*(IF(OFFSET($A33,0,31*($A$4)+DAY(VLOOKUP(NO$5,Sprints[],2,FALSE)),1,VLOOKUP(NO$5,Sprints[],4,FALSE))=$OA$12,0.5,1)*(OFFSET($A$3,0,31*($A$4)+DAY(VLOOKUP(NO$5,Sprints[],2,FALSE)),1,VLOOKUP(NO$5,Sprints[],4,FALSE)))))</f>
        <v>0</v>
      </c>
      <c r="NP33" s="60">
        <f t="array" aca="1" ref="NP33" ca="1">SUMPRODUCT((OFFSET($A33,0,31*(VLOOKUP(NP$5,Sprints[],5,FALSE))+DAY(VLOOKUP(NP$5,Sprints[],2,FALSE)),1,VLOOKUP(NP$5,Sprints[],4,FALSE))&lt;&gt;"")*(IF(OFFSET($A33,0,31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33" s="60">
        <f t="array" aca="1" ref="NQ33" ca="1">SUMPRODUCT((OFFSET($A33,0,31*(VLOOKUP(NQ$5,Sprints[],5,FALSE))+DAY(VLOOKUP(NQ$5,Sprints[],2,FALSE)),1,VLOOKUP(NQ$5,Sprints[],4,FALSE))&lt;&gt;"")*(IF(OFFSET($A33,0,31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33" s="60">
        <f t="array" aca="1" ref="NR33" ca="1">SUMPRODUCT((OFFSET($A33,0,31*(VLOOKUP(NR$5,Sprints[],5,FALSE))+DAY(VLOOKUP(NR$5,Sprints[],2,FALSE)),1,VLOOKUP(NR$5,Sprints[],4,FALSE))&lt;&gt;"")*(IF(OFFSET($A33,0,31*(VLOOKUP(NR$5,Sprints[],5,FALSE))+DAY(VLOOKUP(NR$5,Sprints[],2,FALSE)),1,VLOOKUP(NR$5,Sprints[],4,FALSE))=$OA$12,0.5,1)*(OFFSET($A$3,0,31*(VLOOKUP(NR$5,Sprints[],5,FALSE))+DAY(VLOOKUP(NR$5,Sprints[],2,FALSE)),1,VLOOKUP(NR$5,Sprints[],4,FALSE)))))</f>
        <v>2</v>
      </c>
      <c r="NS33" s="60">
        <f t="array" aca="1" ref="NS33" ca="1">SUMPRODUCT((OFFSET($A33,0,31*(VLOOKUP(NS$5,Sprints[],5,FALSE))+DAY(VLOOKUP(NS$5,Sprints[],2,FALSE)),1,VLOOKUP(NS$5,Sprints[],4,FALSE))&lt;&gt;"")*(IF(OFFSET($A33,0,31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33" s="60">
        <f t="array" aca="1" ref="NT33" ca="1">SUMPRODUCT((OFFSET($A33,0,31*(VLOOKUP(NT$5,Sprints[],5,FALSE))+DAY(VLOOKUP(NT$5,Sprints[],2,FALSE)),1,VLOOKUP(NT$5,Sprints[],4,FALSE))&lt;&gt;"")*(IF(OFFSET($A33,0,31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33" s="60">
        <f t="array" aca="1" ref="NU33" ca="1">SUMPRODUCT((OFFSET($A33,0,31*(VLOOKUP(NU$5,Sprints[],5,FALSE))+DAY(VLOOKUP(NU$5,Sprints[],2,FALSE)),1,VLOOKUP(NU$5,Sprints[],4,FALSE))&lt;&gt;"")*(IF(OFFSET($A33,0,31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33" s="60">
        <f t="array" aca="1" ref="NV33" ca="1">SUMPRODUCT((OFFSET($A33,0,31*(VLOOKUP(NV$5,Sprints[],5,FALSE))+DAY(VLOOKUP(NV$5,Sprints[],2,FALSE)),1,VLOOKUP(NV$5,Sprints[],4,FALSE))&lt;&gt;"")*(IF(OFFSET($A33,0,31*(VLOOKUP(NV$5,Sprints[],5,FALSE))+DAY(VLOOKUP(NV$5,Sprints[],2,FALSE)),1,VLOOKUP(NV$5,Sprints[],4,FALSE))=$OA$12,0.5,1)*(OFFSET($A$3,0,31*(VLOOKUP(NV$5,Sprints[],5,FALSE))+DAY(VLOOKUP(NV$5,Sprints[],2,FALSE)),1,VLOOKUP(NV$5,Sprints[],4,FALSE)))))</f>
        <v>5</v>
      </c>
      <c r="NW33" s="60">
        <f t="array" aca="1" ref="NW33" ca="1">SUMPRODUCT((OFFSET($A33,0,31*(VLOOKUP(NW$5,Sprints[],5,FALSE))+DAY(VLOOKUP(NW$5,Sprints[],2,FALSE)),1,VLOOKUP(NW$5,Sprints[],4,FALSE))&lt;&gt;"")*(IF(OFFSET($A33,0,31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33" s="60">
        <f t="array" aca="1" ref="NX33" ca="1">SUMPRODUCT((OFFSET($A33,0,31*(VLOOKUP(NX$5,Sprints[],5,FALSE))+DAY(VLOOKUP(NX$5,Sprints[],2,FALSE)),1,VLOOKUP(NX$5,Sprints[],4,FALSE))&lt;&gt;"")*(IF(OFFSET($A33,0,31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34" spans="1:388" x14ac:dyDescent="0.45">
      <c r="A34" s="5" t="s">
        <v>86</v>
      </c>
      <c r="B34" s="2"/>
      <c r="C34" s="2" t="s">
        <v>50</v>
      </c>
      <c r="D34" s="2"/>
      <c r="E34" s="2"/>
      <c r="F34" s="2"/>
      <c r="G34" s="2"/>
      <c r="H34" s="2"/>
      <c r="I34" s="2"/>
      <c r="J34" s="2" t="s">
        <v>33</v>
      </c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 t="s">
        <v>33</v>
      </c>
      <c r="AX34" s="2" t="s">
        <v>33</v>
      </c>
      <c r="AY34" s="2"/>
      <c r="AZ34" s="2"/>
      <c r="BA34" s="2" t="s">
        <v>35</v>
      </c>
      <c r="BB34" s="2"/>
      <c r="BC34" s="2"/>
      <c r="BD34" s="2"/>
      <c r="BE34" s="2" t="s">
        <v>33</v>
      </c>
      <c r="BF34" s="2"/>
      <c r="BG34" s="2"/>
      <c r="BH34" s="2"/>
      <c r="BI34" s="2"/>
      <c r="BJ34" s="2"/>
      <c r="BK34" s="2"/>
      <c r="BL34" s="2" t="s">
        <v>33</v>
      </c>
      <c r="BM34" s="2"/>
      <c r="BN34" s="2"/>
      <c r="BO34" s="2"/>
      <c r="BP34" s="2"/>
      <c r="BQ34" s="2"/>
      <c r="BR34" s="2"/>
      <c r="BS34" s="2" t="s">
        <v>33</v>
      </c>
      <c r="BT34" s="2"/>
      <c r="BU34" s="2"/>
      <c r="BV34" s="2"/>
      <c r="BW34" s="2"/>
      <c r="BX34" s="2"/>
      <c r="BY34" s="2"/>
      <c r="BZ34" s="2" t="s">
        <v>33</v>
      </c>
      <c r="CA34" s="2"/>
      <c r="CB34" s="2"/>
      <c r="CC34" s="2"/>
      <c r="CD34" s="2"/>
      <c r="CE34" s="2"/>
      <c r="CF34" s="2" t="s">
        <v>50</v>
      </c>
      <c r="CG34" s="2" t="s">
        <v>50</v>
      </c>
      <c r="CH34" s="2"/>
      <c r="CI34" s="2"/>
      <c r="CJ34" s="2" t="s">
        <v>50</v>
      </c>
      <c r="CK34" s="2" t="s">
        <v>50</v>
      </c>
      <c r="CL34" s="2" t="s">
        <v>50</v>
      </c>
      <c r="CM34" s="2" t="s">
        <v>50</v>
      </c>
      <c r="CN34" s="2" t="s">
        <v>50</v>
      </c>
      <c r="CO34" s="2"/>
      <c r="CP34" s="2"/>
      <c r="CQ34" s="2"/>
      <c r="CR34" s="2" t="s">
        <v>35</v>
      </c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 t="s">
        <v>50</v>
      </c>
      <c r="DN34" s="2" t="s">
        <v>50</v>
      </c>
      <c r="DO34" s="2" t="s">
        <v>50</v>
      </c>
      <c r="DP34" s="2" t="s">
        <v>50</v>
      </c>
      <c r="DQ34" s="2" t="s">
        <v>50</v>
      </c>
      <c r="DR34" s="2"/>
      <c r="DS34" s="2"/>
      <c r="DT34" s="2"/>
      <c r="DU34" s="2"/>
      <c r="DV34" s="2"/>
      <c r="DW34" s="2"/>
      <c r="DX34" s="2"/>
      <c r="DY34" s="2"/>
      <c r="DZ34" s="2"/>
      <c r="EA34" s="2" t="s">
        <v>35</v>
      </c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 t="s">
        <v>35</v>
      </c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 t="s">
        <v>35</v>
      </c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 t="s">
        <v>35</v>
      </c>
      <c r="JO34" s="2" t="s">
        <v>35</v>
      </c>
      <c r="JP34" s="2"/>
      <c r="JQ34" s="2"/>
      <c r="JR34" s="2"/>
      <c r="JS34" s="2"/>
      <c r="JT34" s="2"/>
      <c r="JU34" s="2" t="s">
        <v>35</v>
      </c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 t="s">
        <v>35</v>
      </c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14">
        <f t="array" aca="1" ref="NJ34" ca="1">SUMPRODUCT((OFFSET($A34,0,31*($A$3-1)+1,1,31)&lt;&gt;"")*(IF(OFFSET($A34,0,31*($A$3-1)+1,1,31)=$OA$12,0.5,1)*(OFFSET($A$4,0,31*($A$3-1)+1,1,31))))</f>
        <v>2</v>
      </c>
      <c r="NK34" s="20">
        <f t="array" aca="1" ref="NK34" ca="1">SUMPRODUCT((OFFSET($A34,0,1,1,372)&lt;&gt;"")*(IF(OFFSET($A34,0,1,1,372)=$OA$12,0.5,1)*(OFFSET($A$3,0,1,1,372))))</f>
        <v>29</v>
      </c>
      <c r="NL34" s="28">
        <f t="array" aca="1" ref="NL34" ca="1">SUMPRODUCT((OFFSET($A34,0,31*($A$4)+DAY(Holidays!$E$2),1,Holidays!$G$2)&lt;&gt;"")*(IF(OFFSET($A34,0,31*($A$4)+DAY(Holidays!$E$2),1,Holidays!$G$2)=$OA$12,0.5,1)*(OFFSET($A$3,0,31*($A$4)+DAY(Holidays!$E$2),1,Holidays!$G$2))))</f>
        <v>22</v>
      </c>
      <c r="NM34" s="60">
        <f t="array" aca="1" ref="NM34" ca="1">SUMPRODUCT((OFFSET($A34,0,31*($A$4)+DAY(VLOOKUP(NM$5,Sprints[],2,FALSE)),1,VLOOKUP(NM$5,Sprints[],4,FALSE))&lt;&gt;"")*(IF(OFFSET($A34,0,31*($A$4)+DAY(VLOOKUP(NM$5,Sprints[],2,FALSE)),1,VLOOKUP(NM$5,Sprints[],4,FALSE))=$OA$12,0.5,1)*(OFFSET($A$3,0,31*($A$4)+DAY(VLOOKUP(NM$5,Sprints[],2,FALSE)),1,VLOOKUP(NM$5,Sprints[],4,FALSE)))))</f>
        <v>0</v>
      </c>
      <c r="NN34" s="60">
        <f t="array" aca="1" ref="NN34" ca="1">SUMPRODUCT((OFFSET($A34,0,31*($A$4)+DAY(VLOOKUP(NN$5,Sprints[],2,FALSE)),1,VLOOKUP(NN$5,Sprints[],4,FALSE))&lt;&gt;"")*(IF(OFFSET($A34,0,31*($A$4)+DAY(VLOOKUP(NN$5,Sprints[],2,FALSE)),1,VLOOKUP(NN$5,Sprints[],4,FALSE))=$OA$12,0.5,1)*(OFFSET($A$3,0,31*($A$4)+DAY(VLOOKUP(NN$5,Sprints[],2,FALSE)),1,VLOOKUP(NN$5,Sprints[],4,FALSE)))))</f>
        <v>0</v>
      </c>
      <c r="NO34" s="60">
        <f t="array" aca="1" ref="NO34" ca="1">SUMPRODUCT((OFFSET($A34,0,31*($A$4)+DAY(VLOOKUP(NO$5,Sprints[],2,FALSE)),1,VLOOKUP(NO$5,Sprints[],4,FALSE))&lt;&gt;"")*(IF(OFFSET($A34,0,31*($A$4)+DAY(VLOOKUP(NO$5,Sprints[],2,FALSE)),1,VLOOKUP(NO$5,Sprints[],4,FALSE))=$OA$12,0.5,1)*(OFFSET($A$3,0,31*($A$4)+DAY(VLOOKUP(NO$5,Sprints[],2,FALSE)),1,VLOOKUP(NO$5,Sprints[],4,FALSE)))))</f>
        <v>2</v>
      </c>
      <c r="NP34" s="60">
        <f t="array" aca="1" ref="NP34" ca="1">SUMPRODUCT((OFFSET($A34,0,31*(VLOOKUP(NP$5,Sprints[],5,FALSE))+DAY(VLOOKUP(NP$5,Sprints[],2,FALSE)),1,VLOOKUP(NP$5,Sprints[],4,FALSE))&lt;&gt;"")*(IF(OFFSET($A34,0,31*(VLOOKUP(NP$5,Sprints[],5,FALSE))+DAY(VLOOKUP(NP$5,Sprints[],2,FALSE)),1,VLOOKUP(NP$5,Sprints[],4,FALSE))=$OA$12,0.5,1)*(OFFSET($A$3,0,31*(VLOOKUP(NP$5,Sprints[],5,FALSE))+DAY(VLOOKUP(NP$5,Sprints[],2,FALSE)),1,VLOOKUP(NP$5,Sprints[],4,FALSE)))))</f>
        <v>4</v>
      </c>
      <c r="NQ34" s="60">
        <f t="array" aca="1" ref="NQ34" ca="1">SUMPRODUCT((OFFSET($A34,0,31*(VLOOKUP(NQ$5,Sprints[],5,FALSE))+DAY(VLOOKUP(NQ$5,Sprints[],2,FALSE)),1,VLOOKUP(NQ$5,Sprints[],4,FALSE))&lt;&gt;"")*(IF(OFFSET($A34,0,31*(VLOOKUP(NQ$5,Sprints[],5,FALSE))+DAY(VLOOKUP(NQ$5,Sprints[],2,FALSE)),1,VLOOKUP(NQ$5,Sprints[],4,FALSE))=$OA$12,0.5,1)*(OFFSET($A$3,0,31*(VLOOKUP(NQ$5,Sprints[],5,FALSE))+DAY(VLOOKUP(NQ$5,Sprints[],2,FALSE)),1,VLOOKUP(NQ$5,Sprints[],4,FALSE)))))</f>
        <v>2</v>
      </c>
      <c r="NR34" s="60">
        <f t="array" aca="1" ref="NR34" ca="1">SUMPRODUCT((OFFSET($A34,0,31*(VLOOKUP(NR$5,Sprints[],5,FALSE))+DAY(VLOOKUP(NR$5,Sprints[],2,FALSE)),1,VLOOKUP(NR$5,Sprints[],4,FALSE))&lt;&gt;"")*(IF(OFFSET($A34,0,31*(VLOOKUP(NR$5,Sprints[],5,FALSE))+DAY(VLOOKUP(NR$5,Sprints[],2,FALSE)),1,VLOOKUP(NR$5,Sprints[],4,FALSE))=$OA$12,0.5,1)*(OFFSET($A$3,0,31*(VLOOKUP(NR$5,Sprints[],5,FALSE))+DAY(VLOOKUP(NR$5,Sprints[],2,FALSE)),1,VLOOKUP(NR$5,Sprints[],4,FALSE)))))</f>
        <v>5</v>
      </c>
      <c r="NS34" s="60">
        <f t="array" aca="1" ref="NS34" ca="1">SUMPRODUCT((OFFSET($A34,0,31*(VLOOKUP(NS$5,Sprints[],5,FALSE))+DAY(VLOOKUP(NS$5,Sprints[],2,FALSE)),1,VLOOKUP(NS$5,Sprints[],4,FALSE))&lt;&gt;"")*(IF(OFFSET($A34,0,31*(VLOOKUP(NS$5,Sprints[],5,FALSE))+DAY(VLOOKUP(NS$5,Sprints[],2,FALSE)),1,VLOOKUP(NS$5,Sprints[],4,FALSE))=$OA$12,0.5,1)*(OFFSET($A$3,0,31*(VLOOKUP(NS$5,Sprints[],5,FALSE))+DAY(VLOOKUP(NS$5,Sprints[],2,FALSE)),1,VLOOKUP(NS$5,Sprints[],4,FALSE)))))</f>
        <v>4</v>
      </c>
      <c r="NT34" s="60">
        <f t="array" aca="1" ref="NT34" ca="1">SUMPRODUCT((OFFSET($A34,0,31*(VLOOKUP(NT$5,Sprints[],5,FALSE))+DAY(VLOOKUP(NT$5,Sprints[],2,FALSE)),1,VLOOKUP(NT$5,Sprints[],4,FALSE))&lt;&gt;"")*(IF(OFFSET($A34,0,31*(VLOOKUP(NT$5,Sprints[],5,FALSE))+DAY(VLOOKUP(NT$5,Sprints[],2,FALSE)),1,VLOOKUP(NT$5,Sprints[],4,FALSE))=$OA$12,0.5,1)*(OFFSET($A$3,0,31*(VLOOKUP(NT$5,Sprints[],5,FALSE))+DAY(VLOOKUP(NT$5,Sprints[],2,FALSE)),1,VLOOKUP(NT$5,Sprints[],4,FALSE)))))</f>
        <v>2</v>
      </c>
      <c r="NU34" s="60">
        <f t="array" aca="1" ref="NU34" ca="1">SUMPRODUCT((OFFSET($A34,0,31*(VLOOKUP(NU$5,Sprints[],5,FALSE))+DAY(VLOOKUP(NU$5,Sprints[],2,FALSE)),1,VLOOKUP(NU$5,Sprints[],4,FALSE))&lt;&gt;"")*(IF(OFFSET($A34,0,31*(VLOOKUP(NU$5,Sprints[],5,FALSE))+DAY(VLOOKUP(NU$5,Sprints[],2,FALSE)),1,VLOOKUP(NU$5,Sprints[],4,FALSE))=$OA$12,0.5,1)*(OFFSET($A$3,0,31*(VLOOKUP(NU$5,Sprints[],5,FALSE))+DAY(VLOOKUP(NU$5,Sprints[],2,FALSE)),1,VLOOKUP(NU$5,Sprints[],4,FALSE)))))</f>
        <v>4</v>
      </c>
      <c r="NV34" s="60">
        <f t="array" aca="1" ref="NV34" ca="1">SUMPRODUCT((OFFSET($A34,0,31*(VLOOKUP(NV$5,Sprints[],5,FALSE))+DAY(VLOOKUP(NV$5,Sprints[],2,FALSE)),1,VLOOKUP(NV$5,Sprints[],4,FALSE))&lt;&gt;"")*(IF(OFFSET($A34,0,31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34" s="60">
        <f t="array" aca="1" ref="NW34" ca="1">SUMPRODUCT((OFFSET($A34,0,31*(VLOOKUP(NW$5,Sprints[],5,FALSE))+DAY(VLOOKUP(NW$5,Sprints[],2,FALSE)),1,VLOOKUP(NW$5,Sprints[],4,FALSE))&lt;&gt;"")*(IF(OFFSET($A34,0,31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34" s="60">
        <f t="array" aca="1" ref="NX34" ca="1">SUMPRODUCT((OFFSET($A34,0,31*(VLOOKUP(NX$5,Sprints[],5,FALSE))+DAY(VLOOKUP(NX$5,Sprints[],2,FALSE)),1,VLOOKUP(NX$5,Sprints[],4,FALSE))&lt;&gt;"")*(IF(OFFSET($A34,0,31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35" spans="1:388" x14ac:dyDescent="0.45">
      <c r="A35" s="1" t="s">
        <v>87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 t="s">
        <v>33</v>
      </c>
      <c r="AX35" s="2" t="s">
        <v>31</v>
      </c>
      <c r="AY35" s="2"/>
      <c r="AZ35" s="2"/>
      <c r="BA35" s="2" t="s">
        <v>35</v>
      </c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 t="s">
        <v>50</v>
      </c>
      <c r="BZ35" s="2" t="s">
        <v>50</v>
      </c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 t="s">
        <v>35</v>
      </c>
      <c r="CS35" s="2"/>
      <c r="CT35" s="2"/>
      <c r="CU35" s="2"/>
      <c r="CV35" s="2"/>
      <c r="CW35" s="2"/>
      <c r="CX35" s="2"/>
      <c r="CY35" s="2" t="s">
        <v>50</v>
      </c>
      <c r="CZ35" s="2" t="s">
        <v>50</v>
      </c>
      <c r="DA35" s="2" t="s">
        <v>50</v>
      </c>
      <c r="DB35" s="2" t="s">
        <v>50</v>
      </c>
      <c r="DC35" s="2" t="s">
        <v>50</v>
      </c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 t="s">
        <v>35</v>
      </c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 t="s">
        <v>35</v>
      </c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 t="s">
        <v>35</v>
      </c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 t="s">
        <v>35</v>
      </c>
      <c r="JO35" s="2" t="s">
        <v>35</v>
      </c>
      <c r="JP35" s="2"/>
      <c r="JQ35" s="2"/>
      <c r="JR35" s="2"/>
      <c r="JS35" s="2"/>
      <c r="JT35" s="2"/>
      <c r="JU35" s="2" t="s">
        <v>35</v>
      </c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 t="s">
        <v>35</v>
      </c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14">
        <f t="array" aca="1" ref="NJ35" ca="1">SUMPRODUCT((OFFSET($A35,0,31*($A$3-1)+1,1,31)&lt;&gt;"")*(IF(OFFSET($A35,0,31*($A$3-1)+1,1,31)=$OA$12,0.5,1)*(OFFSET($A$4,0,31*($A$3-1)+1,1,31))))</f>
        <v>0</v>
      </c>
      <c r="NK35" s="20">
        <f t="array" aca="1" ref="NK35" ca="1">SUMPRODUCT((OFFSET($A35,0,1,1,372)&lt;&gt;"")*(IF(OFFSET($A35,0,1,1,372)=$OA$12,0.5,1)*(OFFSET($A$3,0,1,1,372))))</f>
        <v>17.5</v>
      </c>
      <c r="NL35" s="28">
        <f t="array" aca="1" ref="NL35" ca="1">SUMPRODUCT((OFFSET($A35,0,31*($A$4)+DAY(Holidays!$E$2),1,Holidays!$G$2)&lt;&gt;"")*(IF(OFFSET($A35,0,31*($A$4)+DAY(Holidays!$E$2),1,Holidays!$G$2)=$OA$12,0.5,1)*(OFFSET($A$3,0,31*($A$4)+DAY(Holidays!$E$2),1,Holidays!$G$2))))</f>
        <v>12.5</v>
      </c>
      <c r="NM35" s="60">
        <f t="array" aca="1" ref="NM35" ca="1">SUMPRODUCT((OFFSET($A35,0,31*($A$4)+DAY(VLOOKUP(NM$5,Sprints[],2,FALSE)),1,VLOOKUP(NM$5,Sprints[],4,FALSE))&lt;&gt;"")*(IF(OFFSET($A35,0,31*($A$4)+DAY(VLOOKUP(NM$5,Sprints[],2,FALSE)),1,VLOOKUP(NM$5,Sprints[],4,FALSE))=$OA$12,0.5,1)*(OFFSET($A$3,0,31*($A$4)+DAY(VLOOKUP(NM$5,Sprints[],2,FALSE)),1,VLOOKUP(NM$5,Sprints[],4,FALSE)))))</f>
        <v>0</v>
      </c>
      <c r="NN35" s="60">
        <f t="array" aca="1" ref="NN35" ca="1">SUMPRODUCT((OFFSET($A35,0,31*($A$4)+DAY(VLOOKUP(NN$5,Sprints[],2,FALSE)),1,VLOOKUP(NN$5,Sprints[],4,FALSE))&lt;&gt;"")*(IF(OFFSET($A35,0,31*($A$4)+DAY(VLOOKUP(NN$5,Sprints[],2,FALSE)),1,VLOOKUP(NN$5,Sprints[],4,FALSE))=$OA$12,0.5,1)*(OFFSET($A$3,0,31*($A$4)+DAY(VLOOKUP(NN$5,Sprints[],2,FALSE)),1,VLOOKUP(NN$5,Sprints[],4,FALSE)))))</f>
        <v>0</v>
      </c>
      <c r="NO35" s="60">
        <f t="array" aca="1" ref="NO35" ca="1">SUMPRODUCT((OFFSET($A35,0,31*($A$4)+DAY(VLOOKUP(NO$5,Sprints[],2,FALSE)),1,VLOOKUP(NO$5,Sprints[],4,FALSE))&lt;&gt;"")*(IF(OFFSET($A35,0,31*($A$4)+DAY(VLOOKUP(NO$5,Sprints[],2,FALSE)),1,VLOOKUP(NO$5,Sprints[],4,FALSE))=$OA$12,0.5,1)*(OFFSET($A$3,0,31*($A$4)+DAY(VLOOKUP(NO$5,Sprints[],2,FALSE)),1,VLOOKUP(NO$5,Sprints[],4,FALSE)))))</f>
        <v>0</v>
      </c>
      <c r="NP35" s="60">
        <f t="array" aca="1" ref="NP35" ca="1">SUMPRODUCT((OFFSET($A35,0,31*(VLOOKUP(NP$5,Sprints[],5,FALSE))+DAY(VLOOKUP(NP$5,Sprints[],2,FALSE)),1,VLOOKUP(NP$5,Sprints[],4,FALSE))&lt;&gt;"")*(IF(OFFSET($A35,0,31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35" s="60">
        <f t="array" aca="1" ref="NQ35" ca="1">SUMPRODUCT((OFFSET($A35,0,31*(VLOOKUP(NQ$5,Sprints[],5,FALSE))+DAY(VLOOKUP(NQ$5,Sprints[],2,FALSE)),1,VLOOKUP(NQ$5,Sprints[],4,FALSE))&lt;&gt;"")*(IF(OFFSET($A35,0,31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35" s="60">
        <f t="array" aca="1" ref="NR35" ca="1">SUMPRODUCT((OFFSET($A35,0,31*(VLOOKUP(NR$5,Sprints[],5,FALSE))+DAY(VLOOKUP(NR$5,Sprints[],2,FALSE)),1,VLOOKUP(NR$5,Sprints[],4,FALSE))&lt;&gt;"")*(IF(OFFSET($A35,0,31*(VLOOKUP(NR$5,Sprints[],5,FALSE))+DAY(VLOOKUP(NR$5,Sprints[],2,FALSE)),1,VLOOKUP(NR$5,Sprints[],4,FALSE))=$OA$12,0.5,1)*(OFFSET($A$3,0,31*(VLOOKUP(NR$5,Sprints[],5,FALSE))+DAY(VLOOKUP(NR$5,Sprints[],2,FALSE)),1,VLOOKUP(NR$5,Sprints[],4,FALSE)))))</f>
        <v>2</v>
      </c>
      <c r="NS35" s="60">
        <f t="array" aca="1" ref="NS35" ca="1">SUMPRODUCT((OFFSET($A35,0,31*(VLOOKUP(NS$5,Sprints[],5,FALSE))+DAY(VLOOKUP(NS$5,Sprints[],2,FALSE)),1,VLOOKUP(NS$5,Sprints[],4,FALSE))&lt;&gt;"")*(IF(OFFSET($A35,0,31*(VLOOKUP(NS$5,Sprints[],5,FALSE))+DAY(VLOOKUP(NS$5,Sprints[],2,FALSE)),1,VLOOKUP(NS$5,Sprints[],4,FALSE))=$OA$12,0.5,1)*(OFFSET($A$3,0,31*(VLOOKUP(NS$5,Sprints[],5,FALSE))+DAY(VLOOKUP(NS$5,Sprints[],2,FALSE)),1,VLOOKUP(NS$5,Sprints[],4,FALSE)))))</f>
        <v>3</v>
      </c>
      <c r="NT35" s="60">
        <f t="array" aca="1" ref="NT35" ca="1">SUMPRODUCT((OFFSET($A35,0,31*(VLOOKUP(NT$5,Sprints[],5,FALSE))+DAY(VLOOKUP(NT$5,Sprints[],2,FALSE)),1,VLOOKUP(NT$5,Sprints[],4,FALSE))&lt;&gt;"")*(IF(OFFSET($A35,0,31*(VLOOKUP(NT$5,Sprints[],5,FALSE))+DAY(VLOOKUP(NT$5,Sprints[],2,FALSE)),1,VLOOKUP(NT$5,Sprints[],4,FALSE))=$OA$12,0.5,1)*(OFFSET($A$3,0,31*(VLOOKUP(NT$5,Sprints[],5,FALSE))+DAY(VLOOKUP(NT$5,Sprints[],2,FALSE)),1,VLOOKUP(NT$5,Sprints[],4,FALSE)))))</f>
        <v>3</v>
      </c>
      <c r="NU35" s="60">
        <f t="array" aca="1" ref="NU35" ca="1">SUMPRODUCT((OFFSET($A35,0,31*(VLOOKUP(NU$5,Sprints[],5,FALSE))+DAY(VLOOKUP(NU$5,Sprints[],2,FALSE)),1,VLOOKUP(NU$5,Sprints[],4,FALSE))&lt;&gt;"")*(IF(OFFSET($A35,0,31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35" s="60">
        <f t="array" aca="1" ref="NV35" ca="1">SUMPRODUCT((OFFSET($A35,0,31*(VLOOKUP(NV$5,Sprints[],5,FALSE))+DAY(VLOOKUP(NV$5,Sprints[],2,FALSE)),1,VLOOKUP(NV$5,Sprints[],4,FALSE))&lt;&gt;"")*(IF(OFFSET($A35,0,31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35" s="60">
        <f t="array" aca="1" ref="NW35" ca="1">SUMPRODUCT((OFFSET($A35,0,31*(VLOOKUP(NW$5,Sprints[],5,FALSE))+DAY(VLOOKUP(NW$5,Sprints[],2,FALSE)),1,VLOOKUP(NW$5,Sprints[],4,FALSE))&lt;&gt;"")*(IF(OFFSET($A35,0,31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35" s="60">
        <f t="array" aca="1" ref="NX35" ca="1">SUMPRODUCT((OFFSET($A35,0,31*(VLOOKUP(NX$5,Sprints[],5,FALSE))+DAY(VLOOKUP(NX$5,Sprints[],2,FALSE)),1,VLOOKUP(NX$5,Sprints[],4,FALSE))&lt;&gt;"")*(IF(OFFSET($A35,0,31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36" spans="1:388" x14ac:dyDescent="0.45">
      <c r="A36" s="1" t="s">
        <v>88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 t="s">
        <v>33</v>
      </c>
      <c r="AX36" s="2" t="s">
        <v>31</v>
      </c>
      <c r="AY36" s="2"/>
      <c r="AZ36" s="2"/>
      <c r="BA36" s="2" t="s">
        <v>35</v>
      </c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 t="s">
        <v>35</v>
      </c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 t="s">
        <v>35</v>
      </c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 t="s">
        <v>35</v>
      </c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 t="s">
        <v>35</v>
      </c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 t="s">
        <v>35</v>
      </c>
      <c r="JO36" s="2" t="s">
        <v>35</v>
      </c>
      <c r="JP36" s="2"/>
      <c r="JQ36" s="2"/>
      <c r="JR36" s="2"/>
      <c r="JS36" s="2"/>
      <c r="JT36" s="2"/>
      <c r="JU36" s="2" t="s">
        <v>35</v>
      </c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 t="s">
        <v>35</v>
      </c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14">
        <f t="array" aca="1" ref="NJ36" ca="1">SUMPRODUCT((OFFSET($A36,0,31*($A$3-1)+1,1,31)&lt;&gt;"")*(IF(OFFSET($A36,0,31*($A$3-1)+1,1,31)=$OA$12,0.5,1)*(OFFSET($A$4,0,31*($A$3-1)+1,1,31))))</f>
        <v>0</v>
      </c>
      <c r="NK36" s="20">
        <f t="array" aca="1" ref="NK36" ca="1">SUMPRODUCT((OFFSET($A36,0,1,1,372)&lt;&gt;"")*(IF(OFFSET($A36,0,1,1,372)=$OA$12,0.5,1)*(OFFSET($A$3,0,1,1,372))))</f>
        <v>10.5</v>
      </c>
      <c r="NL36" s="28">
        <f t="array" aca="1" ref="NL36" ca="1">SUMPRODUCT((OFFSET($A36,0,31*($A$4)+DAY(Holidays!$E$2),1,Holidays!$G$2)&lt;&gt;"")*(IF(OFFSET($A36,0,31*($A$4)+DAY(Holidays!$E$2),1,Holidays!$G$2)=$OA$12,0.5,1)*(OFFSET($A$3,0,31*($A$4)+DAY(Holidays!$E$2),1,Holidays!$G$2))))</f>
        <v>5.5</v>
      </c>
      <c r="NM36" s="60">
        <f t="array" aca="1" ref="NM36" ca="1">SUMPRODUCT((OFFSET($A36,0,31*($A$4)+DAY(VLOOKUP(NM$5,Sprints[],2,FALSE)),1,VLOOKUP(NM$5,Sprints[],4,FALSE))&lt;&gt;"")*(IF(OFFSET($A36,0,31*($A$4)+DAY(VLOOKUP(NM$5,Sprints[],2,FALSE)),1,VLOOKUP(NM$5,Sprints[],4,FALSE))=$OA$12,0.5,1)*(OFFSET($A$3,0,31*($A$4)+DAY(VLOOKUP(NM$5,Sprints[],2,FALSE)),1,VLOOKUP(NM$5,Sprints[],4,FALSE)))))</f>
        <v>0</v>
      </c>
      <c r="NN36" s="60">
        <f t="array" aca="1" ref="NN36" ca="1">SUMPRODUCT((OFFSET($A36,0,31*($A$4)+DAY(VLOOKUP(NN$5,Sprints[],2,FALSE)),1,VLOOKUP(NN$5,Sprints[],4,FALSE))&lt;&gt;"")*(IF(OFFSET($A36,0,31*($A$4)+DAY(VLOOKUP(NN$5,Sprints[],2,FALSE)),1,VLOOKUP(NN$5,Sprints[],4,FALSE))=$OA$12,0.5,1)*(OFFSET($A$3,0,31*($A$4)+DAY(VLOOKUP(NN$5,Sprints[],2,FALSE)),1,VLOOKUP(NN$5,Sprints[],4,FALSE)))))</f>
        <v>0</v>
      </c>
      <c r="NO36" s="60">
        <f t="array" aca="1" ref="NO36" ca="1">SUMPRODUCT((OFFSET($A36,0,31*($A$4)+DAY(VLOOKUP(NO$5,Sprints[],2,FALSE)),1,VLOOKUP(NO$5,Sprints[],4,FALSE))&lt;&gt;"")*(IF(OFFSET($A36,0,31*($A$4)+DAY(VLOOKUP(NO$5,Sprints[],2,FALSE)),1,VLOOKUP(NO$5,Sprints[],4,FALSE))=$OA$12,0.5,1)*(OFFSET($A$3,0,31*($A$4)+DAY(VLOOKUP(NO$5,Sprints[],2,FALSE)),1,VLOOKUP(NO$5,Sprints[],4,FALSE)))))</f>
        <v>0</v>
      </c>
      <c r="NP36" s="60">
        <f t="array" aca="1" ref="NP36" ca="1">SUMPRODUCT((OFFSET($A36,0,31*(VLOOKUP(NP$5,Sprints[],5,FALSE))+DAY(VLOOKUP(NP$5,Sprints[],2,FALSE)),1,VLOOKUP(NP$5,Sprints[],4,FALSE))&lt;&gt;"")*(IF(OFFSET($A36,0,31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36" s="60">
        <f t="array" aca="1" ref="NQ36" ca="1">SUMPRODUCT((OFFSET($A36,0,31*(VLOOKUP(NQ$5,Sprints[],5,FALSE))+DAY(VLOOKUP(NQ$5,Sprints[],2,FALSE)),1,VLOOKUP(NQ$5,Sprints[],4,FALSE))&lt;&gt;"")*(IF(OFFSET($A36,0,31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36" s="60">
        <f t="array" aca="1" ref="NR36" ca="1">SUMPRODUCT((OFFSET($A36,0,31*(VLOOKUP(NR$5,Sprints[],5,FALSE))+DAY(VLOOKUP(NR$5,Sprints[],2,FALSE)),1,VLOOKUP(NR$5,Sprints[],4,FALSE))&lt;&gt;"")*(IF(OFFSET($A36,0,31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36" s="60">
        <f t="array" aca="1" ref="NS36" ca="1">SUMPRODUCT((OFFSET($A36,0,31*(VLOOKUP(NS$5,Sprints[],5,FALSE))+DAY(VLOOKUP(NS$5,Sprints[],2,FALSE)),1,VLOOKUP(NS$5,Sprints[],4,FALSE))&lt;&gt;"")*(IF(OFFSET($A36,0,31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36" s="60">
        <f t="array" aca="1" ref="NT36" ca="1">SUMPRODUCT((OFFSET($A36,0,31*(VLOOKUP(NT$5,Sprints[],5,FALSE))+DAY(VLOOKUP(NT$5,Sprints[],2,FALSE)),1,VLOOKUP(NT$5,Sprints[],4,FALSE))&lt;&gt;"")*(IF(OFFSET($A36,0,31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36" s="60">
        <f t="array" aca="1" ref="NU36" ca="1">SUMPRODUCT((OFFSET($A36,0,31*(VLOOKUP(NU$5,Sprints[],5,FALSE))+DAY(VLOOKUP(NU$5,Sprints[],2,FALSE)),1,VLOOKUP(NU$5,Sprints[],4,FALSE))&lt;&gt;"")*(IF(OFFSET($A36,0,31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36" s="60">
        <f t="array" aca="1" ref="NV36" ca="1">SUMPRODUCT((OFFSET($A36,0,31*(VLOOKUP(NV$5,Sprints[],5,FALSE))+DAY(VLOOKUP(NV$5,Sprints[],2,FALSE)),1,VLOOKUP(NV$5,Sprints[],4,FALSE))&lt;&gt;"")*(IF(OFFSET($A36,0,31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36" s="60">
        <f t="array" aca="1" ref="NW36" ca="1">SUMPRODUCT((OFFSET($A36,0,31*(VLOOKUP(NW$5,Sprints[],5,FALSE))+DAY(VLOOKUP(NW$5,Sprints[],2,FALSE)),1,VLOOKUP(NW$5,Sprints[],4,FALSE))&lt;&gt;"")*(IF(OFFSET($A36,0,31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36" s="60">
        <f t="array" aca="1" ref="NX36" ca="1">SUMPRODUCT((OFFSET($A36,0,31*(VLOOKUP(NX$5,Sprints[],5,FALSE))+DAY(VLOOKUP(NX$5,Sprints[],2,FALSE)),1,VLOOKUP(NX$5,Sprints[],4,FALSE))&lt;&gt;"")*(IF(OFFSET($A36,0,31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37" spans="1:388" x14ac:dyDescent="0.45">
      <c r="A37" s="1" t="s">
        <v>89</v>
      </c>
      <c r="B37" s="2"/>
      <c r="C37" s="2" t="s">
        <v>33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 t="s">
        <v>33</v>
      </c>
      <c r="AX37" s="2" t="s">
        <v>31</v>
      </c>
      <c r="AY37" s="2"/>
      <c r="AZ37" s="2"/>
      <c r="BA37" s="2" t="s">
        <v>35</v>
      </c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 t="s">
        <v>50</v>
      </c>
      <c r="CE37" s="2" t="s">
        <v>50</v>
      </c>
      <c r="CF37" s="2" t="s">
        <v>50</v>
      </c>
      <c r="CG37" s="2" t="s">
        <v>50</v>
      </c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 t="s">
        <v>35</v>
      </c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 t="s">
        <v>35</v>
      </c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 t="s">
        <v>50</v>
      </c>
      <c r="EW37" s="2" t="s">
        <v>50</v>
      </c>
      <c r="EX37" s="2" t="s">
        <v>50</v>
      </c>
      <c r="EY37" s="2" t="s">
        <v>50</v>
      </c>
      <c r="EZ37" s="2" t="s">
        <v>50</v>
      </c>
      <c r="FA37" s="2"/>
      <c r="FB37" s="2"/>
      <c r="FC37" s="2" t="s">
        <v>35</v>
      </c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 t="s">
        <v>35</v>
      </c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 t="s">
        <v>35</v>
      </c>
      <c r="JO37" s="2" t="s">
        <v>35</v>
      </c>
      <c r="JP37" s="2"/>
      <c r="JQ37" s="2"/>
      <c r="JR37" s="2"/>
      <c r="JS37" s="2"/>
      <c r="JT37" s="2"/>
      <c r="JU37" s="2" t="s">
        <v>35</v>
      </c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 t="s">
        <v>35</v>
      </c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14">
        <f t="array" aca="1" ref="NJ37" ca="1">SUMPRODUCT((OFFSET($A37,0,31*($A$3-1)+1,1,31)&lt;&gt;"")*(IF(OFFSET($A37,0,31*($A$3-1)+1,1,31)=$OA$12,0.5,1)*(OFFSET($A$4,0,31*($A$3-1)+1,1,31))))</f>
        <v>1</v>
      </c>
      <c r="NK37" s="20">
        <f t="array" aca="1" ref="NK37" ca="1">SUMPRODUCT((OFFSET($A37,0,1,1,372)&lt;&gt;"")*(IF(OFFSET($A37,0,1,1,372)=$OA$12,0.5,1)*(OFFSET($A$3,0,1,1,372))))</f>
        <v>20.5</v>
      </c>
      <c r="NL37" s="28">
        <f t="array" aca="1" ref="NL37" ca="1">SUMPRODUCT((OFFSET($A37,0,31*($A$4)+DAY(Holidays!$E$2),1,Holidays!$G$2)&lt;&gt;"")*(IF(OFFSET($A37,0,31*($A$4)+DAY(Holidays!$E$2),1,Holidays!$G$2)=$OA$12,0.5,1)*(OFFSET($A$3,0,31*($A$4)+DAY(Holidays!$E$2),1,Holidays!$G$2))))</f>
        <v>14.5</v>
      </c>
      <c r="NM37" s="60">
        <f t="array" aca="1" ref="NM37" ca="1">SUMPRODUCT((OFFSET($A37,0,31*($A$4)+DAY(VLOOKUP(NM$5,Sprints[],2,FALSE)),1,VLOOKUP(NM$5,Sprints[],4,FALSE))&lt;&gt;"")*(IF(OFFSET($A37,0,31*($A$4)+DAY(VLOOKUP(NM$5,Sprints[],2,FALSE)),1,VLOOKUP(NM$5,Sprints[],4,FALSE))=$OA$12,0.5,1)*(OFFSET($A$3,0,31*($A$4)+DAY(VLOOKUP(NM$5,Sprints[],2,FALSE)),1,VLOOKUP(NM$5,Sprints[],4,FALSE)))))</f>
        <v>0</v>
      </c>
      <c r="NN37" s="60">
        <f t="array" aca="1" ref="NN37" ca="1">SUMPRODUCT((OFFSET($A37,0,31*($A$4)+DAY(VLOOKUP(NN$5,Sprints[],2,FALSE)),1,VLOOKUP(NN$5,Sprints[],4,FALSE))&lt;&gt;"")*(IF(OFFSET($A37,0,31*($A$4)+DAY(VLOOKUP(NN$5,Sprints[],2,FALSE)),1,VLOOKUP(NN$5,Sprints[],4,FALSE))=$OA$12,0.5,1)*(OFFSET($A$3,0,31*($A$4)+DAY(VLOOKUP(NN$5,Sprints[],2,FALSE)),1,VLOOKUP(NN$5,Sprints[],4,FALSE)))))</f>
        <v>0</v>
      </c>
      <c r="NO37" s="60">
        <f t="array" aca="1" ref="NO37" ca="1">SUMPRODUCT((OFFSET($A37,0,31*($A$4)+DAY(VLOOKUP(NO$5,Sprints[],2,FALSE)),1,VLOOKUP(NO$5,Sprints[],4,FALSE))&lt;&gt;"")*(IF(OFFSET($A37,0,31*($A$4)+DAY(VLOOKUP(NO$5,Sprints[],2,FALSE)),1,VLOOKUP(NO$5,Sprints[],4,FALSE))=$OA$12,0.5,1)*(OFFSET($A$3,0,31*($A$4)+DAY(VLOOKUP(NO$5,Sprints[],2,FALSE)),1,VLOOKUP(NO$5,Sprints[],4,FALSE)))))</f>
        <v>1</v>
      </c>
      <c r="NP37" s="60">
        <f t="array" aca="1" ref="NP37" ca="1">SUMPRODUCT((OFFSET($A37,0,31*(VLOOKUP(NP$5,Sprints[],5,FALSE))+DAY(VLOOKUP(NP$5,Sprints[],2,FALSE)),1,VLOOKUP(NP$5,Sprints[],4,FALSE))&lt;&gt;"")*(IF(OFFSET($A37,0,31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37" s="60">
        <f t="array" aca="1" ref="NQ37" ca="1">SUMPRODUCT((OFFSET($A37,0,31*(VLOOKUP(NQ$5,Sprints[],5,FALSE))+DAY(VLOOKUP(NQ$5,Sprints[],2,FALSE)),1,VLOOKUP(NQ$5,Sprints[],4,FALSE))&lt;&gt;"")*(IF(OFFSET($A37,0,31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37" s="60">
        <f t="array" aca="1" ref="NR37" ca="1">SUMPRODUCT((OFFSET($A37,0,31*(VLOOKUP(NR$5,Sprints[],5,FALSE))+DAY(VLOOKUP(NR$5,Sprints[],2,FALSE)),1,VLOOKUP(NR$5,Sprints[],4,FALSE))&lt;&gt;"")*(IF(OFFSET($A37,0,31*(VLOOKUP(NR$5,Sprints[],5,FALSE))+DAY(VLOOKUP(NR$5,Sprints[],2,FALSE)),1,VLOOKUP(NR$5,Sprints[],4,FALSE))=$OA$12,0.5,1)*(OFFSET($A$3,0,31*(VLOOKUP(NR$5,Sprints[],5,FALSE))+DAY(VLOOKUP(NR$5,Sprints[],2,FALSE)),1,VLOOKUP(NR$5,Sprints[],4,FALSE)))))</f>
        <v>4</v>
      </c>
      <c r="NS37" s="60">
        <f t="array" aca="1" ref="NS37" ca="1">SUMPRODUCT((OFFSET($A37,0,31*(VLOOKUP(NS$5,Sprints[],5,FALSE))+DAY(VLOOKUP(NS$5,Sprints[],2,FALSE)),1,VLOOKUP(NS$5,Sprints[],4,FALSE))&lt;&gt;"")*(IF(OFFSET($A37,0,31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37" s="60">
        <f t="array" aca="1" ref="NT37" ca="1">SUMPRODUCT((OFFSET($A37,0,31*(VLOOKUP(NT$5,Sprints[],5,FALSE))+DAY(VLOOKUP(NT$5,Sprints[],2,FALSE)),1,VLOOKUP(NT$5,Sprints[],4,FALSE))&lt;&gt;"")*(IF(OFFSET($A37,0,31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37" s="60">
        <f t="array" aca="1" ref="NU37" ca="1">SUMPRODUCT((OFFSET($A37,0,31*(VLOOKUP(NU$5,Sprints[],5,FALSE))+DAY(VLOOKUP(NU$5,Sprints[],2,FALSE)),1,VLOOKUP(NU$5,Sprints[],4,FALSE))&lt;&gt;"")*(IF(OFFSET($A37,0,31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37" s="60">
        <f t="array" aca="1" ref="NV37" ca="1">SUMPRODUCT((OFFSET($A37,0,31*(VLOOKUP(NV$5,Sprints[],5,FALSE))+DAY(VLOOKUP(NV$5,Sprints[],2,FALSE)),1,VLOOKUP(NV$5,Sprints[],4,FALSE))&lt;&gt;"")*(IF(OFFSET($A37,0,31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37" s="60">
        <f t="array" aca="1" ref="NW37" ca="1">SUMPRODUCT((OFFSET($A37,0,31*(VLOOKUP(NW$5,Sprints[],5,FALSE))+DAY(VLOOKUP(NW$5,Sprints[],2,FALSE)),1,VLOOKUP(NW$5,Sprints[],4,FALSE))&lt;&gt;"")*(IF(OFFSET($A37,0,31*(VLOOKUP(NW$5,Sprints[],5,FALSE))+DAY(VLOOKUP(NW$5,Sprints[],2,FALSE)),1,VLOOKUP(NW$5,Sprints[],4,FALSE))=$OA$12,0.5,1)*(OFFSET($A$3,0,31*(VLOOKUP(NW$5,Sprints[],5,FALSE))+DAY(VLOOKUP(NW$5,Sprints[],2,FALSE)),1,VLOOKUP(NW$5,Sprints[],4,FALSE)))))</f>
        <v>6</v>
      </c>
      <c r="NX37" s="60">
        <f t="array" aca="1" ref="NX37" ca="1">SUMPRODUCT((OFFSET($A37,0,31*(VLOOKUP(NX$5,Sprints[],5,FALSE))+DAY(VLOOKUP(NX$5,Sprints[],2,FALSE)),1,VLOOKUP(NX$5,Sprints[],4,FALSE))&lt;&gt;"")*(IF(OFFSET($A37,0,31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38" spans="1:388" x14ac:dyDescent="0.45">
      <c r="A38" s="1" t="s">
        <v>90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 t="s">
        <v>33</v>
      </c>
      <c r="AX38" s="2" t="s">
        <v>31</v>
      </c>
      <c r="AY38" s="2"/>
      <c r="AZ38" s="2"/>
      <c r="BA38" s="2" t="s">
        <v>35</v>
      </c>
      <c r="BB38" s="2"/>
      <c r="BC38" s="2"/>
      <c r="BD38" s="2"/>
      <c r="BE38" s="2"/>
      <c r="BF38" s="2"/>
      <c r="BG38" s="2"/>
      <c r="BH38" s="2"/>
      <c r="BI38" s="2"/>
      <c r="BJ38" s="2"/>
      <c r="BK38" s="2" t="s">
        <v>50</v>
      </c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 t="s">
        <v>50</v>
      </c>
      <c r="BW38" s="2" t="s">
        <v>50</v>
      </c>
      <c r="BX38" s="2" t="s">
        <v>50</v>
      </c>
      <c r="BY38" s="2" t="s">
        <v>50</v>
      </c>
      <c r="BZ38" s="2" t="s">
        <v>50</v>
      </c>
      <c r="CA38" s="2"/>
      <c r="CB38" s="2"/>
      <c r="CC38" s="2"/>
      <c r="CD38" s="2"/>
      <c r="CE38" s="2"/>
      <c r="CF38" s="2"/>
      <c r="CG38" s="2"/>
      <c r="CH38" s="2"/>
      <c r="CI38" s="2"/>
      <c r="CJ38" s="2" t="s">
        <v>50</v>
      </c>
      <c r="CK38" s="2" t="s">
        <v>50</v>
      </c>
      <c r="CL38" s="2" t="s">
        <v>50</v>
      </c>
      <c r="CM38" s="2" t="s">
        <v>50</v>
      </c>
      <c r="CN38" s="2" t="s">
        <v>50</v>
      </c>
      <c r="CO38" s="2"/>
      <c r="CP38" s="2"/>
      <c r="CQ38" s="2"/>
      <c r="CR38" s="2" t="s">
        <v>35</v>
      </c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 t="s">
        <v>35</v>
      </c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 t="s">
        <v>50</v>
      </c>
      <c r="EP38" s="2" t="s">
        <v>50</v>
      </c>
      <c r="EQ38" s="2" t="s">
        <v>50</v>
      </c>
      <c r="ER38" s="2" t="s">
        <v>50</v>
      </c>
      <c r="ES38" s="2" t="s">
        <v>50</v>
      </c>
      <c r="ET38" s="2"/>
      <c r="EU38" s="2"/>
      <c r="EV38" s="2"/>
      <c r="EW38" s="2"/>
      <c r="EX38" s="2"/>
      <c r="EY38" s="2"/>
      <c r="EZ38" s="2"/>
      <c r="FA38" s="2"/>
      <c r="FB38" s="2"/>
      <c r="FC38" s="2" t="s">
        <v>35</v>
      </c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 t="s">
        <v>35</v>
      </c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 t="s">
        <v>35</v>
      </c>
      <c r="JO38" s="2" t="s">
        <v>35</v>
      </c>
      <c r="JP38" s="2"/>
      <c r="JQ38" s="2"/>
      <c r="JR38" s="2"/>
      <c r="JS38" s="2"/>
      <c r="JT38" s="2"/>
      <c r="JU38" s="2" t="s">
        <v>35</v>
      </c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 t="s">
        <v>35</v>
      </c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14">
        <f t="array" aca="1" ref="NJ38" ca="1">SUMPRODUCT((OFFSET($A38,0,31*($A$3-1)+1,1,31)&lt;&gt;"")*(IF(OFFSET($A38,0,31*($A$3-1)+1,1,31)=$OA$12,0.5,1)*(OFFSET($A$4,0,31*($A$3-1)+1,1,31))))</f>
        <v>0</v>
      </c>
      <c r="NK38" s="20">
        <f t="array" aca="1" ref="NK38" ca="1">SUMPRODUCT((OFFSET($A38,0,1,1,372)&lt;&gt;"")*(IF(OFFSET($A38,0,1,1,372)=$OA$12,0.5,1)*(OFFSET($A$3,0,1,1,372))))</f>
        <v>26.5</v>
      </c>
      <c r="NL38" s="28">
        <f t="array" aca="1" ref="NL38" ca="1">SUMPRODUCT((OFFSET($A38,0,31*($A$4)+DAY(Holidays!$E$2),1,Holidays!$G$2)&lt;&gt;"")*(IF(OFFSET($A38,0,31*($A$4)+DAY(Holidays!$E$2),1,Holidays!$G$2)=$OA$12,0.5,1)*(OFFSET($A$3,0,31*($A$4)+DAY(Holidays!$E$2),1,Holidays!$G$2))))</f>
        <v>21.5</v>
      </c>
      <c r="NM38" s="60">
        <f t="array" aca="1" ref="NM38" ca="1">SUMPRODUCT((OFFSET($A38,0,31*($A$4)+DAY(VLOOKUP(NM$5,Sprints[],2,FALSE)),1,VLOOKUP(NM$5,Sprints[],4,FALSE))&lt;&gt;"")*(IF(OFFSET($A38,0,31*($A$4)+DAY(VLOOKUP(NM$5,Sprints[],2,FALSE)),1,VLOOKUP(NM$5,Sprints[],4,FALSE))=$OA$12,0.5,1)*(OFFSET($A$3,0,31*($A$4)+DAY(VLOOKUP(NM$5,Sprints[],2,FALSE)),1,VLOOKUP(NM$5,Sprints[],4,FALSE)))))</f>
        <v>0</v>
      </c>
      <c r="NN38" s="60">
        <f t="array" aca="1" ref="NN38" ca="1">SUMPRODUCT((OFFSET($A38,0,31*($A$4)+DAY(VLOOKUP(NN$5,Sprints[],2,FALSE)),1,VLOOKUP(NN$5,Sprints[],4,FALSE))&lt;&gt;"")*(IF(OFFSET($A38,0,31*($A$4)+DAY(VLOOKUP(NN$5,Sprints[],2,FALSE)),1,VLOOKUP(NN$5,Sprints[],4,FALSE))=$OA$12,0.5,1)*(OFFSET($A$3,0,31*($A$4)+DAY(VLOOKUP(NN$5,Sprints[],2,FALSE)),1,VLOOKUP(NN$5,Sprints[],4,FALSE)))))</f>
        <v>0</v>
      </c>
      <c r="NO38" s="60">
        <f t="array" aca="1" ref="NO38" ca="1">SUMPRODUCT((OFFSET($A38,0,31*($A$4)+DAY(VLOOKUP(NO$5,Sprints[],2,FALSE)),1,VLOOKUP(NO$5,Sprints[],4,FALSE))&lt;&gt;"")*(IF(OFFSET($A38,0,31*($A$4)+DAY(VLOOKUP(NO$5,Sprints[],2,FALSE)),1,VLOOKUP(NO$5,Sprints[],4,FALSE))=$OA$12,0.5,1)*(OFFSET($A$3,0,31*($A$4)+DAY(VLOOKUP(NO$5,Sprints[],2,FALSE)),1,VLOOKUP(NO$5,Sprints[],4,FALSE)))))</f>
        <v>0</v>
      </c>
      <c r="NP38" s="60">
        <f t="array" aca="1" ref="NP38" ca="1">SUMPRODUCT((OFFSET($A38,0,31*(VLOOKUP(NP$5,Sprints[],5,FALSE))+DAY(VLOOKUP(NP$5,Sprints[],2,FALSE)),1,VLOOKUP(NP$5,Sprints[],4,FALSE))&lt;&gt;"")*(IF(OFFSET($A38,0,31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38" s="60">
        <f t="array" aca="1" ref="NQ38" ca="1">SUMPRODUCT((OFFSET($A38,0,31*(VLOOKUP(NQ$5,Sprints[],5,FALSE))+DAY(VLOOKUP(NQ$5,Sprints[],2,FALSE)),1,VLOOKUP(NQ$5,Sprints[],4,FALSE))&lt;&gt;"")*(IF(OFFSET($A38,0,31*(VLOOKUP(NQ$5,Sprints[],5,FALSE))+DAY(VLOOKUP(NQ$5,Sprints[],2,FALSE)),1,VLOOKUP(NQ$5,Sprints[],4,FALSE))=$OA$12,0.5,1)*(OFFSET($A$3,0,31*(VLOOKUP(NQ$5,Sprints[],5,FALSE))+DAY(VLOOKUP(NQ$5,Sprints[],2,FALSE)),1,VLOOKUP(NQ$5,Sprints[],4,FALSE)))))</f>
        <v>3</v>
      </c>
      <c r="NR38" s="60">
        <f t="array" aca="1" ref="NR38" ca="1">SUMPRODUCT((OFFSET($A38,0,31*(VLOOKUP(NR$5,Sprints[],5,FALSE))+DAY(VLOOKUP(NR$5,Sprints[],2,FALSE)),1,VLOOKUP(NR$5,Sprints[],4,FALSE))&lt;&gt;"")*(IF(OFFSET($A38,0,31*(VLOOKUP(NR$5,Sprints[],5,FALSE))+DAY(VLOOKUP(NR$5,Sprints[],2,FALSE)),1,VLOOKUP(NR$5,Sprints[],4,FALSE))=$OA$12,0.5,1)*(OFFSET($A$3,0,31*(VLOOKUP(NR$5,Sprints[],5,FALSE))+DAY(VLOOKUP(NR$5,Sprints[],2,FALSE)),1,VLOOKUP(NR$5,Sprints[],4,FALSE)))))</f>
        <v>5</v>
      </c>
      <c r="NS38" s="60">
        <f t="array" aca="1" ref="NS38" ca="1">SUMPRODUCT((OFFSET($A38,0,31*(VLOOKUP(NS$5,Sprints[],5,FALSE))+DAY(VLOOKUP(NS$5,Sprints[],2,FALSE)),1,VLOOKUP(NS$5,Sprints[],4,FALSE))&lt;&gt;"")*(IF(OFFSET($A38,0,31*(VLOOKUP(NS$5,Sprints[],5,FALSE))+DAY(VLOOKUP(NS$5,Sprints[],2,FALSE)),1,VLOOKUP(NS$5,Sprints[],4,FALSE))=$OA$12,0.5,1)*(OFFSET($A$3,0,31*(VLOOKUP(NS$5,Sprints[],5,FALSE))+DAY(VLOOKUP(NS$5,Sprints[],2,FALSE)),1,VLOOKUP(NS$5,Sprints[],4,FALSE)))))</f>
        <v>4</v>
      </c>
      <c r="NT38" s="60">
        <f t="array" aca="1" ref="NT38" ca="1">SUMPRODUCT((OFFSET($A38,0,31*(VLOOKUP(NT$5,Sprints[],5,FALSE))+DAY(VLOOKUP(NT$5,Sprints[],2,FALSE)),1,VLOOKUP(NT$5,Sprints[],4,FALSE))&lt;&gt;"")*(IF(OFFSET($A38,0,31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38" s="60">
        <f t="array" aca="1" ref="NU38" ca="1">SUMPRODUCT((OFFSET($A38,0,31*(VLOOKUP(NU$5,Sprints[],5,FALSE))+DAY(VLOOKUP(NU$5,Sprints[],2,FALSE)),1,VLOOKUP(NU$5,Sprints[],4,FALSE))&lt;&gt;"")*(IF(OFFSET($A38,0,31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38" s="60">
        <f t="array" aca="1" ref="NV38" ca="1">SUMPRODUCT((OFFSET($A38,0,31*(VLOOKUP(NV$5,Sprints[],5,FALSE))+DAY(VLOOKUP(NV$5,Sprints[],2,FALSE)),1,VLOOKUP(NV$5,Sprints[],4,FALSE))&lt;&gt;"")*(IF(OFFSET($A38,0,31*(VLOOKUP(NV$5,Sprints[],5,FALSE))+DAY(VLOOKUP(NV$5,Sprints[],2,FALSE)),1,VLOOKUP(NV$5,Sprints[],4,FALSE))=$OA$12,0.5,1)*(OFFSET($A$3,0,31*(VLOOKUP(NV$5,Sprints[],5,FALSE))+DAY(VLOOKUP(NV$5,Sprints[],2,FALSE)),1,VLOOKUP(NV$5,Sprints[],4,FALSE)))))</f>
        <v>2</v>
      </c>
      <c r="NW38" s="60">
        <f t="array" aca="1" ref="NW38" ca="1">SUMPRODUCT((OFFSET($A38,0,31*(VLOOKUP(NW$5,Sprints[],5,FALSE))+DAY(VLOOKUP(NW$5,Sprints[],2,FALSE)),1,VLOOKUP(NW$5,Sprints[],4,FALSE))&lt;&gt;"")*(IF(OFFSET($A38,0,31*(VLOOKUP(NW$5,Sprints[],5,FALSE))+DAY(VLOOKUP(NW$5,Sprints[],2,FALSE)),1,VLOOKUP(NW$5,Sprints[],4,FALSE))=$OA$12,0.5,1)*(OFFSET($A$3,0,31*(VLOOKUP(NW$5,Sprints[],5,FALSE))+DAY(VLOOKUP(NW$5,Sprints[],2,FALSE)),1,VLOOKUP(NW$5,Sprints[],4,FALSE)))))</f>
        <v>4</v>
      </c>
      <c r="NX38" s="60">
        <f t="array" aca="1" ref="NX38" ca="1">SUMPRODUCT((OFFSET($A38,0,31*(VLOOKUP(NX$5,Sprints[],5,FALSE))+DAY(VLOOKUP(NX$5,Sprints[],2,FALSE)),1,VLOOKUP(NX$5,Sprints[],4,FALSE))&lt;&gt;"")*(IF(OFFSET($A38,0,31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39" spans="1:388" x14ac:dyDescent="0.45">
      <c r="A39" s="1" t="s">
        <v>91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 t="s">
        <v>33</v>
      </c>
      <c r="V39" s="2"/>
      <c r="W39" s="2"/>
      <c r="X39" s="2" t="s">
        <v>33</v>
      </c>
      <c r="Y39" s="2" t="s">
        <v>33</v>
      </c>
      <c r="Z39" s="2" t="s">
        <v>33</v>
      </c>
      <c r="AA39" s="2" t="s">
        <v>33</v>
      </c>
      <c r="AB39" s="2" t="s">
        <v>33</v>
      </c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 t="s">
        <v>33</v>
      </c>
      <c r="AX39" s="2" t="s">
        <v>31</v>
      </c>
      <c r="AY39" s="2"/>
      <c r="AZ39" s="2"/>
      <c r="BA39" s="2" t="s">
        <v>35</v>
      </c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 t="s">
        <v>35</v>
      </c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 t="s">
        <v>35</v>
      </c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 t="s">
        <v>50</v>
      </c>
      <c r="EX39" s="2" t="s">
        <v>50</v>
      </c>
      <c r="EY39" s="2" t="s">
        <v>50</v>
      </c>
      <c r="EZ39" s="2" t="s">
        <v>50</v>
      </c>
      <c r="FA39" s="2"/>
      <c r="FB39" s="2"/>
      <c r="FC39" s="2" t="s">
        <v>35</v>
      </c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 t="s">
        <v>35</v>
      </c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 t="s">
        <v>35</v>
      </c>
      <c r="JO39" s="2" t="s">
        <v>35</v>
      </c>
      <c r="JP39" s="2"/>
      <c r="JQ39" s="2"/>
      <c r="JR39" s="2"/>
      <c r="JS39" s="2"/>
      <c r="JT39" s="2"/>
      <c r="JU39" s="2" t="s">
        <v>35</v>
      </c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 t="s">
        <v>35</v>
      </c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14">
        <f t="array" aca="1" ref="NJ39" ca="1">SUMPRODUCT((OFFSET($A39,0,31*($A$3-1)+1,1,31)&lt;&gt;"")*(IF(OFFSET($A39,0,31*($A$3-1)+1,1,31)=$OA$12,0.5,1)*(OFFSET($A$4,0,31*($A$3-1)+1,1,31))))</f>
        <v>6</v>
      </c>
      <c r="NK39" s="20">
        <f t="array" aca="1" ref="NK39" ca="1">SUMPRODUCT((OFFSET($A39,0,1,1,372)&lt;&gt;"")*(IF(OFFSET($A39,0,1,1,372)=$OA$12,0.5,1)*(OFFSET($A$3,0,1,1,372))))</f>
        <v>20.5</v>
      </c>
      <c r="NL39" s="28">
        <f t="array" aca="1" ref="NL39" ca="1">SUMPRODUCT((OFFSET($A39,0,31*($A$4)+DAY(Holidays!$E$2),1,Holidays!$G$2)&lt;&gt;"")*(IF(OFFSET($A39,0,31*($A$4)+DAY(Holidays!$E$2),1,Holidays!$G$2)=$OA$12,0.5,1)*(OFFSET($A$3,0,31*($A$4)+DAY(Holidays!$E$2),1,Holidays!$G$2))))</f>
        <v>15.5</v>
      </c>
      <c r="NM39" s="60">
        <f t="array" aca="1" ref="NM39" ca="1">SUMPRODUCT((OFFSET($A39,0,31*($A$4)+DAY(VLOOKUP(NM$5,Sprints[],2,FALSE)),1,VLOOKUP(NM$5,Sprints[],4,FALSE))&lt;&gt;"")*(IF(OFFSET($A39,0,31*($A$4)+DAY(VLOOKUP(NM$5,Sprints[],2,FALSE)),1,VLOOKUP(NM$5,Sprints[],4,FALSE))=$OA$12,0.5,1)*(OFFSET($A$3,0,31*($A$4)+DAY(VLOOKUP(NM$5,Sprints[],2,FALSE)),1,VLOOKUP(NM$5,Sprints[],4,FALSE)))))</f>
        <v>0</v>
      </c>
      <c r="NN39" s="60">
        <f t="array" aca="1" ref="NN39" ca="1">SUMPRODUCT((OFFSET($A39,0,31*($A$4)+DAY(VLOOKUP(NN$5,Sprints[],2,FALSE)),1,VLOOKUP(NN$5,Sprints[],4,FALSE))&lt;&gt;"")*(IF(OFFSET($A39,0,31*($A$4)+DAY(VLOOKUP(NN$5,Sprints[],2,FALSE)),1,VLOOKUP(NN$5,Sprints[],4,FALSE))=$OA$12,0.5,1)*(OFFSET($A$3,0,31*($A$4)+DAY(VLOOKUP(NN$5,Sprints[],2,FALSE)),1,VLOOKUP(NN$5,Sprints[],4,FALSE)))))</f>
        <v>6</v>
      </c>
      <c r="NO39" s="60">
        <f t="array" aca="1" ref="NO39" ca="1">SUMPRODUCT((OFFSET($A39,0,31*($A$4)+DAY(VLOOKUP(NO$5,Sprints[],2,FALSE)),1,VLOOKUP(NO$5,Sprints[],4,FALSE))&lt;&gt;"")*(IF(OFFSET($A39,0,31*($A$4)+DAY(VLOOKUP(NO$5,Sprints[],2,FALSE)),1,VLOOKUP(NO$5,Sprints[],4,FALSE))=$OA$12,0.5,1)*(OFFSET($A$3,0,31*($A$4)+DAY(VLOOKUP(NO$5,Sprints[],2,FALSE)),1,VLOOKUP(NO$5,Sprints[],4,FALSE)))))</f>
        <v>0</v>
      </c>
      <c r="NP39" s="60">
        <f t="array" aca="1" ref="NP39" ca="1">SUMPRODUCT((OFFSET($A39,0,31*(VLOOKUP(NP$5,Sprints[],5,FALSE))+DAY(VLOOKUP(NP$5,Sprints[],2,FALSE)),1,VLOOKUP(NP$5,Sprints[],4,FALSE))&lt;&gt;"")*(IF(OFFSET($A39,0,31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39" s="60">
        <f t="array" aca="1" ref="NQ39" ca="1">SUMPRODUCT((OFFSET($A39,0,31*(VLOOKUP(NQ$5,Sprints[],5,FALSE))+DAY(VLOOKUP(NQ$5,Sprints[],2,FALSE)),1,VLOOKUP(NQ$5,Sprints[],4,FALSE))&lt;&gt;"")*(IF(OFFSET($A39,0,31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39" s="60">
        <f t="array" aca="1" ref="NR39" ca="1">SUMPRODUCT((OFFSET($A39,0,31*(VLOOKUP(NR$5,Sprints[],5,FALSE))+DAY(VLOOKUP(NR$5,Sprints[],2,FALSE)),1,VLOOKUP(NR$5,Sprints[],4,FALSE))&lt;&gt;"")*(IF(OFFSET($A39,0,31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39" s="60">
        <f t="array" aca="1" ref="NS39" ca="1">SUMPRODUCT((OFFSET($A39,0,31*(VLOOKUP(NS$5,Sprints[],5,FALSE))+DAY(VLOOKUP(NS$5,Sprints[],2,FALSE)),1,VLOOKUP(NS$5,Sprints[],4,FALSE))&lt;&gt;"")*(IF(OFFSET($A39,0,31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39" s="60">
        <f t="array" aca="1" ref="NT39" ca="1">SUMPRODUCT((OFFSET($A39,0,31*(VLOOKUP(NT$5,Sprints[],5,FALSE))+DAY(VLOOKUP(NT$5,Sprints[],2,FALSE)),1,VLOOKUP(NT$5,Sprints[],4,FALSE))&lt;&gt;"")*(IF(OFFSET($A39,0,31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39" s="60">
        <f t="array" aca="1" ref="NU39" ca="1">SUMPRODUCT((OFFSET($A39,0,31*(VLOOKUP(NU$5,Sprints[],5,FALSE))+DAY(VLOOKUP(NU$5,Sprints[],2,FALSE)),1,VLOOKUP(NU$5,Sprints[],4,FALSE))&lt;&gt;"")*(IF(OFFSET($A39,0,31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39" s="60">
        <f t="array" aca="1" ref="NV39" ca="1">SUMPRODUCT((OFFSET($A39,0,31*(VLOOKUP(NV$5,Sprints[],5,FALSE))+DAY(VLOOKUP(NV$5,Sprints[],2,FALSE)),1,VLOOKUP(NV$5,Sprints[],4,FALSE))&lt;&gt;"")*(IF(OFFSET($A39,0,31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39" s="60">
        <f t="array" aca="1" ref="NW39" ca="1">SUMPRODUCT((OFFSET($A39,0,31*(VLOOKUP(NW$5,Sprints[],5,FALSE))+DAY(VLOOKUP(NW$5,Sprints[],2,FALSE)),1,VLOOKUP(NW$5,Sprints[],4,FALSE))&lt;&gt;"")*(IF(OFFSET($A39,0,31*(VLOOKUP(NW$5,Sprints[],5,FALSE))+DAY(VLOOKUP(NW$5,Sprints[],2,FALSE)),1,VLOOKUP(NW$5,Sprints[],4,FALSE))=$OA$12,0.5,1)*(OFFSET($A$3,0,31*(VLOOKUP(NW$5,Sprints[],5,FALSE))+DAY(VLOOKUP(NW$5,Sprints[],2,FALSE)),1,VLOOKUP(NW$5,Sprints[],4,FALSE)))))</f>
        <v>5</v>
      </c>
      <c r="NX39" s="60">
        <f t="array" aca="1" ref="NX39" ca="1">SUMPRODUCT((OFFSET($A39,0,31*(VLOOKUP(NX$5,Sprints[],5,FALSE))+DAY(VLOOKUP(NX$5,Sprints[],2,FALSE)),1,VLOOKUP(NX$5,Sprints[],4,FALSE))&lt;&gt;"")*(IF(OFFSET($A39,0,31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40" spans="1:388" x14ac:dyDescent="0.45">
      <c r="A40" s="1" t="s">
        <v>92</v>
      </c>
      <c r="B40" s="2"/>
      <c r="C40" s="2" t="s">
        <v>33</v>
      </c>
      <c r="D40" s="2" t="s">
        <v>33</v>
      </c>
      <c r="E40" s="2" t="s">
        <v>33</v>
      </c>
      <c r="F40" s="2" t="s">
        <v>33</v>
      </c>
      <c r="G40" s="2" t="s">
        <v>33</v>
      </c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 t="s">
        <v>33</v>
      </c>
      <c r="AX40" s="2" t="s">
        <v>31</v>
      </c>
      <c r="AY40" s="2"/>
      <c r="AZ40" s="2"/>
      <c r="BA40" s="2" t="s">
        <v>35</v>
      </c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 t="s">
        <v>35</v>
      </c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 t="s">
        <v>35</v>
      </c>
      <c r="EB40" s="2"/>
      <c r="EC40" s="2" t="s">
        <v>50</v>
      </c>
      <c r="ED40" s="2" t="s">
        <v>50</v>
      </c>
      <c r="EE40" s="2" t="s">
        <v>50</v>
      </c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 t="s">
        <v>35</v>
      </c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 t="s">
        <v>35</v>
      </c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 t="s">
        <v>35</v>
      </c>
      <c r="JO40" s="2" t="s">
        <v>35</v>
      </c>
      <c r="JP40" s="2"/>
      <c r="JQ40" s="2"/>
      <c r="JR40" s="2"/>
      <c r="JS40" s="2"/>
      <c r="JT40" s="2"/>
      <c r="JU40" s="2" t="s">
        <v>35</v>
      </c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 t="s">
        <v>35</v>
      </c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14">
        <f t="array" aca="1" ref="NJ40" ca="1">SUMPRODUCT((OFFSET($A40,0,31*($A$3-1)+1,1,31)&lt;&gt;"")*(IF(OFFSET($A40,0,31*($A$3-1)+1,1,31)=$OA$12,0.5,1)*(OFFSET($A$4,0,31*($A$3-1)+1,1,31))))</f>
        <v>5</v>
      </c>
      <c r="NK40" s="20">
        <f t="array" aca="1" ref="NK40" ca="1">SUMPRODUCT((OFFSET($A40,0,1,1,372)&lt;&gt;"")*(IF(OFFSET($A40,0,1,1,372)=$OA$12,0.5,1)*(OFFSET($A$3,0,1,1,372))))</f>
        <v>18.5</v>
      </c>
      <c r="NL40" s="28">
        <f t="array" aca="1" ref="NL40" ca="1">SUMPRODUCT((OFFSET($A40,0,31*($A$4)+DAY(Holidays!$E$2),1,Holidays!$G$2)&lt;&gt;"")*(IF(OFFSET($A40,0,31*($A$4)+DAY(Holidays!$E$2),1,Holidays!$G$2)=$OA$12,0.5,1)*(OFFSET($A$3,0,31*($A$4)+DAY(Holidays!$E$2),1,Holidays!$G$2))))</f>
        <v>8.5</v>
      </c>
      <c r="NM40" s="60">
        <f t="array" aca="1" ref="NM40" ca="1">SUMPRODUCT((OFFSET($A40,0,31*($A$4)+DAY(VLOOKUP(NM$5,Sprints[],2,FALSE)),1,VLOOKUP(NM$5,Sprints[],4,FALSE))&lt;&gt;"")*(IF(OFFSET($A40,0,31*($A$4)+DAY(VLOOKUP(NM$5,Sprints[],2,FALSE)),1,VLOOKUP(NM$5,Sprints[],4,FALSE))=$OA$12,0.5,1)*(OFFSET($A$3,0,31*($A$4)+DAY(VLOOKUP(NM$5,Sprints[],2,FALSE)),1,VLOOKUP(NM$5,Sprints[],4,FALSE)))))</f>
        <v>0</v>
      </c>
      <c r="NN40" s="60">
        <f t="array" aca="1" ref="NN40" ca="1">SUMPRODUCT((OFFSET($A40,0,31*($A$4)+DAY(VLOOKUP(NN$5,Sprints[],2,FALSE)),1,VLOOKUP(NN$5,Sprints[],4,FALSE))&lt;&gt;"")*(IF(OFFSET($A40,0,31*($A$4)+DAY(VLOOKUP(NN$5,Sprints[],2,FALSE)),1,VLOOKUP(NN$5,Sprints[],4,FALSE))=$OA$12,0.5,1)*(OFFSET($A$3,0,31*($A$4)+DAY(VLOOKUP(NN$5,Sprints[],2,FALSE)),1,VLOOKUP(NN$5,Sprints[],4,FALSE)))))</f>
        <v>0</v>
      </c>
      <c r="NO40" s="60">
        <f t="array" aca="1" ref="NO40" ca="1">SUMPRODUCT((OFFSET($A40,0,31*($A$4)+DAY(VLOOKUP(NO$5,Sprints[],2,FALSE)),1,VLOOKUP(NO$5,Sprints[],4,FALSE))&lt;&gt;"")*(IF(OFFSET($A40,0,31*($A$4)+DAY(VLOOKUP(NO$5,Sprints[],2,FALSE)),1,VLOOKUP(NO$5,Sprints[],4,FALSE))=$OA$12,0.5,1)*(OFFSET($A$3,0,31*($A$4)+DAY(VLOOKUP(NO$5,Sprints[],2,FALSE)),1,VLOOKUP(NO$5,Sprints[],4,FALSE)))))</f>
        <v>5</v>
      </c>
      <c r="NP40" s="60">
        <f t="array" aca="1" ref="NP40" ca="1">SUMPRODUCT((OFFSET($A40,0,31*(VLOOKUP(NP$5,Sprints[],5,FALSE))+DAY(VLOOKUP(NP$5,Sprints[],2,FALSE)),1,VLOOKUP(NP$5,Sprints[],4,FALSE))&lt;&gt;"")*(IF(OFFSET($A40,0,31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40" s="60">
        <f t="array" aca="1" ref="NQ40" ca="1">SUMPRODUCT((OFFSET($A40,0,31*(VLOOKUP(NQ$5,Sprints[],5,FALSE))+DAY(VLOOKUP(NQ$5,Sprints[],2,FALSE)),1,VLOOKUP(NQ$5,Sprints[],4,FALSE))&lt;&gt;"")*(IF(OFFSET($A40,0,31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40" s="60">
        <f t="array" aca="1" ref="NR40" ca="1">SUMPRODUCT((OFFSET($A40,0,31*(VLOOKUP(NR$5,Sprints[],5,FALSE))+DAY(VLOOKUP(NR$5,Sprints[],2,FALSE)),1,VLOOKUP(NR$5,Sprints[],4,FALSE))&lt;&gt;"")*(IF(OFFSET($A40,0,31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40" s="60">
        <f t="array" aca="1" ref="NS40" ca="1">SUMPRODUCT((OFFSET($A40,0,31*(VLOOKUP(NS$5,Sprints[],5,FALSE))+DAY(VLOOKUP(NS$5,Sprints[],2,FALSE)),1,VLOOKUP(NS$5,Sprints[],4,FALSE))&lt;&gt;"")*(IF(OFFSET($A40,0,31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40" s="60">
        <f t="array" aca="1" ref="NT40" ca="1">SUMPRODUCT((OFFSET($A40,0,31*(VLOOKUP(NT$5,Sprints[],5,FALSE))+DAY(VLOOKUP(NT$5,Sprints[],2,FALSE)),1,VLOOKUP(NT$5,Sprints[],4,FALSE))&lt;&gt;"")*(IF(OFFSET($A40,0,31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40" s="60">
        <f t="array" aca="1" ref="NU40" ca="1">SUMPRODUCT((OFFSET($A40,0,31*(VLOOKUP(NU$5,Sprints[],5,FALSE))+DAY(VLOOKUP(NU$5,Sprints[],2,FALSE)),1,VLOOKUP(NU$5,Sprints[],4,FALSE))&lt;&gt;"")*(IF(OFFSET($A40,0,31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40" s="60">
        <f t="array" aca="1" ref="NV40" ca="1">SUMPRODUCT((OFFSET($A40,0,31*(VLOOKUP(NV$5,Sprints[],5,FALSE))+DAY(VLOOKUP(NV$5,Sprints[],2,FALSE)),1,VLOOKUP(NV$5,Sprints[],4,FALSE))&lt;&gt;"")*(IF(OFFSET($A40,0,31*(VLOOKUP(NV$5,Sprints[],5,FALSE))+DAY(VLOOKUP(NV$5,Sprints[],2,FALSE)),1,VLOOKUP(NV$5,Sprints[],4,FALSE))=$OA$12,0.5,1)*(OFFSET($A$3,0,31*(VLOOKUP(NV$5,Sprints[],5,FALSE))+DAY(VLOOKUP(NV$5,Sprints[],2,FALSE)),1,VLOOKUP(NV$5,Sprints[],4,FALSE)))))</f>
        <v>3</v>
      </c>
      <c r="NW40" s="60">
        <f t="array" aca="1" ref="NW40" ca="1">SUMPRODUCT((OFFSET($A40,0,31*(VLOOKUP(NW$5,Sprints[],5,FALSE))+DAY(VLOOKUP(NW$5,Sprints[],2,FALSE)),1,VLOOKUP(NW$5,Sprints[],4,FALSE))&lt;&gt;"")*(IF(OFFSET($A40,0,31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40" s="60">
        <f t="array" aca="1" ref="NX40" ca="1">SUMPRODUCT((OFFSET($A40,0,31*(VLOOKUP(NX$5,Sprints[],5,FALSE))+DAY(VLOOKUP(NX$5,Sprints[],2,FALSE)),1,VLOOKUP(NX$5,Sprints[],4,FALSE))&lt;&gt;"")*(IF(OFFSET($A40,0,31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41" spans="1:388" ht="14.65" thickBot="1" x14ac:dyDescent="0.5">
      <c r="A41" s="41" t="s">
        <v>93</v>
      </c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2" t="s">
        <v>33</v>
      </c>
      <c r="AX41" s="2" t="s">
        <v>31</v>
      </c>
      <c r="AY41" s="37"/>
      <c r="AZ41" s="37"/>
      <c r="BA41" s="2" t="s">
        <v>35</v>
      </c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2" t="s">
        <v>50</v>
      </c>
      <c r="CN41" s="2" t="s">
        <v>50</v>
      </c>
      <c r="CO41" s="37"/>
      <c r="CP41" s="37"/>
      <c r="CQ41" s="37"/>
      <c r="CR41" s="2" t="s">
        <v>35</v>
      </c>
      <c r="CS41" s="37"/>
      <c r="CT41" s="37"/>
      <c r="CU41" s="37"/>
      <c r="CV41" s="37"/>
      <c r="CW41" s="37"/>
      <c r="CX41" s="37"/>
      <c r="CY41" s="37"/>
      <c r="CZ41" s="37"/>
      <c r="DA41" s="37"/>
      <c r="DB41" s="37"/>
      <c r="DC41" s="37"/>
      <c r="DD41" s="37"/>
      <c r="DE41" s="37"/>
      <c r="DF41" s="37"/>
      <c r="DG41" s="37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  <c r="DU41" s="37"/>
      <c r="DV41" s="37"/>
      <c r="DW41" s="37"/>
      <c r="DX41" s="37"/>
      <c r="DY41" s="37"/>
      <c r="DZ41" s="37"/>
      <c r="EA41" s="2" t="s">
        <v>35</v>
      </c>
      <c r="EB41" s="37"/>
      <c r="EC41" s="37"/>
      <c r="ED41" s="37"/>
      <c r="EE41" s="37"/>
      <c r="EF41" s="37"/>
      <c r="EG41" s="37"/>
      <c r="EH41" s="2" t="s">
        <v>50</v>
      </c>
      <c r="EI41" s="2" t="s">
        <v>50</v>
      </c>
      <c r="EJ41" s="2" t="s">
        <v>50</v>
      </c>
      <c r="EK41" s="2" t="s">
        <v>50</v>
      </c>
      <c r="EL41" s="2" t="s">
        <v>50</v>
      </c>
      <c r="EM41" s="37"/>
      <c r="EN41" s="37"/>
      <c r="EO41" s="37"/>
      <c r="EP41" s="37"/>
      <c r="EQ41" s="37"/>
      <c r="ER41" s="37"/>
      <c r="ES41" s="37"/>
      <c r="ET41" s="37"/>
      <c r="EU41" s="37"/>
      <c r="EV41" s="37"/>
      <c r="EW41" s="37"/>
      <c r="EX41" s="37"/>
      <c r="EY41" s="37"/>
      <c r="EZ41" s="37"/>
      <c r="FA41" s="37"/>
      <c r="FB41" s="37"/>
      <c r="FC41" s="2" t="s">
        <v>35</v>
      </c>
      <c r="FD41" s="37"/>
      <c r="FE41" s="37"/>
      <c r="FF41" s="37"/>
      <c r="FG41" s="37"/>
      <c r="FH41" s="37"/>
      <c r="FI41" s="37"/>
      <c r="FJ41" s="37"/>
      <c r="FK41" s="37"/>
      <c r="FL41" s="37"/>
      <c r="FM41" s="37"/>
      <c r="FN41" s="37"/>
      <c r="FO41" s="37"/>
      <c r="FP41" s="37"/>
      <c r="FQ41" s="37"/>
      <c r="FR41" s="37"/>
      <c r="FS41" s="37"/>
      <c r="FT41" s="37"/>
      <c r="FU41" s="37"/>
      <c r="FV41" s="37"/>
      <c r="FW41" s="37"/>
      <c r="FX41" s="37"/>
      <c r="FY41" s="37"/>
      <c r="FZ41" s="37"/>
      <c r="GA41" s="37"/>
      <c r="GB41" s="37"/>
      <c r="GC41" s="37"/>
      <c r="GD41" s="37"/>
      <c r="GE41" s="37"/>
      <c r="GF41" s="37"/>
      <c r="GG41" s="37"/>
      <c r="GH41" s="37"/>
      <c r="GI41" s="37"/>
      <c r="GJ41" s="37"/>
      <c r="GK41" s="37"/>
      <c r="GL41" s="37"/>
      <c r="GM41" s="2" t="s">
        <v>35</v>
      </c>
      <c r="GN41" s="37"/>
      <c r="GO41" s="37"/>
      <c r="GP41" s="37"/>
      <c r="GQ41" s="37"/>
      <c r="GR41" s="37"/>
      <c r="GS41" s="37"/>
      <c r="GT41" s="37"/>
      <c r="GU41" s="37"/>
      <c r="GV41" s="37"/>
      <c r="GW41" s="37"/>
      <c r="GX41" s="37"/>
      <c r="GY41" s="37"/>
      <c r="GZ41" s="37"/>
      <c r="HA41" s="37"/>
      <c r="HB41" s="37"/>
      <c r="HC41" s="37"/>
      <c r="HD41" s="37"/>
      <c r="HE41" s="37"/>
      <c r="HF41" s="37"/>
      <c r="HG41" s="37"/>
      <c r="HH41" s="37"/>
      <c r="HI41" s="37"/>
      <c r="HJ41" s="37"/>
      <c r="HK41" s="37"/>
      <c r="HL41" s="37"/>
      <c r="HM41" s="37"/>
      <c r="HN41" s="37"/>
      <c r="HO41" s="37"/>
      <c r="HP41" s="37"/>
      <c r="HQ41" s="37"/>
      <c r="HR41" s="37"/>
      <c r="HS41" s="37"/>
      <c r="HT41" s="37"/>
      <c r="HU41" s="37"/>
      <c r="HV41" s="37"/>
      <c r="HW41" s="37"/>
      <c r="HX41" s="37"/>
      <c r="HY41" s="37"/>
      <c r="HZ41" s="37"/>
      <c r="IA41" s="37"/>
      <c r="IB41" s="37"/>
      <c r="IC41" s="37"/>
      <c r="ID41" s="37"/>
      <c r="IE41" s="37"/>
      <c r="IF41" s="37"/>
      <c r="IG41" s="37"/>
      <c r="IH41" s="37"/>
      <c r="II41" s="37"/>
      <c r="IJ41" s="37"/>
      <c r="IK41" s="37"/>
      <c r="IL41" s="37"/>
      <c r="IM41" s="37"/>
      <c r="IN41" s="37"/>
      <c r="IO41" s="37"/>
      <c r="IP41" s="37"/>
      <c r="IQ41" s="37"/>
      <c r="IR41" s="37"/>
      <c r="IS41" s="37"/>
      <c r="IT41" s="37"/>
      <c r="IU41" s="37"/>
      <c r="IV41" s="37"/>
      <c r="IW41" s="37"/>
      <c r="IX41" s="37"/>
      <c r="IY41" s="37"/>
      <c r="IZ41" s="37"/>
      <c r="JA41" s="37"/>
      <c r="JB41" s="37"/>
      <c r="JC41" s="37"/>
      <c r="JD41" s="37"/>
      <c r="JE41" s="37"/>
      <c r="JF41" s="37"/>
      <c r="JG41" s="37"/>
      <c r="JH41" s="37"/>
      <c r="JI41" s="37"/>
      <c r="JJ41" s="37"/>
      <c r="JK41" s="37"/>
      <c r="JL41" s="37"/>
      <c r="JM41" s="37"/>
      <c r="JN41" s="2" t="s">
        <v>35</v>
      </c>
      <c r="JO41" s="2" t="s">
        <v>35</v>
      </c>
      <c r="JP41" s="37"/>
      <c r="JQ41" s="37"/>
      <c r="JR41" s="37"/>
      <c r="JS41" s="37"/>
      <c r="JT41" s="37"/>
      <c r="JU41" s="2" t="s">
        <v>35</v>
      </c>
      <c r="JV41" s="37"/>
      <c r="JW41" s="37"/>
      <c r="JX41" s="37"/>
      <c r="JY41" s="37"/>
      <c r="JZ41" s="37"/>
      <c r="KA41" s="37"/>
      <c r="KB41" s="37"/>
      <c r="KC41" s="37"/>
      <c r="KD41" s="37"/>
      <c r="KE41" s="37"/>
      <c r="KF41" s="37"/>
      <c r="KG41" s="37"/>
      <c r="KH41" s="37"/>
      <c r="KI41" s="37"/>
      <c r="KJ41" s="37"/>
      <c r="KK41" s="37"/>
      <c r="KL41" s="37"/>
      <c r="KM41" s="37"/>
      <c r="KN41" s="37"/>
      <c r="KO41" s="37"/>
      <c r="KP41" s="37"/>
      <c r="KQ41" s="37"/>
      <c r="KR41" s="37"/>
      <c r="KS41" s="37"/>
      <c r="KT41" s="37"/>
      <c r="KU41" s="37"/>
      <c r="KV41" s="37"/>
      <c r="KW41" s="37"/>
      <c r="KX41" s="37"/>
      <c r="KY41" s="37"/>
      <c r="KZ41" s="37"/>
      <c r="LA41" s="37"/>
      <c r="LB41" s="37"/>
      <c r="LC41" s="37"/>
      <c r="LD41" s="37"/>
      <c r="LE41" s="37"/>
      <c r="LF41" s="37"/>
      <c r="LG41" s="37"/>
      <c r="LH41" s="37"/>
      <c r="LI41" s="37"/>
      <c r="LJ41" s="37"/>
      <c r="LK41" s="37"/>
      <c r="LL41" s="37"/>
      <c r="LM41" s="37"/>
      <c r="LN41" s="37"/>
      <c r="LO41" s="37"/>
      <c r="LP41" s="37"/>
      <c r="LQ41" s="2" t="s">
        <v>35</v>
      </c>
      <c r="LR41" s="37"/>
      <c r="LS41" s="37"/>
      <c r="LT41" s="37"/>
      <c r="LU41" s="37"/>
      <c r="LV41" s="37"/>
      <c r="LW41" s="37"/>
      <c r="LX41" s="37"/>
      <c r="LY41" s="37"/>
      <c r="LZ41" s="37"/>
      <c r="MA41" s="37"/>
      <c r="MB41" s="37"/>
      <c r="MC41" s="37"/>
      <c r="MD41" s="37"/>
      <c r="ME41" s="37"/>
      <c r="MF41" s="37"/>
      <c r="MG41" s="37"/>
      <c r="MH41" s="37"/>
      <c r="MI41" s="37"/>
      <c r="MJ41" s="37"/>
      <c r="MK41" s="37"/>
      <c r="ML41" s="37"/>
      <c r="MM41" s="37"/>
      <c r="MN41" s="37"/>
      <c r="MO41" s="37"/>
      <c r="MP41" s="37"/>
      <c r="MQ41" s="37"/>
      <c r="MR41" s="37"/>
      <c r="MS41" s="37"/>
      <c r="MT41" s="37"/>
      <c r="MU41" s="37"/>
      <c r="MV41" s="37"/>
      <c r="MW41" s="37"/>
      <c r="MX41" s="37"/>
      <c r="MY41" s="37"/>
      <c r="MZ41" s="37"/>
      <c r="NA41" s="37"/>
      <c r="NB41" s="37"/>
      <c r="NC41" s="37"/>
      <c r="ND41" s="37"/>
      <c r="NE41" s="37"/>
      <c r="NF41" s="37"/>
      <c r="NG41" s="37"/>
      <c r="NH41" s="37"/>
      <c r="NI41" s="37"/>
      <c r="NJ41" s="67">
        <f t="array" aca="1" ref="NJ41" ca="1">SUMPRODUCT((OFFSET($A41,0,31*($A$3-1)+1,1,31)&lt;&gt;"")*(IF(OFFSET($A41,0,31*($A$3-1)+1,1,31)=$OA$12,0.5,1)*(OFFSET($A$4,0,31*($A$3-1)+1,1,31))))</f>
        <v>0</v>
      </c>
      <c r="NK41" s="63">
        <f t="array" aca="1" ref="NK41" ca="1">SUMPRODUCT((OFFSET($A41,0,1,1,372)&lt;&gt;"")*(IF(OFFSET($A41,0,1,1,372)=$OA$12,0.5,1)*(OFFSET($A$3,0,1,1,372))))</f>
        <v>17.5</v>
      </c>
      <c r="NL41" s="43">
        <f t="array" aca="1" ref="NL41" ca="1">SUMPRODUCT((OFFSET($A41,0,31*($A$4)+DAY(Holidays!$E$2),1,Holidays!$G$2)&lt;&gt;"")*(IF(OFFSET($A41,0,31*($A$4)+DAY(Holidays!$E$2),1,Holidays!$G$2)=$OA$12,0.5,1)*(OFFSET($A$3,0,31*($A$4)+DAY(Holidays!$E$2),1,Holidays!$G$2))))</f>
        <v>12.5</v>
      </c>
      <c r="NM41" s="61">
        <f t="array" aca="1" ref="NM41" ca="1">SUMPRODUCT((OFFSET($A41,0,31*($A$4)+DAY(VLOOKUP(NM$5,Sprints[],2,FALSE)),1,VLOOKUP(NM$5,Sprints[],4,FALSE))&lt;&gt;"")*(IF(OFFSET($A41,0,31*($A$4)+DAY(VLOOKUP(NM$5,Sprints[],2,FALSE)),1,VLOOKUP(NM$5,Sprints[],4,FALSE))=$OA$12,0.5,1)*(OFFSET($A$3,0,31*($A$4)+DAY(VLOOKUP(NM$5,Sprints[],2,FALSE)),1,VLOOKUP(NM$5,Sprints[],4,FALSE)))))</f>
        <v>0</v>
      </c>
      <c r="NN41" s="61">
        <f t="array" aca="1" ref="NN41" ca="1">SUMPRODUCT((OFFSET($A41,0,31*($A$4)+DAY(VLOOKUP(NN$5,Sprints[],2,FALSE)),1,VLOOKUP(NN$5,Sprints[],4,FALSE))&lt;&gt;"")*(IF(OFFSET($A41,0,31*($A$4)+DAY(VLOOKUP(NN$5,Sprints[],2,FALSE)),1,VLOOKUP(NN$5,Sprints[],4,FALSE))=$OA$12,0.5,1)*(OFFSET($A$3,0,31*($A$4)+DAY(VLOOKUP(NN$5,Sprints[],2,FALSE)),1,VLOOKUP(NN$5,Sprints[],4,FALSE)))))</f>
        <v>0</v>
      </c>
      <c r="NO41" s="61">
        <f t="array" aca="1" ref="NO41" ca="1">SUMPRODUCT((OFFSET($A41,0,31*($A$4)+DAY(VLOOKUP(NO$5,Sprints[],2,FALSE)),1,VLOOKUP(NO$5,Sprints[],4,FALSE))&lt;&gt;"")*(IF(OFFSET($A41,0,31*($A$4)+DAY(VLOOKUP(NO$5,Sprints[],2,FALSE)),1,VLOOKUP(NO$5,Sprints[],4,FALSE))=$OA$12,0.5,1)*(OFFSET($A$3,0,31*($A$4)+DAY(VLOOKUP(NO$5,Sprints[],2,FALSE)),1,VLOOKUP(NO$5,Sprints[],4,FALSE)))))</f>
        <v>0</v>
      </c>
      <c r="NP41" s="61">
        <f t="array" aca="1" ref="NP41" ca="1">SUMPRODUCT((OFFSET($A41,0,31*(VLOOKUP(NP$5,Sprints[],5,FALSE))+DAY(VLOOKUP(NP$5,Sprints[],2,FALSE)),1,VLOOKUP(NP$5,Sprints[],4,FALSE))&lt;&gt;"")*(IF(OFFSET($A41,0,31*(VLOOKUP(NP$5,Sprints[],5,FALSE))+DAY(VLOOKUP(NP$5,Sprints[],2,FALSE)),1,VLOOKUP(NP$5,Sprints[],4,FALSE))=$OA$12,0.5,1)*(OFFSET($A$3,0,31*(VLOOKUP(NP$5,Sprints[],5,FALSE))+DAY(VLOOKUP(NP$5,Sprints[],2,FALSE)),1,VLOOKUP(NP$5,Sprints[],4,FALSE)))))</f>
        <v>2.5</v>
      </c>
      <c r="NQ41" s="61">
        <f t="array" aca="1" ref="NQ41" ca="1">SUMPRODUCT((OFFSET($A41,0,31*(VLOOKUP(NQ$5,Sprints[],5,FALSE))+DAY(VLOOKUP(NQ$5,Sprints[],2,FALSE)),1,VLOOKUP(NQ$5,Sprints[],4,FALSE))&lt;&gt;"")*(IF(OFFSET($A41,0,31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41" s="61">
        <f t="array" aca="1" ref="NR41" ca="1">SUMPRODUCT((OFFSET($A41,0,31*(VLOOKUP(NR$5,Sprints[],5,FALSE))+DAY(VLOOKUP(NR$5,Sprints[],2,FALSE)),1,VLOOKUP(NR$5,Sprints[],4,FALSE))&lt;&gt;"")*(IF(OFFSET($A41,0,31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41" s="61">
        <f t="array" aca="1" ref="NS41" ca="1">SUMPRODUCT((OFFSET($A41,0,31*(VLOOKUP(NS$5,Sprints[],5,FALSE))+DAY(VLOOKUP(NS$5,Sprints[],2,FALSE)),1,VLOOKUP(NS$5,Sprints[],4,FALSE))&lt;&gt;"")*(IF(OFFSET($A41,0,31*(VLOOKUP(NS$5,Sprints[],5,FALSE))+DAY(VLOOKUP(NS$5,Sprints[],2,FALSE)),1,VLOOKUP(NS$5,Sprints[],4,FALSE))=$OA$12,0.5,1)*(OFFSET($A$3,0,31*(VLOOKUP(NS$5,Sprints[],5,FALSE))+DAY(VLOOKUP(NS$5,Sprints[],2,FALSE)),1,VLOOKUP(NS$5,Sprints[],4,FALSE)))))</f>
        <v>3</v>
      </c>
      <c r="NT41" s="61">
        <f t="array" aca="1" ref="NT41" ca="1">SUMPRODUCT((OFFSET($A41,0,31*(VLOOKUP(NT$5,Sprints[],5,FALSE))+DAY(VLOOKUP(NT$5,Sprints[],2,FALSE)),1,VLOOKUP(NT$5,Sprints[],4,FALSE))&lt;&gt;"")*(IF(OFFSET($A41,0,31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41" s="61">
        <f t="array" aca="1" ref="NU41" ca="1">SUMPRODUCT((OFFSET($A41,0,31*(VLOOKUP(NU$5,Sprints[],5,FALSE))+DAY(VLOOKUP(NU$5,Sprints[],2,FALSE)),1,VLOOKUP(NU$5,Sprints[],4,FALSE))&lt;&gt;"")*(IF(OFFSET($A41,0,31*(VLOOKUP(NU$5,Sprints[],5,FALSE))+DAY(VLOOKUP(NU$5,Sprints[],2,FALSE)),1,VLOOKUP(NU$5,Sprints[],4,FALSE))=$OA$12,0.5,1)*(OFFSET($A$3,0,31*(VLOOKUP(NU$5,Sprints[],5,FALSE))+DAY(VLOOKUP(NU$5,Sprints[],2,FALSE)),1,VLOOKUP(NU$5,Sprints[],4,FALSE)))))</f>
        <v>1</v>
      </c>
      <c r="NV41" s="61">
        <f t="array" aca="1" ref="NV41" ca="1">SUMPRODUCT((OFFSET($A41,0,31*(VLOOKUP(NV$5,Sprints[],5,FALSE))+DAY(VLOOKUP(NV$5,Sprints[],2,FALSE)),1,VLOOKUP(NV$5,Sprints[],4,FALSE))&lt;&gt;"")*(IF(OFFSET($A41,0,31*(VLOOKUP(NV$5,Sprints[],5,FALSE))+DAY(VLOOKUP(NV$5,Sprints[],2,FALSE)),1,VLOOKUP(NV$5,Sprints[],4,FALSE))=$OA$12,0.5,1)*(OFFSET($A$3,0,31*(VLOOKUP(NV$5,Sprints[],5,FALSE))+DAY(VLOOKUP(NV$5,Sprints[],2,FALSE)),1,VLOOKUP(NV$5,Sprints[],4,FALSE)))))</f>
        <v>5</v>
      </c>
      <c r="NW41" s="61">
        <f t="array" aca="1" ref="NW41" ca="1">SUMPRODUCT((OFFSET($A41,0,31*(VLOOKUP(NW$5,Sprints[],5,FALSE))+DAY(VLOOKUP(NW$5,Sprints[],2,FALSE)),1,VLOOKUP(NW$5,Sprints[],4,FALSE))&lt;&gt;"")*(IF(OFFSET($A41,0,31*(VLOOKUP(NW$5,Sprints[],5,FALSE))+DAY(VLOOKUP(NW$5,Sprints[],2,FALSE)),1,VLOOKUP(NW$5,Sprints[],4,FALSE))=$OA$12,0.5,1)*(OFFSET($A$3,0,31*(VLOOKUP(NW$5,Sprints[],5,FALSE))+DAY(VLOOKUP(NW$5,Sprints[],2,FALSE)),1,VLOOKUP(NW$5,Sprints[],4,FALSE)))))</f>
        <v>1</v>
      </c>
      <c r="NX41" s="61">
        <f t="array" aca="1" ref="NX41" ca="1">SUMPRODUCT((OFFSET($A41,0,31*(VLOOKUP(NX$5,Sprints[],5,FALSE))+DAY(VLOOKUP(NX$5,Sprints[],2,FALSE)),1,VLOOKUP(NX$5,Sprints[],4,FALSE))&lt;&gt;"")*(IF(OFFSET($A41,0,31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42" spans="1:388" ht="14.65" thickTop="1" x14ac:dyDescent="0.45">
      <c r="A42" s="46" t="s">
        <v>94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 t="s">
        <v>35</v>
      </c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 t="s">
        <v>35</v>
      </c>
      <c r="AH42" s="36"/>
      <c r="AI42" s="36"/>
      <c r="AJ42" s="36"/>
      <c r="AK42" s="36"/>
      <c r="AL42" s="36"/>
      <c r="AM42" s="36"/>
      <c r="AN42" s="36"/>
      <c r="AO42" s="36" t="s">
        <v>35</v>
      </c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2" t="s">
        <v>35</v>
      </c>
      <c r="CT42" s="36"/>
      <c r="CU42" s="36"/>
      <c r="CV42" s="36"/>
      <c r="CW42" s="36"/>
      <c r="CX42" s="36"/>
      <c r="CY42" s="36"/>
      <c r="CZ42" s="36"/>
      <c r="DA42" s="36"/>
      <c r="DB42" s="36"/>
      <c r="DC42" s="36"/>
      <c r="DD42" s="36"/>
      <c r="DE42" s="36"/>
      <c r="DF42" s="36"/>
      <c r="DG42" s="36"/>
      <c r="DH42" s="36"/>
      <c r="DI42" s="36"/>
      <c r="DJ42" s="36"/>
      <c r="DK42" s="36"/>
      <c r="DL42" s="36"/>
      <c r="DM42" s="36"/>
      <c r="DN42" s="36"/>
      <c r="DO42" s="36"/>
      <c r="DP42" s="36"/>
      <c r="DQ42" s="36"/>
      <c r="DR42" s="36"/>
      <c r="DS42" s="36"/>
      <c r="DT42" s="36"/>
      <c r="DU42" s="36"/>
      <c r="DV42" s="36"/>
      <c r="DW42" s="36"/>
      <c r="DX42" s="36"/>
      <c r="DY42" s="36"/>
      <c r="DZ42" s="36"/>
      <c r="EA42" s="36"/>
      <c r="EB42" s="36"/>
      <c r="EC42" s="36"/>
      <c r="ED42" s="36"/>
      <c r="EE42" s="36"/>
      <c r="EF42" s="36"/>
      <c r="EG42" s="36"/>
      <c r="EH42" s="36"/>
      <c r="EI42" s="36"/>
      <c r="EJ42" s="36"/>
      <c r="EK42" s="36"/>
      <c r="EL42" s="36"/>
      <c r="EM42" s="36"/>
      <c r="EN42" s="36"/>
      <c r="EO42" s="36"/>
      <c r="EP42" s="36"/>
      <c r="EQ42" s="36"/>
      <c r="ER42" s="36"/>
      <c r="ES42" s="36"/>
      <c r="ET42" s="36"/>
      <c r="EU42" s="36"/>
      <c r="EV42" s="36"/>
      <c r="EW42" s="36"/>
      <c r="EX42" s="36"/>
      <c r="EY42" s="36"/>
      <c r="EZ42" s="36"/>
      <c r="FA42" s="36"/>
      <c r="FB42" s="36"/>
      <c r="FC42" s="36"/>
      <c r="FD42" s="36"/>
      <c r="FE42" s="36"/>
      <c r="FF42" s="36"/>
      <c r="FG42" s="36"/>
      <c r="FH42" s="36"/>
      <c r="FI42" s="36"/>
      <c r="FJ42" s="36"/>
      <c r="FK42" s="36"/>
      <c r="FL42" s="36"/>
      <c r="FM42" s="36"/>
      <c r="FN42" s="36"/>
      <c r="FO42" s="36"/>
      <c r="FP42" s="36"/>
      <c r="FQ42" s="36"/>
      <c r="FR42" s="36"/>
      <c r="FS42" s="36"/>
      <c r="FT42" s="36"/>
      <c r="FU42" s="36"/>
      <c r="FV42" s="36"/>
      <c r="FW42" s="36"/>
      <c r="FX42" s="36"/>
      <c r="FY42" s="36"/>
      <c r="FZ42" s="36"/>
      <c r="GA42" s="36"/>
      <c r="GB42" s="36"/>
      <c r="GC42" s="36"/>
      <c r="GD42" s="36"/>
      <c r="GE42" s="36"/>
      <c r="GF42" s="36"/>
      <c r="GG42" s="36"/>
      <c r="GH42" s="36"/>
      <c r="GI42" s="36"/>
      <c r="GJ42" s="36"/>
      <c r="GK42" s="36"/>
      <c r="GL42" s="36"/>
      <c r="GM42" s="36"/>
      <c r="GN42" s="36"/>
      <c r="GO42" s="36"/>
      <c r="GP42" s="36"/>
      <c r="GQ42" s="36"/>
      <c r="GR42" s="36"/>
      <c r="GS42" s="36"/>
      <c r="GT42" s="36"/>
      <c r="GU42" s="36"/>
      <c r="GV42" s="36"/>
      <c r="GW42" s="36"/>
      <c r="GX42" s="36"/>
      <c r="GY42" s="36"/>
      <c r="GZ42" s="36"/>
      <c r="HA42" s="36"/>
      <c r="HB42" s="36"/>
      <c r="HC42" s="36"/>
      <c r="HD42" s="36"/>
      <c r="HE42" s="36"/>
      <c r="HF42" s="36"/>
      <c r="HG42" s="36"/>
      <c r="HH42" s="36"/>
      <c r="HI42" s="36"/>
      <c r="HJ42" s="36"/>
      <c r="HK42" s="36"/>
      <c r="HL42" s="36"/>
      <c r="HM42" s="36"/>
      <c r="HN42" s="36"/>
      <c r="HO42" s="36"/>
      <c r="HP42" s="36"/>
      <c r="HQ42" s="2" t="s">
        <v>35</v>
      </c>
      <c r="HR42" s="36"/>
      <c r="HS42" s="36"/>
      <c r="HT42" s="36"/>
      <c r="HU42" s="36"/>
      <c r="HV42" s="36"/>
      <c r="HW42" s="36"/>
      <c r="HX42" s="36"/>
      <c r="HY42" s="36"/>
      <c r="HZ42" s="36"/>
      <c r="IA42" s="36"/>
      <c r="IB42" s="36"/>
      <c r="IC42" s="36"/>
      <c r="ID42" s="36"/>
      <c r="IE42" s="36"/>
      <c r="IF42" s="36"/>
      <c r="IG42" s="36"/>
      <c r="IH42" s="36"/>
      <c r="II42" s="36"/>
      <c r="IJ42" s="36"/>
      <c r="IK42" s="36"/>
      <c r="IL42" s="36"/>
      <c r="IM42" s="36"/>
      <c r="IN42" s="36"/>
      <c r="IO42" s="36"/>
      <c r="IP42" s="36"/>
      <c r="IQ42" s="36"/>
      <c r="IR42" s="36"/>
      <c r="IS42" s="36"/>
      <c r="IT42" s="36"/>
      <c r="IU42" s="36"/>
      <c r="IV42" s="36"/>
      <c r="IW42" s="36"/>
      <c r="IX42" s="36"/>
      <c r="IY42" s="36"/>
      <c r="IZ42" s="36"/>
      <c r="JA42" s="36"/>
      <c r="JB42" s="36"/>
      <c r="JC42" s="36"/>
      <c r="JD42" s="36"/>
      <c r="JE42" s="36"/>
      <c r="JF42" s="36"/>
      <c r="JG42" s="36"/>
      <c r="JH42" s="36"/>
      <c r="JI42" s="36"/>
      <c r="JJ42" s="36"/>
      <c r="JK42" s="36"/>
      <c r="JL42" s="36"/>
      <c r="JM42" s="36"/>
      <c r="JN42" s="2" t="s">
        <v>35</v>
      </c>
      <c r="JO42" s="36"/>
      <c r="JP42" s="36"/>
      <c r="JQ42" s="36"/>
      <c r="JR42" s="36"/>
      <c r="JS42" s="36"/>
      <c r="JT42" s="36"/>
      <c r="JU42" s="2" t="s">
        <v>35</v>
      </c>
      <c r="JV42" s="36"/>
      <c r="JW42" s="36"/>
      <c r="JX42" s="36"/>
      <c r="JY42" s="36"/>
      <c r="JZ42" s="36"/>
      <c r="KA42" s="2" t="s">
        <v>35</v>
      </c>
      <c r="KB42" s="36"/>
      <c r="KC42" s="36"/>
      <c r="KD42" s="36"/>
      <c r="KE42" s="36"/>
      <c r="KF42" s="36"/>
      <c r="KG42" s="36"/>
      <c r="KH42" s="36"/>
      <c r="KI42" s="36"/>
      <c r="KJ42" s="36"/>
      <c r="KK42" s="36"/>
      <c r="KL42" s="36"/>
      <c r="KM42" s="36"/>
      <c r="KN42" s="36"/>
      <c r="KO42" s="36"/>
      <c r="KP42" s="36"/>
      <c r="KQ42" s="36"/>
      <c r="KR42" s="36"/>
      <c r="KS42" s="36"/>
      <c r="KT42" s="36"/>
      <c r="KU42" s="36"/>
      <c r="KV42" s="36"/>
      <c r="KW42" s="36"/>
      <c r="KX42" s="36"/>
      <c r="KY42" s="36"/>
      <c r="KZ42" s="36"/>
      <c r="LA42" s="36"/>
      <c r="LB42" s="36"/>
      <c r="LC42" s="36"/>
      <c r="LD42" s="36"/>
      <c r="LE42" s="36"/>
      <c r="LF42" s="36"/>
      <c r="LG42" s="36"/>
      <c r="LH42" s="36"/>
      <c r="LI42" s="36"/>
      <c r="LJ42" s="36"/>
      <c r="LK42" s="36"/>
      <c r="LL42" s="36"/>
      <c r="LM42" s="36"/>
      <c r="LN42" s="36"/>
      <c r="LO42" s="36"/>
      <c r="LP42" s="36"/>
      <c r="LQ42" s="36"/>
      <c r="LR42" s="36"/>
      <c r="LS42" s="36"/>
      <c r="LT42" s="36"/>
      <c r="LU42" s="36"/>
      <c r="LV42" s="36"/>
      <c r="LW42" s="36"/>
      <c r="LX42" s="36"/>
      <c r="LY42" s="36"/>
      <c r="LZ42" s="36"/>
      <c r="MA42" s="36"/>
      <c r="MB42" s="36"/>
      <c r="MC42" s="36"/>
      <c r="MD42" s="36"/>
      <c r="ME42" s="36"/>
      <c r="MF42" s="36"/>
      <c r="MG42" s="36"/>
      <c r="MH42" s="36"/>
      <c r="MI42" s="36"/>
      <c r="MJ42" s="36"/>
      <c r="MK42" s="36"/>
      <c r="ML42" s="2" t="s">
        <v>35</v>
      </c>
      <c r="MM42" s="36"/>
      <c r="MN42" s="36"/>
      <c r="MO42" s="36"/>
      <c r="MP42" s="36"/>
      <c r="MQ42" s="36"/>
      <c r="MR42" s="36"/>
      <c r="MS42" s="36"/>
      <c r="MT42" s="36"/>
      <c r="MU42" s="36"/>
      <c r="MV42" s="36"/>
      <c r="MW42" s="36"/>
      <c r="MX42" s="36"/>
      <c r="MY42" s="36"/>
      <c r="MZ42" s="36"/>
      <c r="NA42" s="36"/>
      <c r="NB42" s="36"/>
      <c r="NC42" s="36"/>
      <c r="ND42" s="36"/>
      <c r="NE42" s="36"/>
      <c r="NF42" s="36"/>
      <c r="NG42" s="36"/>
      <c r="NH42" s="36"/>
      <c r="NI42" s="36"/>
      <c r="NJ42" s="66">
        <f t="array" aca="1" ref="NJ42" ca="1">SUMPRODUCT((OFFSET($A42,0,31*($A$3-1)+1,1,31)&lt;&gt;"")*(IF(OFFSET($A42,0,31*($A$3-1)+1,1,31)=$OA$12,0.5,1)*(OFFSET($A$4,0,31*($A$3-1)+1,1,31))))</f>
        <v>1</v>
      </c>
      <c r="NK42" s="64">
        <f t="array" aca="1" ref="NK42" ca="1">SUMPRODUCT((OFFSET($A42,0,1,1,372)&lt;&gt;"")*(IF(OFFSET($A42,0,1,1,372)=$OA$12,0.5,1)*(OFFSET($A$3,0,1,1,372))))</f>
        <v>9</v>
      </c>
      <c r="NL42" s="42">
        <f t="array" aca="1" ref="NL42" ca="1">SUMPRODUCT((OFFSET($A42,0,31*($A$4)+DAY(Holidays!$E$2),1,Holidays!$G$2)&lt;&gt;"")*(IF(OFFSET($A42,0,31*($A$4)+DAY(Holidays!$E$2),1,Holidays!$G$2)=$OA$12,0.5,1)*(OFFSET($A$3,0,31*($A$4)+DAY(Holidays!$E$2),1,Holidays!$G$2))))</f>
        <v>4</v>
      </c>
      <c r="NM42" s="62">
        <f t="array" aca="1" ref="NM42" ca="1">SUMPRODUCT((OFFSET($A42,0,31*($A$4)+DAY(VLOOKUP(NM$5,Sprints[],2,FALSE)),1,VLOOKUP(NM$5,Sprints[],4,FALSE))&lt;&gt;"")*(IF(OFFSET($A42,0,31*($A$4)+DAY(VLOOKUP(NM$5,Sprints[],2,FALSE)),1,VLOOKUP(NM$5,Sprints[],4,FALSE))=$OA$12,0.5,1)*(OFFSET($A$3,0,31*($A$4)+DAY(VLOOKUP(NM$5,Sprints[],2,FALSE)),1,VLOOKUP(NM$5,Sprints[],4,FALSE)))))</f>
        <v>1</v>
      </c>
      <c r="NN42" s="62">
        <f t="array" aca="1" ref="NN42" ca="1">SUMPRODUCT((OFFSET($A42,0,31*($A$4)+DAY(VLOOKUP(NN$5,Sprints[],2,FALSE)),1,VLOOKUP(NN$5,Sprints[],4,FALSE))&lt;&gt;"")*(IF(OFFSET($A42,0,31*($A$4)+DAY(VLOOKUP(NN$5,Sprints[],2,FALSE)),1,VLOOKUP(NN$5,Sprints[],4,FALSE))=$OA$12,0.5,1)*(OFFSET($A$3,0,31*($A$4)+DAY(VLOOKUP(NN$5,Sprints[],2,FALSE)),1,VLOOKUP(NN$5,Sprints[],4,FALSE)))))</f>
        <v>1</v>
      </c>
      <c r="NO42" s="62">
        <f t="array" aca="1" ref="NO42" ca="1">SUMPRODUCT((OFFSET($A42,0,31*($A$4)+DAY(VLOOKUP(NO$5,Sprints[],2,FALSE)),1,VLOOKUP(NO$5,Sprints[],4,FALSE))&lt;&gt;"")*(IF(OFFSET($A42,0,31*($A$4)+DAY(VLOOKUP(NO$5,Sprints[],2,FALSE)),1,VLOOKUP(NO$5,Sprints[],4,FALSE))=$OA$12,0.5,1)*(OFFSET($A$3,0,31*($A$4)+DAY(VLOOKUP(NO$5,Sprints[],2,FALSE)),1,VLOOKUP(NO$5,Sprints[],4,FALSE)))))</f>
        <v>0</v>
      </c>
      <c r="NP42" s="62">
        <f t="array" aca="1" ref="NP42" ca="1">SUMPRODUCT((OFFSET($A42,0,31*(VLOOKUP(NP$5,Sprints[],5,FALSE))+DAY(VLOOKUP(NP$5,Sprints[],2,FALSE)),1,VLOOKUP(NP$5,Sprints[],4,FALSE))&lt;&gt;"")*(IF(OFFSET($A42,0,31*(VLOOKUP(NP$5,Sprints[],5,FALSE))+DAY(VLOOKUP(NP$5,Sprints[],2,FALSE)),1,VLOOKUP(NP$5,Sprints[],4,FALSE))=$OA$12,0.5,1)*(OFFSET($A$3,0,31*(VLOOKUP(NP$5,Sprints[],5,FALSE))+DAY(VLOOKUP(NP$5,Sprints[],2,FALSE)),1,VLOOKUP(NP$5,Sprints[],4,FALSE)))))</f>
        <v>0</v>
      </c>
      <c r="NQ42" s="62">
        <f t="array" aca="1" ref="NQ42" ca="1">SUMPRODUCT((OFFSET($A42,0,31*(VLOOKUP(NQ$5,Sprints[],5,FALSE))+DAY(VLOOKUP(NQ$5,Sprints[],2,FALSE)),1,VLOOKUP(NQ$5,Sprints[],4,FALSE))&lt;&gt;"")*(IF(OFFSET($A42,0,31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42" s="62">
        <f t="array" aca="1" ref="NR42" ca="1">SUMPRODUCT((OFFSET($A42,0,31*(VLOOKUP(NR$5,Sprints[],5,FALSE))+DAY(VLOOKUP(NR$5,Sprints[],2,FALSE)),1,VLOOKUP(NR$5,Sprints[],4,FALSE))&lt;&gt;"")*(IF(OFFSET($A42,0,31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42" s="62">
        <f t="array" aca="1" ref="NS42" ca="1">SUMPRODUCT((OFFSET($A42,0,31*(VLOOKUP(NS$5,Sprints[],5,FALSE))+DAY(VLOOKUP(NS$5,Sprints[],2,FALSE)),1,VLOOKUP(NS$5,Sprints[],4,FALSE))&lt;&gt;"")*(IF(OFFSET($A42,0,31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42" s="62">
        <f t="array" aca="1" ref="NT42" ca="1">SUMPRODUCT((OFFSET($A42,0,31*(VLOOKUP(NT$5,Sprints[],5,FALSE))+DAY(VLOOKUP(NT$5,Sprints[],2,FALSE)),1,VLOOKUP(NT$5,Sprints[],4,FALSE))&lt;&gt;"")*(IF(OFFSET($A42,0,31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42" s="62">
        <f t="array" aca="1" ref="NU42" ca="1">SUMPRODUCT((OFFSET($A42,0,31*(VLOOKUP(NU$5,Sprints[],5,FALSE))+DAY(VLOOKUP(NU$5,Sprints[],2,FALSE)),1,VLOOKUP(NU$5,Sprints[],4,FALSE))&lt;&gt;"")*(IF(OFFSET($A42,0,31*(VLOOKUP(NU$5,Sprints[],5,FALSE))+DAY(VLOOKUP(NU$5,Sprints[],2,FALSE)),1,VLOOKUP(NU$5,Sprints[],4,FALSE))=$OA$12,0.5,1)*(OFFSET($A$3,0,31*(VLOOKUP(NU$5,Sprints[],5,FALSE))+DAY(VLOOKUP(NU$5,Sprints[],2,FALSE)),1,VLOOKUP(NU$5,Sprints[],4,FALSE)))))</f>
        <v>0</v>
      </c>
      <c r="NV42" s="62">
        <f t="array" aca="1" ref="NV42" ca="1">SUMPRODUCT((OFFSET($A42,0,31*(VLOOKUP(NV$5,Sprints[],5,FALSE))+DAY(VLOOKUP(NV$5,Sprints[],2,FALSE)),1,VLOOKUP(NV$5,Sprints[],4,FALSE))&lt;&gt;"")*(IF(OFFSET($A42,0,31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42" s="62">
        <f t="array" aca="1" ref="NW42" ca="1">SUMPRODUCT((OFFSET($A42,0,31*(VLOOKUP(NW$5,Sprints[],5,FALSE))+DAY(VLOOKUP(NW$5,Sprints[],2,FALSE)),1,VLOOKUP(NW$5,Sprints[],4,FALSE))&lt;&gt;"")*(IF(OFFSET($A42,0,31*(VLOOKUP(NW$5,Sprints[],5,FALSE))+DAY(VLOOKUP(NW$5,Sprints[],2,FALSE)),1,VLOOKUP(NW$5,Sprints[],4,FALSE))=$OA$12,0.5,1)*(OFFSET($A$3,0,31*(VLOOKUP(NW$5,Sprints[],5,FALSE))+DAY(VLOOKUP(NW$5,Sprints[],2,FALSE)),1,VLOOKUP(NW$5,Sprints[],4,FALSE)))))</f>
        <v>0</v>
      </c>
      <c r="NX42" s="62">
        <f t="array" aca="1" ref="NX42" ca="1">SUMPRODUCT((OFFSET($A42,0,31*(VLOOKUP(NX$5,Sprints[],5,FALSE))+DAY(VLOOKUP(NX$5,Sprints[],2,FALSE)),1,VLOOKUP(NX$5,Sprints[],4,FALSE))&lt;&gt;"")*(IF(OFFSET($A42,0,31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43" spans="1:388" x14ac:dyDescent="0.45">
      <c r="A43" s="44" t="s">
        <v>95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36" t="s">
        <v>35</v>
      </c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36" t="s">
        <v>35</v>
      </c>
      <c r="AH43" s="2"/>
      <c r="AI43" s="2"/>
      <c r="AJ43" s="2"/>
      <c r="AK43" s="2"/>
      <c r="AL43" s="2"/>
      <c r="AM43" s="2"/>
      <c r="AN43" s="2"/>
      <c r="AO43" s="36" t="s">
        <v>35</v>
      </c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 t="s">
        <v>35</v>
      </c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 t="s">
        <v>35</v>
      </c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 t="s">
        <v>35</v>
      </c>
      <c r="JO43" s="2"/>
      <c r="JP43" s="2"/>
      <c r="JQ43" s="2"/>
      <c r="JR43" s="2"/>
      <c r="JS43" s="2"/>
      <c r="JT43" s="2"/>
      <c r="JU43" s="2" t="s">
        <v>35</v>
      </c>
      <c r="JV43" s="2"/>
      <c r="JW43" s="2"/>
      <c r="JX43" s="2"/>
      <c r="JY43" s="2"/>
      <c r="JZ43" s="2"/>
      <c r="KA43" s="2" t="s">
        <v>35</v>
      </c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 t="s">
        <v>35</v>
      </c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14">
        <f t="array" aca="1" ref="NJ43" ca="1">SUMPRODUCT((OFFSET($A43,0,31*($A$3-1)+1,1,31)&lt;&gt;"")*(IF(OFFSET($A43,0,31*($A$3-1)+1,1,31)=$OA$12,0.5,1)*(OFFSET($A$4,0,31*($A$3-1)+1,1,31))))</f>
        <v>1</v>
      </c>
      <c r="NK43" s="20">
        <f t="array" aca="1" ref="NK43" ca="1">SUMPRODUCT((OFFSET($A43,0,1,1,372)&lt;&gt;"")*(IF(OFFSET($A43,0,1,1,372)=$OA$12,0.5,1)*(OFFSET($A$3,0,1,1,372))))</f>
        <v>9</v>
      </c>
      <c r="NL43" s="28">
        <f t="array" aca="1" ref="NL43" ca="1">SUMPRODUCT((OFFSET($A43,0,31*($A$4)+DAY(Holidays!$E$2),1,Holidays!$G$2)&lt;&gt;"")*(IF(OFFSET($A43,0,31*($A$4)+DAY(Holidays!$E$2),1,Holidays!$G$2)=$OA$12,0.5,1)*(OFFSET($A$3,0,31*($A$4)+DAY(Holidays!$E$2),1,Holidays!$G$2))))</f>
        <v>4</v>
      </c>
      <c r="NM43" s="60">
        <f t="array" aca="1" ref="NM43" ca="1">SUMPRODUCT((OFFSET($A43,0,31*($A$4)+DAY(VLOOKUP(NM$5,Sprints[],2,FALSE)),1,VLOOKUP(NM$5,Sprints[],4,FALSE))&lt;&gt;"")*(IF(OFFSET($A43,0,31*($A$4)+DAY(VLOOKUP(NM$5,Sprints[],2,FALSE)),1,VLOOKUP(NM$5,Sprints[],4,FALSE))=$OA$12,0.5,1)*(OFFSET($A$3,0,31*($A$4)+DAY(VLOOKUP(NM$5,Sprints[],2,FALSE)),1,VLOOKUP(NM$5,Sprints[],4,FALSE)))))</f>
        <v>1</v>
      </c>
      <c r="NN43" s="60">
        <f t="array" aca="1" ref="NN43" ca="1">SUMPRODUCT((OFFSET($A43,0,31*($A$4)+DAY(VLOOKUP(NN$5,Sprints[],2,FALSE)),1,VLOOKUP(NN$5,Sprints[],4,FALSE))&lt;&gt;"")*(IF(OFFSET($A43,0,31*($A$4)+DAY(VLOOKUP(NN$5,Sprints[],2,FALSE)),1,VLOOKUP(NN$5,Sprints[],4,FALSE))=$OA$12,0.5,1)*(OFFSET($A$3,0,31*($A$4)+DAY(VLOOKUP(NN$5,Sprints[],2,FALSE)),1,VLOOKUP(NN$5,Sprints[],4,FALSE)))))</f>
        <v>1</v>
      </c>
      <c r="NO43" s="60">
        <f t="array" aca="1" ref="NO43" ca="1">SUMPRODUCT((OFFSET($A43,0,31*($A$4)+DAY(VLOOKUP(NO$5,Sprints[],2,FALSE)),1,VLOOKUP(NO$5,Sprints[],4,FALSE))&lt;&gt;"")*(IF(OFFSET($A43,0,31*($A$4)+DAY(VLOOKUP(NO$5,Sprints[],2,FALSE)),1,VLOOKUP(NO$5,Sprints[],4,FALSE))=$OA$12,0.5,1)*(OFFSET($A$3,0,31*($A$4)+DAY(VLOOKUP(NO$5,Sprints[],2,FALSE)),1,VLOOKUP(NO$5,Sprints[],4,FALSE)))))</f>
        <v>0</v>
      </c>
      <c r="NP43" s="60">
        <f t="array" aca="1" ref="NP43" ca="1">SUMPRODUCT((OFFSET($A43,0,31*(VLOOKUP(NP$5,Sprints[],5,FALSE))+DAY(VLOOKUP(NP$5,Sprints[],2,FALSE)),1,VLOOKUP(NP$5,Sprints[],4,FALSE))&lt;&gt;"")*(IF(OFFSET($A43,0,31*(VLOOKUP(NP$5,Sprints[],5,FALSE))+DAY(VLOOKUP(NP$5,Sprints[],2,FALSE)),1,VLOOKUP(NP$5,Sprints[],4,FALSE))=$OA$12,0.5,1)*(OFFSET($A$3,0,31*(VLOOKUP(NP$5,Sprints[],5,FALSE))+DAY(VLOOKUP(NP$5,Sprints[],2,FALSE)),1,VLOOKUP(NP$5,Sprints[],4,FALSE)))))</f>
        <v>0</v>
      </c>
      <c r="NQ43" s="60">
        <f t="array" aca="1" ref="NQ43" ca="1">SUMPRODUCT((OFFSET($A43,0,31*(VLOOKUP(NQ$5,Sprints[],5,FALSE))+DAY(VLOOKUP(NQ$5,Sprints[],2,FALSE)),1,VLOOKUP(NQ$5,Sprints[],4,FALSE))&lt;&gt;"")*(IF(OFFSET($A43,0,31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43" s="60">
        <f t="array" aca="1" ref="NR43" ca="1">SUMPRODUCT((OFFSET($A43,0,31*(VLOOKUP(NR$5,Sprints[],5,FALSE))+DAY(VLOOKUP(NR$5,Sprints[],2,FALSE)),1,VLOOKUP(NR$5,Sprints[],4,FALSE))&lt;&gt;"")*(IF(OFFSET($A43,0,31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43" s="60">
        <f t="array" aca="1" ref="NS43" ca="1">SUMPRODUCT((OFFSET($A43,0,31*(VLOOKUP(NS$5,Sprints[],5,FALSE))+DAY(VLOOKUP(NS$5,Sprints[],2,FALSE)),1,VLOOKUP(NS$5,Sprints[],4,FALSE))&lt;&gt;"")*(IF(OFFSET($A43,0,31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43" s="60">
        <f t="array" aca="1" ref="NT43" ca="1">SUMPRODUCT((OFFSET($A43,0,31*(VLOOKUP(NT$5,Sprints[],5,FALSE))+DAY(VLOOKUP(NT$5,Sprints[],2,FALSE)),1,VLOOKUP(NT$5,Sprints[],4,FALSE))&lt;&gt;"")*(IF(OFFSET($A43,0,31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43" s="60">
        <f t="array" aca="1" ref="NU43" ca="1">SUMPRODUCT((OFFSET($A43,0,31*(VLOOKUP(NU$5,Sprints[],5,FALSE))+DAY(VLOOKUP(NU$5,Sprints[],2,FALSE)),1,VLOOKUP(NU$5,Sprints[],4,FALSE))&lt;&gt;"")*(IF(OFFSET($A43,0,31*(VLOOKUP(NU$5,Sprints[],5,FALSE))+DAY(VLOOKUP(NU$5,Sprints[],2,FALSE)),1,VLOOKUP(NU$5,Sprints[],4,FALSE))=$OA$12,0.5,1)*(OFFSET($A$3,0,31*(VLOOKUP(NU$5,Sprints[],5,FALSE))+DAY(VLOOKUP(NU$5,Sprints[],2,FALSE)),1,VLOOKUP(NU$5,Sprints[],4,FALSE)))))</f>
        <v>0</v>
      </c>
      <c r="NV43" s="60">
        <f t="array" aca="1" ref="NV43" ca="1">SUMPRODUCT((OFFSET($A43,0,31*(VLOOKUP(NV$5,Sprints[],5,FALSE))+DAY(VLOOKUP(NV$5,Sprints[],2,FALSE)),1,VLOOKUP(NV$5,Sprints[],4,FALSE))&lt;&gt;"")*(IF(OFFSET($A43,0,31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43" s="60">
        <f t="array" aca="1" ref="NW43" ca="1">SUMPRODUCT((OFFSET($A43,0,31*(VLOOKUP(NW$5,Sprints[],5,FALSE))+DAY(VLOOKUP(NW$5,Sprints[],2,FALSE)),1,VLOOKUP(NW$5,Sprints[],4,FALSE))&lt;&gt;"")*(IF(OFFSET($A43,0,31*(VLOOKUP(NW$5,Sprints[],5,FALSE))+DAY(VLOOKUP(NW$5,Sprints[],2,FALSE)),1,VLOOKUP(NW$5,Sprints[],4,FALSE))=$OA$12,0.5,1)*(OFFSET($A$3,0,31*(VLOOKUP(NW$5,Sprints[],5,FALSE))+DAY(VLOOKUP(NW$5,Sprints[],2,FALSE)),1,VLOOKUP(NW$5,Sprints[],4,FALSE)))))</f>
        <v>0</v>
      </c>
      <c r="NX43" s="60">
        <f t="array" aca="1" ref="NX43" ca="1">SUMPRODUCT((OFFSET($A43,0,31*(VLOOKUP(NX$5,Sprints[],5,FALSE))+DAY(VLOOKUP(NX$5,Sprints[],2,FALSE)),1,VLOOKUP(NX$5,Sprints[],4,FALSE))&lt;&gt;"")*(IF(OFFSET($A43,0,31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44" spans="1:388" x14ac:dyDescent="0.45">
      <c r="A44" s="44" t="s">
        <v>96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36" t="s">
        <v>35</v>
      </c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36" t="s">
        <v>35</v>
      </c>
      <c r="AH44" s="2"/>
      <c r="AI44" s="2"/>
      <c r="AJ44" s="2"/>
      <c r="AK44" s="2"/>
      <c r="AL44" s="2"/>
      <c r="AM44" s="2"/>
      <c r="AN44" s="2"/>
      <c r="AO44" s="36" t="s">
        <v>35</v>
      </c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 t="s">
        <v>35</v>
      </c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 t="s">
        <v>35</v>
      </c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 t="s">
        <v>35</v>
      </c>
      <c r="JO44" s="2"/>
      <c r="JP44" s="2"/>
      <c r="JQ44" s="2"/>
      <c r="JR44" s="2"/>
      <c r="JS44" s="2"/>
      <c r="JT44" s="2"/>
      <c r="JU44" s="2" t="s">
        <v>35</v>
      </c>
      <c r="JV44" s="2"/>
      <c r="JW44" s="2"/>
      <c r="JX44" s="2"/>
      <c r="JY44" s="2"/>
      <c r="JZ44" s="2"/>
      <c r="KA44" s="2" t="s">
        <v>35</v>
      </c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 t="s">
        <v>35</v>
      </c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14">
        <f t="array" aca="1" ref="NJ44" ca="1">SUMPRODUCT((OFFSET($A44,0,31*($A$3-1)+1,1,31)&lt;&gt;"")*(IF(OFFSET($A44,0,31*($A$3-1)+1,1,31)=$OA$12,0.5,1)*(OFFSET($A$4,0,31*($A$3-1)+1,1,31))))</f>
        <v>1</v>
      </c>
      <c r="NK44" s="20">
        <f t="array" aca="1" ref="NK44" ca="1">SUMPRODUCT((OFFSET($A44,0,1,1,372)&lt;&gt;"")*(IF(OFFSET($A44,0,1,1,372)=$OA$12,0.5,1)*(OFFSET($A$3,0,1,1,372))))</f>
        <v>9</v>
      </c>
      <c r="NL44" s="28">
        <f t="array" aca="1" ref="NL44" ca="1">SUMPRODUCT((OFFSET($A44,0,31*($A$4)+DAY(Holidays!$E$2),1,Holidays!$G$2)&lt;&gt;"")*(IF(OFFSET($A44,0,31*($A$4)+DAY(Holidays!$E$2),1,Holidays!$G$2)=$OA$12,0.5,1)*(OFFSET($A$3,0,31*($A$4)+DAY(Holidays!$E$2),1,Holidays!$G$2))))</f>
        <v>4</v>
      </c>
      <c r="NM44" s="60">
        <f t="array" aca="1" ref="NM44" ca="1">SUMPRODUCT((OFFSET($A44,0,31*($A$4)+DAY(VLOOKUP(NM$5,Sprints[],2,FALSE)),1,VLOOKUP(NM$5,Sprints[],4,FALSE))&lt;&gt;"")*(IF(OFFSET($A44,0,31*($A$4)+DAY(VLOOKUP(NM$5,Sprints[],2,FALSE)),1,VLOOKUP(NM$5,Sprints[],4,FALSE))=$OA$12,0.5,1)*(OFFSET($A$3,0,31*($A$4)+DAY(VLOOKUP(NM$5,Sprints[],2,FALSE)),1,VLOOKUP(NM$5,Sprints[],4,FALSE)))))</f>
        <v>1</v>
      </c>
      <c r="NN44" s="60">
        <f t="array" aca="1" ref="NN44" ca="1">SUMPRODUCT((OFFSET($A44,0,31*($A$4)+DAY(VLOOKUP(NN$5,Sprints[],2,FALSE)),1,VLOOKUP(NN$5,Sprints[],4,FALSE))&lt;&gt;"")*(IF(OFFSET($A44,0,31*($A$4)+DAY(VLOOKUP(NN$5,Sprints[],2,FALSE)),1,VLOOKUP(NN$5,Sprints[],4,FALSE))=$OA$12,0.5,1)*(OFFSET($A$3,0,31*($A$4)+DAY(VLOOKUP(NN$5,Sprints[],2,FALSE)),1,VLOOKUP(NN$5,Sprints[],4,FALSE)))))</f>
        <v>1</v>
      </c>
      <c r="NO44" s="60">
        <f t="array" aca="1" ref="NO44" ca="1">SUMPRODUCT((OFFSET($A44,0,31*($A$4)+DAY(VLOOKUP(NO$5,Sprints[],2,FALSE)),1,VLOOKUP(NO$5,Sprints[],4,FALSE))&lt;&gt;"")*(IF(OFFSET($A44,0,31*($A$4)+DAY(VLOOKUP(NO$5,Sprints[],2,FALSE)),1,VLOOKUP(NO$5,Sprints[],4,FALSE))=$OA$12,0.5,1)*(OFFSET($A$3,0,31*($A$4)+DAY(VLOOKUP(NO$5,Sprints[],2,FALSE)),1,VLOOKUP(NO$5,Sprints[],4,FALSE)))))</f>
        <v>0</v>
      </c>
      <c r="NP44" s="60">
        <f t="array" aca="1" ref="NP44" ca="1">SUMPRODUCT((OFFSET($A44,0,31*(VLOOKUP(NP$5,Sprints[],5,FALSE))+DAY(VLOOKUP(NP$5,Sprints[],2,FALSE)),1,VLOOKUP(NP$5,Sprints[],4,FALSE))&lt;&gt;"")*(IF(OFFSET($A44,0,31*(VLOOKUP(NP$5,Sprints[],5,FALSE))+DAY(VLOOKUP(NP$5,Sprints[],2,FALSE)),1,VLOOKUP(NP$5,Sprints[],4,FALSE))=$OA$12,0.5,1)*(OFFSET($A$3,0,31*(VLOOKUP(NP$5,Sprints[],5,FALSE))+DAY(VLOOKUP(NP$5,Sprints[],2,FALSE)),1,VLOOKUP(NP$5,Sprints[],4,FALSE)))))</f>
        <v>0</v>
      </c>
      <c r="NQ44" s="60">
        <f t="array" aca="1" ref="NQ44" ca="1">SUMPRODUCT((OFFSET($A44,0,31*(VLOOKUP(NQ$5,Sprints[],5,FALSE))+DAY(VLOOKUP(NQ$5,Sprints[],2,FALSE)),1,VLOOKUP(NQ$5,Sprints[],4,FALSE))&lt;&gt;"")*(IF(OFFSET($A44,0,31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44" s="60">
        <f t="array" aca="1" ref="NR44" ca="1">SUMPRODUCT((OFFSET($A44,0,31*(VLOOKUP(NR$5,Sprints[],5,FALSE))+DAY(VLOOKUP(NR$5,Sprints[],2,FALSE)),1,VLOOKUP(NR$5,Sprints[],4,FALSE))&lt;&gt;"")*(IF(OFFSET($A44,0,31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44" s="60">
        <f t="array" aca="1" ref="NS44" ca="1">SUMPRODUCT((OFFSET($A44,0,31*(VLOOKUP(NS$5,Sprints[],5,FALSE))+DAY(VLOOKUP(NS$5,Sprints[],2,FALSE)),1,VLOOKUP(NS$5,Sprints[],4,FALSE))&lt;&gt;"")*(IF(OFFSET($A44,0,31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44" s="60">
        <f t="array" aca="1" ref="NT44" ca="1">SUMPRODUCT((OFFSET($A44,0,31*(VLOOKUP(NT$5,Sprints[],5,FALSE))+DAY(VLOOKUP(NT$5,Sprints[],2,FALSE)),1,VLOOKUP(NT$5,Sprints[],4,FALSE))&lt;&gt;"")*(IF(OFFSET($A44,0,31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44" s="60">
        <f t="array" aca="1" ref="NU44" ca="1">SUMPRODUCT((OFFSET($A44,0,31*(VLOOKUP(NU$5,Sprints[],5,FALSE))+DAY(VLOOKUP(NU$5,Sprints[],2,FALSE)),1,VLOOKUP(NU$5,Sprints[],4,FALSE))&lt;&gt;"")*(IF(OFFSET($A44,0,31*(VLOOKUP(NU$5,Sprints[],5,FALSE))+DAY(VLOOKUP(NU$5,Sprints[],2,FALSE)),1,VLOOKUP(NU$5,Sprints[],4,FALSE))=$OA$12,0.5,1)*(OFFSET($A$3,0,31*(VLOOKUP(NU$5,Sprints[],5,FALSE))+DAY(VLOOKUP(NU$5,Sprints[],2,FALSE)),1,VLOOKUP(NU$5,Sprints[],4,FALSE)))))</f>
        <v>0</v>
      </c>
      <c r="NV44" s="60">
        <f t="array" aca="1" ref="NV44" ca="1">SUMPRODUCT((OFFSET($A44,0,31*(VLOOKUP(NV$5,Sprints[],5,FALSE))+DAY(VLOOKUP(NV$5,Sprints[],2,FALSE)),1,VLOOKUP(NV$5,Sprints[],4,FALSE))&lt;&gt;"")*(IF(OFFSET($A44,0,31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44" s="60">
        <f t="array" aca="1" ref="NW44" ca="1">SUMPRODUCT((OFFSET($A44,0,31*(VLOOKUP(NW$5,Sprints[],5,FALSE))+DAY(VLOOKUP(NW$5,Sprints[],2,FALSE)),1,VLOOKUP(NW$5,Sprints[],4,FALSE))&lt;&gt;"")*(IF(OFFSET($A44,0,31*(VLOOKUP(NW$5,Sprints[],5,FALSE))+DAY(VLOOKUP(NW$5,Sprints[],2,FALSE)),1,VLOOKUP(NW$5,Sprints[],4,FALSE))=$OA$12,0.5,1)*(OFFSET($A$3,0,31*(VLOOKUP(NW$5,Sprints[],5,FALSE))+DAY(VLOOKUP(NW$5,Sprints[],2,FALSE)),1,VLOOKUP(NW$5,Sprints[],4,FALSE)))))</f>
        <v>0</v>
      </c>
      <c r="NX44" s="60">
        <f t="array" aca="1" ref="NX44" ca="1">SUMPRODUCT((OFFSET($A44,0,31*(VLOOKUP(NX$5,Sprints[],5,FALSE))+DAY(VLOOKUP(NX$5,Sprints[],2,FALSE)),1,VLOOKUP(NX$5,Sprints[],4,FALSE))&lt;&gt;"")*(IF(OFFSET($A44,0,31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45" spans="1:388" x14ac:dyDescent="0.45">
      <c r="A45" s="44" t="s">
        <v>97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36" t="s">
        <v>35</v>
      </c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36" t="s">
        <v>35</v>
      </c>
      <c r="AH45" s="2"/>
      <c r="AI45" s="2"/>
      <c r="AJ45" s="2"/>
      <c r="AK45" s="2"/>
      <c r="AL45" s="2"/>
      <c r="AM45" s="2"/>
      <c r="AN45" s="2"/>
      <c r="AO45" s="36" t="s">
        <v>35</v>
      </c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 t="s">
        <v>35</v>
      </c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 t="s">
        <v>35</v>
      </c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 t="s">
        <v>35</v>
      </c>
      <c r="JO45" s="2"/>
      <c r="JP45" s="2"/>
      <c r="JQ45" s="2"/>
      <c r="JR45" s="2"/>
      <c r="JS45" s="2"/>
      <c r="JT45" s="2"/>
      <c r="JU45" s="2" t="s">
        <v>35</v>
      </c>
      <c r="JV45" s="2"/>
      <c r="JW45" s="2"/>
      <c r="JX45" s="2"/>
      <c r="JY45" s="2"/>
      <c r="JZ45" s="2"/>
      <c r="KA45" s="2" t="s">
        <v>35</v>
      </c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 t="s">
        <v>35</v>
      </c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14">
        <f t="array" aca="1" ref="NJ45" ca="1">SUMPRODUCT((OFFSET($A45,0,31*($A$3-1)+1,1,31)&lt;&gt;"")*(IF(OFFSET($A45,0,31*($A$3-1)+1,1,31)=$OA$12,0.5,1)*(OFFSET($A$4,0,31*($A$3-1)+1,1,31))))</f>
        <v>1</v>
      </c>
      <c r="NK45" s="20">
        <f t="array" aca="1" ref="NK45" ca="1">SUMPRODUCT((OFFSET($A45,0,1,1,372)&lt;&gt;"")*(IF(OFFSET($A45,0,1,1,372)=$OA$12,0.5,1)*(OFFSET($A$3,0,1,1,372))))</f>
        <v>9</v>
      </c>
      <c r="NL45" s="28">
        <f t="array" aca="1" ref="NL45" ca="1">SUMPRODUCT((OFFSET($A45,0,31*($A$4)+DAY(Holidays!$E$2),1,Holidays!$G$2)&lt;&gt;"")*(IF(OFFSET($A45,0,31*($A$4)+DAY(Holidays!$E$2),1,Holidays!$G$2)=$OA$12,0.5,1)*(OFFSET($A$3,0,31*($A$4)+DAY(Holidays!$E$2),1,Holidays!$G$2))))</f>
        <v>4</v>
      </c>
      <c r="NM45" s="60">
        <f t="array" aca="1" ref="NM45" ca="1">SUMPRODUCT((OFFSET($A45,0,31*($A$4)+DAY(VLOOKUP(NM$5,Sprints[],2,FALSE)),1,VLOOKUP(NM$5,Sprints[],4,FALSE))&lt;&gt;"")*(IF(OFFSET($A45,0,31*($A$4)+DAY(VLOOKUP(NM$5,Sprints[],2,FALSE)),1,VLOOKUP(NM$5,Sprints[],4,FALSE))=$OA$12,0.5,1)*(OFFSET($A$3,0,31*($A$4)+DAY(VLOOKUP(NM$5,Sprints[],2,FALSE)),1,VLOOKUP(NM$5,Sprints[],4,FALSE)))))</f>
        <v>1</v>
      </c>
      <c r="NN45" s="60">
        <f t="array" aca="1" ref="NN45" ca="1">SUMPRODUCT((OFFSET($A45,0,31*($A$4)+DAY(VLOOKUP(NN$5,Sprints[],2,FALSE)),1,VLOOKUP(NN$5,Sprints[],4,FALSE))&lt;&gt;"")*(IF(OFFSET($A45,0,31*($A$4)+DAY(VLOOKUP(NN$5,Sprints[],2,FALSE)),1,VLOOKUP(NN$5,Sprints[],4,FALSE))=$OA$12,0.5,1)*(OFFSET($A$3,0,31*($A$4)+DAY(VLOOKUP(NN$5,Sprints[],2,FALSE)),1,VLOOKUP(NN$5,Sprints[],4,FALSE)))))</f>
        <v>1</v>
      </c>
      <c r="NO45" s="60">
        <f t="array" aca="1" ref="NO45" ca="1">SUMPRODUCT((OFFSET($A45,0,31*($A$4)+DAY(VLOOKUP(NO$5,Sprints[],2,FALSE)),1,VLOOKUP(NO$5,Sprints[],4,FALSE))&lt;&gt;"")*(IF(OFFSET($A45,0,31*($A$4)+DAY(VLOOKUP(NO$5,Sprints[],2,FALSE)),1,VLOOKUP(NO$5,Sprints[],4,FALSE))=$OA$12,0.5,1)*(OFFSET($A$3,0,31*($A$4)+DAY(VLOOKUP(NO$5,Sprints[],2,FALSE)),1,VLOOKUP(NO$5,Sprints[],4,FALSE)))))</f>
        <v>0</v>
      </c>
      <c r="NP45" s="60">
        <f t="array" aca="1" ref="NP45" ca="1">SUMPRODUCT((OFFSET($A45,0,31*(VLOOKUP(NP$5,Sprints[],5,FALSE))+DAY(VLOOKUP(NP$5,Sprints[],2,FALSE)),1,VLOOKUP(NP$5,Sprints[],4,FALSE))&lt;&gt;"")*(IF(OFFSET($A45,0,31*(VLOOKUP(NP$5,Sprints[],5,FALSE))+DAY(VLOOKUP(NP$5,Sprints[],2,FALSE)),1,VLOOKUP(NP$5,Sprints[],4,FALSE))=$OA$12,0.5,1)*(OFFSET($A$3,0,31*(VLOOKUP(NP$5,Sprints[],5,FALSE))+DAY(VLOOKUP(NP$5,Sprints[],2,FALSE)),1,VLOOKUP(NP$5,Sprints[],4,FALSE)))))</f>
        <v>0</v>
      </c>
      <c r="NQ45" s="60">
        <f t="array" aca="1" ref="NQ45" ca="1">SUMPRODUCT((OFFSET($A45,0,31*(VLOOKUP(NQ$5,Sprints[],5,FALSE))+DAY(VLOOKUP(NQ$5,Sprints[],2,FALSE)),1,VLOOKUP(NQ$5,Sprints[],4,FALSE))&lt;&gt;"")*(IF(OFFSET($A45,0,31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45" s="60">
        <f t="array" aca="1" ref="NR45" ca="1">SUMPRODUCT((OFFSET($A45,0,31*(VLOOKUP(NR$5,Sprints[],5,FALSE))+DAY(VLOOKUP(NR$5,Sprints[],2,FALSE)),1,VLOOKUP(NR$5,Sprints[],4,FALSE))&lt;&gt;"")*(IF(OFFSET($A45,0,31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45" s="60">
        <f t="array" aca="1" ref="NS45" ca="1">SUMPRODUCT((OFFSET($A45,0,31*(VLOOKUP(NS$5,Sprints[],5,FALSE))+DAY(VLOOKUP(NS$5,Sprints[],2,FALSE)),1,VLOOKUP(NS$5,Sprints[],4,FALSE))&lt;&gt;"")*(IF(OFFSET($A45,0,31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45" s="60">
        <f t="array" aca="1" ref="NT45" ca="1">SUMPRODUCT((OFFSET($A45,0,31*(VLOOKUP(NT$5,Sprints[],5,FALSE))+DAY(VLOOKUP(NT$5,Sprints[],2,FALSE)),1,VLOOKUP(NT$5,Sprints[],4,FALSE))&lt;&gt;"")*(IF(OFFSET($A45,0,31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45" s="60">
        <f t="array" aca="1" ref="NU45" ca="1">SUMPRODUCT((OFFSET($A45,0,31*(VLOOKUP(NU$5,Sprints[],5,FALSE))+DAY(VLOOKUP(NU$5,Sprints[],2,FALSE)),1,VLOOKUP(NU$5,Sprints[],4,FALSE))&lt;&gt;"")*(IF(OFFSET($A45,0,31*(VLOOKUP(NU$5,Sprints[],5,FALSE))+DAY(VLOOKUP(NU$5,Sprints[],2,FALSE)),1,VLOOKUP(NU$5,Sprints[],4,FALSE))=$OA$12,0.5,1)*(OFFSET($A$3,0,31*(VLOOKUP(NU$5,Sprints[],5,FALSE))+DAY(VLOOKUP(NU$5,Sprints[],2,FALSE)),1,VLOOKUP(NU$5,Sprints[],4,FALSE)))))</f>
        <v>0</v>
      </c>
      <c r="NV45" s="60">
        <f t="array" aca="1" ref="NV45" ca="1">SUMPRODUCT((OFFSET($A45,0,31*(VLOOKUP(NV$5,Sprints[],5,FALSE))+DAY(VLOOKUP(NV$5,Sprints[],2,FALSE)),1,VLOOKUP(NV$5,Sprints[],4,FALSE))&lt;&gt;"")*(IF(OFFSET($A45,0,31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45" s="60">
        <f t="array" aca="1" ref="NW45" ca="1">SUMPRODUCT((OFFSET($A45,0,31*(VLOOKUP(NW$5,Sprints[],5,FALSE))+DAY(VLOOKUP(NW$5,Sprints[],2,FALSE)),1,VLOOKUP(NW$5,Sprints[],4,FALSE))&lt;&gt;"")*(IF(OFFSET($A45,0,31*(VLOOKUP(NW$5,Sprints[],5,FALSE))+DAY(VLOOKUP(NW$5,Sprints[],2,FALSE)),1,VLOOKUP(NW$5,Sprints[],4,FALSE))=$OA$12,0.5,1)*(OFFSET($A$3,0,31*(VLOOKUP(NW$5,Sprints[],5,FALSE))+DAY(VLOOKUP(NW$5,Sprints[],2,FALSE)),1,VLOOKUP(NW$5,Sprints[],4,FALSE)))))</f>
        <v>0</v>
      </c>
      <c r="NX45" s="60">
        <f t="array" aca="1" ref="NX45" ca="1">SUMPRODUCT((OFFSET($A45,0,31*(VLOOKUP(NX$5,Sprints[],5,FALSE))+DAY(VLOOKUP(NX$5,Sprints[],2,FALSE)),1,VLOOKUP(NX$5,Sprints[],4,FALSE))&lt;&gt;"")*(IF(OFFSET($A45,0,31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46" spans="1:388" x14ac:dyDescent="0.45">
      <c r="A46" s="44" t="s">
        <v>98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36" t="s">
        <v>35</v>
      </c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36" t="s">
        <v>35</v>
      </c>
      <c r="AH46" s="2"/>
      <c r="AI46" s="2"/>
      <c r="AJ46" s="2"/>
      <c r="AK46" s="2"/>
      <c r="AL46" s="2"/>
      <c r="AM46" s="2"/>
      <c r="AN46" s="2"/>
      <c r="AO46" s="36" t="s">
        <v>35</v>
      </c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 t="s">
        <v>35</v>
      </c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 t="s">
        <v>35</v>
      </c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 t="s">
        <v>35</v>
      </c>
      <c r="JO46" s="2"/>
      <c r="JP46" s="2"/>
      <c r="JQ46" s="2"/>
      <c r="JR46" s="2"/>
      <c r="JS46" s="2"/>
      <c r="JT46" s="2"/>
      <c r="JU46" s="2" t="s">
        <v>35</v>
      </c>
      <c r="JV46" s="2"/>
      <c r="JW46" s="2"/>
      <c r="JX46" s="2"/>
      <c r="JY46" s="2"/>
      <c r="JZ46" s="2"/>
      <c r="KA46" s="2" t="s">
        <v>35</v>
      </c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 t="s">
        <v>35</v>
      </c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14">
        <f t="array" aca="1" ref="NJ46" ca="1">SUMPRODUCT((OFFSET($A46,0,31*($A$3-1)+1,1,31)&lt;&gt;"")*(IF(OFFSET($A46,0,31*($A$3-1)+1,1,31)=$OA$12,0.5,1)*(OFFSET($A$4,0,31*($A$3-1)+1,1,31))))</f>
        <v>1</v>
      </c>
      <c r="NK46" s="20">
        <f t="array" aca="1" ref="NK46" ca="1">SUMPRODUCT((OFFSET($A46,0,1,1,372)&lt;&gt;"")*(IF(OFFSET($A46,0,1,1,372)=$OA$12,0.5,1)*(OFFSET($A$3,0,1,1,372))))</f>
        <v>9</v>
      </c>
      <c r="NL46" s="28">
        <f t="array" aca="1" ref="NL46" ca="1">SUMPRODUCT((OFFSET($A46,0,31*($A$4)+DAY(Holidays!$E$2),1,Holidays!$G$2)&lt;&gt;"")*(IF(OFFSET($A46,0,31*($A$4)+DAY(Holidays!$E$2),1,Holidays!$G$2)=$OA$12,0.5,1)*(OFFSET($A$3,0,31*($A$4)+DAY(Holidays!$E$2),1,Holidays!$G$2))))</f>
        <v>4</v>
      </c>
      <c r="NM46" s="60">
        <f t="array" aca="1" ref="NM46" ca="1">SUMPRODUCT((OFFSET($A46,0,31*($A$4)+DAY(VLOOKUP(NM$5,Sprints[],2,FALSE)),1,VLOOKUP(NM$5,Sprints[],4,FALSE))&lt;&gt;"")*(IF(OFFSET($A46,0,31*($A$4)+DAY(VLOOKUP(NM$5,Sprints[],2,FALSE)),1,VLOOKUP(NM$5,Sprints[],4,FALSE))=$OA$12,0.5,1)*(OFFSET($A$3,0,31*($A$4)+DAY(VLOOKUP(NM$5,Sprints[],2,FALSE)),1,VLOOKUP(NM$5,Sprints[],4,FALSE)))))</f>
        <v>1</v>
      </c>
      <c r="NN46" s="60">
        <f t="array" aca="1" ref="NN46" ca="1">SUMPRODUCT((OFFSET($A46,0,31*($A$4)+DAY(VLOOKUP(NN$5,Sprints[],2,FALSE)),1,VLOOKUP(NN$5,Sprints[],4,FALSE))&lt;&gt;"")*(IF(OFFSET($A46,0,31*($A$4)+DAY(VLOOKUP(NN$5,Sprints[],2,FALSE)),1,VLOOKUP(NN$5,Sprints[],4,FALSE))=$OA$12,0.5,1)*(OFFSET($A$3,0,31*($A$4)+DAY(VLOOKUP(NN$5,Sprints[],2,FALSE)),1,VLOOKUP(NN$5,Sprints[],4,FALSE)))))</f>
        <v>1</v>
      </c>
      <c r="NO46" s="60">
        <f t="array" aca="1" ref="NO46" ca="1">SUMPRODUCT((OFFSET($A46,0,31*($A$4)+DAY(VLOOKUP(NO$5,Sprints[],2,FALSE)),1,VLOOKUP(NO$5,Sprints[],4,FALSE))&lt;&gt;"")*(IF(OFFSET($A46,0,31*($A$4)+DAY(VLOOKUP(NO$5,Sprints[],2,FALSE)),1,VLOOKUP(NO$5,Sprints[],4,FALSE))=$OA$12,0.5,1)*(OFFSET($A$3,0,31*($A$4)+DAY(VLOOKUP(NO$5,Sprints[],2,FALSE)),1,VLOOKUP(NO$5,Sprints[],4,FALSE)))))</f>
        <v>0</v>
      </c>
      <c r="NP46" s="60">
        <f t="array" aca="1" ref="NP46" ca="1">SUMPRODUCT((OFFSET($A46,0,31*(VLOOKUP(NP$5,Sprints[],5,FALSE))+DAY(VLOOKUP(NP$5,Sprints[],2,FALSE)),1,VLOOKUP(NP$5,Sprints[],4,FALSE))&lt;&gt;"")*(IF(OFFSET($A46,0,31*(VLOOKUP(NP$5,Sprints[],5,FALSE))+DAY(VLOOKUP(NP$5,Sprints[],2,FALSE)),1,VLOOKUP(NP$5,Sprints[],4,FALSE))=$OA$12,0.5,1)*(OFFSET($A$3,0,31*(VLOOKUP(NP$5,Sprints[],5,FALSE))+DAY(VLOOKUP(NP$5,Sprints[],2,FALSE)),1,VLOOKUP(NP$5,Sprints[],4,FALSE)))))</f>
        <v>0</v>
      </c>
      <c r="NQ46" s="60">
        <f t="array" aca="1" ref="NQ46" ca="1">SUMPRODUCT((OFFSET($A46,0,31*(VLOOKUP(NQ$5,Sprints[],5,FALSE))+DAY(VLOOKUP(NQ$5,Sprints[],2,FALSE)),1,VLOOKUP(NQ$5,Sprints[],4,FALSE))&lt;&gt;"")*(IF(OFFSET($A46,0,31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46" s="60">
        <f t="array" aca="1" ref="NR46" ca="1">SUMPRODUCT((OFFSET($A46,0,31*(VLOOKUP(NR$5,Sprints[],5,FALSE))+DAY(VLOOKUP(NR$5,Sprints[],2,FALSE)),1,VLOOKUP(NR$5,Sprints[],4,FALSE))&lt;&gt;"")*(IF(OFFSET($A46,0,31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46" s="60">
        <f t="array" aca="1" ref="NS46" ca="1">SUMPRODUCT((OFFSET($A46,0,31*(VLOOKUP(NS$5,Sprints[],5,FALSE))+DAY(VLOOKUP(NS$5,Sprints[],2,FALSE)),1,VLOOKUP(NS$5,Sprints[],4,FALSE))&lt;&gt;"")*(IF(OFFSET($A46,0,31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46" s="60">
        <f t="array" aca="1" ref="NT46" ca="1">SUMPRODUCT((OFFSET($A46,0,31*(VLOOKUP(NT$5,Sprints[],5,FALSE))+DAY(VLOOKUP(NT$5,Sprints[],2,FALSE)),1,VLOOKUP(NT$5,Sprints[],4,FALSE))&lt;&gt;"")*(IF(OFFSET($A46,0,31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46" s="60">
        <f t="array" aca="1" ref="NU46" ca="1">SUMPRODUCT((OFFSET($A46,0,31*(VLOOKUP(NU$5,Sprints[],5,FALSE))+DAY(VLOOKUP(NU$5,Sprints[],2,FALSE)),1,VLOOKUP(NU$5,Sprints[],4,FALSE))&lt;&gt;"")*(IF(OFFSET($A46,0,31*(VLOOKUP(NU$5,Sprints[],5,FALSE))+DAY(VLOOKUP(NU$5,Sprints[],2,FALSE)),1,VLOOKUP(NU$5,Sprints[],4,FALSE))=$OA$12,0.5,1)*(OFFSET($A$3,0,31*(VLOOKUP(NU$5,Sprints[],5,FALSE))+DAY(VLOOKUP(NU$5,Sprints[],2,FALSE)),1,VLOOKUP(NU$5,Sprints[],4,FALSE)))))</f>
        <v>0</v>
      </c>
      <c r="NV46" s="60">
        <f t="array" aca="1" ref="NV46" ca="1">SUMPRODUCT((OFFSET($A46,0,31*(VLOOKUP(NV$5,Sprints[],5,FALSE))+DAY(VLOOKUP(NV$5,Sprints[],2,FALSE)),1,VLOOKUP(NV$5,Sprints[],4,FALSE))&lt;&gt;"")*(IF(OFFSET($A46,0,31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46" s="60">
        <f t="array" aca="1" ref="NW46" ca="1">SUMPRODUCT((OFFSET($A46,0,31*(VLOOKUP(NW$5,Sprints[],5,FALSE))+DAY(VLOOKUP(NW$5,Sprints[],2,FALSE)),1,VLOOKUP(NW$5,Sprints[],4,FALSE))&lt;&gt;"")*(IF(OFFSET($A46,0,31*(VLOOKUP(NW$5,Sprints[],5,FALSE))+DAY(VLOOKUP(NW$5,Sprints[],2,FALSE)),1,VLOOKUP(NW$5,Sprints[],4,FALSE))=$OA$12,0.5,1)*(OFFSET($A$3,0,31*(VLOOKUP(NW$5,Sprints[],5,FALSE))+DAY(VLOOKUP(NW$5,Sprints[],2,FALSE)),1,VLOOKUP(NW$5,Sprints[],4,FALSE)))))</f>
        <v>0</v>
      </c>
      <c r="NX46" s="60">
        <f t="array" aca="1" ref="NX46" ca="1">SUMPRODUCT((OFFSET($A46,0,31*(VLOOKUP(NX$5,Sprints[],5,FALSE))+DAY(VLOOKUP(NX$5,Sprints[],2,FALSE)),1,VLOOKUP(NX$5,Sprints[],4,FALSE))&lt;&gt;"")*(IF(OFFSET($A46,0,31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47" spans="1:388" x14ac:dyDescent="0.45">
      <c r="A47" s="44" t="s">
        <v>99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36" t="s">
        <v>35</v>
      </c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36" t="s">
        <v>35</v>
      </c>
      <c r="AH47" s="2"/>
      <c r="AI47" s="2"/>
      <c r="AJ47" s="2"/>
      <c r="AK47" s="2"/>
      <c r="AL47" s="2"/>
      <c r="AM47" s="2"/>
      <c r="AN47" s="2"/>
      <c r="AO47" s="36" t="s">
        <v>35</v>
      </c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 t="s">
        <v>35</v>
      </c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 t="s">
        <v>35</v>
      </c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 t="s">
        <v>35</v>
      </c>
      <c r="JO47" s="2"/>
      <c r="JP47" s="2"/>
      <c r="JQ47" s="2"/>
      <c r="JR47" s="2"/>
      <c r="JS47" s="2"/>
      <c r="JT47" s="2"/>
      <c r="JU47" s="2" t="s">
        <v>35</v>
      </c>
      <c r="JV47" s="2"/>
      <c r="JW47" s="2"/>
      <c r="JX47" s="2"/>
      <c r="JY47" s="2"/>
      <c r="JZ47" s="2"/>
      <c r="KA47" s="2" t="s">
        <v>35</v>
      </c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 t="s">
        <v>35</v>
      </c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14">
        <f t="array" aca="1" ref="NJ47" ca="1">SUMPRODUCT((OFFSET($A47,0,31*($A$3-1)+1,1,31)&lt;&gt;"")*(IF(OFFSET($A47,0,31*($A$3-1)+1,1,31)=$OA$12,0.5,1)*(OFFSET($A$4,0,31*($A$3-1)+1,1,31))))</f>
        <v>1</v>
      </c>
      <c r="NK47" s="20">
        <f t="array" aca="1" ref="NK47" ca="1">SUMPRODUCT((OFFSET($A47,0,1,1,372)&lt;&gt;"")*(IF(OFFSET($A47,0,1,1,372)=$OA$12,0.5,1)*(OFFSET($A$3,0,1,1,372))))</f>
        <v>9</v>
      </c>
      <c r="NL47" s="28">
        <f t="array" aca="1" ref="NL47" ca="1">SUMPRODUCT((OFFSET($A47,0,31*($A$4)+DAY(Holidays!$E$2),1,Holidays!$G$2)&lt;&gt;"")*(IF(OFFSET($A47,0,31*($A$4)+DAY(Holidays!$E$2),1,Holidays!$G$2)=$OA$12,0.5,1)*(OFFSET($A$3,0,31*($A$4)+DAY(Holidays!$E$2),1,Holidays!$G$2))))</f>
        <v>4</v>
      </c>
      <c r="NM47" s="60">
        <f t="array" aca="1" ref="NM47" ca="1">SUMPRODUCT((OFFSET($A47,0,31*($A$4)+DAY(VLOOKUP(NM$5,Sprints[],2,FALSE)),1,VLOOKUP(NM$5,Sprints[],4,FALSE))&lt;&gt;"")*(IF(OFFSET($A47,0,31*($A$4)+DAY(VLOOKUP(NM$5,Sprints[],2,FALSE)),1,VLOOKUP(NM$5,Sprints[],4,FALSE))=$OA$12,0.5,1)*(OFFSET($A$3,0,31*($A$4)+DAY(VLOOKUP(NM$5,Sprints[],2,FALSE)),1,VLOOKUP(NM$5,Sprints[],4,FALSE)))))</f>
        <v>1</v>
      </c>
      <c r="NN47" s="60">
        <f t="array" aca="1" ref="NN47" ca="1">SUMPRODUCT((OFFSET($A47,0,31*($A$4)+DAY(VLOOKUP(NN$5,Sprints[],2,FALSE)),1,VLOOKUP(NN$5,Sprints[],4,FALSE))&lt;&gt;"")*(IF(OFFSET($A47,0,31*($A$4)+DAY(VLOOKUP(NN$5,Sprints[],2,FALSE)),1,VLOOKUP(NN$5,Sprints[],4,FALSE))=$OA$12,0.5,1)*(OFFSET($A$3,0,31*($A$4)+DAY(VLOOKUP(NN$5,Sprints[],2,FALSE)),1,VLOOKUP(NN$5,Sprints[],4,FALSE)))))</f>
        <v>1</v>
      </c>
      <c r="NO47" s="60">
        <f t="array" aca="1" ref="NO47" ca="1">SUMPRODUCT((OFFSET($A47,0,31*($A$4)+DAY(VLOOKUP(NO$5,Sprints[],2,FALSE)),1,VLOOKUP(NO$5,Sprints[],4,FALSE))&lt;&gt;"")*(IF(OFFSET($A47,0,31*($A$4)+DAY(VLOOKUP(NO$5,Sprints[],2,FALSE)),1,VLOOKUP(NO$5,Sprints[],4,FALSE))=$OA$12,0.5,1)*(OFFSET($A$3,0,31*($A$4)+DAY(VLOOKUP(NO$5,Sprints[],2,FALSE)),1,VLOOKUP(NO$5,Sprints[],4,FALSE)))))</f>
        <v>0</v>
      </c>
      <c r="NP47" s="60">
        <f t="array" aca="1" ref="NP47" ca="1">SUMPRODUCT((OFFSET($A47,0,31*(VLOOKUP(NP$5,Sprints[],5,FALSE))+DAY(VLOOKUP(NP$5,Sprints[],2,FALSE)),1,VLOOKUP(NP$5,Sprints[],4,FALSE))&lt;&gt;"")*(IF(OFFSET($A47,0,31*(VLOOKUP(NP$5,Sprints[],5,FALSE))+DAY(VLOOKUP(NP$5,Sprints[],2,FALSE)),1,VLOOKUP(NP$5,Sprints[],4,FALSE))=$OA$12,0.5,1)*(OFFSET($A$3,0,31*(VLOOKUP(NP$5,Sprints[],5,FALSE))+DAY(VLOOKUP(NP$5,Sprints[],2,FALSE)),1,VLOOKUP(NP$5,Sprints[],4,FALSE)))))</f>
        <v>0</v>
      </c>
      <c r="NQ47" s="60">
        <f t="array" aca="1" ref="NQ47" ca="1">SUMPRODUCT((OFFSET($A47,0,31*(VLOOKUP(NQ$5,Sprints[],5,FALSE))+DAY(VLOOKUP(NQ$5,Sprints[],2,FALSE)),1,VLOOKUP(NQ$5,Sprints[],4,FALSE))&lt;&gt;"")*(IF(OFFSET($A47,0,31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47" s="60">
        <f t="array" aca="1" ref="NR47" ca="1">SUMPRODUCT((OFFSET($A47,0,31*(VLOOKUP(NR$5,Sprints[],5,FALSE))+DAY(VLOOKUP(NR$5,Sprints[],2,FALSE)),1,VLOOKUP(NR$5,Sprints[],4,FALSE))&lt;&gt;"")*(IF(OFFSET($A47,0,31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47" s="60">
        <f t="array" aca="1" ref="NS47" ca="1">SUMPRODUCT((OFFSET($A47,0,31*(VLOOKUP(NS$5,Sprints[],5,FALSE))+DAY(VLOOKUP(NS$5,Sprints[],2,FALSE)),1,VLOOKUP(NS$5,Sprints[],4,FALSE))&lt;&gt;"")*(IF(OFFSET($A47,0,31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47" s="60">
        <f t="array" aca="1" ref="NT47" ca="1">SUMPRODUCT((OFFSET($A47,0,31*(VLOOKUP(NT$5,Sprints[],5,FALSE))+DAY(VLOOKUP(NT$5,Sprints[],2,FALSE)),1,VLOOKUP(NT$5,Sprints[],4,FALSE))&lt;&gt;"")*(IF(OFFSET($A47,0,31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47" s="60">
        <f t="array" aca="1" ref="NU47" ca="1">SUMPRODUCT((OFFSET($A47,0,31*(VLOOKUP(NU$5,Sprints[],5,FALSE))+DAY(VLOOKUP(NU$5,Sprints[],2,FALSE)),1,VLOOKUP(NU$5,Sprints[],4,FALSE))&lt;&gt;"")*(IF(OFFSET($A47,0,31*(VLOOKUP(NU$5,Sprints[],5,FALSE))+DAY(VLOOKUP(NU$5,Sprints[],2,FALSE)),1,VLOOKUP(NU$5,Sprints[],4,FALSE))=$OA$12,0.5,1)*(OFFSET($A$3,0,31*(VLOOKUP(NU$5,Sprints[],5,FALSE))+DAY(VLOOKUP(NU$5,Sprints[],2,FALSE)),1,VLOOKUP(NU$5,Sprints[],4,FALSE)))))</f>
        <v>0</v>
      </c>
      <c r="NV47" s="60">
        <f t="array" aca="1" ref="NV47" ca="1">SUMPRODUCT((OFFSET($A47,0,31*(VLOOKUP(NV$5,Sprints[],5,FALSE))+DAY(VLOOKUP(NV$5,Sprints[],2,FALSE)),1,VLOOKUP(NV$5,Sprints[],4,FALSE))&lt;&gt;"")*(IF(OFFSET($A47,0,31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47" s="60">
        <f t="array" aca="1" ref="NW47" ca="1">SUMPRODUCT((OFFSET($A47,0,31*(VLOOKUP(NW$5,Sprints[],5,FALSE))+DAY(VLOOKUP(NW$5,Sprints[],2,FALSE)),1,VLOOKUP(NW$5,Sprints[],4,FALSE))&lt;&gt;"")*(IF(OFFSET($A47,0,31*(VLOOKUP(NW$5,Sprints[],5,FALSE))+DAY(VLOOKUP(NW$5,Sprints[],2,FALSE)),1,VLOOKUP(NW$5,Sprints[],4,FALSE))=$OA$12,0.5,1)*(OFFSET($A$3,0,31*(VLOOKUP(NW$5,Sprints[],5,FALSE))+DAY(VLOOKUP(NW$5,Sprints[],2,FALSE)),1,VLOOKUP(NW$5,Sprints[],4,FALSE)))))</f>
        <v>0</v>
      </c>
      <c r="NX47" s="60">
        <f t="array" aca="1" ref="NX47" ca="1">SUMPRODUCT((OFFSET($A47,0,31*(VLOOKUP(NX$5,Sprints[],5,FALSE))+DAY(VLOOKUP(NX$5,Sprints[],2,FALSE)),1,VLOOKUP(NX$5,Sprints[],4,FALSE))&lt;&gt;"")*(IF(OFFSET($A47,0,31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48" spans="1:388" x14ac:dyDescent="0.45">
      <c r="A48" s="44" t="s">
        <v>100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36" t="s">
        <v>35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36" t="s">
        <v>35</v>
      </c>
      <c r="AH48" s="2"/>
      <c r="AI48" s="2"/>
      <c r="AJ48" s="2"/>
      <c r="AK48" s="2"/>
      <c r="AL48" s="2"/>
      <c r="AM48" s="2"/>
      <c r="AN48" s="2"/>
      <c r="AO48" s="36" t="s">
        <v>35</v>
      </c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 t="s">
        <v>35</v>
      </c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 t="s">
        <v>35</v>
      </c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 t="s">
        <v>35</v>
      </c>
      <c r="JO48" s="2"/>
      <c r="JP48" s="2"/>
      <c r="JQ48" s="2"/>
      <c r="JR48" s="2"/>
      <c r="JS48" s="2"/>
      <c r="JT48" s="2"/>
      <c r="JU48" s="2" t="s">
        <v>35</v>
      </c>
      <c r="JV48" s="2"/>
      <c r="JW48" s="2"/>
      <c r="JX48" s="2"/>
      <c r="JY48" s="2"/>
      <c r="JZ48" s="2"/>
      <c r="KA48" s="2" t="s">
        <v>35</v>
      </c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 t="s">
        <v>35</v>
      </c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14">
        <f t="array" aca="1" ref="NJ48" ca="1">SUMPRODUCT((OFFSET($A48,0,31*($A$3-1)+1,1,31)&lt;&gt;"")*(IF(OFFSET($A48,0,31*($A$3-1)+1,1,31)=$OA$12,0.5,1)*(OFFSET($A$4,0,31*($A$3-1)+1,1,31))))</f>
        <v>1</v>
      </c>
      <c r="NK48" s="20">
        <f t="array" aca="1" ref="NK48" ca="1">SUMPRODUCT((OFFSET($A48,0,1,1,372)&lt;&gt;"")*(IF(OFFSET($A48,0,1,1,372)=$OA$12,0.5,1)*(OFFSET($A$3,0,1,1,372))))</f>
        <v>9</v>
      </c>
      <c r="NL48" s="28">
        <f t="array" aca="1" ref="NL48" ca="1">SUMPRODUCT((OFFSET($A48,0,31*($A$4)+DAY(Holidays!$E$2),1,Holidays!$G$2)&lt;&gt;"")*(IF(OFFSET($A48,0,31*($A$4)+DAY(Holidays!$E$2),1,Holidays!$G$2)=$OA$12,0.5,1)*(OFFSET($A$3,0,31*($A$4)+DAY(Holidays!$E$2),1,Holidays!$G$2))))</f>
        <v>4</v>
      </c>
      <c r="NM48" s="60">
        <f t="array" aca="1" ref="NM48" ca="1">SUMPRODUCT((OFFSET($A48,0,31*($A$4)+DAY(VLOOKUP(NM$5,Sprints[],2,FALSE)),1,VLOOKUP(NM$5,Sprints[],4,FALSE))&lt;&gt;"")*(IF(OFFSET($A48,0,31*($A$4)+DAY(VLOOKUP(NM$5,Sprints[],2,FALSE)),1,VLOOKUP(NM$5,Sprints[],4,FALSE))=$OA$12,0.5,1)*(OFFSET($A$3,0,31*($A$4)+DAY(VLOOKUP(NM$5,Sprints[],2,FALSE)),1,VLOOKUP(NM$5,Sprints[],4,FALSE)))))</f>
        <v>1</v>
      </c>
      <c r="NN48" s="60">
        <f t="array" aca="1" ref="NN48" ca="1">SUMPRODUCT((OFFSET($A48,0,31*($A$4)+DAY(VLOOKUP(NN$5,Sprints[],2,FALSE)),1,VLOOKUP(NN$5,Sprints[],4,FALSE))&lt;&gt;"")*(IF(OFFSET($A48,0,31*($A$4)+DAY(VLOOKUP(NN$5,Sprints[],2,FALSE)),1,VLOOKUP(NN$5,Sprints[],4,FALSE))=$OA$12,0.5,1)*(OFFSET($A$3,0,31*($A$4)+DAY(VLOOKUP(NN$5,Sprints[],2,FALSE)),1,VLOOKUP(NN$5,Sprints[],4,FALSE)))))</f>
        <v>1</v>
      </c>
      <c r="NO48" s="60">
        <f t="array" aca="1" ref="NO48" ca="1">SUMPRODUCT((OFFSET($A48,0,31*($A$4)+DAY(VLOOKUP(NO$5,Sprints[],2,FALSE)),1,VLOOKUP(NO$5,Sprints[],4,FALSE))&lt;&gt;"")*(IF(OFFSET($A48,0,31*($A$4)+DAY(VLOOKUP(NO$5,Sprints[],2,FALSE)),1,VLOOKUP(NO$5,Sprints[],4,FALSE))=$OA$12,0.5,1)*(OFFSET($A$3,0,31*($A$4)+DAY(VLOOKUP(NO$5,Sprints[],2,FALSE)),1,VLOOKUP(NO$5,Sprints[],4,FALSE)))))</f>
        <v>0</v>
      </c>
      <c r="NP48" s="60">
        <f t="array" aca="1" ref="NP48" ca="1">SUMPRODUCT((OFFSET($A48,0,31*(VLOOKUP(NP$5,Sprints[],5,FALSE))+DAY(VLOOKUP(NP$5,Sprints[],2,FALSE)),1,VLOOKUP(NP$5,Sprints[],4,FALSE))&lt;&gt;"")*(IF(OFFSET($A48,0,31*(VLOOKUP(NP$5,Sprints[],5,FALSE))+DAY(VLOOKUP(NP$5,Sprints[],2,FALSE)),1,VLOOKUP(NP$5,Sprints[],4,FALSE))=$OA$12,0.5,1)*(OFFSET($A$3,0,31*(VLOOKUP(NP$5,Sprints[],5,FALSE))+DAY(VLOOKUP(NP$5,Sprints[],2,FALSE)),1,VLOOKUP(NP$5,Sprints[],4,FALSE)))))</f>
        <v>0</v>
      </c>
      <c r="NQ48" s="60">
        <f t="array" aca="1" ref="NQ48" ca="1">SUMPRODUCT((OFFSET($A48,0,31*(VLOOKUP(NQ$5,Sprints[],5,FALSE))+DAY(VLOOKUP(NQ$5,Sprints[],2,FALSE)),1,VLOOKUP(NQ$5,Sprints[],4,FALSE))&lt;&gt;"")*(IF(OFFSET($A48,0,31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48" s="60">
        <f t="array" aca="1" ref="NR48" ca="1">SUMPRODUCT((OFFSET($A48,0,31*(VLOOKUP(NR$5,Sprints[],5,FALSE))+DAY(VLOOKUP(NR$5,Sprints[],2,FALSE)),1,VLOOKUP(NR$5,Sprints[],4,FALSE))&lt;&gt;"")*(IF(OFFSET($A48,0,31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48" s="60">
        <f t="array" aca="1" ref="NS48" ca="1">SUMPRODUCT((OFFSET($A48,0,31*(VLOOKUP(NS$5,Sprints[],5,FALSE))+DAY(VLOOKUP(NS$5,Sprints[],2,FALSE)),1,VLOOKUP(NS$5,Sprints[],4,FALSE))&lt;&gt;"")*(IF(OFFSET($A48,0,31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48" s="60">
        <f t="array" aca="1" ref="NT48" ca="1">SUMPRODUCT((OFFSET($A48,0,31*(VLOOKUP(NT$5,Sprints[],5,FALSE))+DAY(VLOOKUP(NT$5,Sprints[],2,FALSE)),1,VLOOKUP(NT$5,Sprints[],4,FALSE))&lt;&gt;"")*(IF(OFFSET($A48,0,31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48" s="60">
        <f t="array" aca="1" ref="NU48" ca="1">SUMPRODUCT((OFFSET($A48,0,31*(VLOOKUP(NU$5,Sprints[],5,FALSE))+DAY(VLOOKUP(NU$5,Sprints[],2,FALSE)),1,VLOOKUP(NU$5,Sprints[],4,FALSE))&lt;&gt;"")*(IF(OFFSET($A48,0,31*(VLOOKUP(NU$5,Sprints[],5,FALSE))+DAY(VLOOKUP(NU$5,Sprints[],2,FALSE)),1,VLOOKUP(NU$5,Sprints[],4,FALSE))=$OA$12,0.5,1)*(OFFSET($A$3,0,31*(VLOOKUP(NU$5,Sprints[],5,FALSE))+DAY(VLOOKUP(NU$5,Sprints[],2,FALSE)),1,VLOOKUP(NU$5,Sprints[],4,FALSE)))))</f>
        <v>0</v>
      </c>
      <c r="NV48" s="60">
        <f t="array" aca="1" ref="NV48" ca="1">SUMPRODUCT((OFFSET($A48,0,31*(VLOOKUP(NV$5,Sprints[],5,FALSE))+DAY(VLOOKUP(NV$5,Sprints[],2,FALSE)),1,VLOOKUP(NV$5,Sprints[],4,FALSE))&lt;&gt;"")*(IF(OFFSET($A48,0,31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48" s="60">
        <f t="array" aca="1" ref="NW48" ca="1">SUMPRODUCT((OFFSET($A48,0,31*(VLOOKUP(NW$5,Sprints[],5,FALSE))+DAY(VLOOKUP(NW$5,Sprints[],2,FALSE)),1,VLOOKUP(NW$5,Sprints[],4,FALSE))&lt;&gt;"")*(IF(OFFSET($A48,0,31*(VLOOKUP(NW$5,Sprints[],5,FALSE))+DAY(VLOOKUP(NW$5,Sprints[],2,FALSE)),1,VLOOKUP(NW$5,Sprints[],4,FALSE))=$OA$12,0.5,1)*(OFFSET($A$3,0,31*(VLOOKUP(NW$5,Sprints[],5,FALSE))+DAY(VLOOKUP(NW$5,Sprints[],2,FALSE)),1,VLOOKUP(NW$5,Sprints[],4,FALSE)))))</f>
        <v>0</v>
      </c>
      <c r="NX48" s="60">
        <f t="array" aca="1" ref="NX48" ca="1">SUMPRODUCT((OFFSET($A48,0,31*(VLOOKUP(NX$5,Sprints[],5,FALSE))+DAY(VLOOKUP(NX$5,Sprints[],2,FALSE)),1,VLOOKUP(NX$5,Sprints[],4,FALSE))&lt;&gt;"")*(IF(OFFSET($A48,0,31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49" spans="1:388" x14ac:dyDescent="0.45">
      <c r="A49" s="44" t="s">
        <v>101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36" t="s">
        <v>35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36" t="s">
        <v>35</v>
      </c>
      <c r="AH49" s="2"/>
      <c r="AI49" s="2"/>
      <c r="AJ49" s="2"/>
      <c r="AK49" s="2"/>
      <c r="AL49" s="2"/>
      <c r="AM49" s="2"/>
      <c r="AN49" s="2"/>
      <c r="AO49" s="36" t="s">
        <v>35</v>
      </c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 t="s">
        <v>35</v>
      </c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 t="s">
        <v>35</v>
      </c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 t="s">
        <v>35</v>
      </c>
      <c r="JO49" s="2"/>
      <c r="JP49" s="2"/>
      <c r="JQ49" s="2"/>
      <c r="JR49" s="2"/>
      <c r="JS49" s="2"/>
      <c r="JT49" s="2"/>
      <c r="JU49" s="2" t="s">
        <v>35</v>
      </c>
      <c r="JV49" s="2"/>
      <c r="JW49" s="2"/>
      <c r="JX49" s="2"/>
      <c r="JY49" s="2"/>
      <c r="JZ49" s="2"/>
      <c r="KA49" s="2" t="s">
        <v>35</v>
      </c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 t="s">
        <v>35</v>
      </c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14">
        <f t="array" aca="1" ref="NJ49" ca="1">SUMPRODUCT((OFFSET($A49,0,31*($A$3-1)+1,1,31)&lt;&gt;"")*(IF(OFFSET($A49,0,31*($A$3-1)+1,1,31)=$OA$12,0.5,1)*(OFFSET($A$4,0,31*($A$3-1)+1,1,31))))</f>
        <v>1</v>
      </c>
      <c r="NK49" s="20">
        <f t="array" aca="1" ref="NK49" ca="1">SUMPRODUCT((OFFSET($A49,0,1,1,372)&lt;&gt;"")*(IF(OFFSET($A49,0,1,1,372)=$OA$12,0.5,1)*(OFFSET($A$3,0,1,1,372))))</f>
        <v>9</v>
      </c>
      <c r="NL49" s="28">
        <f t="array" aca="1" ref="NL49" ca="1">SUMPRODUCT((OFFSET($A49,0,31*($A$4)+DAY(Holidays!$E$2),1,Holidays!$G$2)&lt;&gt;"")*(IF(OFFSET($A49,0,31*($A$4)+DAY(Holidays!$E$2),1,Holidays!$G$2)=$OA$12,0.5,1)*(OFFSET($A$3,0,31*($A$4)+DAY(Holidays!$E$2),1,Holidays!$G$2))))</f>
        <v>4</v>
      </c>
      <c r="NM49" s="60">
        <f t="array" aca="1" ref="NM49" ca="1">SUMPRODUCT((OFFSET($A49,0,31*($A$4)+DAY(VLOOKUP(NM$5,Sprints[],2,FALSE)),1,VLOOKUP(NM$5,Sprints[],4,FALSE))&lt;&gt;"")*(IF(OFFSET($A49,0,31*($A$4)+DAY(VLOOKUP(NM$5,Sprints[],2,FALSE)),1,VLOOKUP(NM$5,Sprints[],4,FALSE))=$OA$12,0.5,1)*(OFFSET($A$3,0,31*($A$4)+DAY(VLOOKUP(NM$5,Sprints[],2,FALSE)),1,VLOOKUP(NM$5,Sprints[],4,FALSE)))))</f>
        <v>1</v>
      </c>
      <c r="NN49" s="60">
        <f t="array" aca="1" ref="NN49" ca="1">SUMPRODUCT((OFFSET($A49,0,31*($A$4)+DAY(VLOOKUP(NN$5,Sprints[],2,FALSE)),1,VLOOKUP(NN$5,Sprints[],4,FALSE))&lt;&gt;"")*(IF(OFFSET($A49,0,31*($A$4)+DAY(VLOOKUP(NN$5,Sprints[],2,FALSE)),1,VLOOKUP(NN$5,Sprints[],4,FALSE))=$OA$12,0.5,1)*(OFFSET($A$3,0,31*($A$4)+DAY(VLOOKUP(NN$5,Sprints[],2,FALSE)),1,VLOOKUP(NN$5,Sprints[],4,FALSE)))))</f>
        <v>1</v>
      </c>
      <c r="NO49" s="60">
        <f t="array" aca="1" ref="NO49" ca="1">SUMPRODUCT((OFFSET($A49,0,31*($A$4)+DAY(VLOOKUP(NO$5,Sprints[],2,FALSE)),1,VLOOKUP(NO$5,Sprints[],4,FALSE))&lt;&gt;"")*(IF(OFFSET($A49,0,31*($A$4)+DAY(VLOOKUP(NO$5,Sprints[],2,FALSE)),1,VLOOKUP(NO$5,Sprints[],4,FALSE))=$OA$12,0.5,1)*(OFFSET($A$3,0,31*($A$4)+DAY(VLOOKUP(NO$5,Sprints[],2,FALSE)),1,VLOOKUP(NO$5,Sprints[],4,FALSE)))))</f>
        <v>0</v>
      </c>
      <c r="NP49" s="60">
        <f t="array" aca="1" ref="NP49" ca="1">SUMPRODUCT((OFFSET($A49,0,31*(VLOOKUP(NP$5,Sprints[],5,FALSE))+DAY(VLOOKUP(NP$5,Sprints[],2,FALSE)),1,VLOOKUP(NP$5,Sprints[],4,FALSE))&lt;&gt;"")*(IF(OFFSET($A49,0,31*(VLOOKUP(NP$5,Sprints[],5,FALSE))+DAY(VLOOKUP(NP$5,Sprints[],2,FALSE)),1,VLOOKUP(NP$5,Sprints[],4,FALSE))=$OA$12,0.5,1)*(OFFSET($A$3,0,31*(VLOOKUP(NP$5,Sprints[],5,FALSE))+DAY(VLOOKUP(NP$5,Sprints[],2,FALSE)),1,VLOOKUP(NP$5,Sprints[],4,FALSE)))))</f>
        <v>0</v>
      </c>
      <c r="NQ49" s="60">
        <f t="array" aca="1" ref="NQ49" ca="1">SUMPRODUCT((OFFSET($A49,0,31*(VLOOKUP(NQ$5,Sprints[],5,FALSE))+DAY(VLOOKUP(NQ$5,Sprints[],2,FALSE)),1,VLOOKUP(NQ$5,Sprints[],4,FALSE))&lt;&gt;"")*(IF(OFFSET($A49,0,31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49" s="60">
        <f t="array" aca="1" ref="NR49" ca="1">SUMPRODUCT((OFFSET($A49,0,31*(VLOOKUP(NR$5,Sprints[],5,FALSE))+DAY(VLOOKUP(NR$5,Sprints[],2,FALSE)),1,VLOOKUP(NR$5,Sprints[],4,FALSE))&lt;&gt;"")*(IF(OFFSET($A49,0,31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49" s="60">
        <f t="array" aca="1" ref="NS49" ca="1">SUMPRODUCT((OFFSET($A49,0,31*(VLOOKUP(NS$5,Sprints[],5,FALSE))+DAY(VLOOKUP(NS$5,Sprints[],2,FALSE)),1,VLOOKUP(NS$5,Sprints[],4,FALSE))&lt;&gt;"")*(IF(OFFSET($A49,0,31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49" s="60">
        <f t="array" aca="1" ref="NT49" ca="1">SUMPRODUCT((OFFSET($A49,0,31*(VLOOKUP(NT$5,Sprints[],5,FALSE))+DAY(VLOOKUP(NT$5,Sprints[],2,FALSE)),1,VLOOKUP(NT$5,Sprints[],4,FALSE))&lt;&gt;"")*(IF(OFFSET($A49,0,31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49" s="60">
        <f t="array" aca="1" ref="NU49" ca="1">SUMPRODUCT((OFFSET($A49,0,31*(VLOOKUP(NU$5,Sprints[],5,FALSE))+DAY(VLOOKUP(NU$5,Sprints[],2,FALSE)),1,VLOOKUP(NU$5,Sprints[],4,FALSE))&lt;&gt;"")*(IF(OFFSET($A49,0,31*(VLOOKUP(NU$5,Sprints[],5,FALSE))+DAY(VLOOKUP(NU$5,Sprints[],2,FALSE)),1,VLOOKUP(NU$5,Sprints[],4,FALSE))=$OA$12,0.5,1)*(OFFSET($A$3,0,31*(VLOOKUP(NU$5,Sprints[],5,FALSE))+DAY(VLOOKUP(NU$5,Sprints[],2,FALSE)),1,VLOOKUP(NU$5,Sprints[],4,FALSE)))))</f>
        <v>0</v>
      </c>
      <c r="NV49" s="60">
        <f t="array" aca="1" ref="NV49" ca="1">SUMPRODUCT((OFFSET($A49,0,31*(VLOOKUP(NV$5,Sprints[],5,FALSE))+DAY(VLOOKUP(NV$5,Sprints[],2,FALSE)),1,VLOOKUP(NV$5,Sprints[],4,FALSE))&lt;&gt;"")*(IF(OFFSET($A49,0,31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49" s="60">
        <f t="array" aca="1" ref="NW49" ca="1">SUMPRODUCT((OFFSET($A49,0,31*(VLOOKUP(NW$5,Sprints[],5,FALSE))+DAY(VLOOKUP(NW$5,Sprints[],2,FALSE)),1,VLOOKUP(NW$5,Sprints[],4,FALSE))&lt;&gt;"")*(IF(OFFSET($A49,0,31*(VLOOKUP(NW$5,Sprints[],5,FALSE))+DAY(VLOOKUP(NW$5,Sprints[],2,FALSE)),1,VLOOKUP(NW$5,Sprints[],4,FALSE))=$OA$12,0.5,1)*(OFFSET($A$3,0,31*(VLOOKUP(NW$5,Sprints[],5,FALSE))+DAY(VLOOKUP(NW$5,Sprints[],2,FALSE)),1,VLOOKUP(NW$5,Sprints[],4,FALSE)))))</f>
        <v>0</v>
      </c>
      <c r="NX49" s="60">
        <f t="array" aca="1" ref="NX49" ca="1">SUMPRODUCT((OFFSET($A49,0,31*(VLOOKUP(NX$5,Sprints[],5,FALSE))+DAY(VLOOKUP(NX$5,Sprints[],2,FALSE)),1,VLOOKUP(NX$5,Sprints[],4,FALSE))&lt;&gt;"")*(IF(OFFSET($A49,0,31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50" spans="1:388" x14ac:dyDescent="0.45">
      <c r="A50" s="1" t="s">
        <v>102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36" t="s">
        <v>35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36" t="s">
        <v>35</v>
      </c>
      <c r="AH50" s="2"/>
      <c r="AI50" s="2"/>
      <c r="AJ50" s="2"/>
      <c r="AK50" s="2"/>
      <c r="AL50" s="2"/>
      <c r="AM50" s="2"/>
      <c r="AN50" s="2"/>
      <c r="AO50" s="36" t="s">
        <v>35</v>
      </c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 t="s">
        <v>35</v>
      </c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 t="s">
        <v>35</v>
      </c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 t="s">
        <v>35</v>
      </c>
      <c r="JO50" s="2"/>
      <c r="JP50" s="2"/>
      <c r="JQ50" s="2"/>
      <c r="JR50" s="2"/>
      <c r="JS50" s="2"/>
      <c r="JT50" s="2"/>
      <c r="JU50" s="2" t="s">
        <v>35</v>
      </c>
      <c r="JV50" s="2"/>
      <c r="JW50" s="2"/>
      <c r="JX50" s="2"/>
      <c r="JY50" s="2"/>
      <c r="JZ50" s="2"/>
      <c r="KA50" s="2" t="s">
        <v>35</v>
      </c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 t="s">
        <v>35</v>
      </c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14">
        <f t="array" aca="1" ref="NJ50" ca="1">SUMPRODUCT((OFFSET($A50,0,31*($A$3-1)+1,1,31)&lt;&gt;"")*(IF(OFFSET($A50,0,31*($A$3-1)+1,1,31)=$OA$12,0.5,1)*(OFFSET($A$4,0,31*($A$3-1)+1,1,31))))</f>
        <v>1</v>
      </c>
      <c r="NK50" s="20">
        <f t="array" aca="1" ref="NK50" ca="1">SUMPRODUCT((OFFSET($A50,0,1,1,372)&lt;&gt;"")*(IF(OFFSET($A50,0,1,1,372)=$OA$12,0.5,1)*(OFFSET($A$3,0,1,1,372))))</f>
        <v>9</v>
      </c>
      <c r="NL50" s="28">
        <f t="array" aca="1" ref="NL50" ca="1">SUMPRODUCT((OFFSET($A50,0,31*($A$4)+DAY(Holidays!$E$2),1,Holidays!$G$2)&lt;&gt;"")*(IF(OFFSET($A50,0,31*($A$4)+DAY(Holidays!$E$2),1,Holidays!$G$2)=$OA$12,0.5,1)*(OFFSET($A$3,0,31*($A$4)+DAY(Holidays!$E$2),1,Holidays!$G$2))))</f>
        <v>4</v>
      </c>
      <c r="NM50" s="60">
        <f t="array" aca="1" ref="NM50" ca="1">SUMPRODUCT((OFFSET($A50,0,31*($A$4)+DAY(VLOOKUP(NM$5,Sprints[],2,FALSE)),1,VLOOKUP(NM$5,Sprints[],4,FALSE))&lt;&gt;"")*(IF(OFFSET($A50,0,31*($A$4)+DAY(VLOOKUP(NM$5,Sprints[],2,FALSE)),1,VLOOKUP(NM$5,Sprints[],4,FALSE))=$OA$12,0.5,1)*(OFFSET($A$3,0,31*($A$4)+DAY(VLOOKUP(NM$5,Sprints[],2,FALSE)),1,VLOOKUP(NM$5,Sprints[],4,FALSE)))))</f>
        <v>1</v>
      </c>
      <c r="NN50" s="60">
        <f t="array" aca="1" ref="NN50" ca="1">SUMPRODUCT((OFFSET($A50,0,31*($A$4)+DAY(VLOOKUP(NN$5,Sprints[],2,FALSE)),1,VLOOKUP(NN$5,Sprints[],4,FALSE))&lt;&gt;"")*(IF(OFFSET($A50,0,31*($A$4)+DAY(VLOOKUP(NN$5,Sprints[],2,FALSE)),1,VLOOKUP(NN$5,Sprints[],4,FALSE))=$OA$12,0.5,1)*(OFFSET($A$3,0,31*($A$4)+DAY(VLOOKUP(NN$5,Sprints[],2,FALSE)),1,VLOOKUP(NN$5,Sprints[],4,FALSE)))))</f>
        <v>1</v>
      </c>
      <c r="NO50" s="60">
        <f t="array" aca="1" ref="NO50" ca="1">SUMPRODUCT((OFFSET($A50,0,31*($A$4)+DAY(VLOOKUP(NO$5,Sprints[],2,FALSE)),1,VLOOKUP(NO$5,Sprints[],4,FALSE))&lt;&gt;"")*(IF(OFFSET($A50,0,31*($A$4)+DAY(VLOOKUP(NO$5,Sprints[],2,FALSE)),1,VLOOKUP(NO$5,Sprints[],4,FALSE))=$OA$12,0.5,1)*(OFFSET($A$3,0,31*($A$4)+DAY(VLOOKUP(NO$5,Sprints[],2,FALSE)),1,VLOOKUP(NO$5,Sprints[],4,FALSE)))))</f>
        <v>0</v>
      </c>
      <c r="NP50" s="60">
        <f t="array" aca="1" ref="NP50" ca="1">SUMPRODUCT((OFFSET($A50,0,31*(VLOOKUP(NP$5,Sprints[],5,FALSE))+DAY(VLOOKUP(NP$5,Sprints[],2,FALSE)),1,VLOOKUP(NP$5,Sprints[],4,FALSE))&lt;&gt;"")*(IF(OFFSET($A50,0,31*(VLOOKUP(NP$5,Sprints[],5,FALSE))+DAY(VLOOKUP(NP$5,Sprints[],2,FALSE)),1,VLOOKUP(NP$5,Sprints[],4,FALSE))=$OA$12,0.5,1)*(OFFSET($A$3,0,31*(VLOOKUP(NP$5,Sprints[],5,FALSE))+DAY(VLOOKUP(NP$5,Sprints[],2,FALSE)),1,VLOOKUP(NP$5,Sprints[],4,FALSE)))))</f>
        <v>0</v>
      </c>
      <c r="NQ50" s="60">
        <f t="array" aca="1" ref="NQ50" ca="1">SUMPRODUCT((OFFSET($A50,0,31*(VLOOKUP(NQ$5,Sprints[],5,FALSE))+DAY(VLOOKUP(NQ$5,Sprints[],2,FALSE)),1,VLOOKUP(NQ$5,Sprints[],4,FALSE))&lt;&gt;"")*(IF(OFFSET($A50,0,31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50" s="60">
        <f t="array" aca="1" ref="NR50" ca="1">SUMPRODUCT((OFFSET($A50,0,31*(VLOOKUP(NR$5,Sprints[],5,FALSE))+DAY(VLOOKUP(NR$5,Sprints[],2,FALSE)),1,VLOOKUP(NR$5,Sprints[],4,FALSE))&lt;&gt;"")*(IF(OFFSET($A50,0,31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50" s="60">
        <f t="array" aca="1" ref="NS50" ca="1">SUMPRODUCT((OFFSET($A50,0,31*(VLOOKUP(NS$5,Sprints[],5,FALSE))+DAY(VLOOKUP(NS$5,Sprints[],2,FALSE)),1,VLOOKUP(NS$5,Sprints[],4,FALSE))&lt;&gt;"")*(IF(OFFSET($A50,0,31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50" s="60">
        <f t="array" aca="1" ref="NT50" ca="1">SUMPRODUCT((OFFSET($A50,0,31*(VLOOKUP(NT$5,Sprints[],5,FALSE))+DAY(VLOOKUP(NT$5,Sprints[],2,FALSE)),1,VLOOKUP(NT$5,Sprints[],4,FALSE))&lt;&gt;"")*(IF(OFFSET($A50,0,31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50" s="60">
        <f t="array" aca="1" ref="NU50" ca="1">SUMPRODUCT((OFFSET($A50,0,31*(VLOOKUP(NU$5,Sprints[],5,FALSE))+DAY(VLOOKUP(NU$5,Sprints[],2,FALSE)),1,VLOOKUP(NU$5,Sprints[],4,FALSE))&lt;&gt;"")*(IF(OFFSET($A50,0,31*(VLOOKUP(NU$5,Sprints[],5,FALSE))+DAY(VLOOKUP(NU$5,Sprints[],2,FALSE)),1,VLOOKUP(NU$5,Sprints[],4,FALSE))=$OA$12,0.5,1)*(OFFSET($A$3,0,31*(VLOOKUP(NU$5,Sprints[],5,FALSE))+DAY(VLOOKUP(NU$5,Sprints[],2,FALSE)),1,VLOOKUP(NU$5,Sprints[],4,FALSE)))))</f>
        <v>0</v>
      </c>
      <c r="NV50" s="60">
        <f t="array" aca="1" ref="NV50" ca="1">SUMPRODUCT((OFFSET($A50,0,31*(VLOOKUP(NV$5,Sprints[],5,FALSE))+DAY(VLOOKUP(NV$5,Sprints[],2,FALSE)),1,VLOOKUP(NV$5,Sprints[],4,FALSE))&lt;&gt;"")*(IF(OFFSET($A50,0,31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50" s="60">
        <f t="array" aca="1" ref="NW50" ca="1">SUMPRODUCT((OFFSET($A50,0,31*(VLOOKUP(NW$5,Sprints[],5,FALSE))+DAY(VLOOKUP(NW$5,Sprints[],2,FALSE)),1,VLOOKUP(NW$5,Sprints[],4,FALSE))&lt;&gt;"")*(IF(OFFSET($A50,0,31*(VLOOKUP(NW$5,Sprints[],5,FALSE))+DAY(VLOOKUP(NW$5,Sprints[],2,FALSE)),1,VLOOKUP(NW$5,Sprints[],4,FALSE))=$OA$12,0.5,1)*(OFFSET($A$3,0,31*(VLOOKUP(NW$5,Sprints[],5,FALSE))+DAY(VLOOKUP(NW$5,Sprints[],2,FALSE)),1,VLOOKUP(NW$5,Sprints[],4,FALSE)))))</f>
        <v>0</v>
      </c>
      <c r="NX50" s="60">
        <f t="array" aca="1" ref="NX50" ca="1">SUMPRODUCT((OFFSET($A50,0,31*(VLOOKUP(NX$5,Sprints[],5,FALSE))+DAY(VLOOKUP(NX$5,Sprints[],2,FALSE)),1,VLOOKUP(NX$5,Sprints[],4,FALSE))&lt;&gt;"")*(IF(OFFSET($A50,0,31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51" spans="1:388" x14ac:dyDescent="0.45">
      <c r="A51" s="44" t="s">
        <v>103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36" t="s">
        <v>35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36" t="s">
        <v>35</v>
      </c>
      <c r="AH51" s="2"/>
      <c r="AI51" s="2"/>
      <c r="AJ51" s="2"/>
      <c r="AK51" s="2"/>
      <c r="AL51" s="2"/>
      <c r="AM51" s="2"/>
      <c r="AN51" s="2"/>
      <c r="AO51" s="36" t="s">
        <v>35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 t="s">
        <v>35</v>
      </c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 t="s">
        <v>35</v>
      </c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 t="s">
        <v>35</v>
      </c>
      <c r="JO51" s="2"/>
      <c r="JP51" s="2"/>
      <c r="JQ51" s="2"/>
      <c r="JR51" s="2"/>
      <c r="JS51" s="2"/>
      <c r="JT51" s="2"/>
      <c r="JU51" s="2" t="s">
        <v>35</v>
      </c>
      <c r="JV51" s="2"/>
      <c r="JW51" s="2"/>
      <c r="JX51" s="2"/>
      <c r="JY51" s="2"/>
      <c r="JZ51" s="2"/>
      <c r="KA51" s="2" t="s">
        <v>35</v>
      </c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 t="s">
        <v>35</v>
      </c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14">
        <f t="array" aca="1" ref="NJ51" ca="1">SUMPRODUCT((OFFSET($A51,0,31*($A$3-1)+1,1,31)&lt;&gt;"")*(IF(OFFSET($A51,0,31*($A$3-1)+1,1,31)=$OA$12,0.5,1)*(OFFSET($A$4,0,31*($A$3-1)+1,1,31))))</f>
        <v>1</v>
      </c>
      <c r="NK51" s="20">
        <f t="array" aca="1" ref="NK51" ca="1">SUMPRODUCT((OFFSET($A51,0,1,1,372)&lt;&gt;"")*(IF(OFFSET($A51,0,1,1,372)=$OA$12,0.5,1)*(OFFSET($A$3,0,1,1,372))))</f>
        <v>9</v>
      </c>
      <c r="NL51" s="28">
        <f t="array" aca="1" ref="NL51" ca="1">SUMPRODUCT((OFFSET($A51,0,31*($A$4)+DAY(Holidays!$E$2),1,Holidays!$G$2)&lt;&gt;"")*(IF(OFFSET($A51,0,31*($A$4)+DAY(Holidays!$E$2),1,Holidays!$G$2)=$OA$12,0.5,1)*(OFFSET($A$3,0,31*($A$4)+DAY(Holidays!$E$2),1,Holidays!$G$2))))</f>
        <v>4</v>
      </c>
      <c r="NM51" s="60">
        <f t="array" aca="1" ref="NM51" ca="1">SUMPRODUCT((OFFSET($A51,0,31*($A$4)+DAY(VLOOKUP(NM$5,Sprints[],2,FALSE)),1,VLOOKUP(NM$5,Sprints[],4,FALSE))&lt;&gt;"")*(IF(OFFSET($A51,0,31*($A$4)+DAY(VLOOKUP(NM$5,Sprints[],2,FALSE)),1,VLOOKUP(NM$5,Sprints[],4,FALSE))=$OA$12,0.5,1)*(OFFSET($A$3,0,31*($A$4)+DAY(VLOOKUP(NM$5,Sprints[],2,FALSE)),1,VLOOKUP(NM$5,Sprints[],4,FALSE)))))</f>
        <v>1</v>
      </c>
      <c r="NN51" s="60">
        <f t="array" aca="1" ref="NN51" ca="1">SUMPRODUCT((OFFSET($A51,0,31*($A$4)+DAY(VLOOKUP(NN$5,Sprints[],2,FALSE)),1,VLOOKUP(NN$5,Sprints[],4,FALSE))&lt;&gt;"")*(IF(OFFSET($A51,0,31*($A$4)+DAY(VLOOKUP(NN$5,Sprints[],2,FALSE)),1,VLOOKUP(NN$5,Sprints[],4,FALSE))=$OA$12,0.5,1)*(OFFSET($A$3,0,31*($A$4)+DAY(VLOOKUP(NN$5,Sprints[],2,FALSE)),1,VLOOKUP(NN$5,Sprints[],4,FALSE)))))</f>
        <v>1</v>
      </c>
      <c r="NO51" s="60">
        <f t="array" aca="1" ref="NO51" ca="1">SUMPRODUCT((OFFSET($A51,0,31*($A$4)+DAY(VLOOKUP(NO$5,Sprints[],2,FALSE)),1,VLOOKUP(NO$5,Sprints[],4,FALSE))&lt;&gt;"")*(IF(OFFSET($A51,0,31*($A$4)+DAY(VLOOKUP(NO$5,Sprints[],2,FALSE)),1,VLOOKUP(NO$5,Sprints[],4,FALSE))=$OA$12,0.5,1)*(OFFSET($A$3,0,31*($A$4)+DAY(VLOOKUP(NO$5,Sprints[],2,FALSE)),1,VLOOKUP(NO$5,Sprints[],4,FALSE)))))</f>
        <v>0</v>
      </c>
      <c r="NP51" s="60">
        <f t="array" aca="1" ref="NP51" ca="1">SUMPRODUCT((OFFSET($A51,0,31*(VLOOKUP(NP$5,Sprints[],5,FALSE))+DAY(VLOOKUP(NP$5,Sprints[],2,FALSE)),1,VLOOKUP(NP$5,Sprints[],4,FALSE))&lt;&gt;"")*(IF(OFFSET($A51,0,31*(VLOOKUP(NP$5,Sprints[],5,FALSE))+DAY(VLOOKUP(NP$5,Sprints[],2,FALSE)),1,VLOOKUP(NP$5,Sprints[],4,FALSE))=$OA$12,0.5,1)*(OFFSET($A$3,0,31*(VLOOKUP(NP$5,Sprints[],5,FALSE))+DAY(VLOOKUP(NP$5,Sprints[],2,FALSE)),1,VLOOKUP(NP$5,Sprints[],4,FALSE)))))</f>
        <v>0</v>
      </c>
      <c r="NQ51" s="60">
        <f t="array" aca="1" ref="NQ51" ca="1">SUMPRODUCT((OFFSET($A51,0,31*(VLOOKUP(NQ$5,Sprints[],5,FALSE))+DAY(VLOOKUP(NQ$5,Sprints[],2,FALSE)),1,VLOOKUP(NQ$5,Sprints[],4,FALSE))&lt;&gt;"")*(IF(OFFSET($A51,0,31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51" s="60">
        <f t="array" aca="1" ref="NR51" ca="1">SUMPRODUCT((OFFSET($A51,0,31*(VLOOKUP(NR$5,Sprints[],5,FALSE))+DAY(VLOOKUP(NR$5,Sprints[],2,FALSE)),1,VLOOKUP(NR$5,Sprints[],4,FALSE))&lt;&gt;"")*(IF(OFFSET($A51,0,31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51" s="60">
        <f t="array" aca="1" ref="NS51" ca="1">SUMPRODUCT((OFFSET($A51,0,31*(VLOOKUP(NS$5,Sprints[],5,FALSE))+DAY(VLOOKUP(NS$5,Sprints[],2,FALSE)),1,VLOOKUP(NS$5,Sprints[],4,FALSE))&lt;&gt;"")*(IF(OFFSET($A51,0,31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51" s="60">
        <f t="array" aca="1" ref="NT51" ca="1">SUMPRODUCT((OFFSET($A51,0,31*(VLOOKUP(NT$5,Sprints[],5,FALSE))+DAY(VLOOKUP(NT$5,Sprints[],2,FALSE)),1,VLOOKUP(NT$5,Sprints[],4,FALSE))&lt;&gt;"")*(IF(OFFSET($A51,0,31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51" s="60">
        <f t="array" aca="1" ref="NU51" ca="1">SUMPRODUCT((OFFSET($A51,0,31*(VLOOKUP(NU$5,Sprints[],5,FALSE))+DAY(VLOOKUP(NU$5,Sprints[],2,FALSE)),1,VLOOKUP(NU$5,Sprints[],4,FALSE))&lt;&gt;"")*(IF(OFFSET($A51,0,31*(VLOOKUP(NU$5,Sprints[],5,FALSE))+DAY(VLOOKUP(NU$5,Sprints[],2,FALSE)),1,VLOOKUP(NU$5,Sprints[],4,FALSE))=$OA$12,0.5,1)*(OFFSET($A$3,0,31*(VLOOKUP(NU$5,Sprints[],5,FALSE))+DAY(VLOOKUP(NU$5,Sprints[],2,FALSE)),1,VLOOKUP(NU$5,Sprints[],4,FALSE)))))</f>
        <v>0</v>
      </c>
      <c r="NV51" s="60">
        <f t="array" aca="1" ref="NV51" ca="1">SUMPRODUCT((OFFSET($A51,0,31*(VLOOKUP(NV$5,Sprints[],5,FALSE))+DAY(VLOOKUP(NV$5,Sprints[],2,FALSE)),1,VLOOKUP(NV$5,Sprints[],4,FALSE))&lt;&gt;"")*(IF(OFFSET($A51,0,31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51" s="60">
        <f t="array" aca="1" ref="NW51" ca="1">SUMPRODUCT((OFFSET($A51,0,31*(VLOOKUP(NW$5,Sprints[],5,FALSE))+DAY(VLOOKUP(NW$5,Sprints[],2,FALSE)),1,VLOOKUP(NW$5,Sprints[],4,FALSE))&lt;&gt;"")*(IF(OFFSET($A51,0,31*(VLOOKUP(NW$5,Sprints[],5,FALSE))+DAY(VLOOKUP(NW$5,Sprints[],2,FALSE)),1,VLOOKUP(NW$5,Sprints[],4,FALSE))=$OA$12,0.5,1)*(OFFSET($A$3,0,31*(VLOOKUP(NW$5,Sprints[],5,FALSE))+DAY(VLOOKUP(NW$5,Sprints[],2,FALSE)),1,VLOOKUP(NW$5,Sprints[],4,FALSE)))))</f>
        <v>0</v>
      </c>
      <c r="NX51" s="60">
        <f t="array" aca="1" ref="NX51" ca="1">SUMPRODUCT((OFFSET($A51,0,31*(VLOOKUP(NX$5,Sprints[],5,FALSE))+DAY(VLOOKUP(NX$5,Sprints[],2,FALSE)),1,VLOOKUP(NX$5,Sprints[],4,FALSE))&lt;&gt;"")*(IF(OFFSET($A51,0,31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52" spans="1:388" x14ac:dyDescent="0.45">
      <c r="A52" s="44" t="s">
        <v>104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36" t="s">
        <v>35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36" t="s">
        <v>35</v>
      </c>
      <c r="AH52" s="2"/>
      <c r="AI52" s="2"/>
      <c r="AJ52" s="2"/>
      <c r="AK52" s="2"/>
      <c r="AL52" s="2"/>
      <c r="AM52" s="2"/>
      <c r="AN52" s="2"/>
      <c r="AO52" s="36" t="s">
        <v>35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 t="s">
        <v>35</v>
      </c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 t="s">
        <v>35</v>
      </c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 t="s">
        <v>35</v>
      </c>
      <c r="JO52" s="2"/>
      <c r="JP52" s="2"/>
      <c r="JQ52" s="2"/>
      <c r="JR52" s="2"/>
      <c r="JS52" s="2"/>
      <c r="JT52" s="2"/>
      <c r="JU52" s="2" t="s">
        <v>35</v>
      </c>
      <c r="JV52" s="2"/>
      <c r="JW52" s="2"/>
      <c r="JX52" s="2"/>
      <c r="JY52" s="2"/>
      <c r="JZ52" s="2"/>
      <c r="KA52" s="2" t="s">
        <v>35</v>
      </c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 t="s">
        <v>35</v>
      </c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14">
        <f t="array" aca="1" ref="NJ52" ca="1">SUMPRODUCT((OFFSET($A52,0,31*($A$3-1)+1,1,31)&lt;&gt;"")*(IF(OFFSET($A52,0,31*($A$3-1)+1,1,31)=$OA$12,0.5,1)*(OFFSET($A$4,0,31*($A$3-1)+1,1,31))))</f>
        <v>1</v>
      </c>
      <c r="NK52" s="20">
        <f t="array" aca="1" ref="NK52" ca="1">SUMPRODUCT((OFFSET($A52,0,1,1,372)&lt;&gt;"")*(IF(OFFSET($A52,0,1,1,372)=$OA$12,0.5,1)*(OFFSET($A$3,0,1,1,372))))</f>
        <v>9</v>
      </c>
      <c r="NL52" s="28">
        <f t="array" aca="1" ref="NL52" ca="1">SUMPRODUCT((OFFSET($A52,0,31*($A$4)+DAY(Holidays!$E$2),1,Holidays!$G$2)&lt;&gt;"")*(IF(OFFSET($A52,0,31*($A$4)+DAY(Holidays!$E$2),1,Holidays!$G$2)=$OA$12,0.5,1)*(OFFSET($A$3,0,31*($A$4)+DAY(Holidays!$E$2),1,Holidays!$G$2))))</f>
        <v>4</v>
      </c>
      <c r="NM52" s="60">
        <f t="array" aca="1" ref="NM52" ca="1">SUMPRODUCT((OFFSET($A52,0,31*($A$4)+DAY(VLOOKUP(NM$5,Sprints[],2,FALSE)),1,VLOOKUP(NM$5,Sprints[],4,FALSE))&lt;&gt;"")*(IF(OFFSET($A52,0,31*($A$4)+DAY(VLOOKUP(NM$5,Sprints[],2,FALSE)),1,VLOOKUP(NM$5,Sprints[],4,FALSE))=$OA$12,0.5,1)*(OFFSET($A$3,0,31*($A$4)+DAY(VLOOKUP(NM$5,Sprints[],2,FALSE)),1,VLOOKUP(NM$5,Sprints[],4,FALSE)))))</f>
        <v>1</v>
      </c>
      <c r="NN52" s="60">
        <f t="array" aca="1" ref="NN52" ca="1">SUMPRODUCT((OFFSET($A52,0,31*($A$4)+DAY(VLOOKUP(NN$5,Sprints[],2,FALSE)),1,VLOOKUP(NN$5,Sprints[],4,FALSE))&lt;&gt;"")*(IF(OFFSET($A52,0,31*($A$4)+DAY(VLOOKUP(NN$5,Sprints[],2,FALSE)),1,VLOOKUP(NN$5,Sprints[],4,FALSE))=$OA$12,0.5,1)*(OFFSET($A$3,0,31*($A$4)+DAY(VLOOKUP(NN$5,Sprints[],2,FALSE)),1,VLOOKUP(NN$5,Sprints[],4,FALSE)))))</f>
        <v>1</v>
      </c>
      <c r="NO52" s="60">
        <f t="array" aca="1" ref="NO52" ca="1">SUMPRODUCT((OFFSET($A52,0,31*($A$4)+DAY(VLOOKUP(NO$5,Sprints[],2,FALSE)),1,VLOOKUP(NO$5,Sprints[],4,FALSE))&lt;&gt;"")*(IF(OFFSET($A52,0,31*($A$4)+DAY(VLOOKUP(NO$5,Sprints[],2,FALSE)),1,VLOOKUP(NO$5,Sprints[],4,FALSE))=$OA$12,0.5,1)*(OFFSET($A$3,0,31*($A$4)+DAY(VLOOKUP(NO$5,Sprints[],2,FALSE)),1,VLOOKUP(NO$5,Sprints[],4,FALSE)))))</f>
        <v>0</v>
      </c>
      <c r="NP52" s="60">
        <f t="array" aca="1" ref="NP52" ca="1">SUMPRODUCT((OFFSET($A52,0,31*(VLOOKUP(NP$5,Sprints[],5,FALSE))+DAY(VLOOKUP(NP$5,Sprints[],2,FALSE)),1,VLOOKUP(NP$5,Sprints[],4,FALSE))&lt;&gt;"")*(IF(OFFSET($A52,0,31*(VLOOKUP(NP$5,Sprints[],5,FALSE))+DAY(VLOOKUP(NP$5,Sprints[],2,FALSE)),1,VLOOKUP(NP$5,Sprints[],4,FALSE))=$OA$12,0.5,1)*(OFFSET($A$3,0,31*(VLOOKUP(NP$5,Sprints[],5,FALSE))+DAY(VLOOKUP(NP$5,Sprints[],2,FALSE)),1,VLOOKUP(NP$5,Sprints[],4,FALSE)))))</f>
        <v>0</v>
      </c>
      <c r="NQ52" s="60">
        <f t="array" aca="1" ref="NQ52" ca="1">SUMPRODUCT((OFFSET($A52,0,31*(VLOOKUP(NQ$5,Sprints[],5,FALSE))+DAY(VLOOKUP(NQ$5,Sprints[],2,FALSE)),1,VLOOKUP(NQ$5,Sprints[],4,FALSE))&lt;&gt;"")*(IF(OFFSET($A52,0,31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52" s="60">
        <f t="array" aca="1" ref="NR52" ca="1">SUMPRODUCT((OFFSET($A52,0,31*(VLOOKUP(NR$5,Sprints[],5,FALSE))+DAY(VLOOKUP(NR$5,Sprints[],2,FALSE)),1,VLOOKUP(NR$5,Sprints[],4,FALSE))&lt;&gt;"")*(IF(OFFSET($A52,0,31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52" s="60">
        <f t="array" aca="1" ref="NS52" ca="1">SUMPRODUCT((OFFSET($A52,0,31*(VLOOKUP(NS$5,Sprints[],5,FALSE))+DAY(VLOOKUP(NS$5,Sprints[],2,FALSE)),1,VLOOKUP(NS$5,Sprints[],4,FALSE))&lt;&gt;"")*(IF(OFFSET($A52,0,31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52" s="60">
        <f t="array" aca="1" ref="NT52" ca="1">SUMPRODUCT((OFFSET($A52,0,31*(VLOOKUP(NT$5,Sprints[],5,FALSE))+DAY(VLOOKUP(NT$5,Sprints[],2,FALSE)),1,VLOOKUP(NT$5,Sprints[],4,FALSE))&lt;&gt;"")*(IF(OFFSET($A52,0,31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52" s="60">
        <f t="array" aca="1" ref="NU52" ca="1">SUMPRODUCT((OFFSET($A52,0,31*(VLOOKUP(NU$5,Sprints[],5,FALSE))+DAY(VLOOKUP(NU$5,Sprints[],2,FALSE)),1,VLOOKUP(NU$5,Sprints[],4,FALSE))&lt;&gt;"")*(IF(OFFSET($A52,0,31*(VLOOKUP(NU$5,Sprints[],5,FALSE))+DAY(VLOOKUP(NU$5,Sprints[],2,FALSE)),1,VLOOKUP(NU$5,Sprints[],4,FALSE))=$OA$12,0.5,1)*(OFFSET($A$3,0,31*(VLOOKUP(NU$5,Sprints[],5,FALSE))+DAY(VLOOKUP(NU$5,Sprints[],2,FALSE)),1,VLOOKUP(NU$5,Sprints[],4,FALSE)))))</f>
        <v>0</v>
      </c>
      <c r="NV52" s="60">
        <f t="array" aca="1" ref="NV52" ca="1">SUMPRODUCT((OFFSET($A52,0,31*(VLOOKUP(NV$5,Sprints[],5,FALSE))+DAY(VLOOKUP(NV$5,Sprints[],2,FALSE)),1,VLOOKUP(NV$5,Sprints[],4,FALSE))&lt;&gt;"")*(IF(OFFSET($A52,0,31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52" s="60">
        <f t="array" aca="1" ref="NW52" ca="1">SUMPRODUCT((OFFSET($A52,0,31*(VLOOKUP(NW$5,Sprints[],5,FALSE))+DAY(VLOOKUP(NW$5,Sprints[],2,FALSE)),1,VLOOKUP(NW$5,Sprints[],4,FALSE))&lt;&gt;"")*(IF(OFFSET($A52,0,31*(VLOOKUP(NW$5,Sprints[],5,FALSE))+DAY(VLOOKUP(NW$5,Sprints[],2,FALSE)),1,VLOOKUP(NW$5,Sprints[],4,FALSE))=$OA$12,0.5,1)*(OFFSET($A$3,0,31*(VLOOKUP(NW$5,Sprints[],5,FALSE))+DAY(VLOOKUP(NW$5,Sprints[],2,FALSE)),1,VLOOKUP(NW$5,Sprints[],4,FALSE)))))</f>
        <v>0</v>
      </c>
      <c r="NX52" s="60">
        <f t="array" aca="1" ref="NX52" ca="1">SUMPRODUCT((OFFSET($A52,0,31*(VLOOKUP(NX$5,Sprints[],5,FALSE))+DAY(VLOOKUP(NX$5,Sprints[],2,FALSE)),1,VLOOKUP(NX$5,Sprints[],4,FALSE))&lt;&gt;"")*(IF(OFFSET($A52,0,31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53" spans="1:388" x14ac:dyDescent="0.45">
      <c r="A53" s="44" t="s">
        <v>105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36" t="s">
        <v>35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36" t="s">
        <v>35</v>
      </c>
      <c r="AH53" s="2"/>
      <c r="AI53" s="2"/>
      <c r="AJ53" s="2"/>
      <c r="AK53" s="2"/>
      <c r="AL53" s="2"/>
      <c r="AM53" s="2"/>
      <c r="AN53" s="2"/>
      <c r="AO53" s="36" t="s">
        <v>35</v>
      </c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 t="s">
        <v>35</v>
      </c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 t="s">
        <v>35</v>
      </c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 t="s">
        <v>35</v>
      </c>
      <c r="JO53" s="2"/>
      <c r="JP53" s="2"/>
      <c r="JQ53" s="2"/>
      <c r="JR53" s="2"/>
      <c r="JS53" s="2"/>
      <c r="JT53" s="2"/>
      <c r="JU53" s="2" t="s">
        <v>35</v>
      </c>
      <c r="JV53" s="2"/>
      <c r="JW53" s="2"/>
      <c r="JX53" s="2"/>
      <c r="JY53" s="2"/>
      <c r="JZ53" s="2"/>
      <c r="KA53" s="2" t="s">
        <v>35</v>
      </c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 t="s">
        <v>35</v>
      </c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14">
        <f t="array" aca="1" ref="NJ53" ca="1">SUMPRODUCT((OFFSET($A53,0,31*($A$3-1)+1,1,31)&lt;&gt;"")*(IF(OFFSET($A53,0,31*($A$3-1)+1,1,31)=$OA$12,0.5,1)*(OFFSET($A$4,0,31*($A$3-1)+1,1,31))))</f>
        <v>1</v>
      </c>
      <c r="NK53" s="20">
        <f t="array" aca="1" ref="NK53" ca="1">SUMPRODUCT((OFFSET($A53,0,1,1,372)&lt;&gt;"")*(IF(OFFSET($A53,0,1,1,372)=$OA$12,0.5,1)*(OFFSET($A$3,0,1,1,372))))</f>
        <v>9</v>
      </c>
      <c r="NL53" s="28">
        <f t="array" aca="1" ref="NL53" ca="1">SUMPRODUCT((OFFSET($A53,0,31*($A$4)+DAY(Holidays!$E$2),1,Holidays!$G$2)&lt;&gt;"")*(IF(OFFSET($A53,0,31*($A$4)+DAY(Holidays!$E$2),1,Holidays!$G$2)=$OA$12,0.5,1)*(OFFSET($A$3,0,31*($A$4)+DAY(Holidays!$E$2),1,Holidays!$G$2))))</f>
        <v>4</v>
      </c>
      <c r="NM53" s="60">
        <f t="array" aca="1" ref="NM53" ca="1">SUMPRODUCT((OFFSET($A53,0,31*($A$4)+DAY(VLOOKUP(NM$5,Sprints[],2,FALSE)),1,VLOOKUP(NM$5,Sprints[],4,FALSE))&lt;&gt;"")*(IF(OFFSET($A53,0,31*($A$4)+DAY(VLOOKUP(NM$5,Sprints[],2,FALSE)),1,VLOOKUP(NM$5,Sprints[],4,FALSE))=$OA$12,0.5,1)*(OFFSET($A$3,0,31*($A$4)+DAY(VLOOKUP(NM$5,Sprints[],2,FALSE)),1,VLOOKUP(NM$5,Sprints[],4,FALSE)))))</f>
        <v>1</v>
      </c>
      <c r="NN53" s="60">
        <f t="array" aca="1" ref="NN53" ca="1">SUMPRODUCT((OFFSET($A53,0,31*($A$4)+DAY(VLOOKUP(NN$5,Sprints[],2,FALSE)),1,VLOOKUP(NN$5,Sprints[],4,FALSE))&lt;&gt;"")*(IF(OFFSET($A53,0,31*($A$4)+DAY(VLOOKUP(NN$5,Sprints[],2,FALSE)),1,VLOOKUP(NN$5,Sprints[],4,FALSE))=$OA$12,0.5,1)*(OFFSET($A$3,0,31*($A$4)+DAY(VLOOKUP(NN$5,Sprints[],2,FALSE)),1,VLOOKUP(NN$5,Sprints[],4,FALSE)))))</f>
        <v>1</v>
      </c>
      <c r="NO53" s="60">
        <f t="array" aca="1" ref="NO53" ca="1">SUMPRODUCT((OFFSET($A53,0,31*($A$4)+DAY(VLOOKUP(NO$5,Sprints[],2,FALSE)),1,VLOOKUP(NO$5,Sprints[],4,FALSE))&lt;&gt;"")*(IF(OFFSET($A53,0,31*($A$4)+DAY(VLOOKUP(NO$5,Sprints[],2,FALSE)),1,VLOOKUP(NO$5,Sprints[],4,FALSE))=$OA$12,0.5,1)*(OFFSET($A$3,0,31*($A$4)+DAY(VLOOKUP(NO$5,Sprints[],2,FALSE)),1,VLOOKUP(NO$5,Sprints[],4,FALSE)))))</f>
        <v>0</v>
      </c>
      <c r="NP53" s="60">
        <f t="array" aca="1" ref="NP53" ca="1">SUMPRODUCT((OFFSET($A53,0,31*(VLOOKUP(NP$5,Sprints[],5,FALSE))+DAY(VLOOKUP(NP$5,Sprints[],2,FALSE)),1,VLOOKUP(NP$5,Sprints[],4,FALSE))&lt;&gt;"")*(IF(OFFSET($A53,0,31*(VLOOKUP(NP$5,Sprints[],5,FALSE))+DAY(VLOOKUP(NP$5,Sprints[],2,FALSE)),1,VLOOKUP(NP$5,Sprints[],4,FALSE))=$OA$12,0.5,1)*(OFFSET($A$3,0,31*(VLOOKUP(NP$5,Sprints[],5,FALSE))+DAY(VLOOKUP(NP$5,Sprints[],2,FALSE)),1,VLOOKUP(NP$5,Sprints[],4,FALSE)))))</f>
        <v>0</v>
      </c>
      <c r="NQ53" s="60">
        <f t="array" aca="1" ref="NQ53" ca="1">SUMPRODUCT((OFFSET($A53,0,31*(VLOOKUP(NQ$5,Sprints[],5,FALSE))+DAY(VLOOKUP(NQ$5,Sprints[],2,FALSE)),1,VLOOKUP(NQ$5,Sprints[],4,FALSE))&lt;&gt;"")*(IF(OFFSET($A53,0,31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53" s="60">
        <f t="array" aca="1" ref="NR53" ca="1">SUMPRODUCT((OFFSET($A53,0,31*(VLOOKUP(NR$5,Sprints[],5,FALSE))+DAY(VLOOKUP(NR$5,Sprints[],2,FALSE)),1,VLOOKUP(NR$5,Sprints[],4,FALSE))&lt;&gt;"")*(IF(OFFSET($A53,0,31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53" s="60">
        <f t="array" aca="1" ref="NS53" ca="1">SUMPRODUCT((OFFSET($A53,0,31*(VLOOKUP(NS$5,Sprints[],5,FALSE))+DAY(VLOOKUP(NS$5,Sprints[],2,FALSE)),1,VLOOKUP(NS$5,Sprints[],4,FALSE))&lt;&gt;"")*(IF(OFFSET($A53,0,31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53" s="60">
        <f t="array" aca="1" ref="NT53" ca="1">SUMPRODUCT((OFFSET($A53,0,31*(VLOOKUP(NT$5,Sprints[],5,FALSE))+DAY(VLOOKUP(NT$5,Sprints[],2,FALSE)),1,VLOOKUP(NT$5,Sprints[],4,FALSE))&lt;&gt;"")*(IF(OFFSET($A53,0,31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53" s="60">
        <f t="array" aca="1" ref="NU53" ca="1">SUMPRODUCT((OFFSET($A53,0,31*(VLOOKUP(NU$5,Sprints[],5,FALSE))+DAY(VLOOKUP(NU$5,Sprints[],2,FALSE)),1,VLOOKUP(NU$5,Sprints[],4,FALSE))&lt;&gt;"")*(IF(OFFSET($A53,0,31*(VLOOKUP(NU$5,Sprints[],5,FALSE))+DAY(VLOOKUP(NU$5,Sprints[],2,FALSE)),1,VLOOKUP(NU$5,Sprints[],4,FALSE))=$OA$12,0.5,1)*(OFFSET($A$3,0,31*(VLOOKUP(NU$5,Sprints[],5,FALSE))+DAY(VLOOKUP(NU$5,Sprints[],2,FALSE)),1,VLOOKUP(NU$5,Sprints[],4,FALSE)))))</f>
        <v>0</v>
      </c>
      <c r="NV53" s="60">
        <f t="array" aca="1" ref="NV53" ca="1">SUMPRODUCT((OFFSET($A53,0,31*(VLOOKUP(NV$5,Sprints[],5,FALSE))+DAY(VLOOKUP(NV$5,Sprints[],2,FALSE)),1,VLOOKUP(NV$5,Sprints[],4,FALSE))&lt;&gt;"")*(IF(OFFSET($A53,0,31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53" s="60">
        <f t="array" aca="1" ref="NW53" ca="1">SUMPRODUCT((OFFSET($A53,0,31*(VLOOKUP(NW$5,Sprints[],5,FALSE))+DAY(VLOOKUP(NW$5,Sprints[],2,FALSE)),1,VLOOKUP(NW$5,Sprints[],4,FALSE))&lt;&gt;"")*(IF(OFFSET($A53,0,31*(VLOOKUP(NW$5,Sprints[],5,FALSE))+DAY(VLOOKUP(NW$5,Sprints[],2,FALSE)),1,VLOOKUP(NW$5,Sprints[],4,FALSE))=$OA$12,0.5,1)*(OFFSET($A$3,0,31*(VLOOKUP(NW$5,Sprints[],5,FALSE))+DAY(VLOOKUP(NW$5,Sprints[],2,FALSE)),1,VLOOKUP(NW$5,Sprints[],4,FALSE)))))</f>
        <v>0</v>
      </c>
      <c r="NX53" s="60">
        <f t="array" aca="1" ref="NX53" ca="1">SUMPRODUCT((OFFSET($A53,0,31*(VLOOKUP(NX$5,Sprints[],5,FALSE))+DAY(VLOOKUP(NX$5,Sprints[],2,FALSE)),1,VLOOKUP(NX$5,Sprints[],4,FALSE))&lt;&gt;"")*(IF(OFFSET($A53,0,31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54" spans="1:388" x14ac:dyDescent="0.45">
      <c r="A54" s="44" t="s">
        <v>106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36" t="s">
        <v>35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36" t="s">
        <v>35</v>
      </c>
      <c r="AH54" s="2"/>
      <c r="AI54" s="2"/>
      <c r="AJ54" s="2"/>
      <c r="AK54" s="2"/>
      <c r="AL54" s="2"/>
      <c r="AM54" s="2"/>
      <c r="AN54" s="2"/>
      <c r="AO54" s="36" t="s">
        <v>35</v>
      </c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 t="s">
        <v>35</v>
      </c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 t="s">
        <v>35</v>
      </c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 t="s">
        <v>35</v>
      </c>
      <c r="JO54" s="2"/>
      <c r="JP54" s="2"/>
      <c r="JQ54" s="2"/>
      <c r="JR54" s="2"/>
      <c r="JS54" s="2"/>
      <c r="JT54" s="2"/>
      <c r="JU54" s="2" t="s">
        <v>35</v>
      </c>
      <c r="JV54" s="2"/>
      <c r="JW54" s="2"/>
      <c r="JX54" s="2"/>
      <c r="JY54" s="2"/>
      <c r="JZ54" s="2"/>
      <c r="KA54" s="2" t="s">
        <v>35</v>
      </c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 t="s">
        <v>35</v>
      </c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14">
        <f t="array" aca="1" ref="NJ54" ca="1">SUMPRODUCT((OFFSET($A54,0,31*($A$3-1)+1,1,31)&lt;&gt;"")*(IF(OFFSET($A54,0,31*($A$3-1)+1,1,31)=$OA$12,0.5,1)*(OFFSET($A$4,0,31*($A$3-1)+1,1,31))))</f>
        <v>1</v>
      </c>
      <c r="NK54" s="20">
        <f t="array" aca="1" ref="NK54" ca="1">SUMPRODUCT((OFFSET($A54,0,1,1,372)&lt;&gt;"")*(IF(OFFSET($A54,0,1,1,372)=$OA$12,0.5,1)*(OFFSET($A$3,0,1,1,372))))</f>
        <v>9</v>
      </c>
      <c r="NL54" s="28">
        <f t="array" aca="1" ref="NL54" ca="1">SUMPRODUCT((OFFSET($A54,0,31*($A$4)+DAY(Holidays!$E$2),1,Holidays!$G$2)&lt;&gt;"")*(IF(OFFSET($A54,0,31*($A$4)+DAY(Holidays!$E$2),1,Holidays!$G$2)=$OA$12,0.5,1)*(OFFSET($A$3,0,31*($A$4)+DAY(Holidays!$E$2),1,Holidays!$G$2))))</f>
        <v>4</v>
      </c>
      <c r="NM54" s="60">
        <f t="array" aca="1" ref="NM54" ca="1">SUMPRODUCT((OFFSET($A54,0,31*($A$4)+DAY(VLOOKUP(NM$5,Sprints[],2,FALSE)),1,VLOOKUP(NM$5,Sprints[],4,FALSE))&lt;&gt;"")*(IF(OFFSET($A54,0,31*($A$4)+DAY(VLOOKUP(NM$5,Sprints[],2,FALSE)),1,VLOOKUP(NM$5,Sprints[],4,FALSE))=$OA$12,0.5,1)*(OFFSET($A$3,0,31*($A$4)+DAY(VLOOKUP(NM$5,Sprints[],2,FALSE)),1,VLOOKUP(NM$5,Sprints[],4,FALSE)))))</f>
        <v>1</v>
      </c>
      <c r="NN54" s="60">
        <f t="array" aca="1" ref="NN54" ca="1">SUMPRODUCT((OFFSET($A54,0,31*($A$4)+DAY(VLOOKUP(NN$5,Sprints[],2,FALSE)),1,VLOOKUP(NN$5,Sprints[],4,FALSE))&lt;&gt;"")*(IF(OFFSET($A54,0,31*($A$4)+DAY(VLOOKUP(NN$5,Sprints[],2,FALSE)),1,VLOOKUP(NN$5,Sprints[],4,FALSE))=$OA$12,0.5,1)*(OFFSET($A$3,0,31*($A$4)+DAY(VLOOKUP(NN$5,Sprints[],2,FALSE)),1,VLOOKUP(NN$5,Sprints[],4,FALSE)))))</f>
        <v>1</v>
      </c>
      <c r="NO54" s="60">
        <f t="array" aca="1" ref="NO54" ca="1">SUMPRODUCT((OFFSET($A54,0,31*($A$4)+DAY(VLOOKUP(NO$5,Sprints[],2,FALSE)),1,VLOOKUP(NO$5,Sprints[],4,FALSE))&lt;&gt;"")*(IF(OFFSET($A54,0,31*($A$4)+DAY(VLOOKUP(NO$5,Sprints[],2,FALSE)),1,VLOOKUP(NO$5,Sprints[],4,FALSE))=$OA$12,0.5,1)*(OFFSET($A$3,0,31*($A$4)+DAY(VLOOKUP(NO$5,Sprints[],2,FALSE)),1,VLOOKUP(NO$5,Sprints[],4,FALSE)))))</f>
        <v>0</v>
      </c>
      <c r="NP54" s="60">
        <f t="array" aca="1" ref="NP54" ca="1">SUMPRODUCT((OFFSET($A54,0,31*(VLOOKUP(NP$5,Sprints[],5,FALSE))+DAY(VLOOKUP(NP$5,Sprints[],2,FALSE)),1,VLOOKUP(NP$5,Sprints[],4,FALSE))&lt;&gt;"")*(IF(OFFSET($A54,0,31*(VLOOKUP(NP$5,Sprints[],5,FALSE))+DAY(VLOOKUP(NP$5,Sprints[],2,FALSE)),1,VLOOKUP(NP$5,Sprints[],4,FALSE))=$OA$12,0.5,1)*(OFFSET($A$3,0,31*(VLOOKUP(NP$5,Sprints[],5,FALSE))+DAY(VLOOKUP(NP$5,Sprints[],2,FALSE)),1,VLOOKUP(NP$5,Sprints[],4,FALSE)))))</f>
        <v>0</v>
      </c>
      <c r="NQ54" s="60">
        <f t="array" aca="1" ref="NQ54" ca="1">SUMPRODUCT((OFFSET($A54,0,31*(VLOOKUP(NQ$5,Sprints[],5,FALSE))+DAY(VLOOKUP(NQ$5,Sprints[],2,FALSE)),1,VLOOKUP(NQ$5,Sprints[],4,FALSE))&lt;&gt;"")*(IF(OFFSET($A54,0,31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54" s="60">
        <f t="array" aca="1" ref="NR54" ca="1">SUMPRODUCT((OFFSET($A54,0,31*(VLOOKUP(NR$5,Sprints[],5,FALSE))+DAY(VLOOKUP(NR$5,Sprints[],2,FALSE)),1,VLOOKUP(NR$5,Sprints[],4,FALSE))&lt;&gt;"")*(IF(OFFSET($A54,0,31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54" s="60">
        <f t="array" aca="1" ref="NS54" ca="1">SUMPRODUCT((OFFSET($A54,0,31*(VLOOKUP(NS$5,Sprints[],5,FALSE))+DAY(VLOOKUP(NS$5,Sprints[],2,FALSE)),1,VLOOKUP(NS$5,Sprints[],4,FALSE))&lt;&gt;"")*(IF(OFFSET($A54,0,31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54" s="60">
        <f t="array" aca="1" ref="NT54" ca="1">SUMPRODUCT((OFFSET($A54,0,31*(VLOOKUP(NT$5,Sprints[],5,FALSE))+DAY(VLOOKUP(NT$5,Sprints[],2,FALSE)),1,VLOOKUP(NT$5,Sprints[],4,FALSE))&lt;&gt;"")*(IF(OFFSET($A54,0,31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54" s="60">
        <f t="array" aca="1" ref="NU54" ca="1">SUMPRODUCT((OFFSET($A54,0,31*(VLOOKUP(NU$5,Sprints[],5,FALSE))+DAY(VLOOKUP(NU$5,Sprints[],2,FALSE)),1,VLOOKUP(NU$5,Sprints[],4,FALSE))&lt;&gt;"")*(IF(OFFSET($A54,0,31*(VLOOKUP(NU$5,Sprints[],5,FALSE))+DAY(VLOOKUP(NU$5,Sprints[],2,FALSE)),1,VLOOKUP(NU$5,Sprints[],4,FALSE))=$OA$12,0.5,1)*(OFFSET($A$3,0,31*(VLOOKUP(NU$5,Sprints[],5,FALSE))+DAY(VLOOKUP(NU$5,Sprints[],2,FALSE)),1,VLOOKUP(NU$5,Sprints[],4,FALSE)))))</f>
        <v>0</v>
      </c>
      <c r="NV54" s="60">
        <f t="array" aca="1" ref="NV54" ca="1">SUMPRODUCT((OFFSET($A54,0,31*(VLOOKUP(NV$5,Sprints[],5,FALSE))+DAY(VLOOKUP(NV$5,Sprints[],2,FALSE)),1,VLOOKUP(NV$5,Sprints[],4,FALSE))&lt;&gt;"")*(IF(OFFSET($A54,0,31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54" s="60">
        <f t="array" aca="1" ref="NW54" ca="1">SUMPRODUCT((OFFSET($A54,0,31*(VLOOKUP(NW$5,Sprints[],5,FALSE))+DAY(VLOOKUP(NW$5,Sprints[],2,FALSE)),1,VLOOKUP(NW$5,Sprints[],4,FALSE))&lt;&gt;"")*(IF(OFFSET($A54,0,31*(VLOOKUP(NW$5,Sprints[],5,FALSE))+DAY(VLOOKUP(NW$5,Sprints[],2,FALSE)),1,VLOOKUP(NW$5,Sprints[],4,FALSE))=$OA$12,0.5,1)*(OFFSET($A$3,0,31*(VLOOKUP(NW$5,Sprints[],5,FALSE))+DAY(VLOOKUP(NW$5,Sprints[],2,FALSE)),1,VLOOKUP(NW$5,Sprints[],4,FALSE)))))</f>
        <v>0</v>
      </c>
      <c r="NX54" s="60">
        <f t="array" aca="1" ref="NX54" ca="1">SUMPRODUCT((OFFSET($A54,0,31*(VLOOKUP(NX$5,Sprints[],5,FALSE))+DAY(VLOOKUP(NX$5,Sprints[],2,FALSE)),1,VLOOKUP(NX$5,Sprints[],4,FALSE))&lt;&gt;"")*(IF(OFFSET($A54,0,31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55" spans="1:388" x14ac:dyDescent="0.45">
      <c r="A55" s="44" t="s">
        <v>107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36" t="s">
        <v>35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36" t="s">
        <v>35</v>
      </c>
      <c r="AH55" s="2"/>
      <c r="AI55" s="2"/>
      <c r="AJ55" s="2"/>
      <c r="AK55" s="2"/>
      <c r="AL55" s="2"/>
      <c r="AM55" s="2"/>
      <c r="AN55" s="2"/>
      <c r="AO55" s="36" t="s">
        <v>35</v>
      </c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 t="s">
        <v>35</v>
      </c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 t="s">
        <v>35</v>
      </c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 t="s">
        <v>35</v>
      </c>
      <c r="JO55" s="2"/>
      <c r="JP55" s="2"/>
      <c r="JQ55" s="2"/>
      <c r="JR55" s="2"/>
      <c r="JS55" s="2"/>
      <c r="JT55" s="2"/>
      <c r="JU55" s="2" t="s">
        <v>35</v>
      </c>
      <c r="JV55" s="2"/>
      <c r="JW55" s="2"/>
      <c r="JX55" s="2"/>
      <c r="JY55" s="2"/>
      <c r="JZ55" s="2"/>
      <c r="KA55" s="2" t="s">
        <v>35</v>
      </c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 t="s">
        <v>35</v>
      </c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14">
        <f t="array" aca="1" ref="NJ55" ca="1">SUMPRODUCT((OFFSET($A55,0,31*($A$3-1)+1,1,31)&lt;&gt;"")*(IF(OFFSET($A55,0,31*($A$3-1)+1,1,31)=$OA$12,0.5,1)*(OFFSET($A$4,0,31*($A$3-1)+1,1,31))))</f>
        <v>1</v>
      </c>
      <c r="NK55" s="20">
        <f t="array" aca="1" ref="NK55" ca="1">SUMPRODUCT((OFFSET($A55,0,1,1,372)&lt;&gt;"")*(IF(OFFSET($A55,0,1,1,372)=$OA$12,0.5,1)*(OFFSET($A$3,0,1,1,372))))</f>
        <v>9</v>
      </c>
      <c r="NL55" s="28">
        <f t="array" aca="1" ref="NL55" ca="1">SUMPRODUCT((OFFSET($A55,0,31*($A$4)+DAY(Holidays!$E$2),1,Holidays!$G$2)&lt;&gt;"")*(IF(OFFSET($A55,0,31*($A$4)+DAY(Holidays!$E$2),1,Holidays!$G$2)=$OA$12,0.5,1)*(OFFSET($A$3,0,31*($A$4)+DAY(Holidays!$E$2),1,Holidays!$G$2))))</f>
        <v>4</v>
      </c>
      <c r="NM55" s="60">
        <f t="array" aca="1" ref="NM55" ca="1">SUMPRODUCT((OFFSET($A55,0,31*($A$4)+DAY(VLOOKUP(NM$5,Sprints[],2,FALSE)),1,VLOOKUP(NM$5,Sprints[],4,FALSE))&lt;&gt;"")*(IF(OFFSET($A55,0,31*($A$4)+DAY(VLOOKUP(NM$5,Sprints[],2,FALSE)),1,VLOOKUP(NM$5,Sprints[],4,FALSE))=$OA$12,0.5,1)*(OFFSET($A$3,0,31*($A$4)+DAY(VLOOKUP(NM$5,Sprints[],2,FALSE)),1,VLOOKUP(NM$5,Sprints[],4,FALSE)))))</f>
        <v>1</v>
      </c>
      <c r="NN55" s="60">
        <f t="array" aca="1" ref="NN55" ca="1">SUMPRODUCT((OFFSET($A55,0,31*($A$4)+DAY(VLOOKUP(NN$5,Sprints[],2,FALSE)),1,VLOOKUP(NN$5,Sprints[],4,FALSE))&lt;&gt;"")*(IF(OFFSET($A55,0,31*($A$4)+DAY(VLOOKUP(NN$5,Sprints[],2,FALSE)),1,VLOOKUP(NN$5,Sprints[],4,FALSE))=$OA$12,0.5,1)*(OFFSET($A$3,0,31*($A$4)+DAY(VLOOKUP(NN$5,Sprints[],2,FALSE)),1,VLOOKUP(NN$5,Sprints[],4,FALSE)))))</f>
        <v>1</v>
      </c>
      <c r="NO55" s="60">
        <f t="array" aca="1" ref="NO55" ca="1">SUMPRODUCT((OFFSET($A55,0,31*($A$4)+DAY(VLOOKUP(NO$5,Sprints[],2,FALSE)),1,VLOOKUP(NO$5,Sprints[],4,FALSE))&lt;&gt;"")*(IF(OFFSET($A55,0,31*($A$4)+DAY(VLOOKUP(NO$5,Sprints[],2,FALSE)),1,VLOOKUP(NO$5,Sprints[],4,FALSE))=$OA$12,0.5,1)*(OFFSET($A$3,0,31*($A$4)+DAY(VLOOKUP(NO$5,Sprints[],2,FALSE)),1,VLOOKUP(NO$5,Sprints[],4,FALSE)))))</f>
        <v>0</v>
      </c>
      <c r="NP55" s="60">
        <f t="array" aca="1" ref="NP55" ca="1">SUMPRODUCT((OFFSET($A55,0,31*(VLOOKUP(NP$5,Sprints[],5,FALSE))+DAY(VLOOKUP(NP$5,Sprints[],2,FALSE)),1,VLOOKUP(NP$5,Sprints[],4,FALSE))&lt;&gt;"")*(IF(OFFSET($A55,0,31*(VLOOKUP(NP$5,Sprints[],5,FALSE))+DAY(VLOOKUP(NP$5,Sprints[],2,FALSE)),1,VLOOKUP(NP$5,Sprints[],4,FALSE))=$OA$12,0.5,1)*(OFFSET($A$3,0,31*(VLOOKUP(NP$5,Sprints[],5,FALSE))+DAY(VLOOKUP(NP$5,Sprints[],2,FALSE)),1,VLOOKUP(NP$5,Sprints[],4,FALSE)))))</f>
        <v>0</v>
      </c>
      <c r="NQ55" s="60">
        <f t="array" aca="1" ref="NQ55" ca="1">SUMPRODUCT((OFFSET($A55,0,31*(VLOOKUP(NQ$5,Sprints[],5,FALSE))+DAY(VLOOKUP(NQ$5,Sprints[],2,FALSE)),1,VLOOKUP(NQ$5,Sprints[],4,FALSE))&lt;&gt;"")*(IF(OFFSET($A55,0,31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55" s="60">
        <f t="array" aca="1" ref="NR55" ca="1">SUMPRODUCT((OFFSET($A55,0,31*(VLOOKUP(NR$5,Sprints[],5,FALSE))+DAY(VLOOKUP(NR$5,Sprints[],2,FALSE)),1,VLOOKUP(NR$5,Sprints[],4,FALSE))&lt;&gt;"")*(IF(OFFSET($A55,0,31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55" s="60">
        <f t="array" aca="1" ref="NS55" ca="1">SUMPRODUCT((OFFSET($A55,0,31*(VLOOKUP(NS$5,Sprints[],5,FALSE))+DAY(VLOOKUP(NS$5,Sprints[],2,FALSE)),1,VLOOKUP(NS$5,Sprints[],4,FALSE))&lt;&gt;"")*(IF(OFFSET($A55,0,31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55" s="60">
        <f t="array" aca="1" ref="NT55" ca="1">SUMPRODUCT((OFFSET($A55,0,31*(VLOOKUP(NT$5,Sprints[],5,FALSE))+DAY(VLOOKUP(NT$5,Sprints[],2,FALSE)),1,VLOOKUP(NT$5,Sprints[],4,FALSE))&lt;&gt;"")*(IF(OFFSET($A55,0,31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55" s="60">
        <f t="array" aca="1" ref="NU55" ca="1">SUMPRODUCT((OFFSET($A55,0,31*(VLOOKUP(NU$5,Sprints[],5,FALSE))+DAY(VLOOKUP(NU$5,Sprints[],2,FALSE)),1,VLOOKUP(NU$5,Sprints[],4,FALSE))&lt;&gt;"")*(IF(OFFSET($A55,0,31*(VLOOKUP(NU$5,Sprints[],5,FALSE))+DAY(VLOOKUP(NU$5,Sprints[],2,FALSE)),1,VLOOKUP(NU$5,Sprints[],4,FALSE))=$OA$12,0.5,1)*(OFFSET($A$3,0,31*(VLOOKUP(NU$5,Sprints[],5,FALSE))+DAY(VLOOKUP(NU$5,Sprints[],2,FALSE)),1,VLOOKUP(NU$5,Sprints[],4,FALSE)))))</f>
        <v>0</v>
      </c>
      <c r="NV55" s="60">
        <f t="array" aca="1" ref="NV55" ca="1">SUMPRODUCT((OFFSET($A55,0,31*(VLOOKUP(NV$5,Sprints[],5,FALSE))+DAY(VLOOKUP(NV$5,Sprints[],2,FALSE)),1,VLOOKUP(NV$5,Sprints[],4,FALSE))&lt;&gt;"")*(IF(OFFSET($A55,0,31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55" s="60">
        <f t="array" aca="1" ref="NW55" ca="1">SUMPRODUCT((OFFSET($A55,0,31*(VLOOKUP(NW$5,Sprints[],5,FALSE))+DAY(VLOOKUP(NW$5,Sprints[],2,FALSE)),1,VLOOKUP(NW$5,Sprints[],4,FALSE))&lt;&gt;"")*(IF(OFFSET($A55,0,31*(VLOOKUP(NW$5,Sprints[],5,FALSE))+DAY(VLOOKUP(NW$5,Sprints[],2,FALSE)),1,VLOOKUP(NW$5,Sprints[],4,FALSE))=$OA$12,0.5,1)*(OFFSET($A$3,0,31*(VLOOKUP(NW$5,Sprints[],5,FALSE))+DAY(VLOOKUP(NW$5,Sprints[],2,FALSE)),1,VLOOKUP(NW$5,Sprints[],4,FALSE)))))</f>
        <v>0</v>
      </c>
      <c r="NX55" s="60">
        <f t="array" aca="1" ref="NX55" ca="1">SUMPRODUCT((OFFSET($A55,0,31*(VLOOKUP(NX$5,Sprints[],5,FALSE))+DAY(VLOOKUP(NX$5,Sprints[],2,FALSE)),1,VLOOKUP(NX$5,Sprints[],4,FALSE))&lt;&gt;"")*(IF(OFFSET($A55,0,31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56" spans="1:388" x14ac:dyDescent="0.45">
      <c r="A56" s="44" t="s">
        <v>108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36" t="s">
        <v>35</v>
      </c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36" t="s">
        <v>35</v>
      </c>
      <c r="AH56" s="2"/>
      <c r="AI56" s="2"/>
      <c r="AJ56" s="2"/>
      <c r="AK56" s="2"/>
      <c r="AL56" s="2"/>
      <c r="AM56" s="2"/>
      <c r="AN56" s="2"/>
      <c r="AO56" s="36" t="s">
        <v>35</v>
      </c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 t="s">
        <v>35</v>
      </c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 t="s">
        <v>35</v>
      </c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 t="s">
        <v>35</v>
      </c>
      <c r="JO56" s="2"/>
      <c r="JP56" s="2"/>
      <c r="JQ56" s="2"/>
      <c r="JR56" s="2"/>
      <c r="JS56" s="2"/>
      <c r="JT56" s="2"/>
      <c r="JU56" s="2" t="s">
        <v>35</v>
      </c>
      <c r="JV56" s="2"/>
      <c r="JW56" s="2"/>
      <c r="JX56" s="2"/>
      <c r="JY56" s="2"/>
      <c r="JZ56" s="2"/>
      <c r="KA56" s="2" t="s">
        <v>35</v>
      </c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 t="s">
        <v>35</v>
      </c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14">
        <f t="array" aca="1" ref="NJ56" ca="1">SUMPRODUCT((OFFSET($A56,0,31*($A$3-1)+1,1,31)&lt;&gt;"")*(IF(OFFSET($A56,0,31*($A$3-1)+1,1,31)=$OA$12,0.5,1)*(OFFSET($A$4,0,31*($A$3-1)+1,1,31))))</f>
        <v>1</v>
      </c>
      <c r="NK56" s="20">
        <f t="array" aca="1" ref="NK56" ca="1">SUMPRODUCT((OFFSET($A56,0,1,1,372)&lt;&gt;"")*(IF(OFFSET($A56,0,1,1,372)=$OA$12,0.5,1)*(OFFSET($A$3,0,1,1,372))))</f>
        <v>9</v>
      </c>
      <c r="NL56" s="28">
        <f t="array" aca="1" ref="NL56" ca="1">SUMPRODUCT((OFFSET($A56,0,31*($A$4)+DAY(Holidays!$E$2),1,Holidays!$G$2)&lt;&gt;"")*(IF(OFFSET($A56,0,31*($A$4)+DAY(Holidays!$E$2),1,Holidays!$G$2)=$OA$12,0.5,1)*(OFFSET($A$3,0,31*($A$4)+DAY(Holidays!$E$2),1,Holidays!$G$2))))</f>
        <v>4</v>
      </c>
      <c r="NM56" s="60">
        <f t="array" aca="1" ref="NM56" ca="1">SUMPRODUCT((OFFSET($A56,0,31*($A$4)+DAY(VLOOKUP(NM$5,Sprints[],2,FALSE)),1,VLOOKUP(NM$5,Sprints[],4,FALSE))&lt;&gt;"")*(IF(OFFSET($A56,0,31*($A$4)+DAY(VLOOKUP(NM$5,Sprints[],2,FALSE)),1,VLOOKUP(NM$5,Sprints[],4,FALSE))=$OA$12,0.5,1)*(OFFSET($A$3,0,31*($A$4)+DAY(VLOOKUP(NM$5,Sprints[],2,FALSE)),1,VLOOKUP(NM$5,Sprints[],4,FALSE)))))</f>
        <v>1</v>
      </c>
      <c r="NN56" s="60">
        <f t="array" aca="1" ref="NN56" ca="1">SUMPRODUCT((OFFSET($A56,0,31*($A$4)+DAY(VLOOKUP(NN$5,Sprints[],2,FALSE)),1,VLOOKUP(NN$5,Sprints[],4,FALSE))&lt;&gt;"")*(IF(OFFSET($A56,0,31*($A$4)+DAY(VLOOKUP(NN$5,Sprints[],2,FALSE)),1,VLOOKUP(NN$5,Sprints[],4,FALSE))=$OA$12,0.5,1)*(OFFSET($A$3,0,31*($A$4)+DAY(VLOOKUP(NN$5,Sprints[],2,FALSE)),1,VLOOKUP(NN$5,Sprints[],4,FALSE)))))</f>
        <v>1</v>
      </c>
      <c r="NO56" s="60">
        <f t="array" aca="1" ref="NO56" ca="1">SUMPRODUCT((OFFSET($A56,0,31*($A$4)+DAY(VLOOKUP(NO$5,Sprints[],2,FALSE)),1,VLOOKUP(NO$5,Sprints[],4,FALSE))&lt;&gt;"")*(IF(OFFSET($A56,0,31*($A$4)+DAY(VLOOKUP(NO$5,Sprints[],2,FALSE)),1,VLOOKUP(NO$5,Sprints[],4,FALSE))=$OA$12,0.5,1)*(OFFSET($A$3,0,31*($A$4)+DAY(VLOOKUP(NO$5,Sprints[],2,FALSE)),1,VLOOKUP(NO$5,Sprints[],4,FALSE)))))</f>
        <v>0</v>
      </c>
      <c r="NP56" s="60">
        <f t="array" aca="1" ref="NP56" ca="1">SUMPRODUCT((OFFSET($A56,0,31*(VLOOKUP(NP$5,Sprints[],5,FALSE))+DAY(VLOOKUP(NP$5,Sprints[],2,FALSE)),1,VLOOKUP(NP$5,Sprints[],4,FALSE))&lt;&gt;"")*(IF(OFFSET($A56,0,31*(VLOOKUP(NP$5,Sprints[],5,FALSE))+DAY(VLOOKUP(NP$5,Sprints[],2,FALSE)),1,VLOOKUP(NP$5,Sprints[],4,FALSE))=$OA$12,0.5,1)*(OFFSET($A$3,0,31*(VLOOKUP(NP$5,Sprints[],5,FALSE))+DAY(VLOOKUP(NP$5,Sprints[],2,FALSE)),1,VLOOKUP(NP$5,Sprints[],4,FALSE)))))</f>
        <v>0</v>
      </c>
      <c r="NQ56" s="60">
        <f t="array" aca="1" ref="NQ56" ca="1">SUMPRODUCT((OFFSET($A56,0,31*(VLOOKUP(NQ$5,Sprints[],5,FALSE))+DAY(VLOOKUP(NQ$5,Sprints[],2,FALSE)),1,VLOOKUP(NQ$5,Sprints[],4,FALSE))&lt;&gt;"")*(IF(OFFSET($A56,0,31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56" s="60">
        <f t="array" aca="1" ref="NR56" ca="1">SUMPRODUCT((OFFSET($A56,0,31*(VLOOKUP(NR$5,Sprints[],5,FALSE))+DAY(VLOOKUP(NR$5,Sprints[],2,FALSE)),1,VLOOKUP(NR$5,Sprints[],4,FALSE))&lt;&gt;"")*(IF(OFFSET($A56,0,31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56" s="60">
        <f t="array" aca="1" ref="NS56" ca="1">SUMPRODUCT((OFFSET($A56,0,31*(VLOOKUP(NS$5,Sprints[],5,FALSE))+DAY(VLOOKUP(NS$5,Sprints[],2,FALSE)),1,VLOOKUP(NS$5,Sprints[],4,FALSE))&lt;&gt;"")*(IF(OFFSET($A56,0,31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56" s="60">
        <f t="array" aca="1" ref="NT56" ca="1">SUMPRODUCT((OFFSET($A56,0,31*(VLOOKUP(NT$5,Sprints[],5,FALSE))+DAY(VLOOKUP(NT$5,Sprints[],2,FALSE)),1,VLOOKUP(NT$5,Sprints[],4,FALSE))&lt;&gt;"")*(IF(OFFSET($A56,0,31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56" s="60">
        <f t="array" aca="1" ref="NU56" ca="1">SUMPRODUCT((OFFSET($A56,0,31*(VLOOKUP(NU$5,Sprints[],5,FALSE))+DAY(VLOOKUP(NU$5,Sprints[],2,FALSE)),1,VLOOKUP(NU$5,Sprints[],4,FALSE))&lt;&gt;"")*(IF(OFFSET($A56,0,31*(VLOOKUP(NU$5,Sprints[],5,FALSE))+DAY(VLOOKUP(NU$5,Sprints[],2,FALSE)),1,VLOOKUP(NU$5,Sprints[],4,FALSE))=$OA$12,0.5,1)*(OFFSET($A$3,0,31*(VLOOKUP(NU$5,Sprints[],5,FALSE))+DAY(VLOOKUP(NU$5,Sprints[],2,FALSE)),1,VLOOKUP(NU$5,Sprints[],4,FALSE)))))</f>
        <v>0</v>
      </c>
      <c r="NV56" s="60">
        <f t="array" aca="1" ref="NV56" ca="1">SUMPRODUCT((OFFSET($A56,0,31*(VLOOKUP(NV$5,Sprints[],5,FALSE))+DAY(VLOOKUP(NV$5,Sprints[],2,FALSE)),1,VLOOKUP(NV$5,Sprints[],4,FALSE))&lt;&gt;"")*(IF(OFFSET($A56,0,31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56" s="60">
        <f t="array" aca="1" ref="NW56" ca="1">SUMPRODUCT((OFFSET($A56,0,31*(VLOOKUP(NW$5,Sprints[],5,FALSE))+DAY(VLOOKUP(NW$5,Sprints[],2,FALSE)),1,VLOOKUP(NW$5,Sprints[],4,FALSE))&lt;&gt;"")*(IF(OFFSET($A56,0,31*(VLOOKUP(NW$5,Sprints[],5,FALSE))+DAY(VLOOKUP(NW$5,Sprints[],2,FALSE)),1,VLOOKUP(NW$5,Sprints[],4,FALSE))=$OA$12,0.5,1)*(OFFSET($A$3,0,31*(VLOOKUP(NW$5,Sprints[],5,FALSE))+DAY(VLOOKUP(NW$5,Sprints[],2,FALSE)),1,VLOOKUP(NW$5,Sprints[],4,FALSE)))))</f>
        <v>0</v>
      </c>
      <c r="NX56" s="60">
        <f t="array" aca="1" ref="NX56" ca="1">SUMPRODUCT((OFFSET($A56,0,31*(VLOOKUP(NX$5,Sprints[],5,FALSE))+DAY(VLOOKUP(NX$5,Sprints[],2,FALSE)),1,VLOOKUP(NX$5,Sprints[],4,FALSE))&lt;&gt;"")*(IF(OFFSET($A56,0,31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57" spans="1:388" x14ac:dyDescent="0.45">
      <c r="A57" s="44" t="s">
        <v>109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36" t="s">
        <v>35</v>
      </c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36" t="s">
        <v>35</v>
      </c>
      <c r="AH57" s="2"/>
      <c r="AI57" s="2"/>
      <c r="AJ57" s="2"/>
      <c r="AK57" s="2"/>
      <c r="AL57" s="2"/>
      <c r="AM57" s="2"/>
      <c r="AN57" s="2"/>
      <c r="AO57" s="36" t="s">
        <v>35</v>
      </c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 t="s">
        <v>35</v>
      </c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 t="s">
        <v>35</v>
      </c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 t="s">
        <v>35</v>
      </c>
      <c r="JO57" s="2"/>
      <c r="JP57" s="2"/>
      <c r="JQ57" s="2"/>
      <c r="JR57" s="2"/>
      <c r="JS57" s="2"/>
      <c r="JT57" s="2"/>
      <c r="JU57" s="2" t="s">
        <v>35</v>
      </c>
      <c r="JV57" s="2"/>
      <c r="JW57" s="2"/>
      <c r="JX57" s="2"/>
      <c r="JY57" s="2"/>
      <c r="JZ57" s="2"/>
      <c r="KA57" s="2" t="s">
        <v>35</v>
      </c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 t="s">
        <v>35</v>
      </c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14">
        <f t="array" aca="1" ref="NJ57" ca="1">SUMPRODUCT((OFFSET($A57,0,31*($A$3-1)+1,1,31)&lt;&gt;"")*(IF(OFFSET($A57,0,31*($A$3-1)+1,1,31)=$OA$12,0.5,1)*(OFFSET($A$4,0,31*($A$3-1)+1,1,31))))</f>
        <v>1</v>
      </c>
      <c r="NK57" s="20">
        <f t="array" aca="1" ref="NK57" ca="1">SUMPRODUCT((OFFSET($A57,0,1,1,372)&lt;&gt;"")*(IF(OFFSET($A57,0,1,1,372)=$OA$12,0.5,1)*(OFFSET($A$3,0,1,1,372))))</f>
        <v>9</v>
      </c>
      <c r="NL57" s="28">
        <f t="array" aca="1" ref="NL57" ca="1">SUMPRODUCT((OFFSET($A57,0,31*($A$4)+DAY(Holidays!$E$2),1,Holidays!$G$2)&lt;&gt;"")*(IF(OFFSET($A57,0,31*($A$4)+DAY(Holidays!$E$2),1,Holidays!$G$2)=$OA$12,0.5,1)*(OFFSET($A$3,0,31*($A$4)+DAY(Holidays!$E$2),1,Holidays!$G$2))))</f>
        <v>4</v>
      </c>
      <c r="NM57" s="60">
        <f t="array" aca="1" ref="NM57" ca="1">SUMPRODUCT((OFFSET($A57,0,31*($A$4)+DAY(VLOOKUP(NM$5,Sprints[],2,FALSE)),1,VLOOKUP(NM$5,Sprints[],4,FALSE))&lt;&gt;"")*(IF(OFFSET($A57,0,31*($A$4)+DAY(VLOOKUP(NM$5,Sprints[],2,FALSE)),1,VLOOKUP(NM$5,Sprints[],4,FALSE))=$OA$12,0.5,1)*(OFFSET($A$3,0,31*($A$4)+DAY(VLOOKUP(NM$5,Sprints[],2,FALSE)),1,VLOOKUP(NM$5,Sprints[],4,FALSE)))))</f>
        <v>1</v>
      </c>
      <c r="NN57" s="60">
        <f t="array" aca="1" ref="NN57" ca="1">SUMPRODUCT((OFFSET($A57,0,31*($A$4)+DAY(VLOOKUP(NN$5,Sprints[],2,FALSE)),1,VLOOKUP(NN$5,Sprints[],4,FALSE))&lt;&gt;"")*(IF(OFFSET($A57,0,31*($A$4)+DAY(VLOOKUP(NN$5,Sprints[],2,FALSE)),1,VLOOKUP(NN$5,Sprints[],4,FALSE))=$OA$12,0.5,1)*(OFFSET($A$3,0,31*($A$4)+DAY(VLOOKUP(NN$5,Sprints[],2,FALSE)),1,VLOOKUP(NN$5,Sprints[],4,FALSE)))))</f>
        <v>1</v>
      </c>
      <c r="NO57" s="60">
        <f t="array" aca="1" ref="NO57" ca="1">SUMPRODUCT((OFFSET($A57,0,31*($A$4)+DAY(VLOOKUP(NO$5,Sprints[],2,FALSE)),1,VLOOKUP(NO$5,Sprints[],4,FALSE))&lt;&gt;"")*(IF(OFFSET($A57,0,31*($A$4)+DAY(VLOOKUP(NO$5,Sprints[],2,FALSE)),1,VLOOKUP(NO$5,Sprints[],4,FALSE))=$OA$12,0.5,1)*(OFFSET($A$3,0,31*($A$4)+DAY(VLOOKUP(NO$5,Sprints[],2,FALSE)),1,VLOOKUP(NO$5,Sprints[],4,FALSE)))))</f>
        <v>0</v>
      </c>
      <c r="NP57" s="60">
        <f t="array" aca="1" ref="NP57" ca="1">SUMPRODUCT((OFFSET($A57,0,31*(VLOOKUP(NP$5,Sprints[],5,FALSE))+DAY(VLOOKUP(NP$5,Sprints[],2,FALSE)),1,VLOOKUP(NP$5,Sprints[],4,FALSE))&lt;&gt;"")*(IF(OFFSET($A57,0,31*(VLOOKUP(NP$5,Sprints[],5,FALSE))+DAY(VLOOKUP(NP$5,Sprints[],2,FALSE)),1,VLOOKUP(NP$5,Sprints[],4,FALSE))=$OA$12,0.5,1)*(OFFSET($A$3,0,31*(VLOOKUP(NP$5,Sprints[],5,FALSE))+DAY(VLOOKUP(NP$5,Sprints[],2,FALSE)),1,VLOOKUP(NP$5,Sprints[],4,FALSE)))))</f>
        <v>0</v>
      </c>
      <c r="NQ57" s="60">
        <f t="array" aca="1" ref="NQ57" ca="1">SUMPRODUCT((OFFSET($A57,0,31*(VLOOKUP(NQ$5,Sprints[],5,FALSE))+DAY(VLOOKUP(NQ$5,Sprints[],2,FALSE)),1,VLOOKUP(NQ$5,Sprints[],4,FALSE))&lt;&gt;"")*(IF(OFFSET($A57,0,31*(VLOOKUP(NQ$5,Sprints[],5,FALSE))+DAY(VLOOKUP(NQ$5,Sprints[],2,FALSE)),1,VLOOKUP(NQ$5,Sprints[],4,FALSE))=$OA$12,0.5,1)*(OFFSET($A$3,0,31*(VLOOKUP(NQ$5,Sprints[],5,FALSE))+DAY(VLOOKUP(NQ$5,Sprints[],2,FALSE)),1,VLOOKUP(NQ$5,Sprints[],4,FALSE)))))</f>
        <v>0</v>
      </c>
      <c r="NR57" s="60">
        <f t="array" aca="1" ref="NR57" ca="1">SUMPRODUCT((OFFSET($A57,0,31*(VLOOKUP(NR$5,Sprints[],5,FALSE))+DAY(VLOOKUP(NR$5,Sprints[],2,FALSE)),1,VLOOKUP(NR$5,Sprints[],4,FALSE))&lt;&gt;"")*(IF(OFFSET($A57,0,31*(VLOOKUP(NR$5,Sprints[],5,FALSE))+DAY(VLOOKUP(NR$5,Sprints[],2,FALSE)),1,VLOOKUP(NR$5,Sprints[],4,FALSE))=$OA$12,0.5,1)*(OFFSET($A$3,0,31*(VLOOKUP(NR$5,Sprints[],5,FALSE))+DAY(VLOOKUP(NR$5,Sprints[],2,FALSE)),1,VLOOKUP(NR$5,Sprints[],4,FALSE)))))</f>
        <v>0</v>
      </c>
      <c r="NS57" s="60">
        <f t="array" aca="1" ref="NS57" ca="1">SUMPRODUCT((OFFSET($A57,0,31*(VLOOKUP(NS$5,Sprints[],5,FALSE))+DAY(VLOOKUP(NS$5,Sprints[],2,FALSE)),1,VLOOKUP(NS$5,Sprints[],4,FALSE))&lt;&gt;"")*(IF(OFFSET($A57,0,31*(VLOOKUP(NS$5,Sprints[],5,FALSE))+DAY(VLOOKUP(NS$5,Sprints[],2,FALSE)),1,VLOOKUP(NS$5,Sprints[],4,FALSE))=$OA$12,0.5,1)*(OFFSET($A$3,0,31*(VLOOKUP(NS$5,Sprints[],5,FALSE))+DAY(VLOOKUP(NS$5,Sprints[],2,FALSE)),1,VLOOKUP(NS$5,Sprints[],4,FALSE)))))</f>
        <v>1</v>
      </c>
      <c r="NT57" s="60">
        <f t="array" aca="1" ref="NT57" ca="1">SUMPRODUCT((OFFSET($A57,0,31*(VLOOKUP(NT$5,Sprints[],5,FALSE))+DAY(VLOOKUP(NT$5,Sprints[],2,FALSE)),1,VLOOKUP(NT$5,Sprints[],4,FALSE))&lt;&gt;"")*(IF(OFFSET($A57,0,31*(VLOOKUP(NT$5,Sprints[],5,FALSE))+DAY(VLOOKUP(NT$5,Sprints[],2,FALSE)),1,VLOOKUP(NT$5,Sprints[],4,FALSE))=$OA$12,0.5,1)*(OFFSET($A$3,0,31*(VLOOKUP(NT$5,Sprints[],5,FALSE))+DAY(VLOOKUP(NT$5,Sprints[],2,FALSE)),1,VLOOKUP(NT$5,Sprints[],4,FALSE)))))</f>
        <v>0</v>
      </c>
      <c r="NU57" s="60">
        <f t="array" aca="1" ref="NU57" ca="1">SUMPRODUCT((OFFSET($A57,0,31*(VLOOKUP(NU$5,Sprints[],5,FALSE))+DAY(VLOOKUP(NU$5,Sprints[],2,FALSE)),1,VLOOKUP(NU$5,Sprints[],4,FALSE))&lt;&gt;"")*(IF(OFFSET($A57,0,31*(VLOOKUP(NU$5,Sprints[],5,FALSE))+DAY(VLOOKUP(NU$5,Sprints[],2,FALSE)),1,VLOOKUP(NU$5,Sprints[],4,FALSE))=$OA$12,0.5,1)*(OFFSET($A$3,0,31*(VLOOKUP(NU$5,Sprints[],5,FALSE))+DAY(VLOOKUP(NU$5,Sprints[],2,FALSE)),1,VLOOKUP(NU$5,Sprints[],4,FALSE)))))</f>
        <v>0</v>
      </c>
      <c r="NV57" s="60">
        <f t="array" aca="1" ref="NV57" ca="1">SUMPRODUCT((OFFSET($A57,0,31*(VLOOKUP(NV$5,Sprints[],5,FALSE))+DAY(VLOOKUP(NV$5,Sprints[],2,FALSE)),1,VLOOKUP(NV$5,Sprints[],4,FALSE))&lt;&gt;"")*(IF(OFFSET($A57,0,31*(VLOOKUP(NV$5,Sprints[],5,FALSE))+DAY(VLOOKUP(NV$5,Sprints[],2,FALSE)),1,VLOOKUP(NV$5,Sprints[],4,FALSE))=$OA$12,0.5,1)*(OFFSET($A$3,0,31*(VLOOKUP(NV$5,Sprints[],5,FALSE))+DAY(VLOOKUP(NV$5,Sprints[],2,FALSE)),1,VLOOKUP(NV$5,Sprints[],4,FALSE)))))</f>
        <v>0</v>
      </c>
      <c r="NW57" s="60">
        <f t="array" aca="1" ref="NW57" ca="1">SUMPRODUCT((OFFSET($A57,0,31*(VLOOKUP(NW$5,Sprints[],5,FALSE))+DAY(VLOOKUP(NW$5,Sprints[],2,FALSE)),1,VLOOKUP(NW$5,Sprints[],4,FALSE))&lt;&gt;"")*(IF(OFFSET($A57,0,31*(VLOOKUP(NW$5,Sprints[],5,FALSE))+DAY(VLOOKUP(NW$5,Sprints[],2,FALSE)),1,VLOOKUP(NW$5,Sprints[],4,FALSE))=$OA$12,0.5,1)*(OFFSET($A$3,0,31*(VLOOKUP(NW$5,Sprints[],5,FALSE))+DAY(VLOOKUP(NW$5,Sprints[],2,FALSE)),1,VLOOKUP(NW$5,Sprints[],4,FALSE)))))</f>
        <v>0</v>
      </c>
      <c r="NX57" s="60">
        <f t="array" aca="1" ref="NX57" ca="1">SUMPRODUCT((OFFSET($A57,0,31*(VLOOKUP(NX$5,Sprints[],5,FALSE))+DAY(VLOOKUP(NX$5,Sprints[],2,FALSE)),1,VLOOKUP(NX$5,Sprints[],4,FALSE))&lt;&gt;"")*(IF(OFFSET($A57,0,31*(VLOOKUP(NX$5,Sprints[],5,FALSE))+DAY(VLOOKUP(NX$5,Sprints[],2,FALSE)),1,VLOOKUP(NX$5,Sprints[],4,FALSE))=$OA$12,0.5,1)*(OFFSET($A$3,0,31*(VLOOKUP(NX$5,Sprints[],5,FALSE))+DAY(VLOOKUP(NX$5,Sprints[],2,FALSE)),1,VLOOKUP(NX$5,Sprints[],4,FALSE)))))</f>
        <v>0</v>
      </c>
    </row>
    <row r="60" spans="1:388" x14ac:dyDescent="0.45">
      <c r="MT60">
        <f>COUNTBLANK(CQ5:JU5)</f>
        <v>187</v>
      </c>
    </row>
  </sheetData>
  <mergeCells count="15">
    <mergeCell ref="NX5:NX6"/>
    <mergeCell ref="NT5:NT6"/>
    <mergeCell ref="NU5:NU6"/>
    <mergeCell ref="NV5:NV6"/>
    <mergeCell ref="NW5:NW6"/>
    <mergeCell ref="NO5:NO6"/>
    <mergeCell ref="NP5:NP6"/>
    <mergeCell ref="NQ5:NQ6"/>
    <mergeCell ref="NR5:NR6"/>
    <mergeCell ref="NS5:NS6"/>
    <mergeCell ref="NJ5:NJ6"/>
    <mergeCell ref="NK5:NK6"/>
    <mergeCell ref="NL5:NL6"/>
    <mergeCell ref="NM5:NM6"/>
    <mergeCell ref="NN5:NN6"/>
  </mergeCells>
  <conditionalFormatting sqref="OA16:OA22">
    <cfRule type="expression" dxfId="536" priority="536">
      <formula>OA16="No"</formula>
    </cfRule>
  </conditionalFormatting>
  <conditionalFormatting sqref="B6:NI6">
    <cfRule type="expression" dxfId="535" priority="580">
      <formula>IF(VLOOKUP(B6,$NZ$16:$OA$22,2,0)="No",TRUE,FALSE)</formula>
    </cfRule>
  </conditionalFormatting>
  <conditionalFormatting sqref="B28:AV29 B36:AV36 B42:NI43 B57 B19:AV20 B18 H18:AV18 B17:AV17 B16:F16 H16:J16 O16:P16 V16:AV16 B22:AV23 B21:AA21 AC21:AV21 B8:AM8 AR8:AS8 AY21:CM21 BT17:BU17 CA17:CB17 CO12:NI12 CO15:NI15 H57:I57 O57:P57 R57 V57:W57 AC57:NI57 O32:P32 V32:AV32 V39:W39 AC39:AV39 K34:AV34 AY34:BD34 BF34:BK34 BM34:BR34 BT34:BY34 AY39:EV39 AY15:CI15 AY12:CI12 AY13:NI13 AY17:BP17 AY20:BN20 B41:AV41 AY41:CL41 AY36:NI36 B9:AV15 AY8:NI10 AY11:BC11 BF11:BG11 BL11:CB11 CH11:EN11 ET11:NI11 AY14:CB14 CH14:EU14 FA14:NI14 AY16:NI16 CE17:NI17 AY18:BG18 CO18:NI18 BL18:CJ18 AY19:EG19 EM19:NI19 BT20:NI20 CO21:NI21 AY22:NI23 AY28:NI28 AY29:CE29 CH29:EG29 EM29:NI29 AY32:NI32 CA34:NI34 FA39:NI39 CO41:EG41 EM41:NI41">
    <cfRule type="expression" dxfId="154" priority="581" stopIfTrue="1">
      <formula>AND(B$5&lt;&gt;"",VLOOKUP(B$6,$NZ$16:$OA$22,2,0)&lt;&gt;"Yes")</formula>
    </cfRule>
    <cfRule type="expression" dxfId="153" priority="582" stopIfTrue="1">
      <formula>ISNUMBER(MATCH(DATE($A$2,$A$1+$A$3-1,B$5),HolidayListNamedRange,0))</formula>
    </cfRule>
    <cfRule type="expression" dxfId="152" priority="583">
      <formula>OR(B8=$OA$11)</formula>
    </cfRule>
    <cfRule type="expression" dxfId="151" priority="584">
      <formula>OR(B8=$OA$8,B8=$OA$9,B8=$OA$10)</formula>
    </cfRule>
    <cfRule type="expression" dxfId="150" priority="585">
      <formula>OR(B8=$OA$12)</formula>
    </cfRule>
  </conditionalFormatting>
  <conditionalFormatting sqref="B24:AV24 AY24:BA24 BF24:CI24 CO24:EN24 ET24:NI24">
    <cfRule type="expression" dxfId="534" priority="511" stopIfTrue="1">
      <formula>AND(B$5&lt;&gt;"",VLOOKUP(B$6,$NZ$16:$OA$22,2,0)&lt;&gt;"Yes")</formula>
    </cfRule>
    <cfRule type="expression" dxfId="533" priority="512" stopIfTrue="1">
      <formula>ISNUMBER(MATCH(DATE($A$2,$A$1+$A$3-1,B$5),HolidayListNamedRange,0))</formula>
    </cfRule>
    <cfRule type="expression" dxfId="532" priority="513">
      <formula>OR(B24=$OA$11)</formula>
    </cfRule>
    <cfRule type="expression" dxfId="531" priority="514">
      <formula>OR(B24=$OA$8,B24=$OA$9,B24=$OA$10)</formula>
    </cfRule>
    <cfRule type="expression" dxfId="530" priority="515">
      <formula>OR(B24=$OA$12)</formula>
    </cfRule>
  </conditionalFormatting>
  <conditionalFormatting sqref="B27:AV27 AY27:CK27 CO27:EU27 FA27:NI27">
    <cfRule type="expression" dxfId="529" priority="506" stopIfTrue="1">
      <formula>AND(B$5&lt;&gt;"",VLOOKUP(B$6,$NZ$16:$OA$22,2,0)&lt;&gt;"Yes")</formula>
    </cfRule>
    <cfRule type="expression" dxfId="528" priority="507" stopIfTrue="1">
      <formula>ISNUMBER(MATCH(DATE($A$2,$A$1+$A$3-1,B$5),HolidayListNamedRange,0))</formula>
    </cfRule>
    <cfRule type="expression" dxfId="527" priority="508">
      <formula>OR(B27=$OA$11)</formula>
    </cfRule>
    <cfRule type="expression" dxfId="526" priority="509">
      <formula>OR(B27=$OA$8,B27=$OA$9,B27=$OA$10)</formula>
    </cfRule>
    <cfRule type="expression" dxfId="525" priority="510">
      <formula>OR(B27=$OA$12)</formula>
    </cfRule>
  </conditionalFormatting>
  <conditionalFormatting sqref="B25:AV25 AY25:BQ25 BT25:CB25 CH25:EG25 EM25:NI25">
    <cfRule type="expression" dxfId="524" priority="501" stopIfTrue="1">
      <formula>AND(B$5&lt;&gt;"",VLOOKUP(B$6,$NZ$16:$OA$22,2,0)&lt;&gt;"Yes")</formula>
    </cfRule>
    <cfRule type="expression" dxfId="523" priority="502" stopIfTrue="1">
      <formula>ISNUMBER(MATCH(DATE($A$2,$A$1+$A$3-1,B$5),HolidayListNamedRange,0))</formula>
    </cfRule>
    <cfRule type="expression" dxfId="522" priority="503">
      <formula>OR(B25=$OA$11)</formula>
    </cfRule>
    <cfRule type="expression" dxfId="521" priority="504">
      <formula>OR(B25=$OA$8,B25=$OA$9,B25=$OA$10)</formula>
    </cfRule>
    <cfRule type="expression" dxfId="520" priority="505">
      <formula>OR(B25=$OA$12)</formula>
    </cfRule>
  </conditionalFormatting>
  <conditionalFormatting sqref="B26:AV26 AY26:BV26 CA26:DL26 DR26:NI26">
    <cfRule type="expression" dxfId="519" priority="496" stopIfTrue="1">
      <formula>AND(B$5&lt;&gt;"",VLOOKUP(B$6,$NZ$16:$OA$22,2,0)&lt;&gt;"Yes")</formula>
    </cfRule>
    <cfRule type="expression" dxfId="518" priority="497" stopIfTrue="1">
      <formula>ISNUMBER(MATCH(DATE($A$2,$A$1+$A$3-1,B$5),HolidayListNamedRange,0))</formula>
    </cfRule>
    <cfRule type="expression" dxfId="517" priority="498">
      <formula>OR(B26=$OA$11)</formula>
    </cfRule>
    <cfRule type="expression" dxfId="516" priority="499">
      <formula>OR(B26=$OA$8,B26=$OA$9,B26=$OA$10)</formula>
    </cfRule>
    <cfRule type="expression" dxfId="515" priority="500">
      <formula>OR(B26=$OA$12)</formula>
    </cfRule>
  </conditionalFormatting>
  <conditionalFormatting sqref="B32:M32">
    <cfRule type="expression" dxfId="514" priority="491" stopIfTrue="1">
      <formula>AND(B$5&lt;&gt;"",VLOOKUP(B$6,$NZ$16:$OA$22,2,0)&lt;&gt;"Yes")</formula>
    </cfRule>
    <cfRule type="expression" dxfId="513" priority="492" stopIfTrue="1">
      <formula>ISNUMBER(MATCH(DATE($A$2,$A$1+$A$3-1,B$5),HolidayListNamedRange,0))</formula>
    </cfRule>
    <cfRule type="expression" dxfId="512" priority="493">
      <formula>OR(B32=$OA$11)</formula>
    </cfRule>
    <cfRule type="expression" dxfId="511" priority="494">
      <formula>OR(B32=$OA$8,B32=$OA$9,B32=$OA$10)</formula>
    </cfRule>
    <cfRule type="expression" dxfId="510" priority="495">
      <formula>OR(B32=$OA$12)</formula>
    </cfRule>
  </conditionalFormatting>
  <conditionalFormatting sqref="B31:AV31 AY31:BI31 BL31:CB31 CH31:DE31 DK31:NI31">
    <cfRule type="expression" dxfId="509" priority="486" stopIfTrue="1">
      <formula>AND(B$5&lt;&gt;"",VLOOKUP(B$6,$NZ$16:$OA$22,2,0)&lt;&gt;"Yes")</formula>
    </cfRule>
    <cfRule type="expression" dxfId="508" priority="487" stopIfTrue="1">
      <formula>ISNUMBER(MATCH(DATE($A$2,$A$1+$A$3-1,B$5),HolidayListNamedRange,0))</formula>
    </cfRule>
    <cfRule type="expression" dxfId="507" priority="488">
      <formula>OR(B31=$OA$11)</formula>
    </cfRule>
    <cfRule type="expression" dxfId="506" priority="489">
      <formula>OR(B31=$OA$8,B31=$OA$9,B31=$OA$10)</formula>
    </cfRule>
    <cfRule type="expression" dxfId="505" priority="490">
      <formula>OR(B31=$OA$12)</formula>
    </cfRule>
  </conditionalFormatting>
  <conditionalFormatting sqref="B30:AV30 AY30:BW30 CA30:NI30">
    <cfRule type="expression" dxfId="504" priority="481" stopIfTrue="1">
      <formula>AND(B$5&lt;&gt;"",VLOOKUP(B$6,$NZ$16:$OA$22,2,0)&lt;&gt;"Yes")</formula>
    </cfRule>
    <cfRule type="expression" dxfId="503" priority="482" stopIfTrue="1">
      <formula>ISNUMBER(MATCH(DATE($A$2,$A$1+$A$3-1,B$5),HolidayListNamedRange,0))</formula>
    </cfRule>
    <cfRule type="expression" dxfId="502" priority="483">
      <formula>OR(B30=$OA$11)</formula>
    </cfRule>
    <cfRule type="expression" dxfId="501" priority="484">
      <formula>OR(B30=$OA$8,B30=$OA$9,B30=$OA$10)</formula>
    </cfRule>
    <cfRule type="expression" dxfId="500" priority="485">
      <formula>OR(B30=$OA$12)</formula>
    </cfRule>
  </conditionalFormatting>
  <conditionalFormatting sqref="B40:AV40 AY40:EB40 EF40:NI40">
    <cfRule type="expression" dxfId="499" priority="476" stopIfTrue="1">
      <formula>AND(B$5&lt;&gt;"",VLOOKUP(B$6,$NZ$16:$OA$22,2,0)&lt;&gt;"Yes")</formula>
    </cfRule>
    <cfRule type="expression" dxfId="498" priority="477" stopIfTrue="1">
      <formula>ISNUMBER(MATCH(DATE($A$2,$A$1+$A$3-1,B$5),HolidayListNamedRange,0))</formula>
    </cfRule>
    <cfRule type="expression" dxfId="497" priority="478">
      <formula>OR(B40=$OA$11)</formula>
    </cfRule>
    <cfRule type="expression" dxfId="496" priority="479">
      <formula>OR(B40=$OA$8,B40=$OA$9,B40=$OA$10)</formula>
    </cfRule>
    <cfRule type="expression" dxfId="495" priority="480">
      <formula>OR(B40=$OA$12)</formula>
    </cfRule>
  </conditionalFormatting>
  <conditionalFormatting sqref="B39:T39">
    <cfRule type="expression" dxfId="494" priority="471" stopIfTrue="1">
      <formula>AND(B$5&lt;&gt;"",VLOOKUP(B$6,$NZ$16:$OA$22,2,0)&lt;&gt;"Yes")</formula>
    </cfRule>
    <cfRule type="expression" dxfId="493" priority="472" stopIfTrue="1">
      <formula>ISNUMBER(MATCH(DATE($A$2,$A$1+$A$3-1,B$5),HolidayListNamedRange,0))</formula>
    </cfRule>
    <cfRule type="expression" dxfId="492" priority="473">
      <formula>OR(B39=$OA$11)</formula>
    </cfRule>
    <cfRule type="expression" dxfId="491" priority="474">
      <formula>OR(B39=$OA$8,B39=$OA$9,B39=$OA$10)</formula>
    </cfRule>
    <cfRule type="expression" dxfId="490" priority="475">
      <formula>OR(B39=$OA$12)</formula>
    </cfRule>
  </conditionalFormatting>
  <conditionalFormatting sqref="B38:AV38 AY38:NI38">
    <cfRule type="expression" dxfId="489" priority="466" stopIfTrue="1">
      <formula>AND(B$5&lt;&gt;"",VLOOKUP(B$6,$NZ$16:$OA$22,2,0)&lt;&gt;"Yes")</formula>
    </cfRule>
    <cfRule type="expression" dxfId="488" priority="467" stopIfTrue="1">
      <formula>ISNUMBER(MATCH(DATE($A$2,$A$1+$A$3-1,B$5),HolidayListNamedRange,0))</formula>
    </cfRule>
    <cfRule type="expression" dxfId="487" priority="468">
      <formula>OR(B38=$OA$11)</formula>
    </cfRule>
    <cfRule type="expression" dxfId="486" priority="469">
      <formula>OR(B38=$OA$8,B38=$OA$9,B38=$OA$10)</formula>
    </cfRule>
    <cfRule type="expression" dxfId="485" priority="470">
      <formula>OR(B38=$OA$12)</formula>
    </cfRule>
  </conditionalFormatting>
  <conditionalFormatting sqref="B37:AV37 AY37:CC37 CH37:EU37 FA37:NI37">
    <cfRule type="expression" dxfId="484" priority="461" stopIfTrue="1">
      <formula>AND(B$5&lt;&gt;"",VLOOKUP(B$6,$NZ$16:$OA$22,2,0)&lt;&gt;"Yes")</formula>
    </cfRule>
    <cfRule type="expression" dxfId="483" priority="462" stopIfTrue="1">
      <formula>ISNUMBER(MATCH(DATE($A$2,$A$1+$A$3-1,B$5),HolidayListNamedRange,0))</formula>
    </cfRule>
    <cfRule type="expression" dxfId="482" priority="463">
      <formula>OR(B37=$OA$11)</formula>
    </cfRule>
    <cfRule type="expression" dxfId="481" priority="464">
      <formula>OR(B37=$OA$8,B37=$OA$9,B37=$OA$10)</formula>
    </cfRule>
    <cfRule type="expression" dxfId="480" priority="465">
      <formula>OR(B37=$OA$12)</formula>
    </cfRule>
  </conditionalFormatting>
  <conditionalFormatting sqref="B35:AV35 AY35:BX35 CA35:CX35 DD35:NI35">
    <cfRule type="expression" dxfId="479" priority="456" stopIfTrue="1">
      <formula>AND(B$5&lt;&gt;"",VLOOKUP(B$6,$NZ$16:$OA$22,2,0)&lt;&gt;"Yes")</formula>
    </cfRule>
    <cfRule type="expression" dxfId="478" priority="457" stopIfTrue="1">
      <formula>ISNUMBER(MATCH(DATE($A$2,$A$1+$A$3-1,B$5),HolidayListNamedRange,0))</formula>
    </cfRule>
    <cfRule type="expression" dxfId="477" priority="458">
      <formula>OR(B35=$OA$11)</formula>
    </cfRule>
    <cfRule type="expression" dxfId="476" priority="459">
      <formula>OR(B35=$OA$8,B35=$OA$9,B35=$OA$10)</formula>
    </cfRule>
    <cfRule type="expression" dxfId="475" priority="460">
      <formula>OR(B35=$OA$12)</formula>
    </cfRule>
  </conditionalFormatting>
  <conditionalFormatting sqref="B34:I34">
    <cfRule type="expression" dxfId="474" priority="451" stopIfTrue="1">
      <formula>AND(B$5&lt;&gt;"",VLOOKUP(B$6,$NZ$16:$OA$22,2,0)&lt;&gt;"Yes")</formula>
    </cfRule>
    <cfRule type="expression" dxfId="473" priority="452" stopIfTrue="1">
      <formula>ISNUMBER(MATCH(DATE($A$2,$A$1+$A$3-1,B$5),HolidayListNamedRange,0))</formula>
    </cfRule>
    <cfRule type="expression" dxfId="472" priority="453">
      <formula>OR(B34=$OA$11)</formula>
    </cfRule>
    <cfRule type="expression" dxfId="471" priority="454">
      <formula>OR(B34=$OA$8,B34=$OA$9,B34=$OA$10)</formula>
    </cfRule>
    <cfRule type="expression" dxfId="470" priority="455">
      <formula>OR(B34=$OA$12)</formula>
    </cfRule>
  </conditionalFormatting>
  <conditionalFormatting sqref="B33:AV33 AY33:BX33 CA33:EG33 EM33:NI33">
    <cfRule type="expression" dxfId="469" priority="446" stopIfTrue="1">
      <formula>AND(B$5&lt;&gt;"",VLOOKUP(B$6,$NZ$16:$OA$22,2,0)&lt;&gt;"Yes")</formula>
    </cfRule>
    <cfRule type="expression" dxfId="468" priority="447" stopIfTrue="1">
      <formula>ISNUMBER(MATCH(DATE($A$2,$A$1+$A$3-1,B$5),HolidayListNamedRange,0))</formula>
    </cfRule>
    <cfRule type="expression" dxfId="467" priority="448">
      <formula>OR(B33=$OA$11)</formula>
    </cfRule>
    <cfRule type="expression" dxfId="466" priority="449">
      <formula>OR(B33=$OA$8,B33=$OA$9,B33=$OA$10)</formula>
    </cfRule>
    <cfRule type="expression" dxfId="465" priority="450">
      <formula>OR(B33=$OA$12)</formula>
    </cfRule>
  </conditionalFormatting>
  <conditionalFormatting sqref="B56:NI56">
    <cfRule type="expression" dxfId="464" priority="441" stopIfTrue="1">
      <formula>AND(B$5&lt;&gt;"",VLOOKUP(B$6,$NZ$16:$OA$22,2,0)&lt;&gt;"Yes")</formula>
    </cfRule>
    <cfRule type="expression" dxfId="463" priority="442" stopIfTrue="1">
      <formula>ISNUMBER(MATCH(DATE($A$2,$A$1+$A$3-1,B$5),HolidayListNamedRange,0))</formula>
    </cfRule>
    <cfRule type="expression" dxfId="462" priority="443">
      <formula>OR(B56=$OA$11)</formula>
    </cfRule>
    <cfRule type="expression" dxfId="461" priority="444">
      <formula>OR(B56=$OA$8,B56=$OA$9,B56=$OA$10)</formula>
    </cfRule>
    <cfRule type="expression" dxfId="460" priority="445">
      <formula>OR(B56=$OA$12)</formula>
    </cfRule>
  </conditionalFormatting>
  <conditionalFormatting sqref="B53:NI53">
    <cfRule type="expression" dxfId="459" priority="436" stopIfTrue="1">
      <formula>AND(B$5&lt;&gt;"",VLOOKUP(B$6,$NZ$16:$OA$22,2,0)&lt;&gt;"Yes")</formula>
    </cfRule>
    <cfRule type="expression" dxfId="458" priority="437" stopIfTrue="1">
      <formula>ISNUMBER(MATCH(DATE($A$2,$A$1+$A$3-1,B$5),HolidayListNamedRange,0))</formula>
    </cfRule>
    <cfRule type="expression" dxfId="457" priority="438">
      <formula>OR(B53=$OA$11)</formula>
    </cfRule>
    <cfRule type="expression" dxfId="456" priority="439">
      <formula>OR(B53=$OA$8,B53=$OA$9,B53=$OA$10)</formula>
    </cfRule>
    <cfRule type="expression" dxfId="455" priority="440">
      <formula>OR(B53=$OA$12)</formula>
    </cfRule>
  </conditionalFormatting>
  <conditionalFormatting sqref="B55:NI55">
    <cfRule type="expression" dxfId="454" priority="431" stopIfTrue="1">
      <formula>AND(B$5&lt;&gt;"",VLOOKUP(B$6,$NZ$16:$OA$22,2,0)&lt;&gt;"Yes")</formula>
    </cfRule>
    <cfRule type="expression" dxfId="453" priority="432" stopIfTrue="1">
      <formula>ISNUMBER(MATCH(DATE($A$2,$A$1+$A$3-1,B$5),HolidayListNamedRange,0))</formula>
    </cfRule>
    <cfRule type="expression" dxfId="452" priority="433">
      <formula>OR(B55=$OA$11)</formula>
    </cfRule>
    <cfRule type="expression" dxfId="451" priority="434">
      <formula>OR(B55=$OA$8,B55=$OA$9,B55=$OA$10)</formula>
    </cfRule>
    <cfRule type="expression" dxfId="450" priority="435">
      <formula>OR(B55=$OA$12)</formula>
    </cfRule>
  </conditionalFormatting>
  <conditionalFormatting sqref="B54:NI54">
    <cfRule type="expression" dxfId="449" priority="426" stopIfTrue="1">
      <formula>AND(B$5&lt;&gt;"",VLOOKUP(B$6,$NZ$16:$OA$22,2,0)&lt;&gt;"Yes")</formula>
    </cfRule>
    <cfRule type="expression" dxfId="448" priority="427" stopIfTrue="1">
      <formula>ISNUMBER(MATCH(DATE($A$2,$A$1+$A$3-1,B$5),HolidayListNamedRange,0))</formula>
    </cfRule>
    <cfRule type="expression" dxfId="447" priority="428">
      <formula>OR(B54=$OA$11)</formula>
    </cfRule>
    <cfRule type="expression" dxfId="446" priority="429">
      <formula>OR(B54=$OA$8,B54=$OA$9,B54=$OA$10)</formula>
    </cfRule>
    <cfRule type="expression" dxfId="445" priority="430">
      <formula>OR(B54=$OA$12)</formula>
    </cfRule>
  </conditionalFormatting>
  <conditionalFormatting sqref="B52:NI52">
    <cfRule type="expression" dxfId="444" priority="421" stopIfTrue="1">
      <formula>AND(B$5&lt;&gt;"",VLOOKUP(B$6,$NZ$16:$OA$22,2,0)&lt;&gt;"Yes")</formula>
    </cfRule>
    <cfRule type="expression" dxfId="443" priority="422" stopIfTrue="1">
      <formula>ISNUMBER(MATCH(DATE($A$2,$A$1+$A$3-1,B$5),HolidayListNamedRange,0))</formula>
    </cfRule>
    <cfRule type="expression" dxfId="442" priority="423">
      <formula>OR(B52=$OA$11)</formula>
    </cfRule>
    <cfRule type="expression" dxfId="441" priority="424">
      <formula>OR(B52=$OA$8,B52=$OA$9,B52=$OA$10)</formula>
    </cfRule>
    <cfRule type="expression" dxfId="440" priority="425">
      <formula>OR(B52=$OA$12)</formula>
    </cfRule>
  </conditionalFormatting>
  <conditionalFormatting sqref="B51:NI51">
    <cfRule type="expression" dxfId="439" priority="416" stopIfTrue="1">
      <formula>AND(B$5&lt;&gt;"",VLOOKUP(B$6,$NZ$16:$OA$22,2,0)&lt;&gt;"Yes")</formula>
    </cfRule>
    <cfRule type="expression" dxfId="438" priority="417" stopIfTrue="1">
      <formula>ISNUMBER(MATCH(DATE($A$2,$A$1+$A$3-1,B$5),HolidayListNamedRange,0))</formula>
    </cfRule>
    <cfRule type="expression" dxfId="437" priority="418">
      <formula>OR(B51=$OA$11)</formula>
    </cfRule>
    <cfRule type="expression" dxfId="436" priority="419">
      <formula>OR(B51=$OA$8,B51=$OA$9,B51=$OA$10)</formula>
    </cfRule>
    <cfRule type="expression" dxfId="435" priority="420">
      <formula>OR(B51=$OA$12)</formula>
    </cfRule>
  </conditionalFormatting>
  <conditionalFormatting sqref="B44:NI44">
    <cfRule type="expression" dxfId="434" priority="411" stopIfTrue="1">
      <formula>AND(B$5&lt;&gt;"",VLOOKUP(B$6,$NZ$16:$OA$22,2,0)&lt;&gt;"Yes")</formula>
    </cfRule>
    <cfRule type="expression" dxfId="433" priority="412" stopIfTrue="1">
      <formula>ISNUMBER(MATCH(DATE($A$2,$A$1+$A$3-1,B$5),HolidayListNamedRange,0))</formula>
    </cfRule>
    <cfRule type="expression" dxfId="432" priority="413">
      <formula>OR(B44=$OA$11)</formula>
    </cfRule>
    <cfRule type="expression" dxfId="431" priority="414">
      <formula>OR(B44=$OA$8,B44=$OA$9,B44=$OA$10)</formula>
    </cfRule>
    <cfRule type="expression" dxfId="430" priority="415">
      <formula>OR(B44=$OA$12)</formula>
    </cfRule>
  </conditionalFormatting>
  <conditionalFormatting sqref="B50:NI50">
    <cfRule type="expression" dxfId="429" priority="406" stopIfTrue="1">
      <formula>AND(B$5&lt;&gt;"",VLOOKUP(B$6,$NZ$16:$OA$22,2,0)&lt;&gt;"Yes")</formula>
    </cfRule>
    <cfRule type="expression" dxfId="428" priority="407" stopIfTrue="1">
      <formula>ISNUMBER(MATCH(DATE($A$2,$A$1+$A$3-1,B$5),HolidayListNamedRange,0))</formula>
    </cfRule>
    <cfRule type="expression" dxfId="427" priority="408">
      <formula>OR(B50=$OA$11)</formula>
    </cfRule>
    <cfRule type="expression" dxfId="426" priority="409">
      <formula>OR(B50=$OA$8,B50=$OA$9,B50=$OA$10)</formula>
    </cfRule>
    <cfRule type="expression" dxfId="425" priority="410">
      <formula>OR(B50=$OA$12)</formula>
    </cfRule>
  </conditionalFormatting>
  <conditionalFormatting sqref="B49:NI49">
    <cfRule type="expression" dxfId="424" priority="401" stopIfTrue="1">
      <formula>AND(B$5&lt;&gt;"",VLOOKUP(B$6,$NZ$16:$OA$22,2,0)&lt;&gt;"Yes")</formula>
    </cfRule>
    <cfRule type="expression" dxfId="423" priority="402" stopIfTrue="1">
      <formula>ISNUMBER(MATCH(DATE($A$2,$A$1+$A$3-1,B$5),HolidayListNamedRange,0))</formula>
    </cfRule>
    <cfRule type="expression" dxfId="422" priority="403">
      <formula>OR(B49=$OA$11)</formula>
    </cfRule>
    <cfRule type="expression" dxfId="421" priority="404">
      <formula>OR(B49=$OA$8,B49=$OA$9,B49=$OA$10)</formula>
    </cfRule>
    <cfRule type="expression" dxfId="420" priority="405">
      <formula>OR(B49=$OA$12)</formula>
    </cfRule>
  </conditionalFormatting>
  <conditionalFormatting sqref="B48:NI48">
    <cfRule type="expression" dxfId="419" priority="396" stopIfTrue="1">
      <formula>AND(B$5&lt;&gt;"",VLOOKUP(B$6,$NZ$16:$OA$22,2,0)&lt;&gt;"Yes")</formula>
    </cfRule>
    <cfRule type="expression" dxfId="418" priority="397" stopIfTrue="1">
      <formula>ISNUMBER(MATCH(DATE($A$2,$A$1+$A$3-1,B$5),HolidayListNamedRange,0))</formula>
    </cfRule>
    <cfRule type="expression" dxfId="417" priority="398">
      <formula>OR(B48=$OA$11)</formula>
    </cfRule>
    <cfRule type="expression" dxfId="416" priority="399">
      <formula>OR(B48=$OA$8,B48=$OA$9,B48=$OA$10)</formula>
    </cfRule>
    <cfRule type="expression" dxfId="415" priority="400">
      <formula>OR(B48=$OA$12)</formula>
    </cfRule>
  </conditionalFormatting>
  <conditionalFormatting sqref="B47:NI47">
    <cfRule type="expression" dxfId="414" priority="391" stopIfTrue="1">
      <formula>AND(B$5&lt;&gt;"",VLOOKUP(B$6,$NZ$16:$OA$22,2,0)&lt;&gt;"Yes")</formula>
    </cfRule>
    <cfRule type="expression" dxfId="413" priority="392" stopIfTrue="1">
      <formula>ISNUMBER(MATCH(DATE($A$2,$A$1+$A$3-1,B$5),HolidayListNamedRange,0))</formula>
    </cfRule>
    <cfRule type="expression" dxfId="412" priority="393">
      <formula>OR(B47=$OA$11)</formula>
    </cfRule>
    <cfRule type="expression" dxfId="411" priority="394">
      <formula>OR(B47=$OA$8,B47=$OA$9,B47=$OA$10)</formula>
    </cfRule>
    <cfRule type="expression" dxfId="410" priority="395">
      <formula>OR(B47=$OA$12)</formula>
    </cfRule>
  </conditionalFormatting>
  <conditionalFormatting sqref="B46:NI46">
    <cfRule type="expression" dxfId="409" priority="386" stopIfTrue="1">
      <formula>AND(B$5&lt;&gt;"",VLOOKUP(B$6,$NZ$16:$OA$22,2,0)&lt;&gt;"Yes")</formula>
    </cfRule>
    <cfRule type="expression" dxfId="408" priority="387" stopIfTrue="1">
      <formula>ISNUMBER(MATCH(DATE($A$2,$A$1+$A$3-1,B$5),HolidayListNamedRange,0))</formula>
    </cfRule>
    <cfRule type="expression" dxfId="407" priority="388">
      <formula>OR(B46=$OA$11)</formula>
    </cfRule>
    <cfRule type="expression" dxfId="406" priority="389">
      <formula>OR(B46=$OA$8,B46=$OA$9,B46=$OA$10)</formula>
    </cfRule>
    <cfRule type="expression" dxfId="405" priority="390">
      <formula>OR(B46=$OA$12)</formula>
    </cfRule>
  </conditionalFormatting>
  <conditionalFormatting sqref="B45:NI45">
    <cfRule type="expression" dxfId="404" priority="381" stopIfTrue="1">
      <formula>AND(B$5&lt;&gt;"",VLOOKUP(B$6,$NZ$16:$OA$22,2,0)&lt;&gt;"Yes")</formula>
    </cfRule>
    <cfRule type="expression" dxfId="403" priority="382" stopIfTrue="1">
      <formula>ISNUMBER(MATCH(DATE($A$2,$A$1+$A$3-1,B$5),HolidayListNamedRange,0))</formula>
    </cfRule>
    <cfRule type="expression" dxfId="402" priority="383">
      <formula>OR(B45=$OA$11)</formula>
    </cfRule>
    <cfRule type="expression" dxfId="401" priority="384">
      <formula>OR(B45=$OA$8,B45=$OA$9,B45=$OA$10)</formula>
    </cfRule>
    <cfRule type="expression" dxfId="400" priority="385">
      <formula>OR(B45=$OA$12)</formula>
    </cfRule>
  </conditionalFormatting>
  <conditionalFormatting sqref="C18:G18">
    <cfRule type="expression" dxfId="399" priority="376" stopIfTrue="1">
      <formula>AND(C$5&lt;&gt;"",VLOOKUP(C$6,$NZ$16:$OA$22,2,0)&lt;&gt;"Yes")</formula>
    </cfRule>
    <cfRule type="expression" dxfId="398" priority="377" stopIfTrue="1">
      <formula>ISNUMBER(MATCH(DATE($A$2,$A$1+$A$3-1,C$5),HolidayListNamedRange,0))</formula>
    </cfRule>
    <cfRule type="expression" dxfId="397" priority="378">
      <formula>OR(C18=$OA$11)</formula>
    </cfRule>
    <cfRule type="expression" dxfId="396" priority="379">
      <formula>OR(C18=$OA$8,C18=$OA$9,C18=$OA$10)</formula>
    </cfRule>
    <cfRule type="expression" dxfId="395" priority="380">
      <formula>OR(C18=$OA$12)</formula>
    </cfRule>
  </conditionalFormatting>
  <conditionalFormatting sqref="G16">
    <cfRule type="expression" dxfId="394" priority="371" stopIfTrue="1">
      <formula>AND(G$5&lt;&gt;"",VLOOKUP(G$6,$NZ$16:$OA$22,2,0)&lt;&gt;"Yes")</formula>
    </cfRule>
    <cfRule type="expression" dxfId="393" priority="372" stopIfTrue="1">
      <formula>ISNUMBER(MATCH(DATE($A$2,$A$1+$A$3-1,G$5),HolidayListNamedRange,0))</formula>
    </cfRule>
    <cfRule type="expression" dxfId="392" priority="373">
      <formula>OR(G16=$OA$11)</formula>
    </cfRule>
    <cfRule type="expression" dxfId="391" priority="374">
      <formula>OR(G16=$OA$8,G16=$OA$9,G16=$OA$10)</formula>
    </cfRule>
    <cfRule type="expression" dxfId="390" priority="375">
      <formula>OR(G16=$OA$12)</formula>
    </cfRule>
  </conditionalFormatting>
  <conditionalFormatting sqref="J34">
    <cfRule type="expression" dxfId="389" priority="366" stopIfTrue="1">
      <formula>AND(J$5&lt;&gt;"",VLOOKUP(J$6,$NZ$16:$OA$22,2,0)&lt;&gt;"Yes")</formula>
    </cfRule>
    <cfRule type="expression" dxfId="388" priority="367" stopIfTrue="1">
      <formula>ISNUMBER(MATCH(DATE($A$2,$A$1+$A$3-1,J$5),HolidayListNamedRange,0))</formula>
    </cfRule>
    <cfRule type="expression" dxfId="387" priority="368">
      <formula>OR(J34=$OA$11)</formula>
    </cfRule>
    <cfRule type="expression" dxfId="386" priority="369">
      <formula>OR(J34=$OA$8,J34=$OA$9,J34=$OA$10)</formula>
    </cfRule>
    <cfRule type="expression" dxfId="385" priority="370">
      <formula>OR(J34=$OA$12)</formula>
    </cfRule>
  </conditionalFormatting>
  <conditionalFormatting sqref="K16:N16">
    <cfRule type="expression" dxfId="384" priority="361" stopIfTrue="1">
      <formula>AND(K$5&lt;&gt;"",VLOOKUP(K$6,$NZ$16:$OA$22,2,0)&lt;&gt;"Yes")</formula>
    </cfRule>
    <cfRule type="expression" dxfId="383" priority="362" stopIfTrue="1">
      <formula>ISNUMBER(MATCH(DATE($A$2,$A$1+$A$3-1,K$5),HolidayListNamedRange,0))</formula>
    </cfRule>
    <cfRule type="expression" dxfId="382" priority="363">
      <formula>OR(K16=$OA$11)</formula>
    </cfRule>
    <cfRule type="expression" dxfId="381" priority="364">
      <formula>OR(K16=$OA$8,K16=$OA$9,K16=$OA$10)</formula>
    </cfRule>
    <cfRule type="expression" dxfId="380" priority="365">
      <formula>OR(K16=$OA$12)</formula>
    </cfRule>
  </conditionalFormatting>
  <conditionalFormatting sqref="Q16:U16">
    <cfRule type="expression" dxfId="379" priority="356" stopIfTrue="1">
      <formula>AND(Q$5&lt;&gt;"",VLOOKUP(Q$6,$NZ$16:$OA$22,2,0)&lt;&gt;"Yes")</formula>
    </cfRule>
    <cfRule type="expression" dxfId="378" priority="357" stopIfTrue="1">
      <formula>ISNUMBER(MATCH(DATE($A$2,$A$1+$A$3-1,Q$5),HolidayListNamedRange,0))</formula>
    </cfRule>
    <cfRule type="expression" dxfId="377" priority="358">
      <formula>OR(Q16=$OA$11)</formula>
    </cfRule>
    <cfRule type="expression" dxfId="376" priority="359">
      <formula>OR(Q16=$OA$8,Q16=$OA$9,Q16=$OA$10)</formula>
    </cfRule>
    <cfRule type="expression" dxfId="375" priority="360">
      <formula>OR(Q16=$OA$12)</formula>
    </cfRule>
  </conditionalFormatting>
  <conditionalFormatting sqref="N32">
    <cfRule type="expression" dxfId="374" priority="351" stopIfTrue="1">
      <formula>AND(N$5&lt;&gt;"",VLOOKUP(N$6,$NZ$16:$OA$22,2,0)&lt;&gt;"Yes")</formula>
    </cfRule>
    <cfRule type="expression" dxfId="373" priority="352" stopIfTrue="1">
      <formula>ISNUMBER(MATCH(DATE($A$2,$A$1+$A$3-1,N$5),HolidayListNamedRange,0))</formula>
    </cfRule>
    <cfRule type="expression" dxfId="372" priority="353">
      <formula>OR(N32=$OA$11)</formula>
    </cfRule>
    <cfRule type="expression" dxfId="371" priority="354">
      <formula>OR(N32=$OA$8,N32=$OA$9,N32=$OA$10)</formula>
    </cfRule>
    <cfRule type="expression" dxfId="370" priority="355">
      <formula>OR(N32=$OA$12)</formula>
    </cfRule>
  </conditionalFormatting>
  <conditionalFormatting sqref="Q32:U32">
    <cfRule type="expression" dxfId="369" priority="346" stopIfTrue="1">
      <formula>AND(Q$5&lt;&gt;"",VLOOKUP(Q$6,$NZ$16:$OA$22,2,0)&lt;&gt;"Yes")</formula>
    </cfRule>
    <cfRule type="expression" dxfId="368" priority="347" stopIfTrue="1">
      <formula>ISNUMBER(MATCH(DATE($A$2,$A$1+$A$3-1,Q$5),HolidayListNamedRange,0))</formula>
    </cfRule>
    <cfRule type="expression" dxfId="367" priority="348">
      <formula>OR(Q32=$OA$11)</formula>
    </cfRule>
    <cfRule type="expression" dxfId="366" priority="349">
      <formula>OR(Q32=$OA$8,Q32=$OA$9,Q32=$OA$10)</formula>
    </cfRule>
    <cfRule type="expression" dxfId="365" priority="350">
      <formula>OR(Q32=$OA$12)</formula>
    </cfRule>
  </conditionalFormatting>
  <conditionalFormatting sqref="U39">
    <cfRule type="expression" dxfId="364" priority="341" stopIfTrue="1">
      <formula>AND(U$5&lt;&gt;"",VLOOKUP(U$6,$NZ$16:$OA$22,2,0)&lt;&gt;"Yes")</formula>
    </cfRule>
    <cfRule type="expression" dxfId="363" priority="342" stopIfTrue="1">
      <formula>ISNUMBER(MATCH(DATE($A$2,$A$1+$A$3-1,U$5),HolidayListNamedRange,0))</formula>
    </cfRule>
    <cfRule type="expression" dxfId="362" priority="343">
      <formula>OR(U39=$OA$11)</formula>
    </cfRule>
    <cfRule type="expression" dxfId="361" priority="344">
      <formula>OR(U39=$OA$8,U39=$OA$9,U39=$OA$10)</formula>
    </cfRule>
    <cfRule type="expression" dxfId="360" priority="345">
      <formula>OR(U39=$OA$12)</formula>
    </cfRule>
  </conditionalFormatting>
  <conditionalFormatting sqref="X39:AB39">
    <cfRule type="expression" dxfId="359" priority="336" stopIfTrue="1">
      <formula>AND(X$5&lt;&gt;"",VLOOKUP(X$6,$NZ$16:$OA$22,2,0)&lt;&gt;"Yes")</formula>
    </cfRule>
    <cfRule type="expression" dxfId="358" priority="337" stopIfTrue="1">
      <formula>ISNUMBER(MATCH(DATE($A$2,$A$1+$A$3-1,X$5),HolidayListNamedRange,0))</formula>
    </cfRule>
    <cfRule type="expression" dxfId="357" priority="338">
      <formula>OR(X39=$OA$11)</formula>
    </cfRule>
    <cfRule type="expression" dxfId="356" priority="339">
      <formula>OR(X39=$OA$8,X39=$OA$9,X39=$OA$10)</formula>
    </cfRule>
    <cfRule type="expression" dxfId="355" priority="340">
      <formula>OR(X39=$OA$12)</formula>
    </cfRule>
  </conditionalFormatting>
  <conditionalFormatting sqref="AB21">
    <cfRule type="expression" dxfId="354" priority="331" stopIfTrue="1">
      <formula>AND(AB$5&lt;&gt;"",VLOOKUP(AB$6,$NZ$16:$OA$22,2,0)&lt;&gt;"Yes")</formula>
    </cfRule>
    <cfRule type="expression" dxfId="353" priority="332" stopIfTrue="1">
      <formula>ISNUMBER(MATCH(DATE($A$2,$A$1+$A$3-1,AB$5),HolidayListNamedRange,0))</formula>
    </cfRule>
    <cfRule type="expression" dxfId="352" priority="333">
      <formula>OR(AB21=$OA$11)</formula>
    </cfRule>
    <cfRule type="expression" dxfId="351" priority="334">
      <formula>OR(AB21=$OA$8,AB21=$OA$9,AB21=$OA$10)</formula>
    </cfRule>
    <cfRule type="expression" dxfId="350" priority="335">
      <formula>OR(AB21=$OA$12)</formula>
    </cfRule>
  </conditionalFormatting>
  <conditionalFormatting sqref="AN8:AQ8">
    <cfRule type="expression" dxfId="349" priority="326" stopIfTrue="1">
      <formula>AND(AN$5&lt;&gt;"",VLOOKUP(AN$6,$NZ$16:$OA$22,2,0)&lt;&gt;"Yes")</formula>
    </cfRule>
    <cfRule type="expression" dxfId="348" priority="327" stopIfTrue="1">
      <formula>ISNUMBER(MATCH(DATE($A$2,$A$1+$A$3-1,AN$5),HolidayListNamedRange,0))</formula>
    </cfRule>
    <cfRule type="expression" dxfId="347" priority="328">
      <formula>OR(AN8=$OA$11)</formula>
    </cfRule>
    <cfRule type="expression" dxfId="346" priority="329">
      <formula>OR(AN8=$OA$8,AN8=$OA$9,AN8=$OA$10)</formula>
    </cfRule>
    <cfRule type="expression" dxfId="345" priority="330">
      <formula>OR(AN8=$OA$12)</formula>
    </cfRule>
  </conditionalFormatting>
  <conditionalFormatting sqref="AT8:AW8">
    <cfRule type="expression" dxfId="344" priority="321" stopIfTrue="1">
      <formula>AND(AT$5&lt;&gt;"",VLOOKUP(AT$6,$NZ$16:$OA$22,2,0)&lt;&gt;"Yes")</formula>
    </cfRule>
    <cfRule type="expression" dxfId="343" priority="322" stopIfTrue="1">
      <formula>ISNUMBER(MATCH(DATE($A$2,$A$1+$A$3-1,AT$5),HolidayListNamedRange,0))</formula>
    </cfRule>
    <cfRule type="expression" dxfId="342" priority="323">
      <formula>OR(AT8=$OA$11)</formula>
    </cfRule>
    <cfRule type="expression" dxfId="341" priority="324">
      <formula>OR(AT8=$OA$8,AT8=$OA$9,AT8=$OA$10)</formula>
    </cfRule>
    <cfRule type="expression" dxfId="340" priority="325">
      <formula>OR(AT8=$OA$12)</formula>
    </cfRule>
  </conditionalFormatting>
  <conditionalFormatting sqref="AX21">
    <cfRule type="expression" dxfId="339" priority="316" stopIfTrue="1">
      <formula>AND(AX$5&lt;&gt;"",VLOOKUP(AX$6,$NZ$16:$OA$22,2,0)&lt;&gt;"Yes")</formula>
    </cfRule>
    <cfRule type="expression" dxfId="338" priority="317" stopIfTrue="1">
      <formula>ISNUMBER(MATCH(DATE($A$2,$A$1+$A$3-1,AX$5),HolidayListNamedRange,0))</formula>
    </cfRule>
    <cfRule type="expression" dxfId="337" priority="318">
      <formula>OR(AX21=$OA$11)</formula>
    </cfRule>
    <cfRule type="expression" dxfId="336" priority="319">
      <formula>OR(AX21=$OA$8,AX21=$OA$9,AX21=$OA$10)</formula>
    </cfRule>
    <cfRule type="expression" dxfId="335" priority="320">
      <formula>OR(AX21=$OA$12)</formula>
    </cfRule>
  </conditionalFormatting>
  <conditionalFormatting sqref="AX34">
    <cfRule type="expression" dxfId="334" priority="311" stopIfTrue="1">
      <formula>AND(AX$5&lt;&gt;"",VLOOKUP(AX$6,$NZ$16:$OA$22,2,0)&lt;&gt;"Yes")</formula>
    </cfRule>
    <cfRule type="expression" dxfId="333" priority="312" stopIfTrue="1">
      <formula>ISNUMBER(MATCH(DATE($A$2,$A$1+$A$3-1,AX$5),HolidayListNamedRange,0))</formula>
    </cfRule>
    <cfRule type="expression" dxfId="332" priority="313">
      <formula>OR(AX34=$OA$11)</formula>
    </cfRule>
    <cfRule type="expression" dxfId="331" priority="314">
      <formula>OR(AX34=$OA$8,AX34=$OA$9,AX34=$OA$10)</formula>
    </cfRule>
    <cfRule type="expression" dxfId="330" priority="315">
      <formula>OR(AX34=$OA$12)</formula>
    </cfRule>
  </conditionalFormatting>
  <conditionalFormatting sqref="BE34">
    <cfRule type="expression" dxfId="329" priority="306" stopIfTrue="1">
      <formula>AND(BE$5&lt;&gt;"",VLOOKUP(BE$6,$NZ$16:$OA$22,2,0)&lt;&gt;"Yes")</formula>
    </cfRule>
    <cfRule type="expression" dxfId="328" priority="307" stopIfTrue="1">
      <formula>ISNUMBER(MATCH(DATE($A$2,$A$1+$A$3-1,BE$5),HolidayListNamedRange,0))</formula>
    </cfRule>
    <cfRule type="expression" dxfId="327" priority="308">
      <formula>OR(BE34=$OA$11)</formula>
    </cfRule>
    <cfRule type="expression" dxfId="326" priority="309">
      <formula>OR(BE34=$OA$8,BE34=$OA$9,BE34=$OA$10)</formula>
    </cfRule>
    <cfRule type="expression" dxfId="325" priority="310">
      <formula>OR(BE34=$OA$12)</formula>
    </cfRule>
  </conditionalFormatting>
  <conditionalFormatting sqref="BL34">
    <cfRule type="expression" dxfId="324" priority="301" stopIfTrue="1">
      <formula>AND(BL$5&lt;&gt;"",VLOOKUP(BL$6,$NZ$16:$OA$22,2,0)&lt;&gt;"Yes")</formula>
    </cfRule>
    <cfRule type="expression" dxfId="323" priority="302" stopIfTrue="1">
      <formula>ISNUMBER(MATCH(DATE($A$2,$A$1+$A$3-1,BL$5),HolidayListNamedRange,0))</formula>
    </cfRule>
    <cfRule type="expression" dxfId="322" priority="303">
      <formula>OR(BL34=$OA$11)</formula>
    </cfRule>
    <cfRule type="expression" dxfId="321" priority="304">
      <formula>OR(BL34=$OA$8,BL34=$OA$9,BL34=$OA$10)</formula>
    </cfRule>
    <cfRule type="expression" dxfId="320" priority="305">
      <formula>OR(BL34=$OA$12)</formula>
    </cfRule>
  </conditionalFormatting>
  <conditionalFormatting sqref="BQ17:BS17">
    <cfRule type="expression" dxfId="319" priority="296" stopIfTrue="1">
      <formula>AND(BQ$5&lt;&gt;"",VLOOKUP(BQ$6,$NZ$16:$OA$22,2,0)&lt;&gt;"Yes")</formula>
    </cfRule>
    <cfRule type="expression" dxfId="318" priority="297" stopIfTrue="1">
      <formula>ISNUMBER(MATCH(DATE($A$2,$A$1+$A$3-1,BQ$5),HolidayListNamedRange,0))</formula>
    </cfRule>
    <cfRule type="expression" dxfId="317" priority="298">
      <formula>OR(BQ17=$OA$11)</formula>
    </cfRule>
    <cfRule type="expression" dxfId="316" priority="299">
      <formula>OR(BQ17=$OA$8,BQ17=$OA$9,BQ17=$OA$10)</formula>
    </cfRule>
    <cfRule type="expression" dxfId="315" priority="300">
      <formula>OR(BQ17=$OA$12)</formula>
    </cfRule>
  </conditionalFormatting>
  <conditionalFormatting sqref="BV17:BZ17">
    <cfRule type="expression" dxfId="314" priority="291" stopIfTrue="1">
      <formula>AND(BV$5&lt;&gt;"",VLOOKUP(BV$6,$NZ$16:$OA$22,2,0)&lt;&gt;"Yes")</formula>
    </cfRule>
    <cfRule type="expression" dxfId="313" priority="292" stopIfTrue="1">
      <formula>ISNUMBER(MATCH(DATE($A$2,$A$1+$A$3-1,BV$5),HolidayListNamedRange,0))</formula>
    </cfRule>
    <cfRule type="expression" dxfId="312" priority="293">
      <formula>OR(BV17=$OA$11)</formula>
    </cfRule>
    <cfRule type="expression" dxfId="311" priority="294">
      <formula>OR(BV17=$OA$8,BV17=$OA$9,BV17=$OA$10)</formula>
    </cfRule>
    <cfRule type="expression" dxfId="310" priority="295">
      <formula>OR(BV17=$OA$12)</formula>
    </cfRule>
  </conditionalFormatting>
  <conditionalFormatting sqref="CC17:CD17">
    <cfRule type="expression" dxfId="309" priority="286" stopIfTrue="1">
      <formula>AND(CC$5&lt;&gt;"",VLOOKUP(CC$6,$NZ$16:$OA$22,2,0)&lt;&gt;"Yes")</formula>
    </cfRule>
    <cfRule type="expression" dxfId="308" priority="287" stopIfTrue="1">
      <formula>ISNUMBER(MATCH(DATE($A$2,$A$1+$A$3-1,CC$5),HolidayListNamedRange,0))</formula>
    </cfRule>
    <cfRule type="expression" dxfId="307" priority="288">
      <formula>OR(CC17=$OA$11)</formula>
    </cfRule>
    <cfRule type="expression" dxfId="306" priority="289">
      <formula>OR(CC17=$OA$8,CC17=$OA$9,CC17=$OA$10)</formula>
    </cfRule>
    <cfRule type="expression" dxfId="305" priority="290">
      <formula>OR(CC17=$OA$12)</formula>
    </cfRule>
  </conditionalFormatting>
  <conditionalFormatting sqref="BS34">
    <cfRule type="expression" dxfId="304" priority="281" stopIfTrue="1">
      <formula>AND(BS$5&lt;&gt;"",VLOOKUP(BS$6,$NZ$16:$OA$22,2,0)&lt;&gt;"Yes")</formula>
    </cfRule>
    <cfRule type="expression" dxfId="303" priority="282" stopIfTrue="1">
      <formula>ISNUMBER(MATCH(DATE($A$2,$A$1+$A$3-1,BS$5),HolidayListNamedRange,0))</formula>
    </cfRule>
    <cfRule type="expression" dxfId="302" priority="283">
      <formula>OR(BS34=$OA$11)</formula>
    </cfRule>
    <cfRule type="expression" dxfId="301" priority="284">
      <formula>OR(BS34=$OA$8,BS34=$OA$9,BS34=$OA$10)</formula>
    </cfRule>
    <cfRule type="expression" dxfId="300" priority="285">
      <formula>OR(BS34=$OA$12)</formula>
    </cfRule>
  </conditionalFormatting>
  <conditionalFormatting sqref="BZ34">
    <cfRule type="expression" dxfId="299" priority="276" stopIfTrue="1">
      <formula>AND(BZ$5&lt;&gt;"",VLOOKUP(BZ$6,$NZ$16:$OA$22,2,0)&lt;&gt;"Yes")</formula>
    </cfRule>
    <cfRule type="expression" dxfId="298" priority="277" stopIfTrue="1">
      <formula>ISNUMBER(MATCH(DATE($A$2,$A$1+$A$3-1,BZ$5),HolidayListNamedRange,0))</formula>
    </cfRule>
    <cfRule type="expression" dxfId="297" priority="278">
      <formula>OR(BZ34=$OA$11)</formula>
    </cfRule>
    <cfRule type="expression" dxfId="296" priority="279">
      <formula>OR(BZ34=$OA$8,BZ34=$OA$9,BZ34=$OA$10)</formula>
    </cfRule>
    <cfRule type="expression" dxfId="295" priority="280">
      <formula>OR(BZ34=$OA$12)</formula>
    </cfRule>
  </conditionalFormatting>
  <conditionalFormatting sqref="CJ12:CN12">
    <cfRule type="expression" dxfId="294" priority="271" stopIfTrue="1">
      <formula>AND(CJ$5&lt;&gt;"",VLOOKUP(CJ$6,$NZ$16:$OA$22,2,0)&lt;&gt;"Yes")</formula>
    </cfRule>
    <cfRule type="expression" dxfId="293" priority="272" stopIfTrue="1">
      <formula>ISNUMBER(MATCH(DATE($A$2,$A$1+$A$3-1,CJ$5),HolidayListNamedRange,0))</formula>
    </cfRule>
    <cfRule type="expression" dxfId="292" priority="273">
      <formula>OR(CJ12=$OA$11)</formula>
    </cfRule>
    <cfRule type="expression" dxfId="291" priority="274">
      <formula>OR(CJ12=$OA$8,CJ12=$OA$9,CJ12=$OA$10)</formula>
    </cfRule>
    <cfRule type="expression" dxfId="290" priority="275">
      <formula>OR(CJ12=$OA$12)</formula>
    </cfRule>
  </conditionalFormatting>
  <conditionalFormatting sqref="CJ15:CN15">
    <cfRule type="expression" dxfId="289" priority="266" stopIfTrue="1">
      <formula>AND(CJ$5&lt;&gt;"",VLOOKUP(CJ$6,$NZ$16:$OA$22,2,0)&lt;&gt;"Yes")</formula>
    </cfRule>
    <cfRule type="expression" dxfId="288" priority="267" stopIfTrue="1">
      <formula>ISNUMBER(MATCH(DATE($A$2,$A$1+$A$3-1,CJ$5),HolidayListNamedRange,0))</formula>
    </cfRule>
    <cfRule type="expression" dxfId="287" priority="268">
      <formula>OR(CJ15=$OA$11)</formula>
    </cfRule>
    <cfRule type="expression" dxfId="286" priority="269">
      <formula>OR(CJ15=$OA$8,CJ15=$OA$9,CJ15=$OA$10)</formula>
    </cfRule>
    <cfRule type="expression" dxfId="285" priority="270">
      <formula>OR(CJ15=$OA$12)</formula>
    </cfRule>
  </conditionalFormatting>
  <conditionalFormatting sqref="CN21">
    <cfRule type="expression" dxfId="284" priority="261" stopIfTrue="1">
      <formula>AND(CN$5&lt;&gt;"",VLOOKUP(CN$6,$NZ$16:$OA$22,2,0)&lt;&gt;"Yes")</formula>
    </cfRule>
    <cfRule type="expression" dxfId="283" priority="262" stopIfTrue="1">
      <formula>ISNUMBER(MATCH(DATE($A$2,$A$1+$A$3-1,CN$5),HolidayListNamedRange,0))</formula>
    </cfRule>
    <cfRule type="expression" dxfId="282" priority="263">
      <formula>OR(CN21=$OA$11)</formula>
    </cfRule>
    <cfRule type="expression" dxfId="281" priority="264">
      <formula>OR(CN21=$OA$8,CN21=$OA$9,CN21=$OA$10)</formula>
    </cfRule>
    <cfRule type="expression" dxfId="280" priority="265">
      <formula>OR(CN21=$OA$12)</formula>
    </cfRule>
  </conditionalFormatting>
  <conditionalFormatting sqref="C57:G57">
    <cfRule type="expression" dxfId="279" priority="256" stopIfTrue="1">
      <formula>AND(C$5&lt;&gt;"",VLOOKUP(C$6,$NZ$16:$OA$22,2,0)&lt;&gt;"Yes")</formula>
    </cfRule>
    <cfRule type="expression" dxfId="278" priority="257" stopIfTrue="1">
      <formula>ISNUMBER(MATCH(DATE($A$2,$A$1+$A$3-1,C$5),HolidayListNamedRange,0))</formula>
    </cfRule>
    <cfRule type="expression" dxfId="277" priority="258">
      <formula>OR(C57=$OA$11)</formula>
    </cfRule>
    <cfRule type="expression" dxfId="276" priority="259">
      <formula>OR(C57=$OA$8,C57=$OA$9,C57=$OA$10)</formula>
    </cfRule>
    <cfRule type="expression" dxfId="275" priority="260">
      <formula>OR(C57=$OA$12)</formula>
    </cfRule>
  </conditionalFormatting>
  <conditionalFormatting sqref="J57:N57">
    <cfRule type="expression" dxfId="274" priority="251" stopIfTrue="1">
      <formula>AND(J$5&lt;&gt;"",VLOOKUP(J$6,$NZ$16:$OA$22,2,0)&lt;&gt;"Yes")</formula>
    </cfRule>
    <cfRule type="expression" dxfId="273" priority="252" stopIfTrue="1">
      <formula>ISNUMBER(MATCH(DATE($A$2,$A$1+$A$3-1,J$5),HolidayListNamedRange,0))</formula>
    </cfRule>
    <cfRule type="expression" dxfId="272" priority="253">
      <formula>OR(J57=$OA$11)</formula>
    </cfRule>
    <cfRule type="expression" dxfId="271" priority="254">
      <formula>OR(J57=$OA$8,J57=$OA$9,J57=$OA$10)</formula>
    </cfRule>
    <cfRule type="expression" dxfId="270" priority="255">
      <formula>OR(J57=$OA$12)</formula>
    </cfRule>
  </conditionalFormatting>
  <conditionalFormatting sqref="Q57">
    <cfRule type="expression" dxfId="269" priority="246" stopIfTrue="1">
      <formula>AND(Q$5&lt;&gt;"",VLOOKUP(Q$6,$NZ$16:$OA$22,2,0)&lt;&gt;"Yes")</formula>
    </cfRule>
    <cfRule type="expression" dxfId="268" priority="247" stopIfTrue="1">
      <formula>ISNUMBER(MATCH(DATE($A$2,$A$1+$A$3-1,Q$5),HolidayListNamedRange,0))</formula>
    </cfRule>
    <cfRule type="expression" dxfId="267" priority="248">
      <formula>OR(Q57=$OA$11)</formula>
    </cfRule>
    <cfRule type="expression" dxfId="266" priority="249">
      <formula>OR(Q57=$OA$8,Q57=$OA$9,Q57=$OA$10)</formula>
    </cfRule>
    <cfRule type="expression" dxfId="265" priority="250">
      <formula>OR(Q57=$OA$12)</formula>
    </cfRule>
  </conditionalFormatting>
  <conditionalFormatting sqref="S57:U57">
    <cfRule type="expression" dxfId="264" priority="241" stopIfTrue="1">
      <formula>AND(S$5&lt;&gt;"",VLOOKUP(S$6,$NZ$16:$OA$22,2,0)&lt;&gt;"Yes")</formula>
    </cfRule>
    <cfRule type="expression" dxfId="263" priority="242" stopIfTrue="1">
      <formula>ISNUMBER(MATCH(DATE($A$2,$A$1+$A$3-1,S$5),HolidayListNamedRange,0))</formula>
    </cfRule>
    <cfRule type="expression" dxfId="262" priority="243">
      <formula>OR(S57=$OA$11)</formula>
    </cfRule>
    <cfRule type="expression" dxfId="261" priority="244">
      <formula>OR(S57=$OA$8,S57=$OA$9,S57=$OA$10)</formula>
    </cfRule>
    <cfRule type="expression" dxfId="260" priority="245">
      <formula>OR(S57=$OA$12)</formula>
    </cfRule>
  </conditionalFormatting>
  <conditionalFormatting sqref="X57:AB57">
    <cfRule type="expression" dxfId="259" priority="236" stopIfTrue="1">
      <formula>AND(X$5&lt;&gt;"",VLOOKUP(X$6,$NZ$16:$OA$22,2,0)&lt;&gt;"Yes")</formula>
    </cfRule>
    <cfRule type="expression" dxfId="258" priority="237" stopIfTrue="1">
      <formula>ISNUMBER(MATCH(DATE($A$2,$A$1+$A$3-1,X$5),HolidayListNamedRange,0))</formula>
    </cfRule>
    <cfRule type="expression" dxfId="257" priority="238">
      <formula>OR(X57=$OA$11)</formula>
    </cfRule>
    <cfRule type="expression" dxfId="256" priority="239">
      <formula>OR(X57=$OA$8,X57=$OA$9,X57=$OA$10)</formula>
    </cfRule>
    <cfRule type="expression" dxfId="255" priority="240">
      <formula>OR(X57=$OA$12)</formula>
    </cfRule>
  </conditionalFormatting>
  <conditionalFormatting sqref="AW11:AW41">
    <cfRule type="expression" dxfId="235" priority="226" stopIfTrue="1">
      <formula>AND(AW$5&lt;&gt;"",VLOOKUP(AW$6,$NZ$16:$OA$22,2,0)&lt;&gt;"Yes")</formula>
    </cfRule>
    <cfRule type="expression" dxfId="234" priority="227" stopIfTrue="1">
      <formula>ISNUMBER(MATCH(DATE($A$2,$A$1+$A$3-1,AW$5),HolidayListNamedRange,0))</formula>
    </cfRule>
    <cfRule type="expression" dxfId="233" priority="228">
      <formula>OR(AW11=$OA$11)</formula>
    </cfRule>
    <cfRule type="expression" dxfId="232" priority="229">
      <formula>OR(AW11=$OA$8,AW11=$OA$9,AW11=$OA$10)</formula>
    </cfRule>
    <cfRule type="expression" dxfId="231" priority="230">
      <formula>OR(AW11=$OA$12)</formula>
    </cfRule>
  </conditionalFormatting>
  <conditionalFormatting sqref="AX11:AX20">
    <cfRule type="expression" dxfId="230" priority="221" stopIfTrue="1">
      <formula>AND(AX$5&lt;&gt;"",VLOOKUP(AX$6,$NZ$16:$OA$22,2,0)&lt;&gt;"Yes")</formula>
    </cfRule>
    <cfRule type="expression" dxfId="229" priority="222" stopIfTrue="1">
      <formula>ISNUMBER(MATCH(DATE($A$2,$A$1+$A$3-1,AX$5),HolidayListNamedRange,0))</formula>
    </cfRule>
    <cfRule type="expression" dxfId="228" priority="223">
      <formula>OR(AX11=$OA$11)</formula>
    </cfRule>
    <cfRule type="expression" dxfId="227" priority="224">
      <formula>OR(AX11=$OA$8,AX11=$OA$9,AX11=$OA$10)</formula>
    </cfRule>
    <cfRule type="expression" dxfId="226" priority="225">
      <formula>OR(AX11=$OA$12)</formula>
    </cfRule>
  </conditionalFormatting>
  <conditionalFormatting sqref="AX22:AX33">
    <cfRule type="expression" dxfId="225" priority="216" stopIfTrue="1">
      <formula>AND(AX$5&lt;&gt;"",VLOOKUP(AX$6,$NZ$16:$OA$22,2,0)&lt;&gt;"Yes")</formula>
    </cfRule>
    <cfRule type="expression" dxfId="224" priority="217" stopIfTrue="1">
      <formula>ISNUMBER(MATCH(DATE($A$2,$A$1+$A$3-1,AX$5),HolidayListNamedRange,0))</formula>
    </cfRule>
    <cfRule type="expression" dxfId="223" priority="218">
      <formula>OR(AX22=$OA$11)</formula>
    </cfRule>
    <cfRule type="expression" dxfId="222" priority="219">
      <formula>OR(AX22=$OA$8,AX22=$OA$9,AX22=$OA$10)</formula>
    </cfRule>
    <cfRule type="expression" dxfId="221" priority="220">
      <formula>OR(AX22=$OA$12)</formula>
    </cfRule>
  </conditionalFormatting>
  <conditionalFormatting sqref="AX35:AX41">
    <cfRule type="expression" dxfId="220" priority="211" stopIfTrue="1">
      <formula>AND(AX$5&lt;&gt;"",VLOOKUP(AX$6,$NZ$16:$OA$22,2,0)&lt;&gt;"Yes")</formula>
    </cfRule>
    <cfRule type="expression" dxfId="219" priority="212" stopIfTrue="1">
      <formula>ISNUMBER(MATCH(DATE($A$2,$A$1+$A$3-1,AX$5),HolidayListNamedRange,0))</formula>
    </cfRule>
    <cfRule type="expression" dxfId="218" priority="213">
      <formula>OR(AX35=$OA$11)</formula>
    </cfRule>
    <cfRule type="expression" dxfId="217" priority="214">
      <formula>OR(AX35=$OA$8,AX35=$OA$9,AX35=$OA$10)</formula>
    </cfRule>
    <cfRule type="expression" dxfId="216" priority="215">
      <formula>OR(AX35=$OA$12)</formula>
    </cfRule>
  </conditionalFormatting>
  <conditionalFormatting sqref="AW9:AW10">
    <cfRule type="expression" dxfId="215" priority="206" stopIfTrue="1">
      <formula>AND(AW$5&lt;&gt;"",VLOOKUP(AW$6,$NZ$16:$OA$22,2,0)&lt;&gt;"Yes")</formula>
    </cfRule>
    <cfRule type="expression" dxfId="214" priority="207" stopIfTrue="1">
      <formula>ISNUMBER(MATCH(DATE($A$2,$A$1+$A$3-1,AW$5),HolidayListNamedRange,0))</formula>
    </cfRule>
    <cfRule type="expression" dxfId="213" priority="208">
      <formula>OR(AW9=$OA$11)</formula>
    </cfRule>
    <cfRule type="expression" dxfId="212" priority="209">
      <formula>OR(AW9=$OA$8,AW9=$OA$9,AW9=$OA$10)</formula>
    </cfRule>
    <cfRule type="expression" dxfId="211" priority="210">
      <formula>OR(AW9=$OA$12)</formula>
    </cfRule>
  </conditionalFormatting>
  <conditionalFormatting sqref="AX8:AX10">
    <cfRule type="expression" dxfId="210" priority="201" stopIfTrue="1">
      <formula>AND(AX$5&lt;&gt;"",VLOOKUP(AX$6,$NZ$16:$OA$22,2,0)&lt;&gt;"Yes")</formula>
    </cfRule>
    <cfRule type="expression" dxfId="209" priority="202" stopIfTrue="1">
      <formula>ISNUMBER(MATCH(DATE($A$2,$A$1+$A$3-1,AX$5),HolidayListNamedRange,0))</formula>
    </cfRule>
    <cfRule type="expression" dxfId="208" priority="203">
      <formula>OR(AX8=$OA$11)</formula>
    </cfRule>
    <cfRule type="expression" dxfId="207" priority="204">
      <formula>OR(AX8=$OA$8,AX8=$OA$9,AX8=$OA$10)</formula>
    </cfRule>
    <cfRule type="expression" dxfId="206" priority="205">
      <formula>OR(AX8=$OA$12)</formula>
    </cfRule>
  </conditionalFormatting>
  <conditionalFormatting sqref="BD11">
    <cfRule type="expression" dxfId="204" priority="196" stopIfTrue="1">
      <formula>AND(BD$5&lt;&gt;"",VLOOKUP(BD$6,$NZ$16:$OA$22,2,0)&lt;&gt;"Yes")</formula>
    </cfRule>
    <cfRule type="expression" dxfId="203" priority="197" stopIfTrue="1">
      <formula>ISNUMBER(MATCH(DATE($A$2,$A$1+$A$3-1,BD$5),HolidayListNamedRange,0))</formula>
    </cfRule>
    <cfRule type="expression" dxfId="202" priority="198">
      <formula>OR(BD11=$OA$11)</formula>
    </cfRule>
    <cfRule type="expression" dxfId="201" priority="199">
      <formula>OR(BD11=$OA$8,BD11=$OA$9,BD11=$OA$10)</formula>
    </cfRule>
    <cfRule type="expression" dxfId="200" priority="200">
      <formula>OR(BD11=$OA$12)</formula>
    </cfRule>
  </conditionalFormatting>
  <conditionalFormatting sqref="BE11">
    <cfRule type="expression" dxfId="199" priority="191" stopIfTrue="1">
      <formula>AND(BE$5&lt;&gt;"",VLOOKUP(BE$6,$NZ$16:$OA$22,2,0)&lt;&gt;"Yes")</formula>
    </cfRule>
    <cfRule type="expression" dxfId="198" priority="192" stopIfTrue="1">
      <formula>ISNUMBER(MATCH(DATE($A$2,$A$1+$A$3-1,BE$5),HolidayListNamedRange,0))</formula>
    </cfRule>
    <cfRule type="expression" dxfId="197" priority="193">
      <formula>OR(BE11=$OA$11)</formula>
    </cfRule>
    <cfRule type="expression" dxfId="196" priority="194">
      <formula>OR(BE11=$OA$8,BE11=$OA$9,BE11=$OA$10)</formula>
    </cfRule>
    <cfRule type="expression" dxfId="195" priority="195">
      <formula>OR(BE11=$OA$12)</formula>
    </cfRule>
  </conditionalFormatting>
  <conditionalFormatting sqref="BH11:BK11">
    <cfRule type="expression" dxfId="179" priority="171" stopIfTrue="1">
      <formula>AND(BH$5&lt;&gt;"",VLOOKUP(BH$6,$NZ$16:$OA$22,2,0)&lt;&gt;"Yes")</formula>
    </cfRule>
    <cfRule type="expression" dxfId="178" priority="172" stopIfTrue="1">
      <formula>ISNUMBER(MATCH(DATE($A$2,$A$1+$A$3-1,BH$5),HolidayListNamedRange,0))</formula>
    </cfRule>
    <cfRule type="expression" dxfId="177" priority="173">
      <formula>OR(BH11=$OA$11)</formula>
    </cfRule>
    <cfRule type="expression" dxfId="176" priority="174">
      <formula>OR(BH11=$OA$8,BH11=$OA$9,BH11=$OA$10)</formula>
    </cfRule>
    <cfRule type="expression" dxfId="175" priority="175">
      <formula>OR(BH11=$OA$12)</formula>
    </cfRule>
  </conditionalFormatting>
  <conditionalFormatting sqref="CC11:CG11">
    <cfRule type="expression" dxfId="174" priority="166" stopIfTrue="1">
      <formula>AND(CC$5&lt;&gt;"",VLOOKUP(CC$6,$NZ$16:$OA$22,2,0)&lt;&gt;"Yes")</formula>
    </cfRule>
    <cfRule type="expression" dxfId="173" priority="167" stopIfTrue="1">
      <formula>ISNUMBER(MATCH(DATE($A$2,$A$1+$A$3-1,CC$5),HolidayListNamedRange,0))</formula>
    </cfRule>
    <cfRule type="expression" dxfId="172" priority="168">
      <formula>OR(CC11=$OA$11)</formula>
    </cfRule>
    <cfRule type="expression" dxfId="171" priority="169">
      <formula>OR(CC11=$OA$8,CC11=$OA$9,CC11=$OA$10)</formula>
    </cfRule>
    <cfRule type="expression" dxfId="170" priority="170">
      <formula>OR(CC11=$OA$12)</formula>
    </cfRule>
  </conditionalFormatting>
  <conditionalFormatting sqref="EO11:ES11">
    <cfRule type="expression" dxfId="169" priority="161" stopIfTrue="1">
      <formula>AND(EO$5&lt;&gt;"",VLOOKUP(EO$6,$NZ$16:$OA$22,2,0)&lt;&gt;"Yes")</formula>
    </cfRule>
    <cfRule type="expression" dxfId="168" priority="162" stopIfTrue="1">
      <formula>ISNUMBER(MATCH(DATE($A$2,$A$1+$A$3-1,EO$5),HolidayListNamedRange,0))</formula>
    </cfRule>
    <cfRule type="expression" dxfId="167" priority="163">
      <formula>OR(EO11=$OA$11)</formula>
    </cfRule>
    <cfRule type="expression" dxfId="166" priority="164">
      <formula>OR(EO11=$OA$8,EO11=$OA$9,EO11=$OA$10)</formula>
    </cfRule>
    <cfRule type="expression" dxfId="165" priority="165">
      <formula>OR(EO11=$OA$12)</formula>
    </cfRule>
  </conditionalFormatting>
  <conditionalFormatting sqref="CC14:CG14">
    <cfRule type="expression" dxfId="164" priority="156" stopIfTrue="1">
      <formula>AND(CC$5&lt;&gt;"",VLOOKUP(CC$6,$NZ$16:$OA$22,2,0)&lt;&gt;"Yes")</formula>
    </cfRule>
    <cfRule type="expression" dxfId="163" priority="157" stopIfTrue="1">
      <formula>ISNUMBER(MATCH(DATE($A$2,$A$1+$A$3-1,CC$5),HolidayListNamedRange,0))</formula>
    </cfRule>
    <cfRule type="expression" dxfId="162" priority="158">
      <formula>OR(CC14=$OA$11)</formula>
    </cfRule>
    <cfRule type="expression" dxfId="161" priority="159">
      <formula>OR(CC14=$OA$8,CC14=$OA$9,CC14=$OA$10)</formula>
    </cfRule>
    <cfRule type="expression" dxfId="160" priority="160">
      <formula>OR(CC14=$OA$12)</formula>
    </cfRule>
  </conditionalFormatting>
  <conditionalFormatting sqref="EV14:EZ14">
    <cfRule type="expression" dxfId="159" priority="151" stopIfTrue="1">
      <formula>AND(EV$5&lt;&gt;"",VLOOKUP(EV$6,$NZ$16:$OA$22,2,0)&lt;&gt;"Yes")</formula>
    </cfRule>
    <cfRule type="expression" dxfId="158" priority="152" stopIfTrue="1">
      <formula>ISNUMBER(MATCH(DATE($A$2,$A$1+$A$3-1,EV$5),HolidayListNamedRange,0))</formula>
    </cfRule>
    <cfRule type="expression" dxfId="157" priority="153">
      <formula>OR(EV14=$OA$11)</formula>
    </cfRule>
    <cfRule type="expression" dxfId="156" priority="154">
      <formula>OR(EV14=$OA$8,EV14=$OA$9,EV14=$OA$10)</formula>
    </cfRule>
    <cfRule type="expression" dxfId="155" priority="155">
      <formula>OR(EV14=$OA$12)</formula>
    </cfRule>
  </conditionalFormatting>
  <conditionalFormatting sqref="CK18:CN18">
    <cfRule type="expression" dxfId="149" priority="146" stopIfTrue="1">
      <formula>AND(CK$5&lt;&gt;"",VLOOKUP(CK$6,$NZ$16:$OA$22,2,0)&lt;&gt;"Yes")</formula>
    </cfRule>
    <cfRule type="expression" dxfId="148" priority="147" stopIfTrue="1">
      <formula>ISNUMBER(MATCH(DATE($A$2,$A$1+$A$3-1,CK$5),HolidayListNamedRange,0))</formula>
    </cfRule>
    <cfRule type="expression" dxfId="147" priority="148">
      <formula>OR(CK18=$OA$11)</formula>
    </cfRule>
    <cfRule type="expression" dxfId="146" priority="149">
      <formula>OR(CK18=$OA$8,CK18=$OA$9,CK18=$OA$10)</formula>
    </cfRule>
    <cfRule type="expression" dxfId="145" priority="150">
      <formula>OR(CK18=$OA$12)</formula>
    </cfRule>
  </conditionalFormatting>
  <conditionalFormatting sqref="BH18:BK18">
    <cfRule type="expression" dxfId="144" priority="141" stopIfTrue="1">
      <formula>AND(BH$5&lt;&gt;"",VLOOKUP(BH$6,$NZ$16:$OA$22,2,0)&lt;&gt;"Yes")</formula>
    </cfRule>
    <cfRule type="expression" dxfId="143" priority="142" stopIfTrue="1">
      <formula>ISNUMBER(MATCH(DATE($A$2,$A$1+$A$3-1,BH$5),HolidayListNamedRange,0))</formula>
    </cfRule>
    <cfRule type="expression" dxfId="142" priority="143">
      <formula>OR(BH18=$OA$11)</formula>
    </cfRule>
    <cfRule type="expression" dxfId="141" priority="144">
      <formula>OR(BH18=$OA$8,BH18=$OA$9,BH18=$OA$10)</formula>
    </cfRule>
    <cfRule type="expression" dxfId="140" priority="145">
      <formula>OR(BH18=$OA$12)</formula>
    </cfRule>
  </conditionalFormatting>
  <conditionalFormatting sqref="EH19:EL19">
    <cfRule type="expression" dxfId="139" priority="136" stopIfTrue="1">
      <formula>AND(EH$5&lt;&gt;"",VLOOKUP(EH$6,$NZ$16:$OA$22,2,0)&lt;&gt;"Yes")</formula>
    </cfRule>
    <cfRule type="expression" dxfId="138" priority="137" stopIfTrue="1">
      <formula>ISNUMBER(MATCH(DATE($A$2,$A$1+$A$3-1,EH$5),HolidayListNamedRange,0))</formula>
    </cfRule>
    <cfRule type="expression" dxfId="137" priority="138">
      <formula>OR(EH19=$OA$11)</formula>
    </cfRule>
    <cfRule type="expression" dxfId="136" priority="139">
      <formula>OR(EH19=$OA$8,EH19=$OA$9,EH19=$OA$10)</formula>
    </cfRule>
    <cfRule type="expression" dxfId="135" priority="140">
      <formula>OR(EH19=$OA$12)</formula>
    </cfRule>
  </conditionalFormatting>
  <conditionalFormatting sqref="BO20:BS20">
    <cfRule type="expression" dxfId="134" priority="131" stopIfTrue="1">
      <formula>AND(BO$5&lt;&gt;"",VLOOKUP(BO$6,$NZ$16:$OA$22,2,0)&lt;&gt;"Yes")</formula>
    </cfRule>
    <cfRule type="expression" dxfId="133" priority="132" stopIfTrue="1">
      <formula>ISNUMBER(MATCH(DATE($A$2,$A$1+$A$3-1,BO$5),HolidayListNamedRange,0))</formula>
    </cfRule>
    <cfRule type="expression" dxfId="132" priority="133">
      <formula>OR(BO20=$OA$11)</formula>
    </cfRule>
    <cfRule type="expression" dxfId="131" priority="134">
      <formula>OR(BO20=$OA$8,BO20=$OA$9,BO20=$OA$10)</formula>
    </cfRule>
    <cfRule type="expression" dxfId="130" priority="135">
      <formula>OR(BO20=$OA$12)</formula>
    </cfRule>
  </conditionalFormatting>
  <conditionalFormatting sqref="BB24:BE24">
    <cfRule type="expression" dxfId="129" priority="126" stopIfTrue="1">
      <formula>AND(BB$5&lt;&gt;"",VLOOKUP(BB$6,$NZ$16:$OA$22,2,0)&lt;&gt;"Yes")</formula>
    </cfRule>
    <cfRule type="expression" dxfId="128" priority="127" stopIfTrue="1">
      <formula>ISNUMBER(MATCH(DATE($A$2,$A$1+$A$3-1,BB$5),HolidayListNamedRange,0))</formula>
    </cfRule>
    <cfRule type="expression" dxfId="127" priority="128">
      <formula>OR(BB24=$OA$11)</formula>
    </cfRule>
    <cfRule type="expression" dxfId="126" priority="129">
      <formula>OR(BB24=$OA$8,BB24=$OA$9,BB24=$OA$10)</formula>
    </cfRule>
    <cfRule type="expression" dxfId="125" priority="130">
      <formula>OR(BB24=$OA$12)</formula>
    </cfRule>
  </conditionalFormatting>
  <conditionalFormatting sqref="CJ24:CN24">
    <cfRule type="expression" dxfId="124" priority="121" stopIfTrue="1">
      <formula>AND(CJ$5&lt;&gt;"",VLOOKUP(CJ$6,$NZ$16:$OA$22,2,0)&lt;&gt;"Yes")</formula>
    </cfRule>
    <cfRule type="expression" dxfId="123" priority="122" stopIfTrue="1">
      <formula>ISNUMBER(MATCH(DATE($A$2,$A$1+$A$3-1,CJ$5),HolidayListNamedRange,0))</formula>
    </cfRule>
    <cfRule type="expression" dxfId="122" priority="123">
      <formula>OR(CJ24=$OA$11)</formula>
    </cfRule>
    <cfRule type="expression" dxfId="121" priority="124">
      <formula>OR(CJ24=$OA$8,CJ24=$OA$9,CJ24=$OA$10)</formula>
    </cfRule>
    <cfRule type="expression" dxfId="120" priority="125">
      <formula>OR(CJ24=$OA$12)</formula>
    </cfRule>
  </conditionalFormatting>
  <conditionalFormatting sqref="EO24:ES24">
    <cfRule type="expression" dxfId="119" priority="116" stopIfTrue="1">
      <formula>AND(EO$5&lt;&gt;"",VLOOKUP(EO$6,$NZ$16:$OA$22,2,0)&lt;&gt;"Yes")</formula>
    </cfRule>
    <cfRule type="expression" dxfId="118" priority="117" stopIfTrue="1">
      <formula>ISNUMBER(MATCH(DATE($A$2,$A$1+$A$3-1,EO$5),HolidayListNamedRange,0))</formula>
    </cfRule>
    <cfRule type="expression" dxfId="117" priority="118">
      <formula>OR(EO24=$OA$11)</formula>
    </cfRule>
    <cfRule type="expression" dxfId="116" priority="119">
      <formula>OR(EO24=$OA$8,EO24=$OA$9,EO24=$OA$10)</formula>
    </cfRule>
    <cfRule type="expression" dxfId="115" priority="120">
      <formula>OR(EO24=$OA$12)</formula>
    </cfRule>
  </conditionalFormatting>
  <conditionalFormatting sqref="BR25:BS25">
    <cfRule type="expression" dxfId="114" priority="111" stopIfTrue="1">
      <formula>AND(BR$5&lt;&gt;"",VLOOKUP(BR$6,$NZ$16:$OA$22,2,0)&lt;&gt;"Yes")</formula>
    </cfRule>
    <cfRule type="expression" dxfId="113" priority="112" stopIfTrue="1">
      <formula>ISNUMBER(MATCH(DATE($A$2,$A$1+$A$3-1,BR$5),HolidayListNamedRange,0))</formula>
    </cfRule>
    <cfRule type="expression" dxfId="112" priority="113">
      <formula>OR(BR25=$OA$11)</formula>
    </cfRule>
    <cfRule type="expression" dxfId="111" priority="114">
      <formula>OR(BR25=$OA$8,BR25=$OA$9,BR25=$OA$10)</formula>
    </cfRule>
    <cfRule type="expression" dxfId="110" priority="115">
      <formula>OR(BR25=$OA$12)</formula>
    </cfRule>
  </conditionalFormatting>
  <conditionalFormatting sqref="CC25:CG25">
    <cfRule type="expression" dxfId="109" priority="106" stopIfTrue="1">
      <formula>AND(CC$5&lt;&gt;"",VLOOKUP(CC$6,$NZ$16:$OA$22,2,0)&lt;&gt;"Yes")</formula>
    </cfRule>
    <cfRule type="expression" dxfId="108" priority="107" stopIfTrue="1">
      <formula>ISNUMBER(MATCH(DATE($A$2,$A$1+$A$3-1,CC$5),HolidayListNamedRange,0))</formula>
    </cfRule>
    <cfRule type="expression" dxfId="107" priority="108">
      <formula>OR(CC25=$OA$11)</formula>
    </cfRule>
    <cfRule type="expression" dxfId="106" priority="109">
      <formula>OR(CC25=$OA$8,CC25=$OA$9,CC25=$OA$10)</formula>
    </cfRule>
    <cfRule type="expression" dxfId="105" priority="110">
      <formula>OR(CC25=$OA$12)</formula>
    </cfRule>
  </conditionalFormatting>
  <conditionalFormatting sqref="EH25:EL25">
    <cfRule type="expression" dxfId="104" priority="101" stopIfTrue="1">
      <formula>AND(EH$5&lt;&gt;"",VLOOKUP(EH$6,$NZ$16:$OA$22,2,0)&lt;&gt;"Yes")</formula>
    </cfRule>
    <cfRule type="expression" dxfId="103" priority="102" stopIfTrue="1">
      <formula>ISNUMBER(MATCH(DATE($A$2,$A$1+$A$3-1,EH$5),HolidayListNamedRange,0))</formula>
    </cfRule>
    <cfRule type="expression" dxfId="102" priority="103">
      <formula>OR(EH25=$OA$11)</formula>
    </cfRule>
    <cfRule type="expression" dxfId="101" priority="104">
      <formula>OR(EH25=$OA$8,EH25=$OA$9,EH25=$OA$10)</formula>
    </cfRule>
    <cfRule type="expression" dxfId="100" priority="105">
      <formula>OR(EH25=$OA$12)</formula>
    </cfRule>
  </conditionalFormatting>
  <conditionalFormatting sqref="CL27:CN27">
    <cfRule type="expression" dxfId="99" priority="96" stopIfTrue="1">
      <formula>AND(CL$5&lt;&gt;"",VLOOKUP(CL$6,$NZ$16:$OA$22,2,0)&lt;&gt;"Yes")</formula>
    </cfRule>
    <cfRule type="expression" dxfId="98" priority="97" stopIfTrue="1">
      <formula>ISNUMBER(MATCH(DATE($A$2,$A$1+$A$3-1,CL$5),HolidayListNamedRange,0))</formula>
    </cfRule>
    <cfRule type="expression" dxfId="97" priority="98">
      <formula>OR(CL27=$OA$11)</formula>
    </cfRule>
    <cfRule type="expression" dxfId="96" priority="99">
      <formula>OR(CL27=$OA$8,CL27=$OA$9,CL27=$OA$10)</formula>
    </cfRule>
    <cfRule type="expression" dxfId="95" priority="100">
      <formula>OR(CL27=$OA$12)</formula>
    </cfRule>
  </conditionalFormatting>
  <conditionalFormatting sqref="EV27:EZ27">
    <cfRule type="expression" dxfId="94" priority="91" stopIfTrue="1">
      <formula>AND(EV$5&lt;&gt;"",VLOOKUP(EV$6,$NZ$16:$OA$22,2,0)&lt;&gt;"Yes")</formula>
    </cfRule>
    <cfRule type="expression" dxfId="93" priority="92" stopIfTrue="1">
      <formula>ISNUMBER(MATCH(DATE($A$2,$A$1+$A$3-1,EV$5),HolidayListNamedRange,0))</formula>
    </cfRule>
    <cfRule type="expression" dxfId="92" priority="93">
      <formula>OR(EV27=$OA$11)</formula>
    </cfRule>
    <cfRule type="expression" dxfId="91" priority="94">
      <formula>OR(EV27=$OA$8,EV27=$OA$9,EV27=$OA$10)</formula>
    </cfRule>
    <cfRule type="expression" dxfId="90" priority="95">
      <formula>OR(EV27=$OA$12)</formula>
    </cfRule>
  </conditionalFormatting>
  <conditionalFormatting sqref="BW26:BZ26">
    <cfRule type="expression" dxfId="89" priority="86" stopIfTrue="1">
      <formula>AND(BW$5&lt;&gt;"",VLOOKUP(BW$6,$NZ$16:$OA$22,2,0)&lt;&gt;"Yes")</formula>
    </cfRule>
    <cfRule type="expression" dxfId="88" priority="87" stopIfTrue="1">
      <formula>ISNUMBER(MATCH(DATE($A$2,$A$1+$A$3-1,BW$5),HolidayListNamedRange,0))</formula>
    </cfRule>
    <cfRule type="expression" dxfId="87" priority="88">
      <formula>OR(BW26=$OA$11)</formula>
    </cfRule>
    <cfRule type="expression" dxfId="86" priority="89">
      <formula>OR(BW26=$OA$8,BW26=$OA$9,BW26=$OA$10)</formula>
    </cfRule>
    <cfRule type="expression" dxfId="85" priority="90">
      <formula>OR(BW26=$OA$12)</formula>
    </cfRule>
  </conditionalFormatting>
  <conditionalFormatting sqref="DM26:DQ26">
    <cfRule type="expression" dxfId="84" priority="81" stopIfTrue="1">
      <formula>AND(DM$5&lt;&gt;"",VLOOKUP(DM$6,$NZ$16:$OA$22,2,0)&lt;&gt;"Yes")</formula>
    </cfRule>
    <cfRule type="expression" dxfId="83" priority="82" stopIfTrue="1">
      <formula>ISNUMBER(MATCH(DATE($A$2,$A$1+$A$3-1,DM$5),HolidayListNamedRange,0))</formula>
    </cfRule>
    <cfRule type="expression" dxfId="82" priority="83">
      <formula>OR(DM26=$OA$11)</formula>
    </cfRule>
    <cfRule type="expression" dxfId="81" priority="84">
      <formula>OR(DM26=$OA$8,DM26=$OA$9,DM26=$OA$10)</formula>
    </cfRule>
    <cfRule type="expression" dxfId="80" priority="85">
      <formula>OR(DM26=$OA$12)</formula>
    </cfRule>
  </conditionalFormatting>
  <conditionalFormatting sqref="CF29:CG29">
    <cfRule type="expression" dxfId="79" priority="76" stopIfTrue="1">
      <formula>AND(CF$5&lt;&gt;"",VLOOKUP(CF$6,$NZ$16:$OA$22,2,0)&lt;&gt;"Yes")</formula>
    </cfRule>
    <cfRule type="expression" dxfId="78" priority="77" stopIfTrue="1">
      <formula>ISNUMBER(MATCH(DATE($A$2,$A$1+$A$3-1,CF$5),HolidayListNamedRange,0))</formula>
    </cfRule>
    <cfRule type="expression" dxfId="77" priority="78">
      <formula>OR(CF29=$OA$11)</formula>
    </cfRule>
    <cfRule type="expression" dxfId="76" priority="79">
      <formula>OR(CF29=$OA$8,CF29=$OA$9,CF29=$OA$10)</formula>
    </cfRule>
    <cfRule type="expression" dxfId="75" priority="80">
      <formula>OR(CF29=$OA$12)</formula>
    </cfRule>
  </conditionalFormatting>
  <conditionalFormatting sqref="EH29:EL29">
    <cfRule type="expression" dxfId="74" priority="71" stopIfTrue="1">
      <formula>AND(EH$5&lt;&gt;"",VLOOKUP(EH$6,$NZ$16:$OA$22,2,0)&lt;&gt;"Yes")</formula>
    </cfRule>
    <cfRule type="expression" dxfId="73" priority="72" stopIfTrue="1">
      <formula>ISNUMBER(MATCH(DATE($A$2,$A$1+$A$3-1,EH$5),HolidayListNamedRange,0))</formula>
    </cfRule>
    <cfRule type="expression" dxfId="72" priority="73">
      <formula>OR(EH29=$OA$11)</formula>
    </cfRule>
    <cfRule type="expression" dxfId="71" priority="74">
      <formula>OR(EH29=$OA$8,EH29=$OA$9,EH29=$OA$10)</formula>
    </cfRule>
    <cfRule type="expression" dxfId="70" priority="75">
      <formula>OR(EH29=$OA$12)</formula>
    </cfRule>
  </conditionalFormatting>
  <conditionalFormatting sqref="BX30:BZ30">
    <cfRule type="expression" dxfId="69" priority="66" stopIfTrue="1">
      <formula>AND(BX$5&lt;&gt;"",VLOOKUP(BX$6,$NZ$16:$OA$22,2,0)&lt;&gt;"Yes")</formula>
    </cfRule>
    <cfRule type="expression" dxfId="68" priority="67" stopIfTrue="1">
      <formula>ISNUMBER(MATCH(DATE($A$2,$A$1+$A$3-1,BX$5),HolidayListNamedRange,0))</formula>
    </cfRule>
    <cfRule type="expression" dxfId="67" priority="68">
      <formula>OR(BX30=$OA$11)</formula>
    </cfRule>
    <cfRule type="expression" dxfId="66" priority="69">
      <formula>OR(BX30=$OA$8,BX30=$OA$9,BX30=$OA$10)</formula>
    </cfRule>
    <cfRule type="expression" dxfId="65" priority="70">
      <formula>OR(BX30=$OA$12)</formula>
    </cfRule>
  </conditionalFormatting>
  <conditionalFormatting sqref="BJ31:BK31">
    <cfRule type="expression" dxfId="64" priority="61" stopIfTrue="1">
      <formula>AND(BJ$5&lt;&gt;"",VLOOKUP(BJ$6,$NZ$16:$OA$22,2,0)&lt;&gt;"Yes")</formula>
    </cfRule>
    <cfRule type="expression" dxfId="63" priority="62" stopIfTrue="1">
      <formula>ISNUMBER(MATCH(DATE($A$2,$A$1+$A$3-1,BJ$5),HolidayListNamedRange,0))</formula>
    </cfRule>
    <cfRule type="expression" dxfId="62" priority="63">
      <formula>OR(BJ31=$OA$11)</formula>
    </cfRule>
    <cfRule type="expression" dxfId="61" priority="64">
      <formula>OR(BJ31=$OA$8,BJ31=$OA$9,BJ31=$OA$10)</formula>
    </cfRule>
    <cfRule type="expression" dxfId="60" priority="65">
      <formula>OR(BJ31=$OA$12)</formula>
    </cfRule>
  </conditionalFormatting>
  <conditionalFormatting sqref="CC31:CG31">
    <cfRule type="expression" dxfId="59" priority="56" stopIfTrue="1">
      <formula>AND(CC$5&lt;&gt;"",VLOOKUP(CC$6,$NZ$16:$OA$22,2,0)&lt;&gt;"Yes")</formula>
    </cfRule>
    <cfRule type="expression" dxfId="58" priority="57" stopIfTrue="1">
      <formula>ISNUMBER(MATCH(DATE($A$2,$A$1+$A$3-1,CC$5),HolidayListNamedRange,0))</formula>
    </cfRule>
    <cfRule type="expression" dxfId="57" priority="58">
      <formula>OR(CC31=$OA$11)</formula>
    </cfRule>
    <cfRule type="expression" dxfId="56" priority="59">
      <formula>OR(CC31=$OA$8,CC31=$OA$9,CC31=$OA$10)</formula>
    </cfRule>
    <cfRule type="expression" dxfId="55" priority="60">
      <formula>OR(CC31=$OA$12)</formula>
    </cfRule>
  </conditionalFormatting>
  <conditionalFormatting sqref="DF31:DJ31">
    <cfRule type="expression" dxfId="54" priority="51" stopIfTrue="1">
      <formula>AND(DF$5&lt;&gt;"",VLOOKUP(DF$6,$NZ$16:$OA$22,2,0)&lt;&gt;"Yes")</formula>
    </cfRule>
    <cfRule type="expression" dxfId="53" priority="52" stopIfTrue="1">
      <formula>ISNUMBER(MATCH(DATE($A$2,$A$1+$A$3-1,DF$5),HolidayListNamedRange,0))</formula>
    </cfRule>
    <cfRule type="expression" dxfId="52" priority="53">
      <formula>OR(DF31=$OA$11)</formula>
    </cfRule>
    <cfRule type="expression" dxfId="51" priority="54">
      <formula>OR(DF31=$OA$8,DF31=$OA$9,DF31=$OA$10)</formula>
    </cfRule>
    <cfRule type="expression" dxfId="50" priority="55">
      <formula>OR(DF31=$OA$12)</formula>
    </cfRule>
  </conditionalFormatting>
  <conditionalFormatting sqref="BY33:BZ33">
    <cfRule type="expression" dxfId="49" priority="46" stopIfTrue="1">
      <formula>AND(BY$5&lt;&gt;"",VLOOKUP(BY$6,$NZ$16:$OA$22,2,0)&lt;&gt;"Yes")</formula>
    </cfRule>
    <cfRule type="expression" dxfId="48" priority="47" stopIfTrue="1">
      <formula>ISNUMBER(MATCH(DATE($A$2,$A$1+$A$3-1,BY$5),HolidayListNamedRange,0))</formula>
    </cfRule>
    <cfRule type="expression" dxfId="47" priority="48">
      <formula>OR(BY33=$OA$11)</formula>
    </cfRule>
    <cfRule type="expression" dxfId="46" priority="49">
      <formula>OR(BY33=$OA$8,BY33=$OA$9,BY33=$OA$10)</formula>
    </cfRule>
    <cfRule type="expression" dxfId="45" priority="50">
      <formula>OR(BY33=$OA$12)</formula>
    </cfRule>
  </conditionalFormatting>
  <conditionalFormatting sqref="EH33:EL33">
    <cfRule type="expression" dxfId="44" priority="41" stopIfTrue="1">
      <formula>AND(EH$5&lt;&gt;"",VLOOKUP(EH$6,$NZ$16:$OA$22,2,0)&lt;&gt;"Yes")</formula>
    </cfRule>
    <cfRule type="expression" dxfId="43" priority="42" stopIfTrue="1">
      <formula>ISNUMBER(MATCH(DATE($A$2,$A$1+$A$3-1,EH$5),HolidayListNamedRange,0))</formula>
    </cfRule>
    <cfRule type="expression" dxfId="42" priority="43">
      <formula>OR(EH33=$OA$11)</formula>
    </cfRule>
    <cfRule type="expression" dxfId="41" priority="44">
      <formula>OR(EH33=$OA$8,EH33=$OA$9,EH33=$OA$10)</formula>
    </cfRule>
    <cfRule type="expression" dxfId="40" priority="45">
      <formula>OR(EH33=$OA$12)</formula>
    </cfRule>
  </conditionalFormatting>
  <conditionalFormatting sqref="BY35:BZ35">
    <cfRule type="expression" dxfId="39" priority="36" stopIfTrue="1">
      <formula>AND(BY$5&lt;&gt;"",VLOOKUP(BY$6,$NZ$16:$OA$22,2,0)&lt;&gt;"Yes")</formula>
    </cfRule>
    <cfRule type="expression" dxfId="38" priority="37" stopIfTrue="1">
      <formula>ISNUMBER(MATCH(DATE($A$2,$A$1+$A$3-1,BY$5),HolidayListNamedRange,0))</formula>
    </cfRule>
    <cfRule type="expression" dxfId="37" priority="38">
      <formula>OR(BY35=$OA$11)</formula>
    </cfRule>
    <cfRule type="expression" dxfId="36" priority="39">
      <formula>OR(BY35=$OA$8,BY35=$OA$9,BY35=$OA$10)</formula>
    </cfRule>
    <cfRule type="expression" dxfId="35" priority="40">
      <formula>OR(BY35=$OA$12)</formula>
    </cfRule>
  </conditionalFormatting>
  <conditionalFormatting sqref="CY35:DC35">
    <cfRule type="expression" dxfId="34" priority="31" stopIfTrue="1">
      <formula>AND(CY$5&lt;&gt;"",VLOOKUP(CY$6,$NZ$16:$OA$22,2,0)&lt;&gt;"Yes")</formula>
    </cfRule>
    <cfRule type="expression" dxfId="33" priority="32" stopIfTrue="1">
      <formula>ISNUMBER(MATCH(DATE($A$2,$A$1+$A$3-1,CY$5),HolidayListNamedRange,0))</formula>
    </cfRule>
    <cfRule type="expression" dxfId="32" priority="33">
      <formula>OR(CY35=$OA$11)</formula>
    </cfRule>
    <cfRule type="expression" dxfId="31" priority="34">
      <formula>OR(CY35=$OA$8,CY35=$OA$9,CY35=$OA$10)</formula>
    </cfRule>
    <cfRule type="expression" dxfId="30" priority="35">
      <formula>OR(CY35=$OA$12)</formula>
    </cfRule>
  </conditionalFormatting>
  <conditionalFormatting sqref="CD37:CG37">
    <cfRule type="expression" dxfId="29" priority="26" stopIfTrue="1">
      <formula>AND(CD$5&lt;&gt;"",VLOOKUP(CD$6,$NZ$16:$OA$22,2,0)&lt;&gt;"Yes")</formula>
    </cfRule>
    <cfRule type="expression" dxfId="28" priority="27" stopIfTrue="1">
      <formula>ISNUMBER(MATCH(DATE($A$2,$A$1+$A$3-1,CD$5),HolidayListNamedRange,0))</formula>
    </cfRule>
    <cfRule type="expression" dxfId="27" priority="28">
      <formula>OR(CD37=$OA$11)</formula>
    </cfRule>
    <cfRule type="expression" dxfId="26" priority="29">
      <formula>OR(CD37=$OA$8,CD37=$OA$9,CD37=$OA$10)</formula>
    </cfRule>
    <cfRule type="expression" dxfId="25" priority="30">
      <formula>OR(CD37=$OA$12)</formula>
    </cfRule>
  </conditionalFormatting>
  <conditionalFormatting sqref="EV37:EZ37">
    <cfRule type="expression" dxfId="24" priority="21" stopIfTrue="1">
      <formula>AND(EV$5&lt;&gt;"",VLOOKUP(EV$6,$NZ$16:$OA$22,2,0)&lt;&gt;"Yes")</formula>
    </cfRule>
    <cfRule type="expression" dxfId="23" priority="22" stopIfTrue="1">
      <formula>ISNUMBER(MATCH(DATE($A$2,$A$1+$A$3-1,EV$5),HolidayListNamedRange,0))</formula>
    </cfRule>
    <cfRule type="expression" dxfId="22" priority="23">
      <formula>OR(EV37=$OA$11)</formula>
    </cfRule>
    <cfRule type="expression" dxfId="21" priority="24">
      <formula>OR(EV37=$OA$8,EV37=$OA$9,EV37=$OA$10)</formula>
    </cfRule>
    <cfRule type="expression" dxfId="20" priority="25">
      <formula>OR(EV37=$OA$12)</formula>
    </cfRule>
  </conditionalFormatting>
  <conditionalFormatting sqref="EW39:EZ39">
    <cfRule type="expression" dxfId="19" priority="16" stopIfTrue="1">
      <formula>AND(EW$5&lt;&gt;"",VLOOKUP(EW$6,$NZ$16:$OA$22,2,0)&lt;&gt;"Yes")</formula>
    </cfRule>
    <cfRule type="expression" dxfId="18" priority="17" stopIfTrue="1">
      <formula>ISNUMBER(MATCH(DATE($A$2,$A$1+$A$3-1,EW$5),HolidayListNamedRange,0))</formula>
    </cfRule>
    <cfRule type="expression" dxfId="17" priority="18">
      <formula>OR(EW39=$OA$11)</formula>
    </cfRule>
    <cfRule type="expression" dxfId="16" priority="19">
      <formula>OR(EW39=$OA$8,EW39=$OA$9,EW39=$OA$10)</formula>
    </cfRule>
    <cfRule type="expression" dxfId="15" priority="20">
      <formula>OR(EW39=$OA$12)</formula>
    </cfRule>
  </conditionalFormatting>
  <conditionalFormatting sqref="EC40:EE40">
    <cfRule type="expression" dxfId="14" priority="11" stopIfTrue="1">
      <formula>AND(EC$5&lt;&gt;"",VLOOKUP(EC$6,$NZ$16:$OA$22,2,0)&lt;&gt;"Yes")</formula>
    </cfRule>
    <cfRule type="expression" dxfId="13" priority="12" stopIfTrue="1">
      <formula>ISNUMBER(MATCH(DATE($A$2,$A$1+$A$3-1,EC$5),HolidayListNamedRange,0))</formula>
    </cfRule>
    <cfRule type="expression" dxfId="12" priority="13">
      <formula>OR(EC40=$OA$11)</formula>
    </cfRule>
    <cfRule type="expression" dxfId="11" priority="14">
      <formula>OR(EC40=$OA$8,EC40=$OA$9,EC40=$OA$10)</formula>
    </cfRule>
    <cfRule type="expression" dxfId="10" priority="15">
      <formula>OR(EC40=$OA$12)</formula>
    </cfRule>
  </conditionalFormatting>
  <conditionalFormatting sqref="CM41:CN41">
    <cfRule type="expression" dxfId="9" priority="6" stopIfTrue="1">
      <formula>AND(CM$5&lt;&gt;"",VLOOKUP(CM$6,$NZ$16:$OA$22,2,0)&lt;&gt;"Yes")</formula>
    </cfRule>
    <cfRule type="expression" dxfId="8" priority="7" stopIfTrue="1">
      <formula>ISNUMBER(MATCH(DATE($A$2,$A$1+$A$3-1,CM$5),HolidayListNamedRange,0))</formula>
    </cfRule>
    <cfRule type="expression" dxfId="7" priority="8">
      <formula>OR(CM41=$OA$11)</formula>
    </cfRule>
    <cfRule type="expression" dxfId="6" priority="9">
      <formula>OR(CM41=$OA$8,CM41=$OA$9,CM41=$OA$10)</formula>
    </cfRule>
    <cfRule type="expression" dxfId="5" priority="10">
      <formula>OR(CM41=$OA$12)</formula>
    </cfRule>
  </conditionalFormatting>
  <conditionalFormatting sqref="EH41:EL41">
    <cfRule type="expression" dxfId="4" priority="1" stopIfTrue="1">
      <formula>AND(EH$5&lt;&gt;"",VLOOKUP(EH$6,$NZ$16:$OA$22,2,0)&lt;&gt;"Yes")</formula>
    </cfRule>
    <cfRule type="expression" dxfId="3" priority="2" stopIfTrue="1">
      <formula>ISNUMBER(MATCH(DATE($A$2,$A$1+$A$3-1,EH$5),HolidayListNamedRange,0))</formula>
    </cfRule>
    <cfRule type="expression" dxfId="2" priority="3">
      <formula>OR(EH41=$OA$11)</formula>
    </cfRule>
    <cfRule type="expression" dxfId="1" priority="4">
      <formula>OR(EH41=$OA$8,EH41=$OA$9,EH41=$OA$10)</formula>
    </cfRule>
    <cfRule type="expression" dxfId="0" priority="5">
      <formula>OR(EH41=$OA$12)</formula>
    </cfRule>
  </conditionalFormatting>
  <dataValidations count="3">
    <dataValidation type="list" allowBlank="1" showInputMessage="1" showErrorMessage="1" sqref="OA16:OA22">
      <formula1>"Yes, No"</formula1>
    </dataValidation>
    <dataValidation type="custom" allowBlank="1" showErrorMessage="1" errorTitle="Not a Valid Date" error="This isn't a valid Date" sqref="B8:NI57">
      <formula1>B$6&lt;&gt;""</formula1>
    </dataValidation>
    <dataValidation type="list" allowBlank="1" showInputMessage="1" showErrorMessage="1" sqref="A1">
      <formula1>"1,2,3,4,5,6,7,8,9,10,11,12"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6"/>
  <sheetViews>
    <sheetView showGridLines="0" zoomScale="115" zoomScaleNormal="115" workbookViewId="0">
      <selection activeCell="G2" sqref="G2"/>
    </sheetView>
  </sheetViews>
  <sheetFormatPr defaultRowHeight="14.25" x14ac:dyDescent="0.45"/>
  <cols>
    <col min="1" max="1" width="21.3984375" customWidth="1"/>
    <col min="2" max="2" width="12.1328125" customWidth="1"/>
    <col min="4" max="4" width="10.46484375" bestFit="1" customWidth="1"/>
    <col min="5" max="5" width="12.265625" customWidth="1"/>
    <col min="6" max="6" width="11.46484375" customWidth="1"/>
    <col min="7" max="7" width="25.73046875" customWidth="1"/>
  </cols>
  <sheetData>
    <row r="1" spans="1:7" x14ac:dyDescent="0.45">
      <c r="A1" s="10" t="s">
        <v>66</v>
      </c>
      <c r="B1" s="11" t="s">
        <v>20</v>
      </c>
      <c r="E1" s="33" t="s">
        <v>36</v>
      </c>
      <c r="F1" s="34" t="s">
        <v>37</v>
      </c>
      <c r="G1" s="35" t="s">
        <v>38</v>
      </c>
    </row>
    <row r="2" spans="1:7" x14ac:dyDescent="0.45">
      <c r="A2" s="40"/>
      <c r="B2" s="19"/>
      <c r="D2" s="6"/>
      <c r="E2" s="29">
        <v>43201</v>
      </c>
      <c r="F2" s="29">
        <v>43361</v>
      </c>
      <c r="G2" s="30">
        <f>DATEDIF(E2,F2,"d") + 1 + (DATEDIF(DATE(YEAR(E2),MONTH(E2),1),DATE(YEAR(F2),MONTH(F2),1),"m")*31 - DATEDIF(DATE(YEAR(E2),MONTH(E2),1),DATE(YEAR(F2),MONTH(F2),1),"d"))</f>
        <v>163</v>
      </c>
    </row>
    <row r="3" spans="1:7" x14ac:dyDescent="0.45">
      <c r="E3" s="31"/>
      <c r="F3" s="31"/>
      <c r="G3" s="31"/>
    </row>
    <row r="4" spans="1:7" x14ac:dyDescent="0.45">
      <c r="E4" s="31"/>
      <c r="F4" s="31"/>
      <c r="G4" s="31"/>
    </row>
    <row r="5" spans="1:7" x14ac:dyDescent="0.45">
      <c r="A5" s="38" t="s">
        <v>39</v>
      </c>
      <c r="B5" s="39" t="s">
        <v>20</v>
      </c>
      <c r="E5" s="31"/>
      <c r="F5" s="31"/>
      <c r="G5" s="31"/>
    </row>
    <row r="6" spans="1:7" x14ac:dyDescent="0.45">
      <c r="A6" s="40" t="s">
        <v>52</v>
      </c>
      <c r="B6" s="19">
        <v>43241</v>
      </c>
      <c r="E6" s="31"/>
      <c r="F6" s="31"/>
      <c r="G6" s="31"/>
    </row>
    <row r="7" spans="1:7" x14ac:dyDescent="0.45">
      <c r="A7" s="40" t="s">
        <v>53</v>
      </c>
      <c r="B7" s="19">
        <v>43648</v>
      </c>
      <c r="E7" s="31"/>
      <c r="F7" s="31"/>
      <c r="G7" s="31"/>
    </row>
    <row r="8" spans="1:7" x14ac:dyDescent="0.45">
      <c r="A8" s="40" t="s">
        <v>54</v>
      </c>
      <c r="B8" s="19">
        <v>43318</v>
      </c>
      <c r="E8" s="31"/>
      <c r="F8" s="31"/>
      <c r="G8" s="31"/>
    </row>
    <row r="9" spans="1:7" x14ac:dyDescent="0.45">
      <c r="A9" s="40" t="s">
        <v>55</v>
      </c>
      <c r="B9" s="19">
        <v>43346</v>
      </c>
      <c r="E9" s="31"/>
      <c r="F9" s="31"/>
      <c r="G9" s="31"/>
    </row>
    <row r="10" spans="1:7" x14ac:dyDescent="0.45">
      <c r="A10" s="40" t="s">
        <v>56</v>
      </c>
      <c r="B10" s="19">
        <v>43381</v>
      </c>
      <c r="E10" s="31"/>
      <c r="F10" s="31"/>
      <c r="G10" s="31"/>
    </row>
    <row r="11" spans="1:7" x14ac:dyDescent="0.45">
      <c r="A11" s="18" t="s">
        <v>57</v>
      </c>
      <c r="B11" s="19">
        <v>43459</v>
      </c>
      <c r="E11" s="31"/>
      <c r="F11" s="31"/>
      <c r="G11" s="31"/>
    </row>
    <row r="12" spans="1:7" x14ac:dyDescent="0.45">
      <c r="A12" s="40" t="s">
        <v>58</v>
      </c>
      <c r="B12" s="19">
        <v>43460</v>
      </c>
      <c r="E12" s="31"/>
      <c r="F12" s="31"/>
      <c r="G12" s="31"/>
    </row>
    <row r="13" spans="1:7" x14ac:dyDescent="0.45">
      <c r="A13" s="40" t="s">
        <v>21</v>
      </c>
      <c r="B13" s="19">
        <v>43466</v>
      </c>
    </row>
    <row r="14" spans="1:7" x14ac:dyDescent="0.45">
      <c r="A14" s="40" t="s">
        <v>59</v>
      </c>
      <c r="B14" s="19">
        <v>43149</v>
      </c>
    </row>
    <row r="15" spans="1:7" x14ac:dyDescent="0.45">
      <c r="E15" s="6"/>
      <c r="F15" s="6"/>
    </row>
    <row r="17" spans="1:2" x14ac:dyDescent="0.45">
      <c r="A17" s="38" t="s">
        <v>40</v>
      </c>
      <c r="B17" s="39" t="s">
        <v>20</v>
      </c>
    </row>
    <row r="18" spans="1:2" x14ac:dyDescent="0.45">
      <c r="A18" s="40" t="s">
        <v>60</v>
      </c>
      <c r="B18" s="19">
        <v>43207</v>
      </c>
    </row>
    <row r="19" spans="1:2" x14ac:dyDescent="0.45">
      <c r="A19" s="40" t="s">
        <v>55</v>
      </c>
      <c r="B19" s="19">
        <v>43221</v>
      </c>
    </row>
    <row r="20" spans="1:2" x14ac:dyDescent="0.45">
      <c r="A20" s="40" t="s">
        <v>61</v>
      </c>
      <c r="B20" s="19">
        <v>43229</v>
      </c>
    </row>
    <row r="21" spans="1:2" x14ac:dyDescent="0.45">
      <c r="A21" s="40" t="s">
        <v>62</v>
      </c>
      <c r="B21" s="19">
        <v>43284</v>
      </c>
    </row>
    <row r="22" spans="1:2" x14ac:dyDescent="0.45">
      <c r="A22" s="40" t="s">
        <v>63</v>
      </c>
      <c r="B22" s="19">
        <v>43411</v>
      </c>
    </row>
    <row r="23" spans="1:2" x14ac:dyDescent="0.45">
      <c r="A23" s="18" t="s">
        <v>57</v>
      </c>
      <c r="B23" s="19">
        <v>43459</v>
      </c>
    </row>
    <row r="24" spans="1:2" x14ac:dyDescent="0.45">
      <c r="A24" s="40" t="s">
        <v>21</v>
      </c>
      <c r="B24" s="19">
        <v>43466</v>
      </c>
    </row>
    <row r="25" spans="1:2" x14ac:dyDescent="0.45">
      <c r="A25" s="40" t="s">
        <v>64</v>
      </c>
      <c r="B25" s="19">
        <v>43472</v>
      </c>
    </row>
    <row r="26" spans="1:2" x14ac:dyDescent="0.45">
      <c r="A26" s="40" t="s">
        <v>65</v>
      </c>
      <c r="B26" s="19">
        <v>43532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3"/>
  <sheetViews>
    <sheetView showGridLines="0" zoomScaleNormal="100" workbookViewId="0">
      <selection activeCell="B10" sqref="B10"/>
    </sheetView>
  </sheetViews>
  <sheetFormatPr defaultRowHeight="14.25" x14ac:dyDescent="0.45"/>
  <cols>
    <col min="1" max="1" width="17.6640625" customWidth="1"/>
    <col min="2" max="2" width="9.06640625" customWidth="1"/>
    <col min="3" max="4" width="9.86328125" customWidth="1"/>
    <col min="5" max="5" width="13.33203125" style="45" customWidth="1"/>
    <col min="6" max="6" width="10.53125" customWidth="1"/>
    <col min="7" max="10" width="9.86328125" customWidth="1"/>
    <col min="11" max="11" width="10.86328125" customWidth="1"/>
    <col min="15" max="16" width="9.19921875" bestFit="1" customWidth="1"/>
    <col min="17" max="17" width="9.3984375" customWidth="1"/>
  </cols>
  <sheetData>
    <row r="1" spans="1:18" x14ac:dyDescent="0.45">
      <c r="A1" s="45" t="s">
        <v>22</v>
      </c>
      <c r="B1" s="45" t="s">
        <v>110</v>
      </c>
      <c r="C1" s="45" t="s">
        <v>111</v>
      </c>
      <c r="D1" s="45" t="s">
        <v>120</v>
      </c>
      <c r="E1" s="45" t="s">
        <v>131</v>
      </c>
      <c r="F1" s="45" t="s">
        <v>130</v>
      </c>
      <c r="G1" s="45" t="s">
        <v>135</v>
      </c>
      <c r="H1" s="45" t="s">
        <v>136</v>
      </c>
      <c r="I1" s="45" t="s">
        <v>137</v>
      </c>
      <c r="J1" s="45" t="s">
        <v>138</v>
      </c>
      <c r="K1" s="45" t="s">
        <v>139</v>
      </c>
      <c r="L1" t="s">
        <v>140</v>
      </c>
      <c r="M1" t="s">
        <v>141</v>
      </c>
      <c r="N1" t="s">
        <v>143</v>
      </c>
      <c r="O1" s="31" t="s">
        <v>144</v>
      </c>
      <c r="P1" s="31" t="s">
        <v>145</v>
      </c>
      <c r="Q1" t="s">
        <v>146</v>
      </c>
      <c r="R1" t="s">
        <v>147</v>
      </c>
    </row>
    <row r="2" spans="1:18" x14ac:dyDescent="0.45">
      <c r="A2" t="s">
        <v>41</v>
      </c>
      <c r="B2" t="s">
        <v>112</v>
      </c>
      <c r="C2" t="s">
        <v>117</v>
      </c>
      <c r="D2" t="s">
        <v>121</v>
      </c>
      <c r="E2" s="45" t="s">
        <v>124</v>
      </c>
      <c r="F2" s="47">
        <v>0.1</v>
      </c>
      <c r="G2">
        <f t="array" aca="1" ref="G2" ca="1">Sheet3!$W$2*$F2*(NETWORKDAYS(VLOOKUP(G$1,Sprints[],2,FALSE), VLOOKUP(G$1,Sprints[],3,FALSE))-SUMPRODUCT((OFFSET(INDIRECT(CELL("address",INDEX('Leave Tracker'!$A$8:$A$100,MATCH($A2,'Leave Tracker'!$A$8:$A$100,0)))),0,31*(VLOOKUP(G$1,Sprints[],5,FALSE))+DAY(VLOOKUP(G$1,Sprints[],2,FALSE)),1,VLOOKUP(G$1,Sprints[],4,FALSE))&lt;&gt;"")*(IF(OFFSET(INDIRECT(CELL("address",INDEX('Leave Tracker'!$A$8:$A$100,MATCH($A2,'Leave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0.40000000000000008</v>
      </c>
      <c r="H2" s="45">
        <f t="array" aca="1" ref="H2" ca="1">Sheet3!$W$2*$F2*(NETWORKDAYS(VLOOKUP(H$1,Sprints[],2,FALSE), VLOOKUP(H$1,Sprints[],3,FALSE))-SUMPRODUCT((OFFSET(INDIRECT(CELL("address",INDEX('Leave Tracker'!$A$8:$A$100,MATCH($A2,'Leave Tracker'!$A$8:$A$100,0)))),0,31*(VLOOKUP(H$1,Sprints[],5,FALSE))+DAY(VLOOKUP(H$1,Sprints[],2,FALSE)),1,VLOOKUP(H$1,Sprints[],4,FALSE))&lt;&gt;"")*(IF(OFFSET(INDIRECT(CELL("address",INDEX('Leave Tracker'!$A$8:$A$100,MATCH($A2,'Leave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0.80000000000000016</v>
      </c>
      <c r="I2" s="45">
        <f t="array" aca="1" ref="I2" ca="1">Sheet3!$W$2*$F2*(NETWORKDAYS(VLOOKUP(I$1,Sprints[],2,FALSE), VLOOKUP(I$1,Sprints[],3,FALSE))-SUMPRODUCT((OFFSET(INDIRECT(CELL("address",INDEX('Leave Tracker'!$A$8:$A$100,MATCH($A2,'Leave Tracker'!$A$8:$A$100,0)))),0,31*(VLOOKUP(I$1,Sprints[],5,FALSE))+DAY(VLOOKUP(I$1,Sprints[],2,FALSE)),1,VLOOKUP(I$1,Sprints[],4,FALSE))&lt;&gt;"")*(IF(OFFSET(INDIRECT(CELL("address",INDEX('Leave Tracker'!$A$8:$A$100,MATCH($A2,'Leave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0.32000000000000006</v>
      </c>
      <c r="J2" s="45">
        <f t="array" aca="1" ref="J2" ca="1">Sheet3!$W$2*$F2*(NETWORKDAYS(VLOOKUP(J$1,Sprints[],2,FALSE), VLOOKUP(J$1,Sprints[],3,FALSE))-SUMPRODUCT((OFFSET(INDIRECT(CELL("address",INDEX('Leave Tracker'!$A$8:$A$100,MATCH($A2,'Leave Tracker'!$A$8:$A$100,0)))),0,31*(VLOOKUP(J$1,Sprints[],5,FALSE))+DAY(VLOOKUP(J$1,Sprints[],2,FALSE)),1,VLOOKUP(J$1,Sprints[],4,FALSE))&lt;&gt;"")*(IF(OFFSET(INDIRECT(CELL("address",INDEX('Leave Tracker'!$A$8:$A$100,MATCH($A2,'Leave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0.52000000000000013</v>
      </c>
      <c r="K2" s="45">
        <f t="array" aca="1" ref="K2" ca="1">Sheet3!$W$2*$F2*(NETWORKDAYS(VLOOKUP(K$1,Sprints[],2,FALSE), VLOOKUP(K$1,Sprints[],3,FALSE))-SUMPRODUCT((OFFSET(INDIRECT(CELL("address",INDEX('Leave Tracker'!$A$8:$A$100,MATCH($A2,'Leave Tracker'!$A$8:$A$100,0)))),0,31*(VLOOKUP(K$1,Sprints[],5,FALSE))+DAY(VLOOKUP(K$1,Sprints[],2,FALSE)),1,VLOOKUP(K$1,Sprints[],4,FALSE))&lt;&gt;"")*(IF(OFFSET(INDIRECT(CELL("address",INDEX('Leave Tracker'!$A$8:$A$100,MATCH($A2,'Leave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0.80000000000000016</v>
      </c>
      <c r="L2" s="45">
        <f t="array" aca="1" ref="L2" ca="1">Sheet3!$W$2*$F2*(NETWORKDAYS(VLOOKUP(L$1,Sprints[],2,FALSE), VLOOKUP(L$1,Sprints[],3,FALSE))-SUMPRODUCT((OFFSET(INDIRECT(CELL("address",INDEX('Leave Tracker'!$A$8:$A$100,MATCH($A2,'Leave Tracker'!$A$8:$A$100,0)))),0,31*(VLOOKUP(L$1,Sprints[],5,FALSE))+DAY(VLOOKUP(L$1,Sprints[],2,FALSE)),1,VLOOKUP(L$1,Sprints[],4,FALSE))&lt;&gt;"")*(IF(OFFSET(INDIRECT(CELL("address",INDEX('Leave Tracker'!$A$8:$A$100,MATCH($A2,'Leave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0.80000000000000016</v>
      </c>
      <c r="M2" s="45">
        <f t="array" aca="1" ref="M2" ca="1">Sheet3!$W$2*$F2*(NETWORKDAYS(VLOOKUP(M$1,Sprints[],2,FALSE), VLOOKUP(M$1,Sprints[],3,FALSE))-SUMPRODUCT((OFFSET(INDIRECT(CELL("address",INDEX('Leave Tracker'!$A$8:$A$100,MATCH($A2,'Leave Tracker'!$A$8:$A$100,0)))),0,31*(VLOOKUP(M$1,Sprints[],5,FALSE))+DAY(VLOOKUP(M$1,Sprints[],2,FALSE)),1,VLOOKUP(M$1,Sprints[],4,FALSE))&lt;&gt;"")*(IF(OFFSET(INDIRECT(CELL("address",INDEX('Leave Tracker'!$A$8:$A$100,MATCH($A2,'Leave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0.56000000000000005</v>
      </c>
      <c r="N2" s="45">
        <f t="array" aca="1" ref="N2" ca="1">Sheet3!$W$2*$F2*(NETWORKDAYS(VLOOKUP(N$1,Sprints[],2,FALSE), VLOOKUP(N$1,Sprints[],3,FALSE))-SUMPRODUCT((OFFSET(INDIRECT(CELL("address",INDEX('Leave Tracker'!$A$8:$A$100,MATCH($A2,'Leave Tracker'!$A$8:$A$100,0)))),0,31*(VLOOKUP(N$1,Sprints[],5,FALSE))+DAY(VLOOKUP(N$1,Sprints[],2,FALSE)),1,VLOOKUP(N$1,Sprints[],4,FALSE))&lt;&gt;"")*(IF(OFFSET(INDIRECT(CELL("address",INDEX('Leave Tracker'!$A$8:$A$100,MATCH($A2,'Leave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0.80000000000000016</v>
      </c>
      <c r="O2" s="45">
        <f t="array" aca="1" ref="O2" ca="1">Sheet3!$W$2*$F2*(NETWORKDAYS(VLOOKUP(O$1,Sprints[],2,FALSE), VLOOKUP(O$1,Sprints[],3,FALSE))-SUMPRODUCT((OFFSET(INDIRECT(CELL("address",INDEX('Leave Tracker'!$A$8:$A$100,MATCH($A2,'Leave Tracker'!$A$8:$A$100,0)))),0,31*(VLOOKUP(O$1,Sprints[],5,FALSE))+DAY(VLOOKUP(O$1,Sprints[],2,FALSE)),1,VLOOKUP(O$1,Sprints[],4,FALSE))&lt;&gt;"")*(IF(OFFSET(INDIRECT(CELL("address",INDEX('Leave Tracker'!$A$8:$A$100,MATCH($A2,'Leave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0.40000000000000008</v>
      </c>
      <c r="P2" s="45">
        <f t="array" aca="1" ref="P2" ca="1">Sheet3!$W$2*$F2*(NETWORKDAYS(VLOOKUP(P$1,Sprints[],2,FALSE), VLOOKUP(P$1,Sprints[],3,FALSE))-SUMPRODUCT((OFFSET(INDIRECT(CELL("address",INDEX('Leave Tracker'!$A$8:$A$100,MATCH($A2,'Leave Tracker'!$A$8:$A$100,0)))),0,31*(VLOOKUP(P$1,Sprints[],5,FALSE))+DAY(VLOOKUP(P$1,Sprints[],2,FALSE)),1,VLOOKUP(P$1,Sprints[],4,FALSE))&lt;&gt;"")*(IF(OFFSET(INDIRECT(CELL("address",INDEX('Leave Tracker'!$A$8:$A$100,MATCH($A2,'Leave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0.80000000000000016</v>
      </c>
      <c r="Q2" s="45">
        <f t="array" aca="1" ref="Q2" ca="1">Sheet3!$W$2*$F2*(NETWORKDAYS(VLOOKUP(Q$1,Sprints[],2,FALSE), VLOOKUP(Q$1,Sprints[],3,FALSE))-SUMPRODUCT((OFFSET(INDIRECT(CELL("address",INDEX('Leave Tracker'!$A$8:$A$100,MATCH($A2,'Leave Tracker'!$A$8:$A$100,0)))),0,31*(VLOOKUP(Q$1,Sprints[],5,FALSE))+DAY(VLOOKUP(Q$1,Sprints[],2,FALSE)),1,VLOOKUP(Q$1,Sprints[],4,FALSE))&lt;&gt;"")*(IF(OFFSET(INDIRECT(CELL("address",INDEX('Leave Tracker'!$A$8:$A$100,MATCH($A2,'Leave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0.64000000000000012</v>
      </c>
      <c r="R2" s="45">
        <f t="array" aca="1" ref="R2" ca="1">Sheet3!$W$2*$F2*(NETWORKDAYS(VLOOKUP(R$1,Sprints[],2,FALSE), VLOOKUP(R$1,Sprints[],3,FALSE))-SUMPRODUCT((OFFSET(INDIRECT(CELL("address",INDEX('Leave Tracker'!$A$8:$A$100,MATCH($A2,'Leave Tracker'!$A$8:$A$100,0)))),0,31*(VLOOKUP(R$1,Sprints[],5,FALSE))+DAY(VLOOKUP(R$1,Sprints[],2,FALSE)),1,VLOOKUP(R$1,Sprints[],4,FALSE))&lt;&gt;"")*(IF(OFFSET(INDIRECT(CELL("address",INDEX('Leave Tracker'!$A$8:$A$100,MATCH($A2,'Leave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0.80000000000000016</v>
      </c>
    </row>
    <row r="3" spans="1:18" x14ac:dyDescent="0.45">
      <c r="A3" t="s">
        <v>42</v>
      </c>
      <c r="B3" s="45" t="s">
        <v>112</v>
      </c>
      <c r="C3" s="45" t="s">
        <v>117</v>
      </c>
      <c r="D3" s="45" t="s">
        <v>134</v>
      </c>
      <c r="E3" s="45" t="s">
        <v>126</v>
      </c>
      <c r="F3" s="47">
        <v>0.5</v>
      </c>
      <c r="G3" s="45">
        <f t="array" aca="1" ref="G3" ca="1">Sheet3!$W$2*$F3*(NETWORKDAYS(VLOOKUP(G$1,Sprints[],2,FALSE), VLOOKUP(G$1,Sprints[],3,FALSE))-SUMPRODUCT((OFFSET(INDIRECT(CELL("address",INDEX('Leave Tracker'!$A$8:$A$100,MATCH($A3,'Leave Tracker'!$A$8:$A$100,0)))),0,31*(VLOOKUP(G$1,Sprints[],5,FALSE))+DAY(VLOOKUP(G$1,Sprints[],2,FALSE)),1,VLOOKUP(G$1,Sprints[],4,FALSE))&lt;&gt;"")*(IF(OFFSET(INDIRECT(CELL("address",INDEX('Leave Tracker'!$A$8:$A$100,MATCH($A3,'Leave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2</v>
      </c>
      <c r="H3">
        <f t="array" aca="1" ref="H3" ca="1">Sheet3!$W$2*$F3*(NETWORKDAYS(VLOOKUP(H$1,Sprints[],2,FALSE), VLOOKUP(H$1,Sprints[],3,FALSE))-SUMPRODUCT((OFFSET(INDIRECT(CELL("address",INDEX('Leave Tracker'!$A$8:$A$100,MATCH($A3,'Leave Tracker'!$A$8:$A$100,0)))),0,31*(VLOOKUP(H$1,Sprints[],5,FALSE))+DAY(VLOOKUP(H$1,Sprints[],2,FALSE)),1,VLOOKUP(H$1,Sprints[],4,FALSE))&lt;&gt;"")*(IF(OFFSET(INDIRECT(CELL("address",INDEX('Leave Tracker'!$A$8:$A$100,MATCH($A3,'Leave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4</v>
      </c>
      <c r="I3">
        <f t="array" aca="1" ref="I3" ca="1">Sheet3!$W$2*$F3*(NETWORKDAYS(VLOOKUP(I$1,Sprints[],2,FALSE), VLOOKUP(I$1,Sprints[],3,FALSE))-SUMPRODUCT((OFFSET(INDIRECT(CELL("address",INDEX('Leave Tracker'!$A$8:$A$100,MATCH($A3,'Leave Tracker'!$A$8:$A$100,0)))),0,31*(VLOOKUP(I$1,Sprints[],5,FALSE))+DAY(VLOOKUP(I$1,Sprints[],2,FALSE)),1,VLOOKUP(I$1,Sprints[],4,FALSE))&lt;&gt;"")*(IF(OFFSET(INDIRECT(CELL("address",INDEX('Leave Tracker'!$A$8:$A$100,MATCH($A3,'Leave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4</v>
      </c>
      <c r="J3">
        <f t="array" aca="1" ref="J3" ca="1">Sheet3!$W$2*$F3*(NETWORKDAYS(VLOOKUP(J$1,Sprints[],2,FALSE), VLOOKUP(J$1,Sprints[],3,FALSE))-SUMPRODUCT((OFFSET(INDIRECT(CELL("address",INDEX('Leave Tracker'!$A$8:$A$100,MATCH($A3,'Leave Tracker'!$A$8:$A$100,0)))),0,31*(VLOOKUP(J$1,Sprints[],5,FALSE))+DAY(VLOOKUP(J$1,Sprints[],2,FALSE)),1,VLOOKUP(J$1,Sprints[],4,FALSE))&lt;&gt;"")*(IF(OFFSET(INDIRECT(CELL("address",INDEX('Leave Tracker'!$A$8:$A$100,MATCH($A3,'Leave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3</v>
      </c>
      <c r="K3">
        <f t="array" aca="1" ref="K3" ca="1">Sheet3!$W$2*$F3*(NETWORKDAYS(VLOOKUP(K$1,Sprints[],2,FALSE), VLOOKUP(K$1,Sprints[],3,FALSE))-SUMPRODUCT((OFFSET(INDIRECT(CELL("address",INDEX('Leave Tracker'!$A$8:$A$100,MATCH($A3,'Leave Tracker'!$A$8:$A$100,0)))),0,31*(VLOOKUP(K$1,Sprints[],5,FALSE))+DAY(VLOOKUP(K$1,Sprints[],2,FALSE)),1,VLOOKUP(K$1,Sprints[],4,FALSE))&lt;&gt;"")*(IF(OFFSET(INDIRECT(CELL("address",INDEX('Leave Tracker'!$A$8:$A$100,MATCH($A3,'Leave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4</v>
      </c>
      <c r="L3">
        <f t="array" aca="1" ref="L3" ca="1">Sheet3!$W$2*$F3*(NETWORKDAYS(VLOOKUP(L$1,Sprints[],2,FALSE), VLOOKUP(L$1,Sprints[],3,FALSE))-SUMPRODUCT((OFFSET(INDIRECT(CELL("address",INDEX('Leave Tracker'!$A$8:$A$100,MATCH($A3,'Leave Tracker'!$A$8:$A$100,0)))),0,31*(VLOOKUP(L$1,Sprints[],5,FALSE))+DAY(VLOOKUP(L$1,Sprints[],2,FALSE)),1,VLOOKUP(L$1,Sprints[],4,FALSE))&lt;&gt;"")*(IF(OFFSET(INDIRECT(CELL("address",INDEX('Leave Tracker'!$A$8:$A$100,MATCH($A3,'Leave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3.2</v>
      </c>
      <c r="M3" s="45">
        <f t="array" aca="1" ref="M3" ca="1">Sheet3!$W$2*$F3*(NETWORKDAYS(VLOOKUP(M$1,Sprints[],2,FALSE), VLOOKUP(M$1,Sprints[],3,FALSE))-SUMPRODUCT((OFFSET(INDIRECT(CELL("address",INDEX('Leave Tracker'!$A$8:$A$100,MATCH($A3,'Leave Tracker'!$A$8:$A$100,0)))),0,31*(VLOOKUP(M$1,Sprints[],5,FALSE))+DAY(VLOOKUP(M$1,Sprints[],2,FALSE)),1,VLOOKUP(M$1,Sprints[],4,FALSE))&lt;&gt;"")*(IF(OFFSET(INDIRECT(CELL("address",INDEX('Leave Tracker'!$A$8:$A$100,MATCH($A3,'Leave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3.6</v>
      </c>
      <c r="N3">
        <f t="array" aca="1" ref="N3" ca="1">Sheet3!$W$2*$F3*(NETWORKDAYS(VLOOKUP(N$1,Sprints[],2,FALSE), VLOOKUP(N$1,Sprints[],3,FALSE))-SUMPRODUCT((OFFSET(INDIRECT(CELL("address",INDEX('Leave Tracker'!$A$8:$A$100,MATCH($A3,'Leave Tracker'!$A$8:$A$100,0)))),0,31*(VLOOKUP(N$1,Sprints[],5,FALSE))+DAY(VLOOKUP(N$1,Sprints[],2,FALSE)),1,VLOOKUP(N$1,Sprints[],4,FALSE))&lt;&gt;"")*(IF(OFFSET(INDIRECT(CELL("address",INDEX('Leave Tracker'!$A$8:$A$100,MATCH($A3,'Leave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1.2000000000000002</v>
      </c>
      <c r="O3">
        <f t="array" aca="1" ref="O3" ca="1">Sheet3!$W$2*$F3*(NETWORKDAYS(VLOOKUP(O$1,Sprints[],2,FALSE), VLOOKUP(O$1,Sprints[],3,FALSE))-SUMPRODUCT((OFFSET(INDIRECT(CELL("address",INDEX('Leave Tracker'!$A$8:$A$100,MATCH($A3,'Leave Tracker'!$A$8:$A$100,0)))),0,31*(VLOOKUP(O$1,Sprints[],5,FALSE))+DAY(VLOOKUP(O$1,Sprints[],2,FALSE)),1,VLOOKUP(O$1,Sprints[],4,FALSE))&lt;&gt;"")*(IF(OFFSET(INDIRECT(CELL("address",INDEX('Leave Tracker'!$A$8:$A$100,MATCH($A3,'Leave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0.4</v>
      </c>
      <c r="P3">
        <f t="array" aca="1" ref="P3" ca="1">Sheet3!$W$2*$F3*(NETWORKDAYS(VLOOKUP(P$1,Sprints[],2,FALSE), VLOOKUP(P$1,Sprints[],3,FALSE))-SUMPRODUCT((OFFSET(INDIRECT(CELL("address",INDEX('Leave Tracker'!$A$8:$A$100,MATCH($A3,'Leave Tracker'!$A$8:$A$100,0)))),0,31*(VLOOKUP(P$1,Sprints[],5,FALSE))+DAY(VLOOKUP(P$1,Sprints[],2,FALSE)),1,VLOOKUP(P$1,Sprints[],4,FALSE))&lt;&gt;"")*(IF(OFFSET(INDIRECT(CELL("address",INDEX('Leave Tracker'!$A$8:$A$100,MATCH($A3,'Leave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4</v>
      </c>
      <c r="Q3">
        <f t="array" aca="1" ref="Q3" ca="1">Sheet3!$W$2*$F3*(NETWORKDAYS(VLOOKUP(Q$1,Sprints[],2,FALSE), VLOOKUP(Q$1,Sprints[],3,FALSE))-SUMPRODUCT((OFFSET(INDIRECT(CELL("address",INDEX('Leave Tracker'!$A$8:$A$100,MATCH($A3,'Leave Tracker'!$A$8:$A$100,0)))),0,31*(VLOOKUP(Q$1,Sprints[],5,FALSE))+DAY(VLOOKUP(Q$1,Sprints[],2,FALSE)),1,VLOOKUP(Q$1,Sprints[],4,FALSE))&lt;&gt;"")*(IF(OFFSET(INDIRECT(CELL("address",INDEX('Leave Tracker'!$A$8:$A$100,MATCH($A3,'Leave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3.6</v>
      </c>
      <c r="R3">
        <f t="array" aca="1" ref="R3" ca="1">Sheet3!$W$2*$F3*(NETWORKDAYS(VLOOKUP(R$1,Sprints[],2,FALSE), VLOOKUP(R$1,Sprints[],3,FALSE))-SUMPRODUCT((OFFSET(INDIRECT(CELL("address",INDEX('Leave Tracker'!$A$8:$A$100,MATCH($A3,'Leave Tracker'!$A$8:$A$100,0)))),0,31*(VLOOKUP(R$1,Sprints[],5,FALSE))+DAY(VLOOKUP(R$1,Sprints[],2,FALSE)),1,VLOOKUP(R$1,Sprints[],4,FALSE))&lt;&gt;"")*(IF(OFFSET(INDIRECT(CELL("address",INDEX('Leave Tracker'!$A$8:$A$100,MATCH($A3,'Leave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4</v>
      </c>
    </row>
    <row r="4" spans="1:18" x14ac:dyDescent="0.45">
      <c r="A4" t="s">
        <v>43</v>
      </c>
      <c r="B4" s="45" t="s">
        <v>112</v>
      </c>
      <c r="C4" s="45" t="s">
        <v>117</v>
      </c>
      <c r="D4" s="45" t="s">
        <v>134</v>
      </c>
      <c r="E4" s="45" t="s">
        <v>125</v>
      </c>
      <c r="F4" s="47">
        <v>0.5</v>
      </c>
      <c r="G4" s="45">
        <f t="array" aca="1" ref="G4" ca="1">Sheet3!$W$2*$F4*(NETWORKDAYS(VLOOKUP(G$1,Sprints[],2,FALSE), VLOOKUP(G$1,Sprints[],3,FALSE))-SUMPRODUCT((OFFSET(INDIRECT(CELL("address",INDEX('Leave Tracker'!$A$8:$A$100,MATCH($A4,'Leave Tracker'!$A$8:$A$100,0)))),0,31*(VLOOKUP(G$1,Sprints[],5,FALSE))+DAY(VLOOKUP(G$1,Sprints[],2,FALSE)),1,VLOOKUP(G$1,Sprints[],4,FALSE))&lt;&gt;"")*(IF(OFFSET(INDIRECT(CELL("address",INDEX('Leave Tracker'!$A$8:$A$100,MATCH($A4,'Leave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2</v>
      </c>
      <c r="H4">
        <f t="array" aca="1" ref="H4" ca="1">Sheet3!$W$2*$F4*(NETWORKDAYS(VLOOKUP(H$1,Sprints[],2,FALSE), VLOOKUP(H$1,Sprints[],3,FALSE))-SUMPRODUCT((OFFSET(INDIRECT(CELL("address",INDEX('Leave Tracker'!$A$8:$A$100,MATCH($A4,'Leave Tracker'!$A$8:$A$100,0)))),0,31*(VLOOKUP(H$1,Sprints[],5,FALSE))+DAY(VLOOKUP(H$1,Sprints[],2,FALSE)),1,VLOOKUP(H$1,Sprints[],4,FALSE))&lt;&gt;"")*(IF(OFFSET(INDIRECT(CELL("address",INDEX('Leave Tracker'!$A$8:$A$100,MATCH($A4,'Leave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4</v>
      </c>
      <c r="I4">
        <f t="array" aca="1" ref="I4" ca="1">Sheet3!$W$2*$F4*(NETWORKDAYS(VLOOKUP(I$1,Sprints[],2,FALSE), VLOOKUP(I$1,Sprints[],3,FALSE))-SUMPRODUCT((OFFSET(INDIRECT(CELL("address",INDEX('Leave Tracker'!$A$8:$A$100,MATCH($A4,'Leave Tracker'!$A$8:$A$100,0)))),0,31*(VLOOKUP(I$1,Sprints[],5,FALSE))+DAY(VLOOKUP(I$1,Sprints[],2,FALSE)),1,VLOOKUP(I$1,Sprints[],4,FALSE))&lt;&gt;"")*(IF(OFFSET(INDIRECT(CELL("address",INDEX('Leave Tracker'!$A$8:$A$100,MATCH($A4,'Leave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4</v>
      </c>
      <c r="J4">
        <f t="array" aca="1" ref="J4" ca="1">Sheet3!$W$2*$F4*(NETWORKDAYS(VLOOKUP(J$1,Sprints[],2,FALSE), VLOOKUP(J$1,Sprints[],3,FALSE))-SUMPRODUCT((OFFSET(INDIRECT(CELL("address",INDEX('Leave Tracker'!$A$8:$A$100,MATCH($A4,'Leave Tracker'!$A$8:$A$100,0)))),0,31*(VLOOKUP(J$1,Sprints[],5,FALSE))+DAY(VLOOKUP(J$1,Sprints[],2,FALSE)),1,VLOOKUP(J$1,Sprints[],4,FALSE))&lt;&gt;"")*(IF(OFFSET(INDIRECT(CELL("address",INDEX('Leave Tracker'!$A$8:$A$100,MATCH($A4,'Leave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3</v>
      </c>
      <c r="K4">
        <f t="array" aca="1" ref="K4" ca="1">Sheet3!$W$2*$F4*(NETWORKDAYS(VLOOKUP(K$1,Sprints[],2,FALSE), VLOOKUP(K$1,Sprints[],3,FALSE))-SUMPRODUCT((OFFSET(INDIRECT(CELL("address",INDEX('Leave Tracker'!$A$8:$A$100,MATCH($A4,'Leave Tracker'!$A$8:$A$100,0)))),0,31*(VLOOKUP(K$1,Sprints[],5,FALSE))+DAY(VLOOKUP(K$1,Sprints[],2,FALSE)),1,VLOOKUP(K$1,Sprints[],4,FALSE))&lt;&gt;"")*(IF(OFFSET(INDIRECT(CELL("address",INDEX('Leave Tracker'!$A$8:$A$100,MATCH($A4,'Leave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4</v>
      </c>
      <c r="L4">
        <f t="array" aca="1" ref="L4" ca="1">Sheet3!$W$2*$F4*(NETWORKDAYS(VLOOKUP(L$1,Sprints[],2,FALSE), VLOOKUP(L$1,Sprints[],3,FALSE))-SUMPRODUCT((OFFSET(INDIRECT(CELL("address",INDEX('Leave Tracker'!$A$8:$A$100,MATCH($A4,'Leave Tracker'!$A$8:$A$100,0)))),0,31*(VLOOKUP(L$1,Sprints[],5,FALSE))+DAY(VLOOKUP(L$1,Sprints[],2,FALSE)),1,VLOOKUP(L$1,Sprints[],4,FALSE))&lt;&gt;"")*(IF(OFFSET(INDIRECT(CELL("address",INDEX('Leave Tracker'!$A$8:$A$100,MATCH($A4,'Leave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3.2</v>
      </c>
      <c r="M4" s="45">
        <f t="array" aca="1" ref="M4" ca="1">Sheet3!$W$2*$F4*(NETWORKDAYS(VLOOKUP(M$1,Sprints[],2,FALSE), VLOOKUP(M$1,Sprints[],3,FALSE))-SUMPRODUCT((OFFSET(INDIRECT(CELL("address",INDEX('Leave Tracker'!$A$8:$A$100,MATCH($A4,'Leave Tracker'!$A$8:$A$100,0)))),0,31*(VLOOKUP(M$1,Sprints[],5,FALSE))+DAY(VLOOKUP(M$1,Sprints[],2,FALSE)),1,VLOOKUP(M$1,Sprints[],4,FALSE))&lt;&gt;"")*(IF(OFFSET(INDIRECT(CELL("address",INDEX('Leave Tracker'!$A$8:$A$100,MATCH($A4,'Leave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3.6</v>
      </c>
      <c r="N4">
        <f t="array" aca="1" ref="N4" ca="1">Sheet3!$W$2*$F4*(NETWORKDAYS(VLOOKUP(N$1,Sprints[],2,FALSE), VLOOKUP(N$1,Sprints[],3,FALSE))-SUMPRODUCT((OFFSET(INDIRECT(CELL("address",INDEX('Leave Tracker'!$A$8:$A$100,MATCH($A4,'Leave Tracker'!$A$8:$A$100,0)))),0,31*(VLOOKUP(N$1,Sprints[],5,FALSE))+DAY(VLOOKUP(N$1,Sprints[],2,FALSE)),1,VLOOKUP(N$1,Sprints[],4,FALSE))&lt;&gt;"")*(IF(OFFSET(INDIRECT(CELL("address",INDEX('Leave Tracker'!$A$8:$A$100,MATCH($A4,'Leave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4</v>
      </c>
      <c r="O4">
        <f t="array" aca="1" ref="O4" ca="1">Sheet3!$W$2*$F4*(NETWORKDAYS(VLOOKUP(O$1,Sprints[],2,FALSE), VLOOKUP(O$1,Sprints[],3,FALSE))-SUMPRODUCT((OFFSET(INDIRECT(CELL("address",INDEX('Leave Tracker'!$A$8:$A$100,MATCH($A4,'Leave Tracker'!$A$8:$A$100,0)))),0,31*(VLOOKUP(O$1,Sprints[],5,FALSE))+DAY(VLOOKUP(O$1,Sprints[],2,FALSE)),1,VLOOKUP(O$1,Sprints[],4,FALSE))&lt;&gt;"")*(IF(OFFSET(INDIRECT(CELL("address",INDEX('Leave Tracker'!$A$8:$A$100,MATCH($A4,'Leave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3.6</v>
      </c>
      <c r="P4">
        <f t="array" aca="1" ref="P4" ca="1">Sheet3!$W$2*$F4*(NETWORKDAYS(VLOOKUP(P$1,Sprints[],2,FALSE), VLOOKUP(P$1,Sprints[],3,FALSE))-SUMPRODUCT((OFFSET(INDIRECT(CELL("address",INDEX('Leave Tracker'!$A$8:$A$100,MATCH($A4,'Leave Tracker'!$A$8:$A$100,0)))),0,31*(VLOOKUP(P$1,Sprints[],5,FALSE))+DAY(VLOOKUP(P$1,Sprints[],2,FALSE)),1,VLOOKUP(P$1,Sprints[],4,FALSE))&lt;&gt;"")*(IF(OFFSET(INDIRECT(CELL("address",INDEX('Leave Tracker'!$A$8:$A$100,MATCH($A4,'Leave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2.4000000000000004</v>
      </c>
      <c r="Q4">
        <f t="array" aca="1" ref="Q4" ca="1">Sheet3!$W$2*$F4*(NETWORKDAYS(VLOOKUP(Q$1,Sprints[],2,FALSE), VLOOKUP(Q$1,Sprints[],3,FALSE))-SUMPRODUCT((OFFSET(INDIRECT(CELL("address",INDEX('Leave Tracker'!$A$8:$A$100,MATCH($A4,'Leave Tracker'!$A$8:$A$100,0)))),0,31*(VLOOKUP(Q$1,Sprints[],5,FALSE))+DAY(VLOOKUP(Q$1,Sprints[],2,FALSE)),1,VLOOKUP(Q$1,Sprints[],4,FALSE))&lt;&gt;"")*(IF(OFFSET(INDIRECT(CELL("address",INDEX('Leave Tracker'!$A$8:$A$100,MATCH($A4,'Leave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3.6</v>
      </c>
      <c r="R4">
        <f t="array" aca="1" ref="R4" ca="1">Sheet3!$W$2*$F4*(NETWORKDAYS(VLOOKUP(R$1,Sprints[],2,FALSE), VLOOKUP(R$1,Sprints[],3,FALSE))-SUMPRODUCT((OFFSET(INDIRECT(CELL("address",INDEX('Leave Tracker'!$A$8:$A$100,MATCH($A4,'Leave Tracker'!$A$8:$A$100,0)))),0,31*(VLOOKUP(R$1,Sprints[],5,FALSE))+DAY(VLOOKUP(R$1,Sprints[],2,FALSE)),1,VLOOKUP(R$1,Sprints[],4,FALSE))&lt;&gt;"")*(IF(OFFSET(INDIRECT(CELL("address",INDEX('Leave Tracker'!$A$8:$A$100,MATCH($A4,'Leave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4</v>
      </c>
    </row>
    <row r="5" spans="1:18" x14ac:dyDescent="0.45">
      <c r="A5" t="s">
        <v>44</v>
      </c>
      <c r="B5" s="45" t="s">
        <v>112</v>
      </c>
      <c r="C5" s="45" t="s">
        <v>117</v>
      </c>
      <c r="D5" s="45" t="s">
        <v>132</v>
      </c>
      <c r="E5" s="45" t="s">
        <v>124</v>
      </c>
      <c r="F5" s="47">
        <v>0.5</v>
      </c>
      <c r="G5" s="45">
        <f t="array" aca="1" ref="G5" ca="1">Sheet3!$W$2*$F5*(NETWORKDAYS(VLOOKUP(G$1,Sprints[],2,FALSE), VLOOKUP(G$1,Sprints[],3,FALSE))-SUMPRODUCT((OFFSET(INDIRECT(CELL("address",INDEX('Leave Tracker'!$A$8:$A$100,MATCH($A5,'Leave Tracker'!$A$8:$A$100,0)))),0,31*(VLOOKUP(G$1,Sprints[],5,FALSE))+DAY(VLOOKUP(G$1,Sprints[],2,FALSE)),1,VLOOKUP(G$1,Sprints[],4,FALSE))&lt;&gt;"")*(IF(OFFSET(INDIRECT(CELL("address",INDEX('Leave Tracker'!$A$8:$A$100,MATCH($A5,'Leave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2</v>
      </c>
      <c r="H5">
        <f t="array" aca="1" ref="H5" ca="1">Sheet3!$W$2*$F5*(NETWORKDAYS(VLOOKUP(H$1,Sprints[],2,FALSE), VLOOKUP(H$1,Sprints[],3,FALSE))-SUMPRODUCT((OFFSET(INDIRECT(CELL("address",INDEX('Leave Tracker'!$A$8:$A$100,MATCH($A5,'Leave Tracker'!$A$8:$A$100,0)))),0,31*(VLOOKUP(H$1,Sprints[],5,FALSE))+DAY(VLOOKUP(H$1,Sprints[],2,FALSE)),1,VLOOKUP(H$1,Sprints[],4,FALSE))&lt;&gt;"")*(IF(OFFSET(INDIRECT(CELL("address",INDEX('Leave Tracker'!$A$8:$A$100,MATCH($A5,'Leave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3.6</v>
      </c>
      <c r="I5">
        <f t="array" aca="1" ref="I5" ca="1">Sheet3!$W$2*$F5*(NETWORKDAYS(VLOOKUP(I$1,Sprints[],2,FALSE), VLOOKUP(I$1,Sprints[],3,FALSE))-SUMPRODUCT((OFFSET(INDIRECT(CELL("address",INDEX('Leave Tracker'!$A$8:$A$100,MATCH($A5,'Leave Tracker'!$A$8:$A$100,0)))),0,31*(VLOOKUP(I$1,Sprints[],5,FALSE))+DAY(VLOOKUP(I$1,Sprints[],2,FALSE)),1,VLOOKUP(I$1,Sprints[],4,FALSE))&lt;&gt;"")*(IF(OFFSET(INDIRECT(CELL("address",INDEX('Leave Tracker'!$A$8:$A$100,MATCH($A5,'Leave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4</v>
      </c>
      <c r="J5">
        <f t="array" aca="1" ref="J5" ca="1">Sheet3!$W$2*$F5*(NETWORKDAYS(VLOOKUP(J$1,Sprints[],2,FALSE), VLOOKUP(J$1,Sprints[],3,FALSE))-SUMPRODUCT((OFFSET(INDIRECT(CELL("address",INDEX('Leave Tracker'!$A$8:$A$100,MATCH($A5,'Leave Tracker'!$A$8:$A$100,0)))),0,31*(VLOOKUP(J$1,Sprints[],5,FALSE))+DAY(VLOOKUP(J$1,Sprints[],2,FALSE)),1,VLOOKUP(J$1,Sprints[],4,FALSE))&lt;&gt;"")*(IF(OFFSET(INDIRECT(CELL("address",INDEX('Leave Tracker'!$A$8:$A$100,MATCH($A5,'Leave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1.8</v>
      </c>
      <c r="K5">
        <f t="array" aca="1" ref="K5" ca="1">Sheet3!$W$2*$F5*(NETWORKDAYS(VLOOKUP(K$1,Sprints[],2,FALSE), VLOOKUP(K$1,Sprints[],3,FALSE))-SUMPRODUCT((OFFSET(INDIRECT(CELL("address",INDEX('Leave Tracker'!$A$8:$A$100,MATCH($A5,'Leave Tracker'!$A$8:$A$100,0)))),0,31*(VLOOKUP(K$1,Sprints[],5,FALSE))+DAY(VLOOKUP(K$1,Sprints[],2,FALSE)),1,VLOOKUP(K$1,Sprints[],4,FALSE))&lt;&gt;"")*(IF(OFFSET(INDIRECT(CELL("address",INDEX('Leave Tracker'!$A$8:$A$100,MATCH($A5,'Leave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3.2</v>
      </c>
      <c r="L5">
        <f t="array" aca="1" ref="L5" ca="1">Sheet3!$W$2*$F5*(NETWORKDAYS(VLOOKUP(L$1,Sprints[],2,FALSE), VLOOKUP(L$1,Sprints[],3,FALSE))-SUMPRODUCT((OFFSET(INDIRECT(CELL("address",INDEX('Leave Tracker'!$A$8:$A$100,MATCH($A5,'Leave Tracker'!$A$8:$A$100,0)))),0,31*(VLOOKUP(L$1,Sprints[],5,FALSE))+DAY(VLOOKUP(L$1,Sprints[],2,FALSE)),1,VLOOKUP(L$1,Sprints[],4,FALSE))&lt;&gt;"")*(IF(OFFSET(INDIRECT(CELL("address",INDEX('Leave Tracker'!$A$8:$A$100,MATCH($A5,'Leave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2</v>
      </c>
      <c r="M5" s="45">
        <f t="array" aca="1" ref="M5" ca="1">Sheet3!$W$2*$F5*(NETWORKDAYS(VLOOKUP(M$1,Sprints[],2,FALSE), VLOOKUP(M$1,Sprints[],3,FALSE))-SUMPRODUCT((OFFSET(INDIRECT(CELL("address",INDEX('Leave Tracker'!$A$8:$A$100,MATCH($A5,'Leave Tracker'!$A$8:$A$100,0)))),0,31*(VLOOKUP(M$1,Sprints[],5,FALSE))+DAY(VLOOKUP(M$1,Sprints[],2,FALSE)),1,VLOOKUP(M$1,Sprints[],4,FALSE))&lt;&gt;"")*(IF(OFFSET(INDIRECT(CELL("address",INDEX('Leave Tracker'!$A$8:$A$100,MATCH($A5,'Leave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3.6</v>
      </c>
      <c r="N5">
        <f t="array" aca="1" ref="N5" ca="1">Sheet3!$W$2*$F5*(NETWORKDAYS(VLOOKUP(N$1,Sprints[],2,FALSE), VLOOKUP(N$1,Sprints[],3,FALSE))-SUMPRODUCT((OFFSET(INDIRECT(CELL("address",INDEX('Leave Tracker'!$A$8:$A$100,MATCH($A5,'Leave Tracker'!$A$8:$A$100,0)))),0,31*(VLOOKUP(N$1,Sprints[],5,FALSE))+DAY(VLOOKUP(N$1,Sprints[],2,FALSE)),1,VLOOKUP(N$1,Sprints[],4,FALSE))&lt;&gt;"")*(IF(OFFSET(INDIRECT(CELL("address",INDEX('Leave Tracker'!$A$8:$A$100,MATCH($A5,'Leave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4</v>
      </c>
      <c r="O5">
        <f t="array" aca="1" ref="O5" ca="1">Sheet3!$W$2*$F5*(NETWORKDAYS(VLOOKUP(O$1,Sprints[],2,FALSE), VLOOKUP(O$1,Sprints[],3,FALSE))-SUMPRODUCT((OFFSET(INDIRECT(CELL("address",INDEX('Leave Tracker'!$A$8:$A$100,MATCH($A5,'Leave Tracker'!$A$8:$A$100,0)))),0,31*(VLOOKUP(O$1,Sprints[],5,FALSE))+DAY(VLOOKUP(O$1,Sprints[],2,FALSE)),1,VLOOKUP(O$1,Sprints[],4,FALSE))&lt;&gt;"")*(IF(OFFSET(INDIRECT(CELL("address",INDEX('Leave Tracker'!$A$8:$A$100,MATCH($A5,'Leave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3.6</v>
      </c>
      <c r="P5">
        <f t="array" aca="1" ref="P5" ca="1">Sheet3!$W$2*$F5*(NETWORKDAYS(VLOOKUP(P$1,Sprints[],2,FALSE), VLOOKUP(P$1,Sprints[],3,FALSE))-SUMPRODUCT((OFFSET(INDIRECT(CELL("address",INDEX('Leave Tracker'!$A$8:$A$100,MATCH($A5,'Leave Tracker'!$A$8:$A$100,0)))),0,31*(VLOOKUP(P$1,Sprints[],5,FALSE))+DAY(VLOOKUP(P$1,Sprints[],2,FALSE)),1,VLOOKUP(P$1,Sprints[],4,FALSE))&lt;&gt;"")*(IF(OFFSET(INDIRECT(CELL("address",INDEX('Leave Tracker'!$A$8:$A$100,MATCH($A5,'Leave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3.2</v>
      </c>
      <c r="Q5">
        <f t="array" aca="1" ref="Q5" ca="1">Sheet3!$W$2*$F5*(NETWORKDAYS(VLOOKUP(Q$1,Sprints[],2,FALSE), VLOOKUP(Q$1,Sprints[],3,FALSE))-SUMPRODUCT((OFFSET(INDIRECT(CELL("address",INDEX('Leave Tracker'!$A$8:$A$100,MATCH($A5,'Leave Tracker'!$A$8:$A$100,0)))),0,31*(VLOOKUP(Q$1,Sprints[],5,FALSE))+DAY(VLOOKUP(Q$1,Sprints[],2,FALSE)),1,VLOOKUP(Q$1,Sprints[],4,FALSE))&lt;&gt;"")*(IF(OFFSET(INDIRECT(CELL("address",INDEX('Leave Tracker'!$A$8:$A$100,MATCH($A5,'Leave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2.4000000000000004</v>
      </c>
      <c r="R5">
        <f t="array" aca="1" ref="R5" ca="1">Sheet3!$W$2*$F5*(NETWORKDAYS(VLOOKUP(R$1,Sprints[],2,FALSE), VLOOKUP(R$1,Sprints[],3,FALSE))-SUMPRODUCT((OFFSET(INDIRECT(CELL("address",INDEX('Leave Tracker'!$A$8:$A$100,MATCH($A5,'Leave Tracker'!$A$8:$A$100,0)))),0,31*(VLOOKUP(R$1,Sprints[],5,FALSE))+DAY(VLOOKUP(R$1,Sprints[],2,FALSE)),1,VLOOKUP(R$1,Sprints[],4,FALSE))&lt;&gt;"")*(IF(OFFSET(INDIRECT(CELL("address",INDEX('Leave Tracker'!$A$8:$A$100,MATCH($A5,'Leave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4</v>
      </c>
    </row>
    <row r="6" spans="1:18" x14ac:dyDescent="0.45">
      <c r="A6" t="s">
        <v>46</v>
      </c>
      <c r="B6" s="45" t="s">
        <v>112</v>
      </c>
      <c r="C6" s="45" t="s">
        <v>117</v>
      </c>
      <c r="D6" s="45" t="s">
        <v>133</v>
      </c>
      <c r="E6" s="45" t="s">
        <v>128</v>
      </c>
      <c r="F6" s="47">
        <v>0.75</v>
      </c>
      <c r="G6" s="45">
        <f t="array" aca="1" ref="G6" ca="1">Sheet3!$W$2*$F6*(NETWORKDAYS(VLOOKUP(G$1,Sprints[],2,FALSE), VLOOKUP(G$1,Sprints[],3,FALSE))-SUMPRODUCT((OFFSET(INDIRECT(CELL("address",INDEX('Leave Tracker'!$A$8:$A$100,MATCH($A6,'Leave Tracker'!$A$8:$A$100,0)))),0,31*(VLOOKUP(G$1,Sprints[],5,FALSE))+DAY(VLOOKUP(G$1,Sprints[],2,FALSE)),1,VLOOKUP(G$1,Sprints[],4,FALSE))&lt;&gt;"")*(IF(OFFSET(INDIRECT(CELL("address",INDEX('Leave Tracker'!$A$8:$A$100,MATCH($A6,'Leave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6">
        <f t="array" aca="1" ref="H6" ca="1">Sheet3!$W$2*$F6*(NETWORKDAYS(VLOOKUP(H$1,Sprints[],2,FALSE), VLOOKUP(H$1,Sprints[],3,FALSE))-SUMPRODUCT((OFFSET(INDIRECT(CELL("address",INDEX('Leave Tracker'!$A$8:$A$100,MATCH($A6,'Leave Tracker'!$A$8:$A$100,0)))),0,31*(VLOOKUP(H$1,Sprints[],5,FALSE))+DAY(VLOOKUP(H$1,Sprints[],2,FALSE)),1,VLOOKUP(H$1,Sprints[],4,FALSE))&lt;&gt;"")*(IF(OFFSET(INDIRECT(CELL("address",INDEX('Leave Tracker'!$A$8:$A$100,MATCH($A6,'Leave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6">
        <f t="array" aca="1" ref="I6" ca="1">Sheet3!$W$2*$F6*(NETWORKDAYS(VLOOKUP(I$1,Sprints[],2,FALSE), VLOOKUP(I$1,Sprints[],3,FALSE))-SUMPRODUCT((OFFSET(INDIRECT(CELL("address",INDEX('Leave Tracker'!$A$8:$A$100,MATCH($A6,'Leave Tracker'!$A$8:$A$100,0)))),0,31*(VLOOKUP(I$1,Sprints[],5,FALSE))+DAY(VLOOKUP(I$1,Sprints[],2,FALSE)),1,VLOOKUP(I$1,Sprints[],4,FALSE))&lt;&gt;"")*(IF(OFFSET(INDIRECT(CELL("address",INDEX('Leave Tracker'!$A$8:$A$100,MATCH($A6,'Leave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6">
        <f t="array" aca="1" ref="J6" ca="1">Sheet3!$W$2*$F6*(NETWORKDAYS(VLOOKUP(J$1,Sprints[],2,FALSE), VLOOKUP(J$1,Sprints[],3,FALSE))-SUMPRODUCT((OFFSET(INDIRECT(CELL("address",INDEX('Leave Tracker'!$A$8:$A$100,MATCH($A6,'Leave Tracker'!$A$8:$A$100,0)))),0,31*(VLOOKUP(J$1,Sprints[],5,FALSE))+DAY(VLOOKUP(J$1,Sprints[],2,FALSE)),1,VLOOKUP(J$1,Sprints[],4,FALSE))&lt;&gt;"")*(IF(OFFSET(INDIRECT(CELL("address",INDEX('Leave Tracker'!$A$8:$A$100,MATCH($A6,'Leave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6">
        <f t="array" aca="1" ref="K6" ca="1">Sheet3!$W$2*$F6*(NETWORKDAYS(VLOOKUP(K$1,Sprints[],2,FALSE), VLOOKUP(K$1,Sprints[],3,FALSE))-SUMPRODUCT((OFFSET(INDIRECT(CELL("address",INDEX('Leave Tracker'!$A$8:$A$100,MATCH($A6,'Leave Tracker'!$A$8:$A$100,0)))),0,31*(VLOOKUP(K$1,Sprints[],5,FALSE))+DAY(VLOOKUP(K$1,Sprints[],2,FALSE)),1,VLOOKUP(K$1,Sprints[],4,FALSE))&lt;&gt;"")*(IF(OFFSET(INDIRECT(CELL("address",INDEX('Leave Tracker'!$A$8:$A$100,MATCH($A6,'Leave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6">
        <f t="array" aca="1" ref="L6" ca="1">Sheet3!$W$2*$F6*(NETWORKDAYS(VLOOKUP(L$1,Sprints[],2,FALSE), VLOOKUP(L$1,Sprints[],3,FALSE))-SUMPRODUCT((OFFSET(INDIRECT(CELL("address",INDEX('Leave Tracker'!$A$8:$A$100,MATCH($A6,'Leave Tracker'!$A$8:$A$100,0)))),0,31*(VLOOKUP(L$1,Sprints[],5,FALSE))+DAY(VLOOKUP(L$1,Sprints[],2,FALSE)),1,VLOOKUP(L$1,Sprints[],4,FALSE))&lt;&gt;"")*(IF(OFFSET(INDIRECT(CELL("address",INDEX('Leave Tracker'!$A$8:$A$100,MATCH($A6,'Leave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4.8000000000000007</v>
      </c>
      <c r="M6" s="45">
        <f t="array" aca="1" ref="M6" ca="1">Sheet3!$W$2*$F6*(NETWORKDAYS(VLOOKUP(M$1,Sprints[],2,FALSE), VLOOKUP(M$1,Sprints[],3,FALSE))-SUMPRODUCT((OFFSET(INDIRECT(CELL("address",INDEX('Leave Tracker'!$A$8:$A$100,MATCH($A6,'Leave Tracker'!$A$8:$A$100,0)))),0,31*(VLOOKUP(M$1,Sprints[],5,FALSE))+DAY(VLOOKUP(M$1,Sprints[],2,FALSE)),1,VLOOKUP(M$1,Sprints[],4,FALSE))&lt;&gt;"")*(IF(OFFSET(INDIRECT(CELL("address",INDEX('Leave Tracker'!$A$8:$A$100,MATCH($A6,'Leave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0</v>
      </c>
      <c r="N6">
        <f t="array" aca="1" ref="N6" ca="1">Sheet3!$W$2*$F6*(NETWORKDAYS(VLOOKUP(N$1,Sprints[],2,FALSE), VLOOKUP(N$1,Sprints[],3,FALSE))-SUMPRODUCT((OFFSET(INDIRECT(CELL("address",INDEX('Leave Tracker'!$A$8:$A$100,MATCH($A6,'Leave Tracker'!$A$8:$A$100,0)))),0,31*(VLOOKUP(N$1,Sprints[],5,FALSE))+DAY(VLOOKUP(N$1,Sprints[],2,FALSE)),1,VLOOKUP(N$1,Sprints[],4,FALSE))&lt;&gt;"")*(IF(OFFSET(INDIRECT(CELL("address",INDEX('Leave Tracker'!$A$8:$A$100,MATCH($A6,'Leave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1.8000000000000003</v>
      </c>
      <c r="O6">
        <f t="array" aca="1" ref="O6" ca="1">Sheet3!$W$2*$F6*(NETWORKDAYS(VLOOKUP(O$1,Sprints[],2,FALSE), VLOOKUP(O$1,Sprints[],3,FALSE))-SUMPRODUCT((OFFSET(INDIRECT(CELL("address",INDEX('Leave Tracker'!$A$8:$A$100,MATCH($A6,'Leave Tracker'!$A$8:$A$100,0)))),0,31*(VLOOKUP(O$1,Sprints[],5,FALSE))+DAY(VLOOKUP(O$1,Sprints[],2,FALSE)),1,VLOOKUP(O$1,Sprints[],4,FALSE))&lt;&gt;"")*(IF(OFFSET(INDIRECT(CELL("address",INDEX('Leave Tracker'!$A$8:$A$100,MATCH($A6,'Leave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6">
        <f t="array" aca="1" ref="P6" ca="1">Sheet3!$W$2*$F6*(NETWORKDAYS(VLOOKUP(P$1,Sprints[],2,FALSE), VLOOKUP(P$1,Sprints[],3,FALSE))-SUMPRODUCT((OFFSET(INDIRECT(CELL("address",INDEX('Leave Tracker'!$A$8:$A$100,MATCH($A6,'Leave Tracker'!$A$8:$A$100,0)))),0,31*(VLOOKUP(P$1,Sprints[],5,FALSE))+DAY(VLOOKUP(P$1,Sprints[],2,FALSE)),1,VLOOKUP(P$1,Sprints[],4,FALSE))&lt;&gt;"")*(IF(OFFSET(INDIRECT(CELL("address",INDEX('Leave Tracker'!$A$8:$A$100,MATCH($A6,'Leave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6">
        <f t="array" aca="1" ref="Q6" ca="1">Sheet3!$W$2*$F6*(NETWORKDAYS(VLOOKUP(Q$1,Sprints[],2,FALSE), VLOOKUP(Q$1,Sprints[],3,FALSE))-SUMPRODUCT((OFFSET(INDIRECT(CELL("address",INDEX('Leave Tracker'!$A$8:$A$100,MATCH($A6,'Leave Tracker'!$A$8:$A$100,0)))),0,31*(VLOOKUP(Q$1,Sprints[],5,FALSE))+DAY(VLOOKUP(Q$1,Sprints[],2,FALSE)),1,VLOOKUP(Q$1,Sprints[],4,FALSE))&lt;&gt;"")*(IF(OFFSET(INDIRECT(CELL("address",INDEX('Leave Tracker'!$A$8:$A$100,MATCH($A6,'Leave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5.4</v>
      </c>
      <c r="R6">
        <f t="array" aca="1" ref="R6" ca="1">Sheet3!$W$2*$F6*(NETWORKDAYS(VLOOKUP(R$1,Sprints[],2,FALSE), VLOOKUP(R$1,Sprints[],3,FALSE))-SUMPRODUCT((OFFSET(INDIRECT(CELL("address",INDEX('Leave Tracker'!$A$8:$A$100,MATCH($A6,'Leave Tracker'!$A$8:$A$100,0)))),0,31*(VLOOKUP(R$1,Sprints[],5,FALSE))+DAY(VLOOKUP(R$1,Sprints[],2,FALSE)),1,VLOOKUP(R$1,Sprints[],4,FALSE))&lt;&gt;"")*(IF(OFFSET(INDIRECT(CELL("address",INDEX('Leave Tracker'!$A$8:$A$100,MATCH($A6,'Leave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7" spans="1:18" x14ac:dyDescent="0.45">
      <c r="A7" t="s">
        <v>45</v>
      </c>
      <c r="B7" s="45" t="s">
        <v>112</v>
      </c>
      <c r="C7" s="45" t="s">
        <v>117</v>
      </c>
      <c r="D7" s="45" t="s">
        <v>132</v>
      </c>
      <c r="E7" s="45" t="s">
        <v>126</v>
      </c>
      <c r="F7" s="47">
        <v>0.75</v>
      </c>
      <c r="G7" s="45">
        <f t="array" aca="1" ref="G7" ca="1">Sheet3!$W$2*$F7*(NETWORKDAYS(VLOOKUP(G$1,Sprints[],2,FALSE), VLOOKUP(G$1,Sprints[],3,FALSE))-SUMPRODUCT((OFFSET(INDIRECT(CELL("address",INDEX('Leave Tracker'!$A$8:$A$100,MATCH($A7,'Leave Tracker'!$A$8:$A$100,0)))),0,31*(VLOOKUP(G$1,Sprints[],5,FALSE))+DAY(VLOOKUP(G$1,Sprints[],2,FALSE)),1,VLOOKUP(G$1,Sprints[],4,FALSE))&lt;&gt;"")*(IF(OFFSET(INDIRECT(CELL("address",INDEX('Leave Tracker'!$A$8:$A$100,MATCH($A7,'Leave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7">
        <f t="array" aca="1" ref="H7" ca="1">Sheet3!$W$2*$F7*(NETWORKDAYS(VLOOKUP(H$1,Sprints[],2,FALSE), VLOOKUP(H$1,Sprints[],3,FALSE))-SUMPRODUCT((OFFSET(INDIRECT(CELL("address",INDEX('Leave Tracker'!$A$8:$A$100,MATCH($A7,'Leave Tracker'!$A$8:$A$100,0)))),0,31*(VLOOKUP(H$1,Sprints[],5,FALSE))+DAY(VLOOKUP(H$1,Sprints[],2,FALSE)),1,VLOOKUP(H$1,Sprints[],4,FALSE))&lt;&gt;"")*(IF(OFFSET(INDIRECT(CELL("address",INDEX('Leave Tracker'!$A$8:$A$100,MATCH($A7,'Leave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7">
        <f t="array" aca="1" ref="I7" ca="1">Sheet3!$W$2*$F7*(NETWORKDAYS(VLOOKUP(I$1,Sprints[],2,FALSE), VLOOKUP(I$1,Sprints[],3,FALSE))-SUMPRODUCT((OFFSET(INDIRECT(CELL("address",INDEX('Leave Tracker'!$A$8:$A$100,MATCH($A7,'Leave Tracker'!$A$8:$A$100,0)))),0,31*(VLOOKUP(I$1,Sprints[],5,FALSE))+DAY(VLOOKUP(I$1,Sprints[],2,FALSE)),1,VLOOKUP(I$1,Sprints[],4,FALSE))&lt;&gt;"")*(IF(OFFSET(INDIRECT(CELL("address",INDEX('Leave Tracker'!$A$8:$A$100,MATCH($A7,'Leave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7">
        <f t="array" aca="1" ref="J7" ca="1">Sheet3!$W$2*$F7*(NETWORKDAYS(VLOOKUP(J$1,Sprints[],2,FALSE), VLOOKUP(J$1,Sprints[],3,FALSE))-SUMPRODUCT((OFFSET(INDIRECT(CELL("address",INDEX('Leave Tracker'!$A$8:$A$100,MATCH($A7,'Leave Tracker'!$A$8:$A$100,0)))),0,31*(VLOOKUP(J$1,Sprints[],5,FALSE))+DAY(VLOOKUP(J$1,Sprints[],2,FALSE)),1,VLOOKUP(J$1,Sprints[],4,FALSE))&lt;&gt;"")*(IF(OFFSET(INDIRECT(CELL("address",INDEX('Leave Tracker'!$A$8:$A$100,MATCH($A7,'Leave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7">
        <f t="array" aca="1" ref="K7" ca="1">Sheet3!$W$2*$F7*(NETWORKDAYS(VLOOKUP(K$1,Sprints[],2,FALSE), VLOOKUP(K$1,Sprints[],3,FALSE))-SUMPRODUCT((OFFSET(INDIRECT(CELL("address",INDEX('Leave Tracker'!$A$8:$A$100,MATCH($A7,'Leave Tracker'!$A$8:$A$100,0)))),0,31*(VLOOKUP(K$1,Sprints[],5,FALSE))+DAY(VLOOKUP(K$1,Sprints[],2,FALSE)),1,VLOOKUP(K$1,Sprints[],4,FALSE))&lt;&gt;"")*(IF(OFFSET(INDIRECT(CELL("address",INDEX('Leave Tracker'!$A$8:$A$100,MATCH($A7,'Leave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7">
        <f t="array" aca="1" ref="L7" ca="1">Sheet3!$W$2*$F7*(NETWORKDAYS(VLOOKUP(L$1,Sprints[],2,FALSE), VLOOKUP(L$1,Sprints[],3,FALSE))-SUMPRODUCT((OFFSET(INDIRECT(CELL("address",INDEX('Leave Tracker'!$A$8:$A$100,MATCH($A7,'Leave Tracker'!$A$8:$A$100,0)))),0,31*(VLOOKUP(L$1,Sprints[],5,FALSE))+DAY(VLOOKUP(L$1,Sprints[],2,FALSE)),1,VLOOKUP(L$1,Sprints[],4,FALSE))&lt;&gt;"")*(IF(OFFSET(INDIRECT(CELL("address",INDEX('Leave Tracker'!$A$8:$A$100,MATCH($A7,'Leave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6.0000000000000009</v>
      </c>
      <c r="M7" s="45">
        <f t="array" aca="1" ref="M7" ca="1">Sheet3!$W$2*$F7*(NETWORKDAYS(VLOOKUP(M$1,Sprints[],2,FALSE), VLOOKUP(M$1,Sprints[],3,FALSE))-SUMPRODUCT((OFFSET(INDIRECT(CELL("address",INDEX('Leave Tracker'!$A$8:$A$100,MATCH($A7,'Leave Tracker'!$A$8:$A$100,0)))),0,31*(VLOOKUP(M$1,Sprints[],5,FALSE))+DAY(VLOOKUP(M$1,Sprints[],2,FALSE)),1,VLOOKUP(M$1,Sprints[],4,FALSE))&lt;&gt;"")*(IF(OFFSET(INDIRECT(CELL("address",INDEX('Leave Tracker'!$A$8:$A$100,MATCH($A7,'Leave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7">
        <f t="array" aca="1" ref="N7" ca="1">Sheet3!$W$2*$F7*(NETWORKDAYS(VLOOKUP(N$1,Sprints[],2,FALSE), VLOOKUP(N$1,Sprints[],3,FALSE))-SUMPRODUCT((OFFSET(INDIRECT(CELL("address",INDEX('Leave Tracker'!$A$8:$A$100,MATCH($A7,'Leave Tracker'!$A$8:$A$100,0)))),0,31*(VLOOKUP(N$1,Sprints[],5,FALSE))+DAY(VLOOKUP(N$1,Sprints[],2,FALSE)),1,VLOOKUP(N$1,Sprints[],4,FALSE))&lt;&gt;"")*(IF(OFFSET(INDIRECT(CELL("address",INDEX('Leave Tracker'!$A$8:$A$100,MATCH($A7,'Leave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7">
        <f t="array" aca="1" ref="O7" ca="1">Sheet3!$W$2*$F7*(NETWORKDAYS(VLOOKUP(O$1,Sprints[],2,FALSE), VLOOKUP(O$1,Sprints[],3,FALSE))-SUMPRODUCT((OFFSET(INDIRECT(CELL("address",INDEX('Leave Tracker'!$A$8:$A$100,MATCH($A7,'Leave Tracker'!$A$8:$A$100,0)))),0,31*(VLOOKUP(O$1,Sprints[],5,FALSE))+DAY(VLOOKUP(O$1,Sprints[],2,FALSE)),1,VLOOKUP(O$1,Sprints[],4,FALSE))&lt;&gt;"")*(IF(OFFSET(INDIRECT(CELL("address",INDEX('Leave Tracker'!$A$8:$A$100,MATCH($A7,'Leave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7">
        <f t="array" aca="1" ref="P7" ca="1">Sheet3!$W$2*$F7*(NETWORKDAYS(VLOOKUP(P$1,Sprints[],2,FALSE), VLOOKUP(P$1,Sprints[],3,FALSE))-SUMPRODUCT((OFFSET(INDIRECT(CELL("address",INDEX('Leave Tracker'!$A$8:$A$100,MATCH($A7,'Leave Tracker'!$A$8:$A$100,0)))),0,31*(VLOOKUP(P$1,Sprints[],5,FALSE))+DAY(VLOOKUP(P$1,Sprints[],2,FALSE)),1,VLOOKUP(P$1,Sprints[],4,FALSE))&lt;&gt;"")*(IF(OFFSET(INDIRECT(CELL("address",INDEX('Leave Tracker'!$A$8:$A$100,MATCH($A7,'Leave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7">
        <f t="array" aca="1" ref="Q7" ca="1">Sheet3!$W$2*$F7*(NETWORKDAYS(VLOOKUP(Q$1,Sprints[],2,FALSE), VLOOKUP(Q$1,Sprints[],3,FALSE))-SUMPRODUCT((OFFSET(INDIRECT(CELL("address",INDEX('Leave Tracker'!$A$8:$A$100,MATCH($A7,'Leave Tracker'!$A$8:$A$100,0)))),0,31*(VLOOKUP(Q$1,Sprints[],5,FALSE))+DAY(VLOOKUP(Q$1,Sprints[],2,FALSE)),1,VLOOKUP(Q$1,Sprints[],4,FALSE))&lt;&gt;"")*(IF(OFFSET(INDIRECT(CELL("address",INDEX('Leave Tracker'!$A$8:$A$100,MATCH($A7,'Leave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5.4</v>
      </c>
      <c r="R7">
        <f t="array" aca="1" ref="R7" ca="1">Sheet3!$W$2*$F7*(NETWORKDAYS(VLOOKUP(R$1,Sprints[],2,FALSE), VLOOKUP(R$1,Sprints[],3,FALSE))-SUMPRODUCT((OFFSET(INDIRECT(CELL("address",INDEX('Leave Tracker'!$A$8:$A$100,MATCH($A7,'Leave Tracker'!$A$8:$A$100,0)))),0,31*(VLOOKUP(R$1,Sprints[],5,FALSE))+DAY(VLOOKUP(R$1,Sprints[],2,FALSE)),1,VLOOKUP(R$1,Sprints[],4,FALSE))&lt;&gt;"")*(IF(OFFSET(INDIRECT(CELL("address",INDEX('Leave Tracker'!$A$8:$A$100,MATCH($A7,'Leave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8" spans="1:18" x14ac:dyDescent="0.45">
      <c r="A8" t="s">
        <v>47</v>
      </c>
      <c r="B8" s="45" t="s">
        <v>112</v>
      </c>
      <c r="C8" s="45" t="s">
        <v>117</v>
      </c>
      <c r="D8" s="45" t="s">
        <v>132</v>
      </c>
      <c r="E8" s="45" t="s">
        <v>125</v>
      </c>
      <c r="F8" s="47">
        <v>0.75</v>
      </c>
      <c r="G8" s="45">
        <f t="array" aca="1" ref="G8" ca="1">Sheet3!$W$2*$F8*(NETWORKDAYS(VLOOKUP(G$1,Sprints[],2,FALSE), VLOOKUP(G$1,Sprints[],3,FALSE))-SUMPRODUCT((OFFSET(INDIRECT(CELL("address",INDEX('Leave Tracker'!$A$8:$A$100,MATCH($A8,'Leave Tracker'!$A$8:$A$100,0)))),0,31*(VLOOKUP(G$1,Sprints[],5,FALSE))+DAY(VLOOKUP(G$1,Sprints[],2,FALSE)),1,VLOOKUP(G$1,Sprints[],4,FALSE))&lt;&gt;"")*(IF(OFFSET(INDIRECT(CELL("address",INDEX('Leave Tracker'!$A$8:$A$100,MATCH($A8,'Leave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8">
        <f t="array" aca="1" ref="H8" ca="1">Sheet3!$W$2*$F8*(NETWORKDAYS(VLOOKUP(H$1,Sprints[],2,FALSE), VLOOKUP(H$1,Sprints[],3,FALSE))-SUMPRODUCT((OFFSET(INDIRECT(CELL("address",INDEX('Leave Tracker'!$A$8:$A$100,MATCH($A8,'Leave Tracker'!$A$8:$A$100,0)))),0,31*(VLOOKUP(H$1,Sprints[],5,FALSE))+DAY(VLOOKUP(H$1,Sprints[],2,FALSE)),1,VLOOKUP(H$1,Sprints[],4,FALSE))&lt;&gt;"")*(IF(OFFSET(INDIRECT(CELL("address",INDEX('Leave Tracker'!$A$8:$A$100,MATCH($A8,'Leave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8">
        <f t="array" aca="1" ref="I8" ca="1">Sheet3!$W$2*$F8*(NETWORKDAYS(VLOOKUP(I$1,Sprints[],2,FALSE), VLOOKUP(I$1,Sprints[],3,FALSE))-SUMPRODUCT((OFFSET(INDIRECT(CELL("address",INDEX('Leave Tracker'!$A$8:$A$100,MATCH($A8,'Leave Tracker'!$A$8:$A$100,0)))),0,31*(VLOOKUP(I$1,Sprints[],5,FALSE))+DAY(VLOOKUP(I$1,Sprints[],2,FALSE)),1,VLOOKUP(I$1,Sprints[],4,FALSE))&lt;&gt;"")*(IF(OFFSET(INDIRECT(CELL("address",INDEX('Leave Tracker'!$A$8:$A$100,MATCH($A8,'Leave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8">
        <f t="array" aca="1" ref="J8" ca="1">Sheet3!$W$2*$F8*(NETWORKDAYS(VLOOKUP(J$1,Sprints[],2,FALSE), VLOOKUP(J$1,Sprints[],3,FALSE))-SUMPRODUCT((OFFSET(INDIRECT(CELL("address",INDEX('Leave Tracker'!$A$8:$A$100,MATCH($A8,'Leave Tracker'!$A$8:$A$100,0)))),0,31*(VLOOKUP(J$1,Sprints[],5,FALSE))+DAY(VLOOKUP(J$1,Sprints[],2,FALSE)),1,VLOOKUP(J$1,Sprints[],4,FALSE))&lt;&gt;"")*(IF(OFFSET(INDIRECT(CELL("address",INDEX('Leave Tracker'!$A$8:$A$100,MATCH($A8,'Leave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8">
        <f t="array" aca="1" ref="K8" ca="1">Sheet3!$W$2*$F8*(NETWORKDAYS(VLOOKUP(K$1,Sprints[],2,FALSE), VLOOKUP(K$1,Sprints[],3,FALSE))-SUMPRODUCT((OFFSET(INDIRECT(CELL("address",INDEX('Leave Tracker'!$A$8:$A$100,MATCH($A8,'Leave Tracker'!$A$8:$A$100,0)))),0,31*(VLOOKUP(K$1,Sprints[],5,FALSE))+DAY(VLOOKUP(K$1,Sprints[],2,FALSE)),1,VLOOKUP(K$1,Sprints[],4,FALSE))&lt;&gt;"")*(IF(OFFSET(INDIRECT(CELL("address",INDEX('Leave Tracker'!$A$8:$A$100,MATCH($A8,'Leave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8">
        <f t="array" aca="1" ref="L8" ca="1">Sheet3!$W$2*$F8*(NETWORKDAYS(VLOOKUP(L$1,Sprints[],2,FALSE), VLOOKUP(L$1,Sprints[],3,FALSE))-SUMPRODUCT((OFFSET(INDIRECT(CELL("address",INDEX('Leave Tracker'!$A$8:$A$100,MATCH($A8,'Leave Tracker'!$A$8:$A$100,0)))),0,31*(VLOOKUP(L$1,Sprints[],5,FALSE))+DAY(VLOOKUP(L$1,Sprints[],2,FALSE)),1,VLOOKUP(L$1,Sprints[],4,FALSE))&lt;&gt;"")*(IF(OFFSET(INDIRECT(CELL("address",INDEX('Leave Tracker'!$A$8:$A$100,MATCH($A8,'Leave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3.0000000000000004</v>
      </c>
      <c r="M8" s="45">
        <f t="array" aca="1" ref="M8" ca="1">Sheet3!$W$2*$F8*(NETWORKDAYS(VLOOKUP(M$1,Sprints[],2,FALSE), VLOOKUP(M$1,Sprints[],3,FALSE))-SUMPRODUCT((OFFSET(INDIRECT(CELL("address",INDEX('Leave Tracker'!$A$8:$A$100,MATCH($A8,'Leave Tracker'!$A$8:$A$100,0)))),0,31*(VLOOKUP(M$1,Sprints[],5,FALSE))+DAY(VLOOKUP(M$1,Sprints[],2,FALSE)),1,VLOOKUP(M$1,Sprints[],4,FALSE))&lt;&gt;"")*(IF(OFFSET(INDIRECT(CELL("address",INDEX('Leave Tracker'!$A$8:$A$100,MATCH($A8,'Leave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8">
        <f t="array" aca="1" ref="N8" ca="1">Sheet3!$W$2*$F8*(NETWORKDAYS(VLOOKUP(N$1,Sprints[],2,FALSE), VLOOKUP(N$1,Sprints[],3,FALSE))-SUMPRODUCT((OFFSET(INDIRECT(CELL("address",INDEX('Leave Tracker'!$A$8:$A$100,MATCH($A8,'Leave Tracker'!$A$8:$A$100,0)))),0,31*(VLOOKUP(N$1,Sprints[],5,FALSE))+DAY(VLOOKUP(N$1,Sprints[],2,FALSE)),1,VLOOKUP(N$1,Sprints[],4,FALSE))&lt;&gt;"")*(IF(OFFSET(INDIRECT(CELL("address",INDEX('Leave Tracker'!$A$8:$A$100,MATCH($A8,'Leave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8">
        <f t="array" aca="1" ref="O8" ca="1">Sheet3!$W$2*$F8*(NETWORKDAYS(VLOOKUP(O$1,Sprints[],2,FALSE), VLOOKUP(O$1,Sprints[],3,FALSE))-SUMPRODUCT((OFFSET(INDIRECT(CELL("address",INDEX('Leave Tracker'!$A$8:$A$100,MATCH($A8,'Leave Tracker'!$A$8:$A$100,0)))),0,31*(VLOOKUP(O$1,Sprints[],5,FALSE))+DAY(VLOOKUP(O$1,Sprints[],2,FALSE)),1,VLOOKUP(O$1,Sprints[],4,FALSE))&lt;&gt;"")*(IF(OFFSET(INDIRECT(CELL("address",INDEX('Leave Tracker'!$A$8:$A$100,MATCH($A8,'Leave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8">
        <f t="array" aca="1" ref="P8" ca="1">Sheet3!$W$2*$F8*(NETWORKDAYS(VLOOKUP(P$1,Sprints[],2,FALSE), VLOOKUP(P$1,Sprints[],3,FALSE))-SUMPRODUCT((OFFSET(INDIRECT(CELL("address",INDEX('Leave Tracker'!$A$8:$A$100,MATCH($A8,'Leave Tracker'!$A$8:$A$100,0)))),0,31*(VLOOKUP(P$1,Sprints[],5,FALSE))+DAY(VLOOKUP(P$1,Sprints[],2,FALSE)),1,VLOOKUP(P$1,Sprints[],4,FALSE))&lt;&gt;"")*(IF(OFFSET(INDIRECT(CELL("address",INDEX('Leave Tracker'!$A$8:$A$100,MATCH($A8,'Leave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8">
        <f t="array" aca="1" ref="Q8" ca="1">Sheet3!$W$2*$F8*(NETWORKDAYS(VLOOKUP(Q$1,Sprints[],2,FALSE), VLOOKUP(Q$1,Sprints[],3,FALSE))-SUMPRODUCT((OFFSET(INDIRECT(CELL("address",INDEX('Leave Tracker'!$A$8:$A$100,MATCH($A8,'Leave Tracker'!$A$8:$A$100,0)))),0,31*(VLOOKUP(Q$1,Sprints[],5,FALSE))+DAY(VLOOKUP(Q$1,Sprints[],2,FALSE)),1,VLOOKUP(Q$1,Sprints[],4,FALSE))&lt;&gt;"")*(IF(OFFSET(INDIRECT(CELL("address",INDEX('Leave Tracker'!$A$8:$A$100,MATCH($A8,'Leave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2.4000000000000004</v>
      </c>
      <c r="R8">
        <f t="array" aca="1" ref="R8" ca="1">Sheet3!$W$2*$F8*(NETWORKDAYS(VLOOKUP(R$1,Sprints[],2,FALSE), VLOOKUP(R$1,Sprints[],3,FALSE))-SUMPRODUCT((OFFSET(INDIRECT(CELL("address",INDEX('Leave Tracker'!$A$8:$A$100,MATCH($A8,'Leave Tracker'!$A$8:$A$100,0)))),0,31*(VLOOKUP(R$1,Sprints[],5,FALSE))+DAY(VLOOKUP(R$1,Sprints[],2,FALSE)),1,VLOOKUP(R$1,Sprints[],4,FALSE))&lt;&gt;"")*(IF(OFFSET(INDIRECT(CELL("address",INDEX('Leave Tracker'!$A$8:$A$100,MATCH($A8,'Leave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9" spans="1:18" x14ac:dyDescent="0.45">
      <c r="A9" t="s">
        <v>67</v>
      </c>
      <c r="B9" s="45" t="s">
        <v>113</v>
      </c>
      <c r="C9" s="45" t="s">
        <v>117</v>
      </c>
      <c r="D9" s="45" t="s">
        <v>121</v>
      </c>
      <c r="E9" s="45" t="s">
        <v>126</v>
      </c>
      <c r="F9" s="47">
        <v>0.2</v>
      </c>
      <c r="G9" s="45">
        <f t="array" aca="1" ref="G9" ca="1">Sheet3!$W$2*$F9*(NETWORKDAYS(VLOOKUP(G$1,Sprints[],2,FALSE), VLOOKUP(G$1,Sprints[],3,FALSE))-SUMPRODUCT((OFFSET(INDIRECT(CELL("address",INDEX('Leave Tracker'!$A$8:$A$100,MATCH($A9,'Leave Tracker'!$A$8:$A$100,0)))),0,31*(VLOOKUP(G$1,Sprints[],5,FALSE))+DAY(VLOOKUP(G$1,Sprints[],2,FALSE)),1,VLOOKUP(G$1,Sprints[],4,FALSE))&lt;&gt;"")*(IF(OFFSET(INDIRECT(CELL("address",INDEX('Leave Tracker'!$A$8:$A$100,MATCH($A9,'Leave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0.80000000000000016</v>
      </c>
      <c r="H9">
        <f t="array" aca="1" ref="H9" ca="1">Sheet3!$W$2*$F9*(NETWORKDAYS(VLOOKUP(H$1,Sprints[],2,FALSE), VLOOKUP(H$1,Sprints[],3,FALSE))-SUMPRODUCT((OFFSET(INDIRECT(CELL("address",INDEX('Leave Tracker'!$A$8:$A$100,MATCH($A9,'Leave Tracker'!$A$8:$A$100,0)))),0,31*(VLOOKUP(H$1,Sprints[],5,FALSE))+DAY(VLOOKUP(H$1,Sprints[],2,FALSE)),1,VLOOKUP(H$1,Sprints[],4,FALSE))&lt;&gt;"")*(IF(OFFSET(INDIRECT(CELL("address",INDEX('Leave Tracker'!$A$8:$A$100,MATCH($A9,'Leave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1.6000000000000003</v>
      </c>
      <c r="I9">
        <f t="array" aca="1" ref="I9" ca="1">Sheet3!$W$2*$F9*(NETWORKDAYS(VLOOKUP(I$1,Sprints[],2,FALSE), VLOOKUP(I$1,Sprints[],3,FALSE))-SUMPRODUCT((OFFSET(INDIRECT(CELL("address",INDEX('Leave Tracker'!$A$8:$A$100,MATCH($A9,'Leave Tracker'!$A$8:$A$100,0)))),0,31*(VLOOKUP(I$1,Sprints[],5,FALSE))+DAY(VLOOKUP(I$1,Sprints[],2,FALSE)),1,VLOOKUP(I$1,Sprints[],4,FALSE))&lt;&gt;"")*(IF(OFFSET(INDIRECT(CELL("address",INDEX('Leave Tracker'!$A$8:$A$100,MATCH($A9,'Leave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1.6000000000000003</v>
      </c>
      <c r="J9">
        <f t="array" aca="1" ref="J9" ca="1">Sheet3!$W$2*$F9*(NETWORKDAYS(VLOOKUP(J$1,Sprints[],2,FALSE), VLOOKUP(J$1,Sprints[],3,FALSE))-SUMPRODUCT((OFFSET(INDIRECT(CELL("address",INDEX('Leave Tracker'!$A$8:$A$100,MATCH($A9,'Leave Tracker'!$A$8:$A$100,0)))),0,31*(VLOOKUP(J$1,Sprints[],5,FALSE))+DAY(VLOOKUP(J$1,Sprints[],2,FALSE)),1,VLOOKUP(J$1,Sprints[],4,FALSE))&lt;&gt;"")*(IF(OFFSET(INDIRECT(CELL("address",INDEX('Leave Tracker'!$A$8:$A$100,MATCH($A9,'Leave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1.2000000000000002</v>
      </c>
      <c r="K9">
        <f t="array" aca="1" ref="K9" ca="1">Sheet3!$W$2*$F9*(NETWORKDAYS(VLOOKUP(K$1,Sprints[],2,FALSE), VLOOKUP(K$1,Sprints[],3,FALSE))-SUMPRODUCT((OFFSET(INDIRECT(CELL("address",INDEX('Leave Tracker'!$A$8:$A$100,MATCH($A9,'Leave Tracker'!$A$8:$A$100,0)))),0,31*(VLOOKUP(K$1,Sprints[],5,FALSE))+DAY(VLOOKUP(K$1,Sprints[],2,FALSE)),1,VLOOKUP(K$1,Sprints[],4,FALSE))&lt;&gt;"")*(IF(OFFSET(INDIRECT(CELL("address",INDEX('Leave Tracker'!$A$8:$A$100,MATCH($A9,'Leave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1.6000000000000003</v>
      </c>
      <c r="L9">
        <f t="array" aca="1" ref="L9" ca="1">Sheet3!$W$2*$F9*(NETWORKDAYS(VLOOKUP(L$1,Sprints[],2,FALSE), VLOOKUP(L$1,Sprints[],3,FALSE))-SUMPRODUCT((OFFSET(INDIRECT(CELL("address",INDEX('Leave Tracker'!$A$8:$A$100,MATCH($A9,'Leave Tracker'!$A$8:$A$100,0)))),0,31*(VLOOKUP(L$1,Sprints[],5,FALSE))+DAY(VLOOKUP(L$1,Sprints[],2,FALSE)),1,VLOOKUP(L$1,Sprints[],4,FALSE))&lt;&gt;"")*(IF(OFFSET(INDIRECT(CELL("address",INDEX('Leave Tracker'!$A$8:$A$100,MATCH($A9,'Leave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1.2800000000000002</v>
      </c>
      <c r="M9" s="45">
        <f t="array" aca="1" ref="M9" ca="1">Sheet3!$W$2*$F9*(NETWORKDAYS(VLOOKUP(M$1,Sprints[],2,FALSE), VLOOKUP(M$1,Sprints[],3,FALSE))-SUMPRODUCT((OFFSET(INDIRECT(CELL("address",INDEX('Leave Tracker'!$A$8:$A$100,MATCH($A9,'Leave Tracker'!$A$8:$A$100,0)))),0,31*(VLOOKUP(M$1,Sprints[],5,FALSE))+DAY(VLOOKUP(M$1,Sprints[],2,FALSE)),1,VLOOKUP(M$1,Sprints[],4,FALSE))&lt;&gt;"")*(IF(OFFSET(INDIRECT(CELL("address",INDEX('Leave Tracker'!$A$8:$A$100,MATCH($A9,'Leave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0</v>
      </c>
      <c r="N9">
        <f t="array" aca="1" ref="N9" ca="1">Sheet3!$W$2*$F9*(NETWORKDAYS(VLOOKUP(N$1,Sprints[],2,FALSE), VLOOKUP(N$1,Sprints[],3,FALSE))-SUMPRODUCT((OFFSET(INDIRECT(CELL("address",INDEX('Leave Tracker'!$A$8:$A$100,MATCH($A9,'Leave Tracker'!$A$8:$A$100,0)))),0,31*(VLOOKUP(N$1,Sprints[],5,FALSE))+DAY(VLOOKUP(N$1,Sprints[],2,FALSE)),1,VLOOKUP(N$1,Sprints[],4,FALSE))&lt;&gt;"")*(IF(OFFSET(INDIRECT(CELL("address",INDEX('Leave Tracker'!$A$8:$A$100,MATCH($A9,'Leave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0.48000000000000009</v>
      </c>
      <c r="O9">
        <f t="array" aca="1" ref="O9" ca="1">Sheet3!$W$2*$F9*(NETWORKDAYS(VLOOKUP(O$1,Sprints[],2,FALSE), VLOOKUP(O$1,Sprints[],3,FALSE))-SUMPRODUCT((OFFSET(INDIRECT(CELL("address",INDEX('Leave Tracker'!$A$8:$A$100,MATCH($A9,'Leave Tracker'!$A$8:$A$100,0)))),0,31*(VLOOKUP(O$1,Sprints[],5,FALSE))+DAY(VLOOKUP(O$1,Sprints[],2,FALSE)),1,VLOOKUP(O$1,Sprints[],4,FALSE))&lt;&gt;"")*(IF(OFFSET(INDIRECT(CELL("address",INDEX('Leave Tracker'!$A$8:$A$100,MATCH($A9,'Leave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1.4400000000000004</v>
      </c>
      <c r="P9" s="45">
        <f t="array" aca="1" ref="P9" ca="1">Sheet3!$W$2*$F9*(NETWORKDAYS(VLOOKUP(P$1,Sprints[],2,FALSE), VLOOKUP(P$1,Sprints[],3,FALSE))-SUMPRODUCT((OFFSET(INDIRECT(CELL("address",INDEX('Leave Tracker'!$A$8:$A$100,MATCH($A9,'Leave Tracker'!$A$8:$A$100,0)))),0,31*(VLOOKUP(P$1,Sprints[],5,FALSE))+DAY(VLOOKUP(P$1,Sprints[],2,FALSE)),1,VLOOKUP(P$1,Sprints[],4,FALSE))&lt;&gt;"")*(IF(OFFSET(INDIRECT(CELL("address",INDEX('Leave Tracker'!$A$8:$A$100,MATCH($A9,'Leave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1.6000000000000003</v>
      </c>
      <c r="Q9">
        <f t="array" aca="1" ref="Q9" ca="1">Sheet3!$W$2*$F9*(NETWORKDAYS(VLOOKUP(Q$1,Sprints[],2,FALSE), VLOOKUP(Q$1,Sprints[],3,FALSE))-SUMPRODUCT((OFFSET(INDIRECT(CELL("address",INDEX('Leave Tracker'!$A$8:$A$100,MATCH($A9,'Leave Tracker'!$A$8:$A$100,0)))),0,31*(VLOOKUP(Q$1,Sprints[],5,FALSE))+DAY(VLOOKUP(Q$1,Sprints[],2,FALSE)),1,VLOOKUP(Q$1,Sprints[],4,FALSE))&lt;&gt;"")*(IF(OFFSET(INDIRECT(CELL("address",INDEX('Leave Tracker'!$A$8:$A$100,MATCH($A9,'Leave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1.4400000000000004</v>
      </c>
      <c r="R9">
        <f t="array" aca="1" ref="R9" ca="1">Sheet3!$W$2*$F9*(NETWORKDAYS(VLOOKUP(R$1,Sprints[],2,FALSE), VLOOKUP(R$1,Sprints[],3,FALSE))-SUMPRODUCT((OFFSET(INDIRECT(CELL("address",INDEX('Leave Tracker'!$A$8:$A$100,MATCH($A9,'Leave Tracker'!$A$8:$A$100,0)))),0,31*(VLOOKUP(R$1,Sprints[],5,FALSE))+DAY(VLOOKUP(R$1,Sprints[],2,FALSE)),1,VLOOKUP(R$1,Sprints[],4,FALSE))&lt;&gt;"")*(IF(OFFSET(INDIRECT(CELL("address",INDEX('Leave Tracker'!$A$8:$A$100,MATCH($A9,'Leave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1.6000000000000003</v>
      </c>
    </row>
    <row r="10" spans="1:18" x14ac:dyDescent="0.45">
      <c r="A10" t="s">
        <v>68</v>
      </c>
      <c r="B10" s="45" t="s">
        <v>113</v>
      </c>
      <c r="C10" s="45" t="s">
        <v>117</v>
      </c>
      <c r="D10" s="45" t="s">
        <v>133</v>
      </c>
      <c r="E10" s="45" t="s">
        <v>127</v>
      </c>
      <c r="F10" s="47">
        <v>0.75</v>
      </c>
      <c r="G10" s="45">
        <f t="array" aca="1" ref="G10" ca="1">Sheet3!$W$2*$F10*(NETWORKDAYS(VLOOKUP(G$1,Sprints[],2,FALSE), VLOOKUP(G$1,Sprints[],3,FALSE))-SUMPRODUCT((OFFSET(INDIRECT(CELL("address",INDEX('Leave Tracker'!$A$8:$A$100,MATCH($A10,'Leave Tracker'!$A$8:$A$100,0)))),0,31*(VLOOKUP(G$1,Sprints[],5,FALSE))+DAY(VLOOKUP(G$1,Sprints[],2,FALSE)),1,VLOOKUP(G$1,Sprints[],4,FALSE))&lt;&gt;"")*(IF(OFFSET(INDIRECT(CELL("address",INDEX('Leave Tracker'!$A$8:$A$100,MATCH($A10,'Leave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0</v>
      </c>
      <c r="H10">
        <f t="array" aca="1" ref="H10" ca="1">Sheet3!$W$2*$F10*(NETWORKDAYS(VLOOKUP(H$1,Sprints[],2,FALSE), VLOOKUP(H$1,Sprints[],3,FALSE))-SUMPRODUCT((OFFSET(INDIRECT(CELL("address",INDEX('Leave Tracker'!$A$8:$A$100,MATCH($A10,'Leave Tracker'!$A$8:$A$100,0)))),0,31*(VLOOKUP(H$1,Sprints[],5,FALSE))+DAY(VLOOKUP(H$1,Sprints[],2,FALSE)),1,VLOOKUP(H$1,Sprints[],4,FALSE))&lt;&gt;"")*(IF(OFFSET(INDIRECT(CELL("address",INDEX('Leave Tracker'!$A$8:$A$100,MATCH($A10,'Leave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4.2000000000000011</v>
      </c>
      <c r="I10">
        <f t="array" aca="1" ref="I10" ca="1">Sheet3!$W$2*$F10*(NETWORKDAYS(VLOOKUP(I$1,Sprints[],2,FALSE), VLOOKUP(I$1,Sprints[],3,FALSE))-SUMPRODUCT((OFFSET(INDIRECT(CELL("address",INDEX('Leave Tracker'!$A$8:$A$100,MATCH($A10,'Leave Tracker'!$A$8:$A$100,0)))),0,31*(VLOOKUP(I$1,Sprints[],5,FALSE))+DAY(VLOOKUP(I$1,Sprints[],2,FALSE)),1,VLOOKUP(I$1,Sprints[],4,FALSE))&lt;&gt;"")*(IF(OFFSET(INDIRECT(CELL("address",INDEX('Leave Tracker'!$A$8:$A$100,MATCH($A10,'Leave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10">
        <f t="array" aca="1" ref="J10" ca="1">Sheet3!$W$2*$F10*(NETWORKDAYS(VLOOKUP(J$1,Sprints[],2,FALSE), VLOOKUP(J$1,Sprints[],3,FALSE))-SUMPRODUCT((OFFSET(INDIRECT(CELL("address",INDEX('Leave Tracker'!$A$8:$A$100,MATCH($A10,'Leave Tracker'!$A$8:$A$100,0)))),0,31*(VLOOKUP(J$1,Sprints[],5,FALSE))+DAY(VLOOKUP(J$1,Sprints[],2,FALSE)),1,VLOOKUP(J$1,Sprints[],4,FALSE))&lt;&gt;"")*(IF(OFFSET(INDIRECT(CELL("address",INDEX('Leave Tracker'!$A$8:$A$100,MATCH($A10,'Leave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10">
        <f t="array" aca="1" ref="K10" ca="1">Sheet3!$W$2*$F10*(NETWORKDAYS(VLOOKUP(K$1,Sprints[],2,FALSE), VLOOKUP(K$1,Sprints[],3,FALSE))-SUMPRODUCT((OFFSET(INDIRECT(CELL("address",INDEX('Leave Tracker'!$A$8:$A$100,MATCH($A10,'Leave Tracker'!$A$8:$A$100,0)))),0,31*(VLOOKUP(K$1,Sprints[],5,FALSE))+DAY(VLOOKUP(K$1,Sprints[],2,FALSE)),1,VLOOKUP(K$1,Sprints[],4,FALSE))&lt;&gt;"")*(IF(OFFSET(INDIRECT(CELL("address",INDEX('Leave Tracker'!$A$8:$A$100,MATCH($A10,'Leave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10">
        <f t="array" aca="1" ref="L10" ca="1">Sheet3!$W$2*$F10*(NETWORKDAYS(VLOOKUP(L$1,Sprints[],2,FALSE), VLOOKUP(L$1,Sprints[],3,FALSE))-SUMPRODUCT((OFFSET(INDIRECT(CELL("address",INDEX('Leave Tracker'!$A$8:$A$100,MATCH($A10,'Leave Tracker'!$A$8:$A$100,0)))),0,31*(VLOOKUP(L$1,Sprints[],5,FALSE))+DAY(VLOOKUP(L$1,Sprints[],2,FALSE)),1,VLOOKUP(L$1,Sprints[],4,FALSE))&lt;&gt;"")*(IF(OFFSET(INDIRECT(CELL("address",INDEX('Leave Tracker'!$A$8:$A$100,MATCH($A10,'Leave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6.0000000000000009</v>
      </c>
      <c r="M10" s="45">
        <f t="array" aca="1" ref="M10" ca="1">Sheet3!$W$2*$F10*(NETWORKDAYS(VLOOKUP(M$1,Sprints[],2,FALSE), VLOOKUP(M$1,Sprints[],3,FALSE))-SUMPRODUCT((OFFSET(INDIRECT(CELL("address",INDEX('Leave Tracker'!$A$8:$A$100,MATCH($A10,'Leave Tracker'!$A$8:$A$100,0)))),0,31*(VLOOKUP(M$1,Sprints[],5,FALSE))+DAY(VLOOKUP(M$1,Sprints[],2,FALSE)),1,VLOOKUP(M$1,Sprints[],4,FALSE))&lt;&gt;"")*(IF(OFFSET(INDIRECT(CELL("address",INDEX('Leave Tracker'!$A$8:$A$100,MATCH($A10,'Leave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10">
        <f t="array" aca="1" ref="N10" ca="1">Sheet3!$W$2*$F10*(NETWORKDAYS(VLOOKUP(N$1,Sprints[],2,FALSE), VLOOKUP(N$1,Sprints[],3,FALSE))-SUMPRODUCT((OFFSET(INDIRECT(CELL("address",INDEX('Leave Tracker'!$A$8:$A$100,MATCH($A10,'Leave Tracker'!$A$8:$A$100,0)))),0,31*(VLOOKUP(N$1,Sprints[],5,FALSE))+DAY(VLOOKUP(N$1,Sprints[],2,FALSE)),1,VLOOKUP(N$1,Sprints[],4,FALSE))&lt;&gt;"")*(IF(OFFSET(INDIRECT(CELL("address",INDEX('Leave Tracker'!$A$8:$A$100,MATCH($A10,'Leave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4.8000000000000007</v>
      </c>
      <c r="O10">
        <f t="array" aca="1" ref="O10" ca="1">Sheet3!$W$2*$F10*(NETWORKDAYS(VLOOKUP(O$1,Sprints[],2,FALSE), VLOOKUP(O$1,Sprints[],3,FALSE))-SUMPRODUCT((OFFSET(INDIRECT(CELL("address",INDEX('Leave Tracker'!$A$8:$A$100,MATCH($A10,'Leave Tracker'!$A$8:$A$100,0)))),0,31*(VLOOKUP(O$1,Sprints[],5,FALSE))+DAY(VLOOKUP(O$1,Sprints[],2,FALSE)),1,VLOOKUP(O$1,Sprints[],4,FALSE))&lt;&gt;"")*(IF(OFFSET(INDIRECT(CELL("address",INDEX('Leave Tracker'!$A$8:$A$100,MATCH($A10,'Leave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3.6000000000000005</v>
      </c>
      <c r="P10">
        <f t="array" aca="1" ref="P10" ca="1">Sheet3!$W$2*$F10*(NETWORKDAYS(VLOOKUP(P$1,Sprints[],2,FALSE), VLOOKUP(P$1,Sprints[],3,FALSE))-SUMPRODUCT((OFFSET(INDIRECT(CELL("address",INDEX('Leave Tracker'!$A$8:$A$100,MATCH($A10,'Leave Tracker'!$A$8:$A$100,0)))),0,31*(VLOOKUP(P$1,Sprints[],5,FALSE))+DAY(VLOOKUP(P$1,Sprints[],2,FALSE)),1,VLOOKUP(P$1,Sprints[],4,FALSE))&lt;&gt;"")*(IF(OFFSET(INDIRECT(CELL("address",INDEX('Leave Tracker'!$A$8:$A$100,MATCH($A10,'Leave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10">
        <f t="array" aca="1" ref="Q10" ca="1">Sheet3!$W$2*$F10*(NETWORKDAYS(VLOOKUP(Q$1,Sprints[],2,FALSE), VLOOKUP(Q$1,Sprints[],3,FALSE))-SUMPRODUCT((OFFSET(INDIRECT(CELL("address",INDEX('Leave Tracker'!$A$8:$A$100,MATCH($A10,'Leave Tracker'!$A$8:$A$100,0)))),0,31*(VLOOKUP(Q$1,Sprints[],5,FALSE))+DAY(VLOOKUP(Q$1,Sprints[],2,FALSE)),1,VLOOKUP(Q$1,Sprints[],4,FALSE))&lt;&gt;"")*(IF(OFFSET(INDIRECT(CELL("address",INDEX('Leave Tracker'!$A$8:$A$100,MATCH($A10,'Leave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5.4</v>
      </c>
      <c r="R10">
        <f t="array" aca="1" ref="R10" ca="1">Sheet3!$W$2*$F10*(NETWORKDAYS(VLOOKUP(R$1,Sprints[],2,FALSE), VLOOKUP(R$1,Sprints[],3,FALSE))-SUMPRODUCT((OFFSET(INDIRECT(CELL("address",INDEX('Leave Tracker'!$A$8:$A$100,MATCH($A10,'Leave Tracker'!$A$8:$A$100,0)))),0,31*(VLOOKUP(R$1,Sprints[],5,FALSE))+DAY(VLOOKUP(R$1,Sprints[],2,FALSE)),1,VLOOKUP(R$1,Sprints[],4,FALSE))&lt;&gt;"")*(IF(OFFSET(INDIRECT(CELL("address",INDEX('Leave Tracker'!$A$8:$A$100,MATCH($A10,'Leave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11" spans="1:18" x14ac:dyDescent="0.45">
      <c r="A11" t="s">
        <v>69</v>
      </c>
      <c r="B11" s="45" t="s">
        <v>113</v>
      </c>
      <c r="C11" s="45" t="s">
        <v>117</v>
      </c>
      <c r="D11" s="45" t="s">
        <v>132</v>
      </c>
      <c r="E11" s="45" t="s">
        <v>126</v>
      </c>
      <c r="F11" s="47">
        <v>0.75</v>
      </c>
      <c r="G11" s="45">
        <f t="array" aca="1" ref="G11" ca="1">Sheet3!$W$2*$F11*(NETWORKDAYS(VLOOKUP(G$1,Sprints[],2,FALSE), VLOOKUP(G$1,Sprints[],3,FALSE))-SUMPRODUCT((OFFSET(INDIRECT(CELL("address",INDEX('Leave Tracker'!$A$8:$A$100,MATCH($A11,'Leave Tracker'!$A$8:$A$100,0)))),0,31*(VLOOKUP(G$1,Sprints[],5,FALSE))+DAY(VLOOKUP(G$1,Sprints[],2,FALSE)),1,VLOOKUP(G$1,Sprints[],4,FALSE))&lt;&gt;"")*(IF(OFFSET(INDIRECT(CELL("address",INDEX('Leave Tracker'!$A$8:$A$100,MATCH($A11,'Leave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11">
        <f t="array" aca="1" ref="H11" ca="1">Sheet3!$W$2*$F11*(NETWORKDAYS(VLOOKUP(H$1,Sprints[],2,FALSE), VLOOKUP(H$1,Sprints[],3,FALSE))-SUMPRODUCT((OFFSET(INDIRECT(CELL("address",INDEX('Leave Tracker'!$A$8:$A$100,MATCH($A11,'Leave Tracker'!$A$8:$A$100,0)))),0,31*(VLOOKUP(H$1,Sprints[],5,FALSE))+DAY(VLOOKUP(H$1,Sprints[],2,FALSE)),1,VLOOKUP(H$1,Sprints[],4,FALSE))&lt;&gt;"")*(IF(OFFSET(INDIRECT(CELL("address",INDEX('Leave Tracker'!$A$8:$A$100,MATCH($A11,'Leave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11">
        <f t="array" aca="1" ref="I11" ca="1">Sheet3!$W$2*$F11*(NETWORKDAYS(VLOOKUP(I$1,Sprints[],2,FALSE), VLOOKUP(I$1,Sprints[],3,FALSE))-SUMPRODUCT((OFFSET(INDIRECT(CELL("address",INDEX('Leave Tracker'!$A$8:$A$100,MATCH($A11,'Leave Tracker'!$A$8:$A$100,0)))),0,31*(VLOOKUP(I$1,Sprints[],5,FALSE))+DAY(VLOOKUP(I$1,Sprints[],2,FALSE)),1,VLOOKUP(I$1,Sprints[],4,FALSE))&lt;&gt;"")*(IF(OFFSET(INDIRECT(CELL("address",INDEX('Leave Tracker'!$A$8:$A$100,MATCH($A11,'Leave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11">
        <f t="array" aca="1" ref="J11" ca="1">Sheet3!$W$2*$F11*(NETWORKDAYS(VLOOKUP(J$1,Sprints[],2,FALSE), VLOOKUP(J$1,Sprints[],3,FALSE))-SUMPRODUCT((OFFSET(INDIRECT(CELL("address",INDEX('Leave Tracker'!$A$8:$A$100,MATCH($A11,'Leave Tracker'!$A$8:$A$100,0)))),0,31*(VLOOKUP(J$1,Sprints[],5,FALSE))+DAY(VLOOKUP(J$1,Sprints[],2,FALSE)),1,VLOOKUP(J$1,Sprints[],4,FALSE))&lt;&gt;"")*(IF(OFFSET(INDIRECT(CELL("address",INDEX('Leave Tracker'!$A$8:$A$100,MATCH($A11,'Leave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11">
        <f t="array" aca="1" ref="K11" ca="1">Sheet3!$W$2*$F11*(NETWORKDAYS(VLOOKUP(K$1,Sprints[],2,FALSE), VLOOKUP(K$1,Sprints[],3,FALSE))-SUMPRODUCT((OFFSET(INDIRECT(CELL("address",INDEX('Leave Tracker'!$A$8:$A$100,MATCH($A11,'Leave Tracker'!$A$8:$A$100,0)))),0,31*(VLOOKUP(K$1,Sprints[],5,FALSE))+DAY(VLOOKUP(K$1,Sprints[],2,FALSE)),1,VLOOKUP(K$1,Sprints[],4,FALSE))&lt;&gt;"")*(IF(OFFSET(INDIRECT(CELL("address",INDEX('Leave Tracker'!$A$8:$A$100,MATCH($A11,'Leave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3.0000000000000004</v>
      </c>
      <c r="L11">
        <f t="array" aca="1" ref="L11" ca="1">Sheet3!$W$2*$F11*(NETWORKDAYS(VLOOKUP(L$1,Sprints[],2,FALSE), VLOOKUP(L$1,Sprints[],3,FALSE))-SUMPRODUCT((OFFSET(INDIRECT(CELL("address",INDEX('Leave Tracker'!$A$8:$A$100,MATCH($A11,'Leave Tracker'!$A$8:$A$100,0)))),0,31*(VLOOKUP(L$1,Sprints[],5,FALSE))+DAY(VLOOKUP(L$1,Sprints[],2,FALSE)),1,VLOOKUP(L$1,Sprints[],4,FALSE))&lt;&gt;"")*(IF(OFFSET(INDIRECT(CELL("address",INDEX('Leave Tracker'!$A$8:$A$100,MATCH($A11,'Leave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3.0000000000000004</v>
      </c>
      <c r="M11" s="45">
        <f t="array" aca="1" ref="M11" ca="1">Sheet3!$W$2*$F11*(NETWORKDAYS(VLOOKUP(M$1,Sprints[],2,FALSE), VLOOKUP(M$1,Sprints[],3,FALSE))-SUMPRODUCT((OFFSET(INDIRECT(CELL("address",INDEX('Leave Tracker'!$A$8:$A$100,MATCH($A11,'Leave Tracker'!$A$8:$A$100,0)))),0,31*(VLOOKUP(M$1,Sprints[],5,FALSE))+DAY(VLOOKUP(M$1,Sprints[],2,FALSE)),1,VLOOKUP(M$1,Sprints[],4,FALSE))&lt;&gt;"")*(IF(OFFSET(INDIRECT(CELL("address",INDEX('Leave Tracker'!$A$8:$A$100,MATCH($A11,'Leave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11">
        <f t="array" aca="1" ref="N11" ca="1">Sheet3!$W$2*$F11*(NETWORKDAYS(VLOOKUP(N$1,Sprints[],2,FALSE), VLOOKUP(N$1,Sprints[],3,FALSE))-SUMPRODUCT((OFFSET(INDIRECT(CELL("address",INDEX('Leave Tracker'!$A$8:$A$100,MATCH($A11,'Leave Tracker'!$A$8:$A$100,0)))),0,31*(VLOOKUP(N$1,Sprints[],5,FALSE))+DAY(VLOOKUP(N$1,Sprints[],2,FALSE)),1,VLOOKUP(N$1,Sprints[],4,FALSE))&lt;&gt;"")*(IF(OFFSET(INDIRECT(CELL("address",INDEX('Leave Tracker'!$A$8:$A$100,MATCH($A11,'Leave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11">
        <f t="array" aca="1" ref="O11" ca="1">Sheet3!$W$2*$F11*(NETWORKDAYS(VLOOKUP(O$1,Sprints[],2,FALSE), VLOOKUP(O$1,Sprints[],3,FALSE))-SUMPRODUCT((OFFSET(INDIRECT(CELL("address",INDEX('Leave Tracker'!$A$8:$A$100,MATCH($A11,'Leave Tracker'!$A$8:$A$100,0)))),0,31*(VLOOKUP(O$1,Sprints[],5,FALSE))+DAY(VLOOKUP(O$1,Sprints[],2,FALSE)),1,VLOOKUP(O$1,Sprints[],4,FALSE))&lt;&gt;"")*(IF(OFFSET(INDIRECT(CELL("address",INDEX('Leave Tracker'!$A$8:$A$100,MATCH($A11,'Leave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4.2000000000000011</v>
      </c>
      <c r="P11">
        <f t="array" aca="1" ref="P11" ca="1">Sheet3!$W$2*$F11*(NETWORKDAYS(VLOOKUP(P$1,Sprints[],2,FALSE), VLOOKUP(P$1,Sprints[],3,FALSE))-SUMPRODUCT((OFFSET(INDIRECT(CELL("address",INDEX('Leave Tracker'!$A$8:$A$100,MATCH($A11,'Leave Tracker'!$A$8:$A$100,0)))),0,31*(VLOOKUP(P$1,Sprints[],5,FALSE))+DAY(VLOOKUP(P$1,Sprints[],2,FALSE)),1,VLOOKUP(P$1,Sprints[],4,FALSE))&lt;&gt;"")*(IF(OFFSET(INDIRECT(CELL("address",INDEX('Leave Tracker'!$A$8:$A$100,MATCH($A11,'Leave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11">
        <f t="array" aca="1" ref="Q11" ca="1">Sheet3!$W$2*$F11*(NETWORKDAYS(VLOOKUP(Q$1,Sprints[],2,FALSE), VLOOKUP(Q$1,Sprints[],3,FALSE))-SUMPRODUCT((OFFSET(INDIRECT(CELL("address",INDEX('Leave Tracker'!$A$8:$A$100,MATCH($A11,'Leave Tracker'!$A$8:$A$100,0)))),0,31*(VLOOKUP(Q$1,Sprints[],5,FALSE))+DAY(VLOOKUP(Q$1,Sprints[],2,FALSE)),1,VLOOKUP(Q$1,Sprints[],4,FALSE))&lt;&gt;"")*(IF(OFFSET(INDIRECT(CELL("address",INDEX('Leave Tracker'!$A$8:$A$100,MATCH($A11,'Leave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5.4</v>
      </c>
      <c r="R11">
        <f t="array" aca="1" ref="R11" ca="1">Sheet3!$W$2*$F11*(NETWORKDAYS(VLOOKUP(R$1,Sprints[],2,FALSE), VLOOKUP(R$1,Sprints[],3,FALSE))-SUMPRODUCT((OFFSET(INDIRECT(CELL("address",INDEX('Leave Tracker'!$A$8:$A$100,MATCH($A11,'Leave Tracker'!$A$8:$A$100,0)))),0,31*(VLOOKUP(R$1,Sprints[],5,FALSE))+DAY(VLOOKUP(R$1,Sprints[],2,FALSE)),1,VLOOKUP(R$1,Sprints[],4,FALSE))&lt;&gt;"")*(IF(OFFSET(INDIRECT(CELL("address",INDEX('Leave Tracker'!$A$8:$A$100,MATCH($A11,'Leave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12" spans="1:18" x14ac:dyDescent="0.45">
      <c r="A12" t="s">
        <v>70</v>
      </c>
      <c r="B12" s="45" t="s">
        <v>113</v>
      </c>
      <c r="C12" s="45" t="s">
        <v>117</v>
      </c>
      <c r="D12" s="45" t="s">
        <v>132</v>
      </c>
      <c r="E12" s="45" t="s">
        <v>126</v>
      </c>
      <c r="F12" s="47">
        <v>0.75</v>
      </c>
      <c r="G12" s="45">
        <f t="array" aca="1" ref="G12" ca="1">Sheet3!$W$2*$F12*(NETWORKDAYS(VLOOKUP(G$1,Sprints[],2,FALSE), VLOOKUP(G$1,Sprints[],3,FALSE))-SUMPRODUCT((OFFSET(INDIRECT(CELL("address",INDEX('Leave Tracker'!$A$8:$A$100,MATCH($A12,'Leave Tracker'!$A$8:$A$100,0)))),0,31*(VLOOKUP(G$1,Sprints[],5,FALSE))+DAY(VLOOKUP(G$1,Sprints[],2,FALSE)),1,VLOOKUP(G$1,Sprints[],4,FALSE))&lt;&gt;"")*(IF(OFFSET(INDIRECT(CELL("address",INDEX('Leave Tracker'!$A$8:$A$100,MATCH($A12,'Leave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12">
        <f t="array" aca="1" ref="H12" ca="1">Sheet3!$W$2*$F12*(NETWORKDAYS(VLOOKUP(H$1,Sprints[],2,FALSE), VLOOKUP(H$1,Sprints[],3,FALSE))-SUMPRODUCT((OFFSET(INDIRECT(CELL("address",INDEX('Leave Tracker'!$A$8:$A$100,MATCH($A12,'Leave Tracker'!$A$8:$A$100,0)))),0,31*(VLOOKUP(H$1,Sprints[],5,FALSE))+DAY(VLOOKUP(H$1,Sprints[],2,FALSE)),1,VLOOKUP(H$1,Sprints[],4,FALSE))&lt;&gt;"")*(IF(OFFSET(INDIRECT(CELL("address",INDEX('Leave Tracker'!$A$8:$A$100,MATCH($A12,'Leave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12">
        <f t="array" aca="1" ref="I12" ca="1">Sheet3!$W$2*$F12*(NETWORKDAYS(VLOOKUP(I$1,Sprints[],2,FALSE), VLOOKUP(I$1,Sprints[],3,FALSE))-SUMPRODUCT((OFFSET(INDIRECT(CELL("address",INDEX('Leave Tracker'!$A$8:$A$100,MATCH($A12,'Leave Tracker'!$A$8:$A$100,0)))),0,31*(VLOOKUP(I$1,Sprints[],5,FALSE))+DAY(VLOOKUP(I$1,Sprints[],2,FALSE)),1,VLOOKUP(I$1,Sprints[],4,FALSE))&lt;&gt;"")*(IF(OFFSET(INDIRECT(CELL("address",INDEX('Leave Tracker'!$A$8:$A$100,MATCH($A12,'Leave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12">
        <f t="array" aca="1" ref="J12" ca="1">Sheet3!$W$2*$F12*(NETWORKDAYS(VLOOKUP(J$1,Sprints[],2,FALSE), VLOOKUP(J$1,Sprints[],3,FALSE))-SUMPRODUCT((OFFSET(INDIRECT(CELL("address",INDEX('Leave Tracker'!$A$8:$A$100,MATCH($A12,'Leave Tracker'!$A$8:$A$100,0)))),0,31*(VLOOKUP(J$1,Sprints[],5,FALSE))+DAY(VLOOKUP(J$1,Sprints[],2,FALSE)),1,VLOOKUP(J$1,Sprints[],4,FALSE))&lt;&gt;"")*(IF(OFFSET(INDIRECT(CELL("address",INDEX('Leave Tracker'!$A$8:$A$100,MATCH($A12,'Leave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3.3000000000000007</v>
      </c>
      <c r="K12">
        <f t="array" aca="1" ref="K12" ca="1">Sheet3!$W$2*$F12*(NETWORKDAYS(VLOOKUP(K$1,Sprints[],2,FALSE), VLOOKUP(K$1,Sprints[],3,FALSE))-SUMPRODUCT((OFFSET(INDIRECT(CELL("address",INDEX('Leave Tracker'!$A$8:$A$100,MATCH($A12,'Leave Tracker'!$A$8:$A$100,0)))),0,31*(VLOOKUP(K$1,Sprints[],5,FALSE))+DAY(VLOOKUP(K$1,Sprints[],2,FALSE)),1,VLOOKUP(K$1,Sprints[],4,FALSE))&lt;&gt;"")*(IF(OFFSET(INDIRECT(CELL("address",INDEX('Leave Tracker'!$A$8:$A$100,MATCH($A12,'Leave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4.8000000000000007</v>
      </c>
      <c r="L12">
        <f t="array" aca="1" ref="L12" ca="1">Sheet3!$W$2*$F12*(NETWORKDAYS(VLOOKUP(L$1,Sprints[],2,FALSE), VLOOKUP(L$1,Sprints[],3,FALSE))-SUMPRODUCT((OFFSET(INDIRECT(CELL("address",INDEX('Leave Tracker'!$A$8:$A$100,MATCH($A12,'Leave Tracker'!$A$8:$A$100,0)))),0,31*(VLOOKUP(L$1,Sprints[],5,FALSE))+DAY(VLOOKUP(L$1,Sprints[],2,FALSE)),1,VLOOKUP(L$1,Sprints[],4,FALSE))&lt;&gt;"")*(IF(OFFSET(INDIRECT(CELL("address",INDEX('Leave Tracker'!$A$8:$A$100,MATCH($A12,'Leave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5.4</v>
      </c>
      <c r="M12" s="45">
        <f t="array" aca="1" ref="M12" ca="1">Sheet3!$W$2*$F12*(NETWORKDAYS(VLOOKUP(M$1,Sprints[],2,FALSE), VLOOKUP(M$1,Sprints[],3,FALSE))-SUMPRODUCT((OFFSET(INDIRECT(CELL("address",INDEX('Leave Tracker'!$A$8:$A$100,MATCH($A12,'Leave Tracker'!$A$8:$A$100,0)))),0,31*(VLOOKUP(M$1,Sprints[],5,FALSE))+DAY(VLOOKUP(M$1,Sprints[],2,FALSE)),1,VLOOKUP(M$1,Sprints[],4,FALSE))&lt;&gt;"")*(IF(OFFSET(INDIRECT(CELL("address",INDEX('Leave Tracker'!$A$8:$A$100,MATCH($A12,'Leave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3.6000000000000005</v>
      </c>
      <c r="N12">
        <f t="array" aca="1" ref="N12" ca="1">Sheet3!$W$2*$F12*(NETWORKDAYS(VLOOKUP(N$1,Sprints[],2,FALSE), VLOOKUP(N$1,Sprints[],3,FALSE))-SUMPRODUCT((OFFSET(INDIRECT(CELL("address",INDEX('Leave Tracker'!$A$8:$A$100,MATCH($A12,'Leave Tracker'!$A$8:$A$100,0)))),0,31*(VLOOKUP(N$1,Sprints[],5,FALSE))+DAY(VLOOKUP(N$1,Sprints[],2,FALSE)),1,VLOOKUP(N$1,Sprints[],4,FALSE))&lt;&gt;"")*(IF(OFFSET(INDIRECT(CELL("address",INDEX('Leave Tracker'!$A$8:$A$100,MATCH($A12,'Leave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12">
        <f t="array" aca="1" ref="O12" ca="1">Sheet3!$W$2*$F12*(NETWORKDAYS(VLOOKUP(O$1,Sprints[],2,FALSE), VLOOKUP(O$1,Sprints[],3,FALSE))-SUMPRODUCT((OFFSET(INDIRECT(CELL("address",INDEX('Leave Tracker'!$A$8:$A$100,MATCH($A12,'Leave Tracker'!$A$8:$A$100,0)))),0,31*(VLOOKUP(O$1,Sprints[],5,FALSE))+DAY(VLOOKUP(O$1,Sprints[],2,FALSE)),1,VLOOKUP(O$1,Sprints[],4,FALSE))&lt;&gt;"")*(IF(OFFSET(INDIRECT(CELL("address",INDEX('Leave Tracker'!$A$8:$A$100,MATCH($A12,'Leave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12">
        <f t="array" aca="1" ref="P12" ca="1">Sheet3!$W$2*$F12*(NETWORKDAYS(VLOOKUP(P$1,Sprints[],2,FALSE), VLOOKUP(P$1,Sprints[],3,FALSE))-SUMPRODUCT((OFFSET(INDIRECT(CELL("address",INDEX('Leave Tracker'!$A$8:$A$100,MATCH($A12,'Leave Tracker'!$A$8:$A$100,0)))),0,31*(VLOOKUP(P$1,Sprints[],5,FALSE))+DAY(VLOOKUP(P$1,Sprints[],2,FALSE)),1,VLOOKUP(P$1,Sprints[],4,FALSE))&lt;&gt;"")*(IF(OFFSET(INDIRECT(CELL("address",INDEX('Leave Tracker'!$A$8:$A$100,MATCH($A12,'Leave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12">
        <f t="array" aca="1" ref="Q12" ca="1">Sheet3!$W$2*$F12*(NETWORKDAYS(VLOOKUP(Q$1,Sprints[],2,FALSE), VLOOKUP(Q$1,Sprints[],3,FALSE))-SUMPRODUCT((OFFSET(INDIRECT(CELL("address",INDEX('Leave Tracker'!$A$8:$A$100,MATCH($A12,'Leave Tracker'!$A$8:$A$100,0)))),0,31*(VLOOKUP(Q$1,Sprints[],5,FALSE))+DAY(VLOOKUP(Q$1,Sprints[],2,FALSE)),1,VLOOKUP(Q$1,Sprints[],4,FALSE))&lt;&gt;"")*(IF(OFFSET(INDIRECT(CELL("address",INDEX('Leave Tracker'!$A$8:$A$100,MATCH($A12,'Leave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5.4</v>
      </c>
      <c r="R12">
        <f t="array" aca="1" ref="R12" ca="1">Sheet3!$W$2*$F12*(NETWORKDAYS(VLOOKUP(R$1,Sprints[],2,FALSE), VLOOKUP(R$1,Sprints[],3,FALSE))-SUMPRODUCT((OFFSET(INDIRECT(CELL("address",INDEX('Leave Tracker'!$A$8:$A$100,MATCH($A12,'Leave Tracker'!$A$8:$A$100,0)))),0,31*(VLOOKUP(R$1,Sprints[],5,FALSE))+DAY(VLOOKUP(R$1,Sprints[],2,FALSE)),1,VLOOKUP(R$1,Sprints[],4,FALSE))&lt;&gt;"")*(IF(OFFSET(INDIRECT(CELL("address",INDEX('Leave Tracker'!$A$8:$A$100,MATCH($A12,'Leave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13" spans="1:18" x14ac:dyDescent="0.45">
      <c r="A13" t="s">
        <v>71</v>
      </c>
      <c r="B13" s="45" t="s">
        <v>113</v>
      </c>
      <c r="C13" s="45" t="s">
        <v>117</v>
      </c>
      <c r="D13" s="45" t="s">
        <v>132</v>
      </c>
      <c r="E13" s="45" t="s">
        <v>126</v>
      </c>
      <c r="F13" s="47">
        <v>0.75</v>
      </c>
      <c r="G13" s="45">
        <f t="array" aca="1" ref="G13" ca="1">Sheet3!$W$2*$F13*(NETWORKDAYS(VLOOKUP(G$1,Sprints[],2,FALSE), VLOOKUP(G$1,Sprints[],3,FALSE))-SUMPRODUCT((OFFSET(INDIRECT(CELL("address",INDEX('Leave Tracker'!$A$8:$A$100,MATCH($A13,'Leave Tracker'!$A$8:$A$100,0)))),0,31*(VLOOKUP(G$1,Sprints[],5,FALSE))+DAY(VLOOKUP(G$1,Sprints[],2,FALSE)),1,VLOOKUP(G$1,Sprints[],4,FALSE))&lt;&gt;"")*(IF(OFFSET(INDIRECT(CELL("address",INDEX('Leave Tracker'!$A$8:$A$100,MATCH($A13,'Leave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13">
        <f t="array" aca="1" ref="H13" ca="1">Sheet3!$W$2*$F13*(NETWORKDAYS(VLOOKUP(H$1,Sprints[],2,FALSE), VLOOKUP(H$1,Sprints[],3,FALSE))-SUMPRODUCT((OFFSET(INDIRECT(CELL("address",INDEX('Leave Tracker'!$A$8:$A$100,MATCH($A13,'Leave Tracker'!$A$8:$A$100,0)))),0,31*(VLOOKUP(H$1,Sprints[],5,FALSE))+DAY(VLOOKUP(H$1,Sprints[],2,FALSE)),1,VLOOKUP(H$1,Sprints[],4,FALSE))&lt;&gt;"")*(IF(OFFSET(INDIRECT(CELL("address",INDEX('Leave Tracker'!$A$8:$A$100,MATCH($A13,'Leave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13">
        <f t="array" aca="1" ref="I13" ca="1">Sheet3!$W$2*$F13*(NETWORKDAYS(VLOOKUP(I$1,Sprints[],2,FALSE), VLOOKUP(I$1,Sprints[],3,FALSE))-SUMPRODUCT((OFFSET(INDIRECT(CELL("address",INDEX('Leave Tracker'!$A$8:$A$100,MATCH($A13,'Leave Tracker'!$A$8:$A$100,0)))),0,31*(VLOOKUP(I$1,Sprints[],5,FALSE))+DAY(VLOOKUP(I$1,Sprints[],2,FALSE)),1,VLOOKUP(I$1,Sprints[],4,FALSE))&lt;&gt;"")*(IF(OFFSET(INDIRECT(CELL("address",INDEX('Leave Tracker'!$A$8:$A$100,MATCH($A13,'Leave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13">
        <f t="array" aca="1" ref="J13" ca="1">Sheet3!$W$2*$F13*(NETWORKDAYS(VLOOKUP(J$1,Sprints[],2,FALSE), VLOOKUP(J$1,Sprints[],3,FALSE))-SUMPRODUCT((OFFSET(INDIRECT(CELL("address",INDEX('Leave Tracker'!$A$8:$A$100,MATCH($A13,'Leave Tracker'!$A$8:$A$100,0)))),0,31*(VLOOKUP(J$1,Sprints[],5,FALSE))+DAY(VLOOKUP(J$1,Sprints[],2,FALSE)),1,VLOOKUP(J$1,Sprints[],4,FALSE))&lt;&gt;"")*(IF(OFFSET(INDIRECT(CELL("address",INDEX('Leave Tracker'!$A$8:$A$100,MATCH($A13,'Leave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13">
        <f t="array" aca="1" ref="K13" ca="1">Sheet3!$W$2*$F13*(NETWORKDAYS(VLOOKUP(K$1,Sprints[],2,FALSE), VLOOKUP(K$1,Sprints[],3,FALSE))-SUMPRODUCT((OFFSET(INDIRECT(CELL("address",INDEX('Leave Tracker'!$A$8:$A$100,MATCH($A13,'Leave Tracker'!$A$8:$A$100,0)))),0,31*(VLOOKUP(K$1,Sprints[],5,FALSE))+DAY(VLOOKUP(K$1,Sprints[],2,FALSE)),1,VLOOKUP(K$1,Sprints[],4,FALSE))&lt;&gt;"")*(IF(OFFSET(INDIRECT(CELL("address",INDEX('Leave Tracker'!$A$8:$A$100,MATCH($A13,'Leave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13">
        <f t="array" aca="1" ref="L13" ca="1">Sheet3!$W$2*$F13*(NETWORKDAYS(VLOOKUP(L$1,Sprints[],2,FALSE), VLOOKUP(L$1,Sprints[],3,FALSE))-SUMPRODUCT((OFFSET(INDIRECT(CELL("address",INDEX('Leave Tracker'!$A$8:$A$100,MATCH($A13,'Leave Tracker'!$A$8:$A$100,0)))),0,31*(VLOOKUP(L$1,Sprints[],5,FALSE))+DAY(VLOOKUP(L$1,Sprints[],2,FALSE)),1,VLOOKUP(L$1,Sprints[],4,FALSE))&lt;&gt;"")*(IF(OFFSET(INDIRECT(CELL("address",INDEX('Leave Tracker'!$A$8:$A$100,MATCH($A13,'Leave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6.0000000000000009</v>
      </c>
      <c r="M13" s="45">
        <f t="array" aca="1" ref="M13" ca="1">Sheet3!$W$2*$F13*(NETWORKDAYS(VLOOKUP(M$1,Sprints[],2,FALSE), VLOOKUP(M$1,Sprints[],3,FALSE))-SUMPRODUCT((OFFSET(INDIRECT(CELL("address",INDEX('Leave Tracker'!$A$8:$A$100,MATCH($A13,'Leave Tracker'!$A$8:$A$100,0)))),0,31*(VLOOKUP(M$1,Sprints[],5,FALSE))+DAY(VLOOKUP(M$1,Sprints[],2,FALSE)),1,VLOOKUP(M$1,Sprints[],4,FALSE))&lt;&gt;"")*(IF(OFFSET(INDIRECT(CELL("address",INDEX('Leave Tracker'!$A$8:$A$100,MATCH($A13,'Leave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13">
        <f t="array" aca="1" ref="N13" ca="1">Sheet3!$W$2*$F13*(NETWORKDAYS(VLOOKUP(N$1,Sprints[],2,FALSE), VLOOKUP(N$1,Sprints[],3,FALSE))-SUMPRODUCT((OFFSET(INDIRECT(CELL("address",INDEX('Leave Tracker'!$A$8:$A$100,MATCH($A13,'Leave Tracker'!$A$8:$A$100,0)))),0,31*(VLOOKUP(N$1,Sprints[],5,FALSE))+DAY(VLOOKUP(N$1,Sprints[],2,FALSE)),1,VLOOKUP(N$1,Sprints[],4,FALSE))&lt;&gt;"")*(IF(OFFSET(INDIRECT(CELL("address",INDEX('Leave Tracker'!$A$8:$A$100,MATCH($A13,'Leave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13">
        <f t="array" aca="1" ref="O13" ca="1">Sheet3!$W$2*$F13*(NETWORKDAYS(VLOOKUP(O$1,Sprints[],2,FALSE), VLOOKUP(O$1,Sprints[],3,FALSE))-SUMPRODUCT((OFFSET(INDIRECT(CELL("address",INDEX('Leave Tracker'!$A$8:$A$100,MATCH($A13,'Leave Tracker'!$A$8:$A$100,0)))),0,31*(VLOOKUP(O$1,Sprints[],5,FALSE))+DAY(VLOOKUP(O$1,Sprints[],2,FALSE)),1,VLOOKUP(O$1,Sprints[],4,FALSE))&lt;&gt;"")*(IF(OFFSET(INDIRECT(CELL("address",INDEX('Leave Tracker'!$A$8:$A$100,MATCH($A13,'Leave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13">
        <f t="array" aca="1" ref="P13" ca="1">Sheet3!$W$2*$F13*(NETWORKDAYS(VLOOKUP(P$1,Sprints[],2,FALSE), VLOOKUP(P$1,Sprints[],3,FALSE))-SUMPRODUCT((OFFSET(INDIRECT(CELL("address",INDEX('Leave Tracker'!$A$8:$A$100,MATCH($A13,'Leave Tracker'!$A$8:$A$100,0)))),0,31*(VLOOKUP(P$1,Sprints[],5,FALSE))+DAY(VLOOKUP(P$1,Sprints[],2,FALSE)),1,VLOOKUP(P$1,Sprints[],4,FALSE))&lt;&gt;"")*(IF(OFFSET(INDIRECT(CELL("address",INDEX('Leave Tracker'!$A$8:$A$100,MATCH($A13,'Leave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3.0000000000000004</v>
      </c>
      <c r="Q13">
        <f t="array" aca="1" ref="Q13" ca="1">Sheet3!$W$2*$F13*(NETWORKDAYS(VLOOKUP(Q$1,Sprints[],2,FALSE), VLOOKUP(Q$1,Sprints[],3,FALSE))-SUMPRODUCT((OFFSET(INDIRECT(CELL("address",INDEX('Leave Tracker'!$A$8:$A$100,MATCH($A13,'Leave Tracker'!$A$8:$A$100,0)))),0,31*(VLOOKUP(Q$1,Sprints[],5,FALSE))+DAY(VLOOKUP(Q$1,Sprints[],2,FALSE)),1,VLOOKUP(Q$1,Sprints[],4,FALSE))&lt;&gt;"")*(IF(OFFSET(INDIRECT(CELL("address",INDEX('Leave Tracker'!$A$8:$A$100,MATCH($A13,'Leave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5.4</v>
      </c>
      <c r="R13">
        <f t="array" aca="1" ref="R13" ca="1">Sheet3!$W$2*$F13*(NETWORKDAYS(VLOOKUP(R$1,Sprints[],2,FALSE), VLOOKUP(R$1,Sprints[],3,FALSE))-SUMPRODUCT((OFFSET(INDIRECT(CELL("address",INDEX('Leave Tracker'!$A$8:$A$100,MATCH($A13,'Leave Tracker'!$A$8:$A$100,0)))),0,31*(VLOOKUP(R$1,Sprints[],5,FALSE))+DAY(VLOOKUP(R$1,Sprints[],2,FALSE)),1,VLOOKUP(R$1,Sprints[],4,FALSE))&lt;&gt;"")*(IF(OFFSET(INDIRECT(CELL("address",INDEX('Leave Tracker'!$A$8:$A$100,MATCH($A13,'Leave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14" spans="1:18" x14ac:dyDescent="0.45">
      <c r="A14" t="s">
        <v>72</v>
      </c>
      <c r="B14" s="45" t="s">
        <v>113</v>
      </c>
      <c r="C14" s="45" t="s">
        <v>117</v>
      </c>
      <c r="D14" s="45" t="s">
        <v>132</v>
      </c>
      <c r="E14" s="45" t="s">
        <v>125</v>
      </c>
      <c r="F14" s="47">
        <v>0.75</v>
      </c>
      <c r="G14" s="45">
        <f t="array" aca="1" ref="G14" ca="1">Sheet3!$W$2*$F14*(NETWORKDAYS(VLOOKUP(G$1,Sprints[],2,FALSE), VLOOKUP(G$1,Sprints[],3,FALSE))-SUMPRODUCT((OFFSET(INDIRECT(CELL("address",INDEX('Leave Tracker'!$A$8:$A$100,MATCH($A14,'Leave Tracker'!$A$8:$A$100,0)))),0,31*(VLOOKUP(G$1,Sprints[],5,FALSE))+DAY(VLOOKUP(G$1,Sprints[],2,FALSE)),1,VLOOKUP(G$1,Sprints[],4,FALSE))&lt;&gt;"")*(IF(OFFSET(INDIRECT(CELL("address",INDEX('Leave Tracker'!$A$8:$A$100,MATCH($A14,'Leave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14">
        <f t="array" aca="1" ref="H14" ca="1">Sheet3!$W$2*$F14*(NETWORKDAYS(VLOOKUP(H$1,Sprints[],2,FALSE), VLOOKUP(H$1,Sprints[],3,FALSE))-SUMPRODUCT((OFFSET(INDIRECT(CELL("address",INDEX('Leave Tracker'!$A$8:$A$100,MATCH($A14,'Leave Tracker'!$A$8:$A$100,0)))),0,31*(VLOOKUP(H$1,Sprints[],5,FALSE))+DAY(VLOOKUP(H$1,Sprints[],2,FALSE)),1,VLOOKUP(H$1,Sprints[],4,FALSE))&lt;&gt;"")*(IF(OFFSET(INDIRECT(CELL("address",INDEX('Leave Tracker'!$A$8:$A$100,MATCH($A14,'Leave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14">
        <f t="array" aca="1" ref="I14" ca="1">Sheet3!$W$2*$F14*(NETWORKDAYS(VLOOKUP(I$1,Sprints[],2,FALSE), VLOOKUP(I$1,Sprints[],3,FALSE))-SUMPRODUCT((OFFSET(INDIRECT(CELL("address",INDEX('Leave Tracker'!$A$8:$A$100,MATCH($A14,'Leave Tracker'!$A$8:$A$100,0)))),0,31*(VLOOKUP(I$1,Sprints[],5,FALSE))+DAY(VLOOKUP(I$1,Sprints[],2,FALSE)),1,VLOOKUP(I$1,Sprints[],4,FALSE))&lt;&gt;"")*(IF(OFFSET(INDIRECT(CELL("address",INDEX('Leave Tracker'!$A$8:$A$100,MATCH($A14,'Leave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14">
        <f t="array" aca="1" ref="J14" ca="1">Sheet3!$W$2*$F14*(NETWORKDAYS(VLOOKUP(J$1,Sprints[],2,FALSE), VLOOKUP(J$1,Sprints[],3,FALSE))-SUMPRODUCT((OFFSET(INDIRECT(CELL("address",INDEX('Leave Tracker'!$A$8:$A$100,MATCH($A14,'Leave Tracker'!$A$8:$A$100,0)))),0,31*(VLOOKUP(J$1,Sprints[],5,FALSE))+DAY(VLOOKUP(J$1,Sprints[],2,FALSE)),1,VLOOKUP(J$1,Sprints[],4,FALSE))&lt;&gt;"")*(IF(OFFSET(INDIRECT(CELL("address",INDEX('Leave Tracker'!$A$8:$A$100,MATCH($A14,'Leave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14">
        <f t="array" aca="1" ref="K14" ca="1">Sheet3!$W$2*$F14*(NETWORKDAYS(VLOOKUP(K$1,Sprints[],2,FALSE), VLOOKUP(K$1,Sprints[],3,FALSE))-SUMPRODUCT((OFFSET(INDIRECT(CELL("address",INDEX('Leave Tracker'!$A$8:$A$100,MATCH($A14,'Leave Tracker'!$A$8:$A$100,0)))),0,31*(VLOOKUP(K$1,Sprints[],5,FALSE))+DAY(VLOOKUP(K$1,Sprints[],2,FALSE)),1,VLOOKUP(K$1,Sprints[],4,FALSE))&lt;&gt;"")*(IF(OFFSET(INDIRECT(CELL("address",INDEX('Leave Tracker'!$A$8:$A$100,MATCH($A14,'Leave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3.0000000000000004</v>
      </c>
      <c r="L14">
        <f t="array" aca="1" ref="L14" ca="1">Sheet3!$W$2*$F14*(NETWORKDAYS(VLOOKUP(L$1,Sprints[],2,FALSE), VLOOKUP(L$1,Sprints[],3,FALSE))-SUMPRODUCT((OFFSET(INDIRECT(CELL("address",INDEX('Leave Tracker'!$A$8:$A$100,MATCH($A14,'Leave Tracker'!$A$8:$A$100,0)))),0,31*(VLOOKUP(L$1,Sprints[],5,FALSE))+DAY(VLOOKUP(L$1,Sprints[],2,FALSE)),1,VLOOKUP(L$1,Sprints[],4,FALSE))&lt;&gt;"")*(IF(OFFSET(INDIRECT(CELL("address",INDEX('Leave Tracker'!$A$8:$A$100,MATCH($A14,'Leave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6.0000000000000009</v>
      </c>
      <c r="M14" s="45">
        <f t="array" aca="1" ref="M14" ca="1">Sheet3!$W$2*$F14*(NETWORKDAYS(VLOOKUP(M$1,Sprints[],2,FALSE), VLOOKUP(M$1,Sprints[],3,FALSE))-SUMPRODUCT((OFFSET(INDIRECT(CELL("address",INDEX('Leave Tracker'!$A$8:$A$100,MATCH($A14,'Leave Tracker'!$A$8:$A$100,0)))),0,31*(VLOOKUP(M$1,Sprints[],5,FALSE))+DAY(VLOOKUP(M$1,Sprints[],2,FALSE)),1,VLOOKUP(M$1,Sprints[],4,FALSE))&lt;&gt;"")*(IF(OFFSET(INDIRECT(CELL("address",INDEX('Leave Tracker'!$A$8:$A$100,MATCH($A14,'Leave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14">
        <f t="array" aca="1" ref="N14" ca="1">Sheet3!$W$2*$F14*(NETWORKDAYS(VLOOKUP(N$1,Sprints[],2,FALSE), VLOOKUP(N$1,Sprints[],3,FALSE))-SUMPRODUCT((OFFSET(INDIRECT(CELL("address",INDEX('Leave Tracker'!$A$8:$A$100,MATCH($A14,'Leave Tracker'!$A$8:$A$100,0)))),0,31*(VLOOKUP(N$1,Sprints[],5,FALSE))+DAY(VLOOKUP(N$1,Sprints[],2,FALSE)),1,VLOOKUP(N$1,Sprints[],4,FALSE))&lt;&gt;"")*(IF(OFFSET(INDIRECT(CELL("address",INDEX('Leave Tracker'!$A$8:$A$100,MATCH($A14,'Leave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14">
        <f t="array" aca="1" ref="O14" ca="1">Sheet3!$W$2*$F14*(NETWORKDAYS(VLOOKUP(O$1,Sprints[],2,FALSE), VLOOKUP(O$1,Sprints[],3,FALSE))-SUMPRODUCT((OFFSET(INDIRECT(CELL("address",INDEX('Leave Tracker'!$A$8:$A$100,MATCH($A14,'Leave Tracker'!$A$8:$A$100,0)))),0,31*(VLOOKUP(O$1,Sprints[],5,FALSE))+DAY(VLOOKUP(O$1,Sprints[],2,FALSE)),1,VLOOKUP(O$1,Sprints[],4,FALSE))&lt;&gt;"")*(IF(OFFSET(INDIRECT(CELL("address",INDEX('Leave Tracker'!$A$8:$A$100,MATCH($A14,'Leave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14">
        <f t="array" aca="1" ref="P14" ca="1">Sheet3!$W$2*$F14*(NETWORKDAYS(VLOOKUP(P$1,Sprints[],2,FALSE), VLOOKUP(P$1,Sprints[],3,FALSE))-SUMPRODUCT((OFFSET(INDIRECT(CELL("address",INDEX('Leave Tracker'!$A$8:$A$100,MATCH($A14,'Leave Tracker'!$A$8:$A$100,0)))),0,31*(VLOOKUP(P$1,Sprints[],5,FALSE))+DAY(VLOOKUP(P$1,Sprints[],2,FALSE)),1,VLOOKUP(P$1,Sprints[],4,FALSE))&lt;&gt;"")*(IF(OFFSET(INDIRECT(CELL("address",INDEX('Leave Tracker'!$A$8:$A$100,MATCH($A14,'Leave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14">
        <f t="array" aca="1" ref="Q14" ca="1">Sheet3!$W$2*$F14*(NETWORKDAYS(VLOOKUP(Q$1,Sprints[],2,FALSE), VLOOKUP(Q$1,Sprints[],3,FALSE))-SUMPRODUCT((OFFSET(INDIRECT(CELL("address",INDEX('Leave Tracker'!$A$8:$A$100,MATCH($A14,'Leave Tracker'!$A$8:$A$100,0)))),0,31*(VLOOKUP(Q$1,Sprints[],5,FALSE))+DAY(VLOOKUP(Q$1,Sprints[],2,FALSE)),1,VLOOKUP(Q$1,Sprints[],4,FALSE))&lt;&gt;"")*(IF(OFFSET(INDIRECT(CELL("address",INDEX('Leave Tracker'!$A$8:$A$100,MATCH($A14,'Leave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5.4</v>
      </c>
      <c r="R14">
        <f t="array" aca="1" ref="R14" ca="1">Sheet3!$W$2*$F14*(NETWORKDAYS(VLOOKUP(R$1,Sprints[],2,FALSE), VLOOKUP(R$1,Sprints[],3,FALSE))-SUMPRODUCT((OFFSET(INDIRECT(CELL("address",INDEX('Leave Tracker'!$A$8:$A$100,MATCH($A14,'Leave Tracker'!$A$8:$A$100,0)))),0,31*(VLOOKUP(R$1,Sprints[],5,FALSE))+DAY(VLOOKUP(R$1,Sprints[],2,FALSE)),1,VLOOKUP(R$1,Sprints[],4,FALSE))&lt;&gt;"")*(IF(OFFSET(INDIRECT(CELL("address",INDEX('Leave Tracker'!$A$8:$A$100,MATCH($A14,'Leave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15" spans="1:18" x14ac:dyDescent="0.45">
      <c r="A15" t="s">
        <v>73</v>
      </c>
      <c r="B15" s="45" t="s">
        <v>113</v>
      </c>
      <c r="C15" s="45" t="s">
        <v>117</v>
      </c>
      <c r="D15" s="45" t="s">
        <v>133</v>
      </c>
      <c r="E15" s="45" t="s">
        <v>128</v>
      </c>
      <c r="F15" s="47">
        <v>0.75</v>
      </c>
      <c r="G15" s="45">
        <f t="array" aca="1" ref="G15" ca="1">Sheet3!$W$2*$F15*(NETWORKDAYS(VLOOKUP(G$1,Sprints[],2,FALSE), VLOOKUP(G$1,Sprints[],3,FALSE))-SUMPRODUCT((OFFSET(INDIRECT(CELL("address",INDEX('Leave Tracker'!$A$8:$A$100,MATCH($A15,'Leave Tracker'!$A$8:$A$100,0)))),0,31*(VLOOKUP(G$1,Sprints[],5,FALSE))+DAY(VLOOKUP(G$1,Sprints[],2,FALSE)),1,VLOOKUP(G$1,Sprints[],4,FALSE))&lt;&gt;"")*(IF(OFFSET(INDIRECT(CELL("address",INDEX('Leave Tracker'!$A$8:$A$100,MATCH($A15,'Leave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15">
        <f t="array" aca="1" ref="H15" ca="1">Sheet3!$W$2*$F15*(NETWORKDAYS(VLOOKUP(H$1,Sprints[],2,FALSE), VLOOKUP(H$1,Sprints[],3,FALSE))-SUMPRODUCT((OFFSET(INDIRECT(CELL("address",INDEX('Leave Tracker'!$A$8:$A$100,MATCH($A15,'Leave Tracker'!$A$8:$A$100,0)))),0,31*(VLOOKUP(H$1,Sprints[],5,FALSE))+DAY(VLOOKUP(H$1,Sprints[],2,FALSE)),1,VLOOKUP(H$1,Sprints[],4,FALSE))&lt;&gt;"")*(IF(OFFSET(INDIRECT(CELL("address",INDEX('Leave Tracker'!$A$8:$A$100,MATCH($A15,'Leave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5.7000000000000011</v>
      </c>
      <c r="I15">
        <f t="array" aca="1" ref="I15" ca="1">Sheet3!$W$2*$F15*(NETWORKDAYS(VLOOKUP(I$1,Sprints[],2,FALSE), VLOOKUP(I$1,Sprints[],3,FALSE))-SUMPRODUCT((OFFSET(INDIRECT(CELL("address",INDEX('Leave Tracker'!$A$8:$A$100,MATCH($A15,'Leave Tracker'!$A$8:$A$100,0)))),0,31*(VLOOKUP(I$1,Sprints[],5,FALSE))+DAY(VLOOKUP(I$1,Sprints[],2,FALSE)),1,VLOOKUP(I$1,Sprints[],4,FALSE))&lt;&gt;"")*(IF(OFFSET(INDIRECT(CELL("address",INDEX('Leave Tracker'!$A$8:$A$100,MATCH($A15,'Leave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15">
        <f t="array" aca="1" ref="J15" ca="1">Sheet3!$W$2*$F15*(NETWORKDAYS(VLOOKUP(J$1,Sprints[],2,FALSE), VLOOKUP(J$1,Sprints[],3,FALSE))-SUMPRODUCT((OFFSET(INDIRECT(CELL("address",INDEX('Leave Tracker'!$A$8:$A$100,MATCH($A15,'Leave Tracker'!$A$8:$A$100,0)))),0,31*(VLOOKUP(J$1,Sprints[],5,FALSE))+DAY(VLOOKUP(J$1,Sprints[],2,FALSE)),1,VLOOKUP(J$1,Sprints[],4,FALSE))&lt;&gt;"")*(IF(OFFSET(INDIRECT(CELL("address",INDEX('Leave Tracker'!$A$8:$A$100,MATCH($A15,'Leave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4.2000000000000011</v>
      </c>
      <c r="K15">
        <f t="array" aca="1" ref="K15" ca="1">Sheet3!$W$2*$F15*(NETWORKDAYS(VLOOKUP(K$1,Sprints[],2,FALSE), VLOOKUP(K$1,Sprints[],3,FALSE))-SUMPRODUCT((OFFSET(INDIRECT(CELL("address",INDEX('Leave Tracker'!$A$8:$A$100,MATCH($A15,'Leave Tracker'!$A$8:$A$100,0)))),0,31*(VLOOKUP(K$1,Sprints[],5,FALSE))+DAY(VLOOKUP(K$1,Sprints[],2,FALSE)),1,VLOOKUP(K$1,Sprints[],4,FALSE))&lt;&gt;"")*(IF(OFFSET(INDIRECT(CELL("address",INDEX('Leave Tracker'!$A$8:$A$100,MATCH($A15,'Leave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15">
        <f t="array" aca="1" ref="L15" ca="1">Sheet3!$W$2*$F15*(NETWORKDAYS(VLOOKUP(L$1,Sprints[],2,FALSE), VLOOKUP(L$1,Sprints[],3,FALSE))-SUMPRODUCT((OFFSET(INDIRECT(CELL("address",INDEX('Leave Tracker'!$A$8:$A$100,MATCH($A15,'Leave Tracker'!$A$8:$A$100,0)))),0,31*(VLOOKUP(L$1,Sprints[],5,FALSE))+DAY(VLOOKUP(L$1,Sprints[],2,FALSE)),1,VLOOKUP(L$1,Sprints[],4,FALSE))&lt;&gt;"")*(IF(OFFSET(INDIRECT(CELL("address",INDEX('Leave Tracker'!$A$8:$A$100,MATCH($A15,'Leave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5.4</v>
      </c>
      <c r="M15" s="45">
        <f t="array" aca="1" ref="M15" ca="1">Sheet3!$W$2*$F15*(NETWORKDAYS(VLOOKUP(M$1,Sprints[],2,FALSE), VLOOKUP(M$1,Sprints[],3,FALSE))-SUMPRODUCT((OFFSET(INDIRECT(CELL("address",INDEX('Leave Tracker'!$A$8:$A$100,MATCH($A15,'Leave Tracker'!$A$8:$A$100,0)))),0,31*(VLOOKUP(M$1,Sprints[],5,FALSE))+DAY(VLOOKUP(M$1,Sprints[],2,FALSE)),1,VLOOKUP(M$1,Sprints[],4,FALSE))&lt;&gt;"")*(IF(OFFSET(INDIRECT(CELL("address",INDEX('Leave Tracker'!$A$8:$A$100,MATCH($A15,'Leave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4.8000000000000007</v>
      </c>
      <c r="N15">
        <f t="array" aca="1" ref="N15" ca="1">Sheet3!$W$2*$F15*(NETWORKDAYS(VLOOKUP(N$1,Sprints[],2,FALSE), VLOOKUP(N$1,Sprints[],3,FALSE))-SUMPRODUCT((OFFSET(INDIRECT(CELL("address",INDEX('Leave Tracker'!$A$8:$A$100,MATCH($A15,'Leave Tracker'!$A$8:$A$100,0)))),0,31*(VLOOKUP(N$1,Sprints[],5,FALSE))+DAY(VLOOKUP(N$1,Sprints[],2,FALSE)),1,VLOOKUP(N$1,Sprints[],4,FALSE))&lt;&gt;"")*(IF(OFFSET(INDIRECT(CELL("address",INDEX('Leave Tracker'!$A$8:$A$100,MATCH($A15,'Leave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3.0000000000000004</v>
      </c>
      <c r="O15">
        <f t="array" aca="1" ref="O15" ca="1">Sheet3!$W$2*$F15*(NETWORKDAYS(VLOOKUP(O$1,Sprints[],2,FALSE), VLOOKUP(O$1,Sprints[],3,FALSE))-SUMPRODUCT((OFFSET(INDIRECT(CELL("address",INDEX('Leave Tracker'!$A$8:$A$100,MATCH($A15,'Leave Tracker'!$A$8:$A$100,0)))),0,31*(VLOOKUP(O$1,Sprints[],5,FALSE))+DAY(VLOOKUP(O$1,Sprints[],2,FALSE)),1,VLOOKUP(O$1,Sprints[],4,FALSE))&lt;&gt;"")*(IF(OFFSET(INDIRECT(CELL("address",INDEX('Leave Tracker'!$A$8:$A$100,MATCH($A15,'Leave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15">
        <f t="array" aca="1" ref="P15" ca="1">Sheet3!$W$2*$F15*(NETWORKDAYS(VLOOKUP(P$1,Sprints[],2,FALSE), VLOOKUP(P$1,Sprints[],3,FALSE))-SUMPRODUCT((OFFSET(INDIRECT(CELL("address",INDEX('Leave Tracker'!$A$8:$A$100,MATCH($A15,'Leave Tracker'!$A$8:$A$100,0)))),0,31*(VLOOKUP(P$1,Sprints[],5,FALSE))+DAY(VLOOKUP(P$1,Sprints[],2,FALSE)),1,VLOOKUP(P$1,Sprints[],4,FALSE))&lt;&gt;"")*(IF(OFFSET(INDIRECT(CELL("address",INDEX('Leave Tracker'!$A$8:$A$100,MATCH($A15,'Leave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15">
        <f t="array" aca="1" ref="Q15" ca="1">Sheet3!$W$2*$F15*(NETWORKDAYS(VLOOKUP(Q$1,Sprints[],2,FALSE), VLOOKUP(Q$1,Sprints[],3,FALSE))-SUMPRODUCT((OFFSET(INDIRECT(CELL("address",INDEX('Leave Tracker'!$A$8:$A$100,MATCH($A15,'Leave Tracker'!$A$8:$A$100,0)))),0,31*(VLOOKUP(Q$1,Sprints[],5,FALSE))+DAY(VLOOKUP(Q$1,Sprints[],2,FALSE)),1,VLOOKUP(Q$1,Sprints[],4,FALSE))&lt;&gt;"")*(IF(OFFSET(INDIRECT(CELL("address",INDEX('Leave Tracker'!$A$8:$A$100,MATCH($A15,'Leave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5.4</v>
      </c>
      <c r="R15">
        <f t="array" aca="1" ref="R15" ca="1">Sheet3!$W$2*$F15*(NETWORKDAYS(VLOOKUP(R$1,Sprints[],2,FALSE), VLOOKUP(R$1,Sprints[],3,FALSE))-SUMPRODUCT((OFFSET(INDIRECT(CELL("address",INDEX('Leave Tracker'!$A$8:$A$100,MATCH($A15,'Leave Tracker'!$A$8:$A$100,0)))),0,31*(VLOOKUP(R$1,Sprints[],5,FALSE))+DAY(VLOOKUP(R$1,Sprints[],2,FALSE)),1,VLOOKUP(R$1,Sprints[],4,FALSE))&lt;&gt;"")*(IF(OFFSET(INDIRECT(CELL("address",INDEX('Leave Tracker'!$A$8:$A$100,MATCH($A15,'Leave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16" spans="1:18" x14ac:dyDescent="0.45">
      <c r="A16" t="s">
        <v>74</v>
      </c>
      <c r="B16" s="45" t="s">
        <v>113</v>
      </c>
      <c r="C16" s="45" t="s">
        <v>117</v>
      </c>
      <c r="D16" s="45" t="s">
        <v>133</v>
      </c>
      <c r="E16" s="45" t="s">
        <v>128</v>
      </c>
      <c r="F16" s="47">
        <v>0.75</v>
      </c>
      <c r="G16" s="45">
        <f t="array" aca="1" ref="G16" ca="1">Sheet3!$W$2*$F16*(NETWORKDAYS(VLOOKUP(G$1,Sprints[],2,FALSE), VLOOKUP(G$1,Sprints[],3,FALSE))-SUMPRODUCT((OFFSET(INDIRECT(CELL("address",INDEX('Leave Tracker'!$A$8:$A$100,MATCH($A16,'Leave Tracker'!$A$8:$A$100,0)))),0,31*(VLOOKUP(G$1,Sprints[],5,FALSE))+DAY(VLOOKUP(G$1,Sprints[],2,FALSE)),1,VLOOKUP(G$1,Sprints[],4,FALSE))&lt;&gt;"")*(IF(OFFSET(INDIRECT(CELL("address",INDEX('Leave Tracker'!$A$8:$A$100,MATCH($A16,'Leave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16">
        <f t="array" aca="1" ref="H16" ca="1">Sheet3!$W$2*$F16*(NETWORKDAYS(VLOOKUP(H$1,Sprints[],2,FALSE), VLOOKUP(H$1,Sprints[],3,FALSE))-SUMPRODUCT((OFFSET(INDIRECT(CELL("address",INDEX('Leave Tracker'!$A$8:$A$100,MATCH($A16,'Leave Tracker'!$A$8:$A$100,0)))),0,31*(VLOOKUP(H$1,Sprints[],5,FALSE))+DAY(VLOOKUP(H$1,Sprints[],2,FALSE)),1,VLOOKUP(H$1,Sprints[],4,FALSE))&lt;&gt;"")*(IF(OFFSET(INDIRECT(CELL("address",INDEX('Leave Tracker'!$A$8:$A$100,MATCH($A16,'Leave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16">
        <f t="array" aca="1" ref="I16" ca="1">Sheet3!$W$2*$F16*(NETWORKDAYS(VLOOKUP(I$1,Sprints[],2,FALSE), VLOOKUP(I$1,Sprints[],3,FALSE))-SUMPRODUCT((OFFSET(INDIRECT(CELL("address",INDEX('Leave Tracker'!$A$8:$A$100,MATCH($A16,'Leave Tracker'!$A$8:$A$100,0)))),0,31*(VLOOKUP(I$1,Sprints[],5,FALSE))+DAY(VLOOKUP(I$1,Sprints[],2,FALSE)),1,VLOOKUP(I$1,Sprints[],4,FALSE))&lt;&gt;"")*(IF(OFFSET(INDIRECT(CELL("address",INDEX('Leave Tracker'!$A$8:$A$100,MATCH($A16,'Leave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16">
        <f t="array" aca="1" ref="J16" ca="1">Sheet3!$W$2*$F16*(NETWORKDAYS(VLOOKUP(J$1,Sprints[],2,FALSE), VLOOKUP(J$1,Sprints[],3,FALSE))-SUMPRODUCT((OFFSET(INDIRECT(CELL("address",INDEX('Leave Tracker'!$A$8:$A$100,MATCH($A16,'Leave Tracker'!$A$8:$A$100,0)))),0,31*(VLOOKUP(J$1,Sprints[],5,FALSE))+DAY(VLOOKUP(J$1,Sprints[],2,FALSE)),1,VLOOKUP(J$1,Sprints[],4,FALSE))&lt;&gt;"")*(IF(OFFSET(INDIRECT(CELL("address",INDEX('Leave Tracker'!$A$8:$A$100,MATCH($A16,'Leave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16">
        <f t="array" aca="1" ref="K16" ca="1">Sheet3!$W$2*$F16*(NETWORKDAYS(VLOOKUP(K$1,Sprints[],2,FALSE), VLOOKUP(K$1,Sprints[],3,FALSE))-SUMPRODUCT((OFFSET(INDIRECT(CELL("address",INDEX('Leave Tracker'!$A$8:$A$100,MATCH($A16,'Leave Tracker'!$A$8:$A$100,0)))),0,31*(VLOOKUP(K$1,Sprints[],5,FALSE))+DAY(VLOOKUP(K$1,Sprints[],2,FALSE)),1,VLOOKUP(K$1,Sprints[],4,FALSE))&lt;&gt;"")*(IF(OFFSET(INDIRECT(CELL("address",INDEX('Leave Tracker'!$A$8:$A$100,MATCH($A16,'Leave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16">
        <f t="array" aca="1" ref="L16" ca="1">Sheet3!$W$2*$F16*(NETWORKDAYS(VLOOKUP(L$1,Sprints[],2,FALSE), VLOOKUP(L$1,Sprints[],3,FALSE))-SUMPRODUCT((OFFSET(INDIRECT(CELL("address",INDEX('Leave Tracker'!$A$8:$A$100,MATCH($A16,'Leave Tracker'!$A$8:$A$100,0)))),0,31*(VLOOKUP(L$1,Sprints[],5,FALSE))+DAY(VLOOKUP(L$1,Sprints[],2,FALSE)),1,VLOOKUP(L$1,Sprints[],4,FALSE))&lt;&gt;"")*(IF(OFFSET(INDIRECT(CELL("address",INDEX('Leave Tracker'!$A$8:$A$100,MATCH($A16,'Leave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4.2000000000000011</v>
      </c>
      <c r="M16" s="45">
        <f t="array" aca="1" ref="M16" ca="1">Sheet3!$W$2*$F16*(NETWORKDAYS(VLOOKUP(M$1,Sprints[],2,FALSE), VLOOKUP(M$1,Sprints[],3,FALSE))-SUMPRODUCT((OFFSET(INDIRECT(CELL("address",INDEX('Leave Tracker'!$A$8:$A$100,MATCH($A16,'Leave Tracker'!$A$8:$A$100,0)))),0,31*(VLOOKUP(M$1,Sprints[],5,FALSE))+DAY(VLOOKUP(M$1,Sprints[],2,FALSE)),1,VLOOKUP(M$1,Sprints[],4,FALSE))&lt;&gt;"")*(IF(OFFSET(INDIRECT(CELL("address",INDEX('Leave Tracker'!$A$8:$A$100,MATCH($A16,'Leave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16">
        <f t="array" aca="1" ref="N16" ca="1">Sheet3!$W$2*$F16*(NETWORKDAYS(VLOOKUP(N$1,Sprints[],2,FALSE), VLOOKUP(N$1,Sprints[],3,FALSE))-SUMPRODUCT((OFFSET(INDIRECT(CELL("address",INDEX('Leave Tracker'!$A$8:$A$100,MATCH($A16,'Leave Tracker'!$A$8:$A$100,0)))),0,31*(VLOOKUP(N$1,Sprints[],5,FALSE))+DAY(VLOOKUP(N$1,Sprints[],2,FALSE)),1,VLOOKUP(N$1,Sprints[],4,FALSE))&lt;&gt;"")*(IF(OFFSET(INDIRECT(CELL("address",INDEX('Leave Tracker'!$A$8:$A$100,MATCH($A16,'Leave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16">
        <f t="array" aca="1" ref="O16" ca="1">Sheet3!$W$2*$F16*(NETWORKDAYS(VLOOKUP(O$1,Sprints[],2,FALSE), VLOOKUP(O$1,Sprints[],3,FALSE))-SUMPRODUCT((OFFSET(INDIRECT(CELL("address",INDEX('Leave Tracker'!$A$8:$A$100,MATCH($A16,'Leave Tracker'!$A$8:$A$100,0)))),0,31*(VLOOKUP(O$1,Sprints[],5,FALSE))+DAY(VLOOKUP(O$1,Sprints[],2,FALSE)),1,VLOOKUP(O$1,Sprints[],4,FALSE))&lt;&gt;"")*(IF(OFFSET(INDIRECT(CELL("address",INDEX('Leave Tracker'!$A$8:$A$100,MATCH($A16,'Leave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16">
        <f t="array" aca="1" ref="P16" ca="1">Sheet3!$W$2*$F16*(NETWORKDAYS(VLOOKUP(P$1,Sprints[],2,FALSE), VLOOKUP(P$1,Sprints[],3,FALSE))-SUMPRODUCT((OFFSET(INDIRECT(CELL("address",INDEX('Leave Tracker'!$A$8:$A$100,MATCH($A16,'Leave Tracker'!$A$8:$A$100,0)))),0,31*(VLOOKUP(P$1,Sprints[],5,FALSE))+DAY(VLOOKUP(P$1,Sprints[],2,FALSE)),1,VLOOKUP(P$1,Sprints[],4,FALSE))&lt;&gt;"")*(IF(OFFSET(INDIRECT(CELL("address",INDEX('Leave Tracker'!$A$8:$A$100,MATCH($A16,'Leave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16">
        <f t="array" aca="1" ref="Q16" ca="1">Sheet3!$W$2*$F16*(NETWORKDAYS(VLOOKUP(Q$1,Sprints[],2,FALSE), VLOOKUP(Q$1,Sprints[],3,FALSE))-SUMPRODUCT((OFFSET(INDIRECT(CELL("address",INDEX('Leave Tracker'!$A$8:$A$100,MATCH($A16,'Leave Tracker'!$A$8:$A$100,0)))),0,31*(VLOOKUP(Q$1,Sprints[],5,FALSE))+DAY(VLOOKUP(Q$1,Sprints[],2,FALSE)),1,VLOOKUP(Q$1,Sprints[],4,FALSE))&lt;&gt;"")*(IF(OFFSET(INDIRECT(CELL("address",INDEX('Leave Tracker'!$A$8:$A$100,MATCH($A16,'Leave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5.4</v>
      </c>
      <c r="R16">
        <f t="array" aca="1" ref="R16" ca="1">Sheet3!$W$2*$F16*(NETWORKDAYS(VLOOKUP(R$1,Sprints[],2,FALSE), VLOOKUP(R$1,Sprints[],3,FALSE))-SUMPRODUCT((OFFSET(INDIRECT(CELL("address",INDEX('Leave Tracker'!$A$8:$A$100,MATCH($A16,'Leave Tracker'!$A$8:$A$100,0)))),0,31*(VLOOKUP(R$1,Sprints[],5,FALSE))+DAY(VLOOKUP(R$1,Sprints[],2,FALSE)),1,VLOOKUP(R$1,Sprints[],4,FALSE))&lt;&gt;"")*(IF(OFFSET(INDIRECT(CELL("address",INDEX('Leave Tracker'!$A$8:$A$100,MATCH($A16,'Leave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17" spans="1:18" x14ac:dyDescent="0.45">
      <c r="A17" t="s">
        <v>75</v>
      </c>
      <c r="B17" s="45" t="s">
        <v>119</v>
      </c>
      <c r="C17" s="45" t="s">
        <v>117</v>
      </c>
      <c r="D17" s="45" t="s">
        <v>121</v>
      </c>
      <c r="E17" s="45" t="s">
        <v>126</v>
      </c>
      <c r="F17" s="47">
        <v>0.15</v>
      </c>
      <c r="G17" s="45">
        <f t="array" aca="1" ref="G17" ca="1">Sheet3!$W$2*$F17*(NETWORKDAYS(VLOOKUP(G$1,Sprints[],2,FALSE), VLOOKUP(G$1,Sprints[],3,FALSE))-SUMPRODUCT((OFFSET(INDIRECT(CELL("address",INDEX('Leave Tracker'!$A$8:$A$100,MATCH($A17,'Leave Tracker'!$A$8:$A$100,0)))),0,31*(VLOOKUP(G$1,Sprints[],5,FALSE))+DAY(VLOOKUP(G$1,Sprints[],2,FALSE)),1,VLOOKUP(G$1,Sprints[],4,FALSE))&lt;&gt;"")*(IF(OFFSET(INDIRECT(CELL("address",INDEX('Leave Tracker'!$A$8:$A$100,MATCH($A17,'Leave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0.6</v>
      </c>
      <c r="H17">
        <f t="array" aca="1" ref="H17" ca="1">Sheet3!$W$2*$F17*(NETWORKDAYS(VLOOKUP(H$1,Sprints[],2,FALSE), VLOOKUP(H$1,Sprints[],3,FALSE))-SUMPRODUCT((OFFSET(INDIRECT(CELL("address",INDEX('Leave Tracker'!$A$8:$A$100,MATCH($A17,'Leave Tracker'!$A$8:$A$100,0)))),0,31*(VLOOKUP(H$1,Sprints[],5,FALSE))+DAY(VLOOKUP(H$1,Sprints[],2,FALSE)),1,VLOOKUP(H$1,Sprints[],4,FALSE))&lt;&gt;"")*(IF(OFFSET(INDIRECT(CELL("address",INDEX('Leave Tracker'!$A$8:$A$100,MATCH($A17,'Leave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1.2</v>
      </c>
      <c r="I17">
        <f t="array" aca="1" ref="I17" ca="1">Sheet3!$W$2*$F17*(NETWORKDAYS(VLOOKUP(I$1,Sprints[],2,FALSE), VLOOKUP(I$1,Sprints[],3,FALSE))-SUMPRODUCT((OFFSET(INDIRECT(CELL("address",INDEX('Leave Tracker'!$A$8:$A$100,MATCH($A17,'Leave Tracker'!$A$8:$A$100,0)))),0,31*(VLOOKUP(I$1,Sprints[],5,FALSE))+DAY(VLOOKUP(I$1,Sprints[],2,FALSE)),1,VLOOKUP(I$1,Sprints[],4,FALSE))&lt;&gt;"")*(IF(OFFSET(INDIRECT(CELL("address",INDEX('Leave Tracker'!$A$8:$A$100,MATCH($A17,'Leave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1.2</v>
      </c>
      <c r="J17">
        <f t="array" aca="1" ref="J17" ca="1">Sheet3!$W$2*$F17*(NETWORKDAYS(VLOOKUP(J$1,Sprints[],2,FALSE), VLOOKUP(J$1,Sprints[],3,FALSE))-SUMPRODUCT((OFFSET(INDIRECT(CELL("address",INDEX('Leave Tracker'!$A$8:$A$100,MATCH($A17,'Leave Tracker'!$A$8:$A$100,0)))),0,31*(VLOOKUP(J$1,Sprints[],5,FALSE))+DAY(VLOOKUP(J$1,Sprints[],2,FALSE)),1,VLOOKUP(J$1,Sprints[],4,FALSE))&lt;&gt;"")*(IF(OFFSET(INDIRECT(CELL("address",INDEX('Leave Tracker'!$A$8:$A$100,MATCH($A17,'Leave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0.89999999999999991</v>
      </c>
      <c r="K17">
        <f t="array" aca="1" ref="K17" ca="1">Sheet3!$W$2*$F17*(NETWORKDAYS(VLOOKUP(K$1,Sprints[],2,FALSE), VLOOKUP(K$1,Sprints[],3,FALSE))-SUMPRODUCT((OFFSET(INDIRECT(CELL("address",INDEX('Leave Tracker'!$A$8:$A$100,MATCH($A17,'Leave Tracker'!$A$8:$A$100,0)))),0,31*(VLOOKUP(K$1,Sprints[],5,FALSE))+DAY(VLOOKUP(K$1,Sprints[],2,FALSE)),1,VLOOKUP(K$1,Sprints[],4,FALSE))&lt;&gt;"")*(IF(OFFSET(INDIRECT(CELL("address",INDEX('Leave Tracker'!$A$8:$A$100,MATCH($A17,'Leave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1.2</v>
      </c>
      <c r="L17">
        <f t="array" aca="1" ref="L17" ca="1">Sheet3!$W$2*$F17*(NETWORKDAYS(VLOOKUP(L$1,Sprints[],2,FALSE), VLOOKUP(L$1,Sprints[],3,FALSE))-SUMPRODUCT((OFFSET(INDIRECT(CELL("address",INDEX('Leave Tracker'!$A$8:$A$100,MATCH($A17,'Leave Tracker'!$A$8:$A$100,0)))),0,31*(VLOOKUP(L$1,Sprints[],5,FALSE))+DAY(VLOOKUP(L$1,Sprints[],2,FALSE)),1,VLOOKUP(L$1,Sprints[],4,FALSE))&lt;&gt;"")*(IF(OFFSET(INDIRECT(CELL("address",INDEX('Leave Tracker'!$A$8:$A$100,MATCH($A17,'Leave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1.2</v>
      </c>
      <c r="M17" s="45">
        <f t="array" aca="1" ref="M17" ca="1">Sheet3!$W$2*$F17*(NETWORKDAYS(VLOOKUP(M$1,Sprints[],2,FALSE), VLOOKUP(M$1,Sprints[],3,FALSE))-SUMPRODUCT((OFFSET(INDIRECT(CELL("address",INDEX('Leave Tracker'!$A$8:$A$100,MATCH($A17,'Leave Tracker'!$A$8:$A$100,0)))),0,31*(VLOOKUP(M$1,Sprints[],5,FALSE))+DAY(VLOOKUP(M$1,Sprints[],2,FALSE)),1,VLOOKUP(M$1,Sprints[],4,FALSE))&lt;&gt;"")*(IF(OFFSET(INDIRECT(CELL("address",INDEX('Leave Tracker'!$A$8:$A$100,MATCH($A17,'Leave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1.08</v>
      </c>
      <c r="N17">
        <f t="array" aca="1" ref="N17" ca="1">Sheet3!$W$2*$F17*(NETWORKDAYS(VLOOKUP(N$1,Sprints[],2,FALSE), VLOOKUP(N$1,Sprints[],3,FALSE))-SUMPRODUCT((OFFSET(INDIRECT(CELL("address",INDEX('Leave Tracker'!$A$8:$A$100,MATCH($A17,'Leave Tracker'!$A$8:$A$100,0)))),0,31*(VLOOKUP(N$1,Sprints[],5,FALSE))+DAY(VLOOKUP(N$1,Sprints[],2,FALSE)),1,VLOOKUP(N$1,Sprints[],4,FALSE))&lt;&gt;"")*(IF(OFFSET(INDIRECT(CELL("address",INDEX('Leave Tracker'!$A$8:$A$100,MATCH($A17,'Leave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1.2</v>
      </c>
      <c r="O17">
        <f t="array" aca="1" ref="O17" ca="1">Sheet3!$W$2*$F17*(NETWORKDAYS(VLOOKUP(O$1,Sprints[],2,FALSE), VLOOKUP(O$1,Sprints[],3,FALSE))-SUMPRODUCT((OFFSET(INDIRECT(CELL("address",INDEX('Leave Tracker'!$A$8:$A$100,MATCH($A17,'Leave Tracker'!$A$8:$A$100,0)))),0,31*(VLOOKUP(O$1,Sprints[],5,FALSE))+DAY(VLOOKUP(O$1,Sprints[],2,FALSE)),1,VLOOKUP(O$1,Sprints[],4,FALSE))&lt;&gt;"")*(IF(OFFSET(INDIRECT(CELL("address",INDEX('Leave Tracker'!$A$8:$A$100,MATCH($A17,'Leave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1.08</v>
      </c>
      <c r="P17">
        <f t="array" aca="1" ref="P17" ca="1">Sheet3!$W$2*$F17*(NETWORKDAYS(VLOOKUP(P$1,Sprints[],2,FALSE), VLOOKUP(P$1,Sprints[],3,FALSE))-SUMPRODUCT((OFFSET(INDIRECT(CELL("address",INDEX('Leave Tracker'!$A$8:$A$100,MATCH($A17,'Leave Tracker'!$A$8:$A$100,0)))),0,31*(VLOOKUP(P$1,Sprints[],5,FALSE))+DAY(VLOOKUP(P$1,Sprints[],2,FALSE)),1,VLOOKUP(P$1,Sprints[],4,FALSE))&lt;&gt;"")*(IF(OFFSET(INDIRECT(CELL("address",INDEX('Leave Tracker'!$A$8:$A$100,MATCH($A17,'Leave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1.2</v>
      </c>
      <c r="Q17">
        <f t="array" aca="1" ref="Q17" ca="1">Sheet3!$W$2*$F17*(NETWORKDAYS(VLOOKUP(Q$1,Sprints[],2,FALSE), VLOOKUP(Q$1,Sprints[],3,FALSE))-SUMPRODUCT((OFFSET(INDIRECT(CELL("address",INDEX('Leave Tracker'!$A$8:$A$100,MATCH($A17,'Leave Tracker'!$A$8:$A$100,0)))),0,31*(VLOOKUP(Q$1,Sprints[],5,FALSE))+DAY(VLOOKUP(Q$1,Sprints[],2,FALSE)),1,VLOOKUP(Q$1,Sprints[],4,FALSE))&lt;&gt;"")*(IF(OFFSET(INDIRECT(CELL("address",INDEX('Leave Tracker'!$A$8:$A$100,MATCH($A17,'Leave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1.08</v>
      </c>
      <c r="R17">
        <f t="array" aca="1" ref="R17" ca="1">Sheet3!$W$2*$F17*(NETWORKDAYS(VLOOKUP(R$1,Sprints[],2,FALSE), VLOOKUP(R$1,Sprints[],3,FALSE))-SUMPRODUCT((OFFSET(INDIRECT(CELL("address",INDEX('Leave Tracker'!$A$8:$A$100,MATCH($A17,'Leave Tracker'!$A$8:$A$100,0)))),0,31*(VLOOKUP(R$1,Sprints[],5,FALSE))+DAY(VLOOKUP(R$1,Sprints[],2,FALSE)),1,VLOOKUP(R$1,Sprints[],4,FALSE))&lt;&gt;"")*(IF(OFFSET(INDIRECT(CELL("address",INDEX('Leave Tracker'!$A$8:$A$100,MATCH($A17,'Leave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1.2</v>
      </c>
    </row>
    <row r="18" spans="1:18" x14ac:dyDescent="0.45">
      <c r="A18" t="s">
        <v>76</v>
      </c>
      <c r="B18" s="45" t="s">
        <v>119</v>
      </c>
      <c r="C18" s="45" t="s">
        <v>117</v>
      </c>
      <c r="D18" s="45" t="s">
        <v>132</v>
      </c>
      <c r="E18" s="45" t="s">
        <v>126</v>
      </c>
      <c r="F18" s="47">
        <v>0.75</v>
      </c>
      <c r="G18" s="45">
        <f t="array" aca="1" ref="G18" ca="1">Sheet3!$W$2*$F18*(NETWORKDAYS(VLOOKUP(G$1,Sprints[],2,FALSE), VLOOKUP(G$1,Sprints[],3,FALSE))-SUMPRODUCT((OFFSET(INDIRECT(CELL("address",INDEX('Leave Tracker'!$A$8:$A$100,MATCH($A18,'Leave Tracker'!$A$8:$A$100,0)))),0,31*(VLOOKUP(G$1,Sprints[],5,FALSE))+DAY(VLOOKUP(G$1,Sprints[],2,FALSE)),1,VLOOKUP(G$1,Sprints[],4,FALSE))&lt;&gt;"")*(IF(OFFSET(INDIRECT(CELL("address",INDEX('Leave Tracker'!$A$8:$A$100,MATCH($A18,'Leave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18">
        <f t="array" aca="1" ref="H18" ca="1">Sheet3!$W$2*$F18*(NETWORKDAYS(VLOOKUP(H$1,Sprints[],2,FALSE), VLOOKUP(H$1,Sprints[],3,FALSE))-SUMPRODUCT((OFFSET(INDIRECT(CELL("address",INDEX('Leave Tracker'!$A$8:$A$100,MATCH($A18,'Leave Tracker'!$A$8:$A$100,0)))),0,31*(VLOOKUP(H$1,Sprints[],5,FALSE))+DAY(VLOOKUP(H$1,Sprints[],2,FALSE)),1,VLOOKUP(H$1,Sprints[],4,FALSE))&lt;&gt;"")*(IF(OFFSET(INDIRECT(CELL("address",INDEX('Leave Tracker'!$A$8:$A$100,MATCH($A18,'Leave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18">
        <f t="array" aca="1" ref="I18" ca="1">Sheet3!$W$2*$F18*(NETWORKDAYS(VLOOKUP(I$1,Sprints[],2,FALSE), VLOOKUP(I$1,Sprints[],3,FALSE))-SUMPRODUCT((OFFSET(INDIRECT(CELL("address",INDEX('Leave Tracker'!$A$8:$A$100,MATCH($A18,'Leave Tracker'!$A$8:$A$100,0)))),0,31*(VLOOKUP(I$1,Sprints[],5,FALSE))+DAY(VLOOKUP(I$1,Sprints[],2,FALSE)),1,VLOOKUP(I$1,Sprints[],4,FALSE))&lt;&gt;"")*(IF(OFFSET(INDIRECT(CELL("address",INDEX('Leave Tracker'!$A$8:$A$100,MATCH($A18,'Leave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18">
        <f t="array" aca="1" ref="J18" ca="1">Sheet3!$W$2*$F18*(NETWORKDAYS(VLOOKUP(J$1,Sprints[],2,FALSE), VLOOKUP(J$1,Sprints[],3,FALSE))-SUMPRODUCT((OFFSET(INDIRECT(CELL("address",INDEX('Leave Tracker'!$A$8:$A$100,MATCH($A18,'Leave Tracker'!$A$8:$A$100,0)))),0,31*(VLOOKUP(J$1,Sprints[],5,FALSE))+DAY(VLOOKUP(J$1,Sprints[],2,FALSE)),1,VLOOKUP(J$1,Sprints[],4,FALSE))&lt;&gt;"")*(IF(OFFSET(INDIRECT(CELL("address",INDEX('Leave Tracker'!$A$8:$A$100,MATCH($A18,'Leave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2.1000000000000005</v>
      </c>
      <c r="K18">
        <f t="array" aca="1" ref="K18" ca="1">Sheet3!$W$2*$F18*(NETWORKDAYS(VLOOKUP(K$1,Sprints[],2,FALSE), VLOOKUP(K$1,Sprints[],3,FALSE))-SUMPRODUCT((OFFSET(INDIRECT(CELL("address",INDEX('Leave Tracker'!$A$8:$A$100,MATCH($A18,'Leave Tracker'!$A$8:$A$100,0)))),0,31*(VLOOKUP(K$1,Sprints[],5,FALSE))+DAY(VLOOKUP(K$1,Sprints[],2,FALSE)),1,VLOOKUP(K$1,Sprints[],4,FALSE))&lt;&gt;"")*(IF(OFFSET(INDIRECT(CELL("address",INDEX('Leave Tracker'!$A$8:$A$100,MATCH($A18,'Leave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18">
        <f t="array" aca="1" ref="L18" ca="1">Sheet3!$W$2*$F18*(NETWORKDAYS(VLOOKUP(L$1,Sprints[],2,FALSE), VLOOKUP(L$1,Sprints[],3,FALSE))-SUMPRODUCT((OFFSET(INDIRECT(CELL("address",INDEX('Leave Tracker'!$A$8:$A$100,MATCH($A18,'Leave Tracker'!$A$8:$A$100,0)))),0,31*(VLOOKUP(L$1,Sprints[],5,FALSE))+DAY(VLOOKUP(L$1,Sprints[],2,FALSE)),1,VLOOKUP(L$1,Sprints[],4,FALSE))&lt;&gt;"")*(IF(OFFSET(INDIRECT(CELL("address",INDEX('Leave Tracker'!$A$8:$A$100,MATCH($A18,'Leave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4.8000000000000007</v>
      </c>
      <c r="M18" s="45">
        <f t="array" aca="1" ref="M18" ca="1">Sheet3!$W$2*$F18*(NETWORKDAYS(VLOOKUP(M$1,Sprints[],2,FALSE), VLOOKUP(M$1,Sprints[],3,FALSE))-SUMPRODUCT((OFFSET(INDIRECT(CELL("address",INDEX('Leave Tracker'!$A$8:$A$100,MATCH($A18,'Leave Tracker'!$A$8:$A$100,0)))),0,31*(VLOOKUP(M$1,Sprints[],5,FALSE))+DAY(VLOOKUP(M$1,Sprints[],2,FALSE)),1,VLOOKUP(M$1,Sprints[],4,FALSE))&lt;&gt;"")*(IF(OFFSET(INDIRECT(CELL("address",INDEX('Leave Tracker'!$A$8:$A$100,MATCH($A18,'Leave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3.6000000000000005</v>
      </c>
      <c r="N18">
        <f t="array" aca="1" ref="N18" ca="1">Sheet3!$W$2*$F18*(NETWORKDAYS(VLOOKUP(N$1,Sprints[],2,FALSE), VLOOKUP(N$1,Sprints[],3,FALSE))-SUMPRODUCT((OFFSET(INDIRECT(CELL("address",INDEX('Leave Tracker'!$A$8:$A$100,MATCH($A18,'Leave Tracker'!$A$8:$A$100,0)))),0,31*(VLOOKUP(N$1,Sprints[],5,FALSE))+DAY(VLOOKUP(N$1,Sprints[],2,FALSE)),1,VLOOKUP(N$1,Sprints[],4,FALSE))&lt;&gt;"")*(IF(OFFSET(INDIRECT(CELL("address",INDEX('Leave Tracker'!$A$8:$A$100,MATCH($A18,'Leave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18">
        <f t="array" aca="1" ref="O18" ca="1">Sheet3!$W$2*$F18*(NETWORKDAYS(VLOOKUP(O$1,Sprints[],2,FALSE), VLOOKUP(O$1,Sprints[],3,FALSE))-SUMPRODUCT((OFFSET(INDIRECT(CELL("address",INDEX('Leave Tracker'!$A$8:$A$100,MATCH($A18,'Leave Tracker'!$A$8:$A$100,0)))),0,31*(VLOOKUP(O$1,Sprints[],5,FALSE))+DAY(VLOOKUP(O$1,Sprints[],2,FALSE)),1,VLOOKUP(O$1,Sprints[],4,FALSE))&lt;&gt;"")*(IF(OFFSET(INDIRECT(CELL("address",INDEX('Leave Tracker'!$A$8:$A$100,MATCH($A18,'Leave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18">
        <f t="array" aca="1" ref="P18" ca="1">Sheet3!$W$2*$F18*(NETWORKDAYS(VLOOKUP(P$1,Sprints[],2,FALSE), VLOOKUP(P$1,Sprints[],3,FALSE))-SUMPRODUCT((OFFSET(INDIRECT(CELL("address",INDEX('Leave Tracker'!$A$8:$A$100,MATCH($A18,'Leave Tracker'!$A$8:$A$100,0)))),0,31*(VLOOKUP(P$1,Sprints[],5,FALSE))+DAY(VLOOKUP(P$1,Sprints[],2,FALSE)),1,VLOOKUP(P$1,Sprints[],4,FALSE))&lt;&gt;"")*(IF(OFFSET(INDIRECT(CELL("address",INDEX('Leave Tracker'!$A$8:$A$100,MATCH($A18,'Leave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4.8000000000000007</v>
      </c>
      <c r="Q18">
        <f t="array" aca="1" ref="Q18" ca="1">Sheet3!$W$2*$F18*(NETWORKDAYS(VLOOKUP(Q$1,Sprints[],2,FALSE), VLOOKUP(Q$1,Sprints[],3,FALSE))-SUMPRODUCT((OFFSET(INDIRECT(CELL("address",INDEX('Leave Tracker'!$A$8:$A$100,MATCH($A18,'Leave Tracker'!$A$8:$A$100,0)))),0,31*(VLOOKUP(Q$1,Sprints[],5,FALSE))+DAY(VLOOKUP(Q$1,Sprints[],2,FALSE)),1,VLOOKUP(Q$1,Sprints[],4,FALSE))&lt;&gt;"")*(IF(OFFSET(INDIRECT(CELL("address",INDEX('Leave Tracker'!$A$8:$A$100,MATCH($A18,'Leave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3.6000000000000005</v>
      </c>
      <c r="R18">
        <f t="array" aca="1" ref="R18" ca="1">Sheet3!$W$2*$F18*(NETWORKDAYS(VLOOKUP(R$1,Sprints[],2,FALSE), VLOOKUP(R$1,Sprints[],3,FALSE))-SUMPRODUCT((OFFSET(INDIRECT(CELL("address",INDEX('Leave Tracker'!$A$8:$A$100,MATCH($A18,'Leave Tracker'!$A$8:$A$100,0)))),0,31*(VLOOKUP(R$1,Sprints[],5,FALSE))+DAY(VLOOKUP(R$1,Sprints[],2,FALSE)),1,VLOOKUP(R$1,Sprints[],4,FALSE))&lt;&gt;"")*(IF(OFFSET(INDIRECT(CELL("address",INDEX('Leave Tracker'!$A$8:$A$100,MATCH($A18,'Leave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19" spans="1:18" x14ac:dyDescent="0.45">
      <c r="A19" t="s">
        <v>77</v>
      </c>
      <c r="B19" s="45" t="s">
        <v>119</v>
      </c>
      <c r="C19" s="45" t="s">
        <v>117</v>
      </c>
      <c r="D19" s="45" t="s">
        <v>132</v>
      </c>
      <c r="E19" s="45" t="s">
        <v>126</v>
      </c>
      <c r="F19" s="47">
        <v>0.75</v>
      </c>
      <c r="G19" s="45">
        <f t="array" aca="1" ref="G19" ca="1">Sheet3!$W$2*$F19*(NETWORKDAYS(VLOOKUP(G$1,Sprints[],2,FALSE), VLOOKUP(G$1,Sprints[],3,FALSE))-SUMPRODUCT((OFFSET(INDIRECT(CELL("address",INDEX('Leave Tracker'!$A$8:$A$100,MATCH($A19,'Leave Tracker'!$A$8:$A$100,0)))),0,31*(VLOOKUP(G$1,Sprints[],5,FALSE))+DAY(VLOOKUP(G$1,Sprints[],2,FALSE)),1,VLOOKUP(G$1,Sprints[],4,FALSE))&lt;&gt;"")*(IF(OFFSET(INDIRECT(CELL("address",INDEX('Leave Tracker'!$A$8:$A$100,MATCH($A19,'Leave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19">
        <f t="array" aca="1" ref="H19" ca="1">Sheet3!$W$2*$F19*(NETWORKDAYS(VLOOKUP(H$1,Sprints[],2,FALSE), VLOOKUP(H$1,Sprints[],3,FALSE))-SUMPRODUCT((OFFSET(INDIRECT(CELL("address",INDEX('Leave Tracker'!$A$8:$A$100,MATCH($A19,'Leave Tracker'!$A$8:$A$100,0)))),0,31*(VLOOKUP(H$1,Sprints[],5,FALSE))+DAY(VLOOKUP(H$1,Sprints[],2,FALSE)),1,VLOOKUP(H$1,Sprints[],4,FALSE))&lt;&gt;"")*(IF(OFFSET(INDIRECT(CELL("address",INDEX('Leave Tracker'!$A$8:$A$100,MATCH($A19,'Leave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19">
        <f t="array" aca="1" ref="I19" ca="1">Sheet3!$W$2*$F19*(NETWORKDAYS(VLOOKUP(I$1,Sprints[],2,FALSE), VLOOKUP(I$1,Sprints[],3,FALSE))-SUMPRODUCT((OFFSET(INDIRECT(CELL("address",INDEX('Leave Tracker'!$A$8:$A$100,MATCH($A19,'Leave Tracker'!$A$8:$A$100,0)))),0,31*(VLOOKUP(I$1,Sprints[],5,FALSE))+DAY(VLOOKUP(I$1,Sprints[],2,FALSE)),1,VLOOKUP(I$1,Sprints[],4,FALSE))&lt;&gt;"")*(IF(OFFSET(INDIRECT(CELL("address",INDEX('Leave Tracker'!$A$8:$A$100,MATCH($A19,'Leave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19">
        <f t="array" aca="1" ref="J19" ca="1">Sheet3!$W$2*$F19*(NETWORKDAYS(VLOOKUP(J$1,Sprints[],2,FALSE), VLOOKUP(J$1,Sprints[],3,FALSE))-SUMPRODUCT((OFFSET(INDIRECT(CELL("address",INDEX('Leave Tracker'!$A$8:$A$100,MATCH($A19,'Leave Tracker'!$A$8:$A$100,0)))),0,31*(VLOOKUP(J$1,Sprints[],5,FALSE))+DAY(VLOOKUP(J$1,Sprints[],2,FALSE)),1,VLOOKUP(J$1,Sprints[],4,FALSE))&lt;&gt;"")*(IF(OFFSET(INDIRECT(CELL("address",INDEX('Leave Tracker'!$A$8:$A$100,MATCH($A19,'Leave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19">
        <f t="array" aca="1" ref="K19" ca="1">Sheet3!$W$2*$F19*(NETWORKDAYS(VLOOKUP(K$1,Sprints[],2,FALSE), VLOOKUP(K$1,Sprints[],3,FALSE))-SUMPRODUCT((OFFSET(INDIRECT(CELL("address",INDEX('Leave Tracker'!$A$8:$A$100,MATCH($A19,'Leave Tracker'!$A$8:$A$100,0)))),0,31*(VLOOKUP(K$1,Sprints[],5,FALSE))+DAY(VLOOKUP(K$1,Sprints[],2,FALSE)),1,VLOOKUP(K$1,Sprints[],4,FALSE))&lt;&gt;"")*(IF(OFFSET(INDIRECT(CELL("address",INDEX('Leave Tracker'!$A$8:$A$100,MATCH($A19,'Leave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4.8000000000000007</v>
      </c>
      <c r="L19">
        <f t="array" aca="1" ref="L19" ca="1">Sheet3!$W$2*$F19*(NETWORKDAYS(VLOOKUP(L$1,Sprints[],2,FALSE), VLOOKUP(L$1,Sprints[],3,FALSE))-SUMPRODUCT((OFFSET(INDIRECT(CELL("address",INDEX('Leave Tracker'!$A$8:$A$100,MATCH($A19,'Leave Tracker'!$A$8:$A$100,0)))),0,31*(VLOOKUP(L$1,Sprints[],5,FALSE))+DAY(VLOOKUP(L$1,Sprints[],2,FALSE)),1,VLOOKUP(L$1,Sprints[],4,FALSE))&lt;&gt;"")*(IF(OFFSET(INDIRECT(CELL("address",INDEX('Leave Tracker'!$A$8:$A$100,MATCH($A19,'Leave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3.0000000000000004</v>
      </c>
      <c r="M19" s="45">
        <f t="array" aca="1" ref="M19" ca="1">Sheet3!$W$2*$F19*(NETWORKDAYS(VLOOKUP(M$1,Sprints[],2,FALSE), VLOOKUP(M$1,Sprints[],3,FALSE))-SUMPRODUCT((OFFSET(INDIRECT(CELL("address",INDEX('Leave Tracker'!$A$8:$A$100,MATCH($A19,'Leave Tracker'!$A$8:$A$100,0)))),0,31*(VLOOKUP(M$1,Sprints[],5,FALSE))+DAY(VLOOKUP(M$1,Sprints[],2,FALSE)),1,VLOOKUP(M$1,Sprints[],4,FALSE))&lt;&gt;"")*(IF(OFFSET(INDIRECT(CELL("address",INDEX('Leave Tracker'!$A$8:$A$100,MATCH($A19,'Leave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19">
        <f t="array" aca="1" ref="N19" ca="1">Sheet3!$W$2*$F19*(NETWORKDAYS(VLOOKUP(N$1,Sprints[],2,FALSE), VLOOKUP(N$1,Sprints[],3,FALSE))-SUMPRODUCT((OFFSET(INDIRECT(CELL("address",INDEX('Leave Tracker'!$A$8:$A$100,MATCH($A19,'Leave Tracker'!$A$8:$A$100,0)))),0,31*(VLOOKUP(N$1,Sprints[],5,FALSE))+DAY(VLOOKUP(N$1,Sprints[],2,FALSE)),1,VLOOKUP(N$1,Sprints[],4,FALSE))&lt;&gt;"")*(IF(OFFSET(INDIRECT(CELL("address",INDEX('Leave Tracker'!$A$8:$A$100,MATCH($A19,'Leave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19">
        <f t="array" aca="1" ref="O19" ca="1">Sheet3!$W$2*$F19*(NETWORKDAYS(VLOOKUP(O$1,Sprints[],2,FALSE), VLOOKUP(O$1,Sprints[],3,FALSE))-SUMPRODUCT((OFFSET(INDIRECT(CELL("address",INDEX('Leave Tracker'!$A$8:$A$100,MATCH($A19,'Leave Tracker'!$A$8:$A$100,0)))),0,31*(VLOOKUP(O$1,Sprints[],5,FALSE))+DAY(VLOOKUP(O$1,Sprints[],2,FALSE)),1,VLOOKUP(O$1,Sprints[],4,FALSE))&lt;&gt;"")*(IF(OFFSET(INDIRECT(CELL("address",INDEX('Leave Tracker'!$A$8:$A$100,MATCH($A19,'Leave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19">
        <f t="array" aca="1" ref="P19" ca="1">Sheet3!$W$2*$F19*(NETWORKDAYS(VLOOKUP(P$1,Sprints[],2,FALSE), VLOOKUP(P$1,Sprints[],3,FALSE))-SUMPRODUCT((OFFSET(INDIRECT(CELL("address",INDEX('Leave Tracker'!$A$8:$A$100,MATCH($A19,'Leave Tracker'!$A$8:$A$100,0)))),0,31*(VLOOKUP(P$1,Sprints[],5,FALSE))+DAY(VLOOKUP(P$1,Sprints[],2,FALSE)),1,VLOOKUP(P$1,Sprints[],4,FALSE))&lt;&gt;"")*(IF(OFFSET(INDIRECT(CELL("address",INDEX('Leave Tracker'!$A$8:$A$100,MATCH($A19,'Leave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3.0000000000000004</v>
      </c>
      <c r="Q19">
        <f t="array" aca="1" ref="Q19" ca="1">Sheet3!$W$2*$F19*(NETWORKDAYS(VLOOKUP(Q$1,Sprints[],2,FALSE), VLOOKUP(Q$1,Sprints[],3,FALSE))-SUMPRODUCT((OFFSET(INDIRECT(CELL("address",INDEX('Leave Tracker'!$A$8:$A$100,MATCH($A19,'Leave Tracker'!$A$8:$A$100,0)))),0,31*(VLOOKUP(Q$1,Sprints[],5,FALSE))+DAY(VLOOKUP(Q$1,Sprints[],2,FALSE)),1,VLOOKUP(Q$1,Sprints[],4,FALSE))&lt;&gt;"")*(IF(OFFSET(INDIRECT(CELL("address",INDEX('Leave Tracker'!$A$8:$A$100,MATCH($A19,'Leave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5.4</v>
      </c>
      <c r="R19">
        <f t="array" aca="1" ref="R19" ca="1">Sheet3!$W$2*$F19*(NETWORKDAYS(VLOOKUP(R$1,Sprints[],2,FALSE), VLOOKUP(R$1,Sprints[],3,FALSE))-SUMPRODUCT((OFFSET(INDIRECT(CELL("address",INDEX('Leave Tracker'!$A$8:$A$100,MATCH($A19,'Leave Tracker'!$A$8:$A$100,0)))),0,31*(VLOOKUP(R$1,Sprints[],5,FALSE))+DAY(VLOOKUP(R$1,Sprints[],2,FALSE)),1,VLOOKUP(R$1,Sprints[],4,FALSE))&lt;&gt;"")*(IF(OFFSET(INDIRECT(CELL("address",INDEX('Leave Tracker'!$A$8:$A$100,MATCH($A19,'Leave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20" spans="1:18" x14ac:dyDescent="0.45">
      <c r="A20" t="s">
        <v>78</v>
      </c>
      <c r="B20" s="45" t="s">
        <v>119</v>
      </c>
      <c r="C20" s="45" t="s">
        <v>117</v>
      </c>
      <c r="D20" s="45" t="s">
        <v>132</v>
      </c>
      <c r="E20" s="45" t="s">
        <v>126</v>
      </c>
      <c r="F20" s="47">
        <v>0.75</v>
      </c>
      <c r="G20" s="45">
        <f t="array" aca="1" ref="G20" ca="1">Sheet3!$W$2*$F20*(NETWORKDAYS(VLOOKUP(G$1,Sprints[],2,FALSE), VLOOKUP(G$1,Sprints[],3,FALSE))-SUMPRODUCT((OFFSET(INDIRECT(CELL("address",INDEX('Leave Tracker'!$A$8:$A$100,MATCH($A20,'Leave Tracker'!$A$8:$A$100,0)))),0,31*(VLOOKUP(G$1,Sprints[],5,FALSE))+DAY(VLOOKUP(G$1,Sprints[],2,FALSE)),1,VLOOKUP(G$1,Sprints[],4,FALSE))&lt;&gt;"")*(IF(OFFSET(INDIRECT(CELL("address",INDEX('Leave Tracker'!$A$8:$A$100,MATCH($A20,'Leave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20">
        <f t="array" aca="1" ref="H20" ca="1">Sheet3!$W$2*$F20*(NETWORKDAYS(VLOOKUP(H$1,Sprints[],2,FALSE), VLOOKUP(H$1,Sprints[],3,FALSE))-SUMPRODUCT((OFFSET(INDIRECT(CELL("address",INDEX('Leave Tracker'!$A$8:$A$100,MATCH($A20,'Leave Tracker'!$A$8:$A$100,0)))),0,31*(VLOOKUP(H$1,Sprints[],5,FALSE))+DAY(VLOOKUP(H$1,Sprints[],2,FALSE)),1,VLOOKUP(H$1,Sprints[],4,FALSE))&lt;&gt;"")*(IF(OFFSET(INDIRECT(CELL("address",INDEX('Leave Tracker'!$A$8:$A$100,MATCH($A20,'Leave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20">
        <f t="array" aca="1" ref="I20" ca="1">Sheet3!$W$2*$F20*(NETWORKDAYS(VLOOKUP(I$1,Sprints[],2,FALSE), VLOOKUP(I$1,Sprints[],3,FALSE))-SUMPRODUCT((OFFSET(INDIRECT(CELL("address",INDEX('Leave Tracker'!$A$8:$A$100,MATCH($A20,'Leave Tracker'!$A$8:$A$100,0)))),0,31*(VLOOKUP(I$1,Sprints[],5,FALSE))+DAY(VLOOKUP(I$1,Sprints[],2,FALSE)),1,VLOOKUP(I$1,Sprints[],4,FALSE))&lt;&gt;"")*(IF(OFFSET(INDIRECT(CELL("address",INDEX('Leave Tracker'!$A$8:$A$100,MATCH($A20,'Leave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20">
        <f t="array" aca="1" ref="J20" ca="1">Sheet3!$W$2*$F20*(NETWORKDAYS(VLOOKUP(J$1,Sprints[],2,FALSE), VLOOKUP(J$1,Sprints[],3,FALSE))-SUMPRODUCT((OFFSET(INDIRECT(CELL("address",INDEX('Leave Tracker'!$A$8:$A$100,MATCH($A20,'Leave Tracker'!$A$8:$A$100,0)))),0,31*(VLOOKUP(J$1,Sprints[],5,FALSE))+DAY(VLOOKUP(J$1,Sprints[],2,FALSE)),1,VLOOKUP(J$1,Sprints[],4,FALSE))&lt;&gt;"")*(IF(OFFSET(INDIRECT(CELL("address",INDEX('Leave Tracker'!$A$8:$A$100,MATCH($A20,'Leave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20">
        <f t="array" aca="1" ref="K20" ca="1">Sheet3!$W$2*$F20*(NETWORKDAYS(VLOOKUP(K$1,Sprints[],2,FALSE), VLOOKUP(K$1,Sprints[],3,FALSE))-SUMPRODUCT((OFFSET(INDIRECT(CELL("address",INDEX('Leave Tracker'!$A$8:$A$100,MATCH($A20,'Leave Tracker'!$A$8:$A$100,0)))),0,31*(VLOOKUP(K$1,Sprints[],5,FALSE))+DAY(VLOOKUP(K$1,Sprints[],2,FALSE)),1,VLOOKUP(K$1,Sprints[],4,FALSE))&lt;&gt;"")*(IF(OFFSET(INDIRECT(CELL("address",INDEX('Leave Tracker'!$A$8:$A$100,MATCH($A20,'Leave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5.4</v>
      </c>
      <c r="L20">
        <f t="array" aca="1" ref="L20" ca="1">Sheet3!$W$2*$F20*(NETWORKDAYS(VLOOKUP(L$1,Sprints[],2,FALSE), VLOOKUP(L$1,Sprints[],3,FALSE))-SUMPRODUCT((OFFSET(INDIRECT(CELL("address",INDEX('Leave Tracker'!$A$8:$A$100,MATCH($A20,'Leave Tracker'!$A$8:$A$100,0)))),0,31*(VLOOKUP(L$1,Sprints[],5,FALSE))+DAY(VLOOKUP(L$1,Sprints[],2,FALSE)),1,VLOOKUP(L$1,Sprints[],4,FALSE))&lt;&gt;"")*(IF(OFFSET(INDIRECT(CELL("address",INDEX('Leave Tracker'!$A$8:$A$100,MATCH($A20,'Leave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4.2000000000000011</v>
      </c>
      <c r="M20" s="45">
        <f t="array" aca="1" ref="M20" ca="1">Sheet3!$W$2*$F20*(NETWORKDAYS(VLOOKUP(M$1,Sprints[],2,FALSE), VLOOKUP(M$1,Sprints[],3,FALSE))-SUMPRODUCT((OFFSET(INDIRECT(CELL("address",INDEX('Leave Tracker'!$A$8:$A$100,MATCH($A20,'Leave Tracker'!$A$8:$A$100,0)))),0,31*(VLOOKUP(M$1,Sprints[],5,FALSE))+DAY(VLOOKUP(M$1,Sprints[],2,FALSE)),1,VLOOKUP(M$1,Sprints[],4,FALSE))&lt;&gt;"")*(IF(OFFSET(INDIRECT(CELL("address",INDEX('Leave Tracker'!$A$8:$A$100,MATCH($A20,'Leave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20">
        <f t="array" aca="1" ref="N20" ca="1">Sheet3!$W$2*$F20*(NETWORKDAYS(VLOOKUP(N$1,Sprints[],2,FALSE), VLOOKUP(N$1,Sprints[],3,FALSE))-SUMPRODUCT((OFFSET(INDIRECT(CELL("address",INDEX('Leave Tracker'!$A$8:$A$100,MATCH($A20,'Leave Tracker'!$A$8:$A$100,0)))),0,31*(VLOOKUP(N$1,Sprints[],5,FALSE))+DAY(VLOOKUP(N$1,Sprints[],2,FALSE)),1,VLOOKUP(N$1,Sprints[],4,FALSE))&lt;&gt;"")*(IF(OFFSET(INDIRECT(CELL("address",INDEX('Leave Tracker'!$A$8:$A$100,MATCH($A20,'Leave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4.8000000000000007</v>
      </c>
      <c r="O20">
        <f t="array" aca="1" ref="O20" ca="1">Sheet3!$W$2*$F20*(NETWORKDAYS(VLOOKUP(O$1,Sprints[],2,FALSE), VLOOKUP(O$1,Sprints[],3,FALSE))-SUMPRODUCT((OFFSET(INDIRECT(CELL("address",INDEX('Leave Tracker'!$A$8:$A$100,MATCH($A20,'Leave Tracker'!$A$8:$A$100,0)))),0,31*(VLOOKUP(O$1,Sprints[],5,FALSE))+DAY(VLOOKUP(O$1,Sprints[],2,FALSE)),1,VLOOKUP(O$1,Sprints[],4,FALSE))&lt;&gt;"")*(IF(OFFSET(INDIRECT(CELL("address",INDEX('Leave Tracker'!$A$8:$A$100,MATCH($A20,'Leave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3.6000000000000005</v>
      </c>
      <c r="P20">
        <f t="array" aca="1" ref="P20" ca="1">Sheet3!$W$2*$F20*(NETWORKDAYS(VLOOKUP(P$1,Sprints[],2,FALSE), VLOOKUP(P$1,Sprints[],3,FALSE))-SUMPRODUCT((OFFSET(INDIRECT(CELL("address",INDEX('Leave Tracker'!$A$8:$A$100,MATCH($A20,'Leave Tracker'!$A$8:$A$100,0)))),0,31*(VLOOKUP(P$1,Sprints[],5,FALSE))+DAY(VLOOKUP(P$1,Sprints[],2,FALSE)),1,VLOOKUP(P$1,Sprints[],4,FALSE))&lt;&gt;"")*(IF(OFFSET(INDIRECT(CELL("address",INDEX('Leave Tracker'!$A$8:$A$100,MATCH($A20,'Leave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20">
        <f t="array" aca="1" ref="Q20" ca="1">Sheet3!$W$2*$F20*(NETWORKDAYS(VLOOKUP(Q$1,Sprints[],2,FALSE), VLOOKUP(Q$1,Sprints[],3,FALSE))-SUMPRODUCT((OFFSET(INDIRECT(CELL("address",INDEX('Leave Tracker'!$A$8:$A$100,MATCH($A20,'Leave Tracker'!$A$8:$A$100,0)))),0,31*(VLOOKUP(Q$1,Sprints[],5,FALSE))+DAY(VLOOKUP(Q$1,Sprints[],2,FALSE)),1,VLOOKUP(Q$1,Sprints[],4,FALSE))&lt;&gt;"")*(IF(OFFSET(INDIRECT(CELL("address",INDEX('Leave Tracker'!$A$8:$A$100,MATCH($A20,'Leave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5.4</v>
      </c>
      <c r="R20">
        <f t="array" aca="1" ref="R20" ca="1">Sheet3!$W$2*$F20*(NETWORKDAYS(VLOOKUP(R$1,Sprints[],2,FALSE), VLOOKUP(R$1,Sprints[],3,FALSE))-SUMPRODUCT((OFFSET(INDIRECT(CELL("address",INDEX('Leave Tracker'!$A$8:$A$100,MATCH($A20,'Leave Tracker'!$A$8:$A$100,0)))),0,31*(VLOOKUP(R$1,Sprints[],5,FALSE))+DAY(VLOOKUP(R$1,Sprints[],2,FALSE)),1,VLOOKUP(R$1,Sprints[],4,FALSE))&lt;&gt;"")*(IF(OFFSET(INDIRECT(CELL("address",INDEX('Leave Tracker'!$A$8:$A$100,MATCH($A20,'Leave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21" spans="1:18" x14ac:dyDescent="0.45">
      <c r="A21" t="s">
        <v>79</v>
      </c>
      <c r="B21" s="45" t="s">
        <v>119</v>
      </c>
      <c r="C21" s="45" t="s">
        <v>117</v>
      </c>
      <c r="D21" s="45" t="s">
        <v>132</v>
      </c>
      <c r="E21" s="45" t="s">
        <v>126</v>
      </c>
      <c r="F21" s="47">
        <v>0.75</v>
      </c>
      <c r="G21" s="45">
        <f t="array" aca="1" ref="G21" ca="1">Sheet3!$W$2*$F21*(NETWORKDAYS(VLOOKUP(G$1,Sprints[],2,FALSE), VLOOKUP(G$1,Sprints[],3,FALSE))-SUMPRODUCT((OFFSET(INDIRECT(CELL("address",INDEX('Leave Tracker'!$A$8:$A$100,MATCH($A21,'Leave Tracker'!$A$8:$A$100,0)))),0,31*(VLOOKUP(G$1,Sprints[],5,FALSE))+DAY(VLOOKUP(G$1,Sprints[],2,FALSE)),1,VLOOKUP(G$1,Sprints[],4,FALSE))&lt;&gt;"")*(IF(OFFSET(INDIRECT(CELL("address",INDEX('Leave Tracker'!$A$8:$A$100,MATCH($A21,'Leave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21">
        <f t="array" aca="1" ref="H21" ca="1">Sheet3!$W$2*$F21*(NETWORKDAYS(VLOOKUP(H$1,Sprints[],2,FALSE), VLOOKUP(H$1,Sprints[],3,FALSE))-SUMPRODUCT((OFFSET(INDIRECT(CELL("address",INDEX('Leave Tracker'!$A$8:$A$100,MATCH($A21,'Leave Tracker'!$A$8:$A$100,0)))),0,31*(VLOOKUP(H$1,Sprints[],5,FALSE))+DAY(VLOOKUP(H$1,Sprints[],2,FALSE)),1,VLOOKUP(H$1,Sprints[],4,FALSE))&lt;&gt;"")*(IF(OFFSET(INDIRECT(CELL("address",INDEX('Leave Tracker'!$A$8:$A$100,MATCH($A21,'Leave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21">
        <f t="array" aca="1" ref="I21" ca="1">Sheet3!$W$2*$F21*(NETWORKDAYS(VLOOKUP(I$1,Sprints[],2,FALSE), VLOOKUP(I$1,Sprints[],3,FALSE))-SUMPRODUCT((OFFSET(INDIRECT(CELL("address",INDEX('Leave Tracker'!$A$8:$A$100,MATCH($A21,'Leave Tracker'!$A$8:$A$100,0)))),0,31*(VLOOKUP(I$1,Sprints[],5,FALSE))+DAY(VLOOKUP(I$1,Sprints[],2,FALSE)),1,VLOOKUP(I$1,Sprints[],4,FALSE))&lt;&gt;"")*(IF(OFFSET(INDIRECT(CELL("address",INDEX('Leave Tracker'!$A$8:$A$100,MATCH($A21,'Leave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21">
        <f t="array" aca="1" ref="J21" ca="1">Sheet3!$W$2*$F21*(NETWORKDAYS(VLOOKUP(J$1,Sprints[],2,FALSE), VLOOKUP(J$1,Sprints[],3,FALSE))-SUMPRODUCT((OFFSET(INDIRECT(CELL("address",INDEX('Leave Tracker'!$A$8:$A$100,MATCH($A21,'Leave Tracker'!$A$8:$A$100,0)))),0,31*(VLOOKUP(J$1,Sprints[],5,FALSE))+DAY(VLOOKUP(J$1,Sprints[],2,FALSE)),1,VLOOKUP(J$1,Sprints[],4,FALSE))&lt;&gt;"")*(IF(OFFSET(INDIRECT(CELL("address",INDEX('Leave Tracker'!$A$8:$A$100,MATCH($A21,'Leave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21">
        <f t="array" aca="1" ref="K21" ca="1">Sheet3!$W$2*$F21*(NETWORKDAYS(VLOOKUP(K$1,Sprints[],2,FALSE), VLOOKUP(K$1,Sprints[],3,FALSE))-SUMPRODUCT((OFFSET(INDIRECT(CELL("address",INDEX('Leave Tracker'!$A$8:$A$100,MATCH($A21,'Leave Tracker'!$A$8:$A$100,0)))),0,31*(VLOOKUP(K$1,Sprints[],5,FALSE))+DAY(VLOOKUP(K$1,Sprints[],2,FALSE)),1,VLOOKUP(K$1,Sprints[],4,FALSE))&lt;&gt;"")*(IF(OFFSET(INDIRECT(CELL("address",INDEX('Leave Tracker'!$A$8:$A$100,MATCH($A21,'Leave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21">
        <f t="array" aca="1" ref="L21" ca="1">Sheet3!$W$2*$F21*(NETWORKDAYS(VLOOKUP(L$1,Sprints[],2,FALSE), VLOOKUP(L$1,Sprints[],3,FALSE))-SUMPRODUCT((OFFSET(INDIRECT(CELL("address",INDEX('Leave Tracker'!$A$8:$A$100,MATCH($A21,'Leave Tracker'!$A$8:$A$100,0)))),0,31*(VLOOKUP(L$1,Sprints[],5,FALSE))+DAY(VLOOKUP(L$1,Sprints[],2,FALSE)),1,VLOOKUP(L$1,Sprints[],4,FALSE))&lt;&gt;"")*(IF(OFFSET(INDIRECT(CELL("address",INDEX('Leave Tracker'!$A$8:$A$100,MATCH($A21,'Leave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6.0000000000000009</v>
      </c>
      <c r="M21" s="45">
        <f t="array" aca="1" ref="M21" ca="1">Sheet3!$W$2*$F21*(NETWORKDAYS(VLOOKUP(M$1,Sprints[],2,FALSE), VLOOKUP(M$1,Sprints[],3,FALSE))-SUMPRODUCT((OFFSET(INDIRECT(CELL("address",INDEX('Leave Tracker'!$A$8:$A$100,MATCH($A21,'Leave Tracker'!$A$8:$A$100,0)))),0,31*(VLOOKUP(M$1,Sprints[],5,FALSE))+DAY(VLOOKUP(M$1,Sprints[],2,FALSE)),1,VLOOKUP(M$1,Sprints[],4,FALSE))&lt;&gt;"")*(IF(OFFSET(INDIRECT(CELL("address",INDEX('Leave Tracker'!$A$8:$A$100,MATCH($A21,'Leave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3.6000000000000005</v>
      </c>
      <c r="N21">
        <f t="array" aca="1" ref="N21" ca="1">Sheet3!$W$2*$F21*(NETWORKDAYS(VLOOKUP(N$1,Sprints[],2,FALSE), VLOOKUP(N$1,Sprints[],3,FALSE))-SUMPRODUCT((OFFSET(INDIRECT(CELL("address",INDEX('Leave Tracker'!$A$8:$A$100,MATCH($A21,'Leave Tracker'!$A$8:$A$100,0)))),0,31*(VLOOKUP(N$1,Sprints[],5,FALSE))+DAY(VLOOKUP(N$1,Sprints[],2,FALSE)),1,VLOOKUP(N$1,Sprints[],4,FALSE))&lt;&gt;"")*(IF(OFFSET(INDIRECT(CELL("address",INDEX('Leave Tracker'!$A$8:$A$100,MATCH($A21,'Leave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21">
        <f t="array" aca="1" ref="O21" ca="1">Sheet3!$W$2*$F21*(NETWORKDAYS(VLOOKUP(O$1,Sprints[],2,FALSE), VLOOKUP(O$1,Sprints[],3,FALSE))-SUMPRODUCT((OFFSET(INDIRECT(CELL("address",INDEX('Leave Tracker'!$A$8:$A$100,MATCH($A21,'Leave Tracker'!$A$8:$A$100,0)))),0,31*(VLOOKUP(O$1,Sprints[],5,FALSE))+DAY(VLOOKUP(O$1,Sprints[],2,FALSE)),1,VLOOKUP(O$1,Sprints[],4,FALSE))&lt;&gt;"")*(IF(OFFSET(INDIRECT(CELL("address",INDEX('Leave Tracker'!$A$8:$A$100,MATCH($A21,'Leave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21">
        <f t="array" aca="1" ref="P21" ca="1">Sheet3!$W$2*$F21*(NETWORKDAYS(VLOOKUP(P$1,Sprints[],2,FALSE), VLOOKUP(P$1,Sprints[],3,FALSE))-SUMPRODUCT((OFFSET(INDIRECT(CELL("address",INDEX('Leave Tracker'!$A$8:$A$100,MATCH($A21,'Leave Tracker'!$A$8:$A$100,0)))),0,31*(VLOOKUP(P$1,Sprints[],5,FALSE))+DAY(VLOOKUP(P$1,Sprints[],2,FALSE)),1,VLOOKUP(P$1,Sprints[],4,FALSE))&lt;&gt;"")*(IF(OFFSET(INDIRECT(CELL("address",INDEX('Leave Tracker'!$A$8:$A$100,MATCH($A21,'Leave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21">
        <f t="array" aca="1" ref="Q21" ca="1">Sheet3!$W$2*$F21*(NETWORKDAYS(VLOOKUP(Q$1,Sprints[],2,FALSE), VLOOKUP(Q$1,Sprints[],3,FALSE))-SUMPRODUCT((OFFSET(INDIRECT(CELL("address",INDEX('Leave Tracker'!$A$8:$A$100,MATCH($A21,'Leave Tracker'!$A$8:$A$100,0)))),0,31*(VLOOKUP(Q$1,Sprints[],5,FALSE))+DAY(VLOOKUP(Q$1,Sprints[],2,FALSE)),1,VLOOKUP(Q$1,Sprints[],4,FALSE))&lt;&gt;"")*(IF(OFFSET(INDIRECT(CELL("address",INDEX('Leave Tracker'!$A$8:$A$100,MATCH($A21,'Leave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2.4000000000000004</v>
      </c>
      <c r="R21">
        <f t="array" aca="1" ref="R21" ca="1">Sheet3!$W$2*$F21*(NETWORKDAYS(VLOOKUP(R$1,Sprints[],2,FALSE), VLOOKUP(R$1,Sprints[],3,FALSE))-SUMPRODUCT((OFFSET(INDIRECT(CELL("address",INDEX('Leave Tracker'!$A$8:$A$100,MATCH($A21,'Leave Tracker'!$A$8:$A$100,0)))),0,31*(VLOOKUP(R$1,Sprints[],5,FALSE))+DAY(VLOOKUP(R$1,Sprints[],2,FALSE)),1,VLOOKUP(R$1,Sprints[],4,FALSE))&lt;&gt;"")*(IF(OFFSET(INDIRECT(CELL("address",INDEX('Leave Tracker'!$A$8:$A$100,MATCH($A21,'Leave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22" spans="1:18" x14ac:dyDescent="0.45">
      <c r="A22" t="s">
        <v>80</v>
      </c>
      <c r="B22" s="45" t="s">
        <v>119</v>
      </c>
      <c r="C22" s="45" t="s">
        <v>117</v>
      </c>
      <c r="D22" s="45" t="s">
        <v>132</v>
      </c>
      <c r="E22" s="45" t="s">
        <v>125</v>
      </c>
      <c r="F22" s="47">
        <v>0.75</v>
      </c>
      <c r="G22" s="45">
        <f t="array" aca="1" ref="G22" ca="1">Sheet3!$W$2*$F22*(NETWORKDAYS(VLOOKUP(G$1,Sprints[],2,FALSE), VLOOKUP(G$1,Sprints[],3,FALSE))-SUMPRODUCT((OFFSET(INDIRECT(CELL("address",INDEX('Leave Tracker'!$A$8:$A$100,MATCH($A22,'Leave Tracker'!$A$8:$A$100,0)))),0,31*(VLOOKUP(G$1,Sprints[],5,FALSE))+DAY(VLOOKUP(G$1,Sprints[],2,FALSE)),1,VLOOKUP(G$1,Sprints[],4,FALSE))&lt;&gt;"")*(IF(OFFSET(INDIRECT(CELL("address",INDEX('Leave Tracker'!$A$8:$A$100,MATCH($A22,'Leave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22">
        <f t="array" aca="1" ref="H22" ca="1">Sheet3!$W$2*$F22*(NETWORKDAYS(VLOOKUP(H$1,Sprints[],2,FALSE), VLOOKUP(H$1,Sprints[],3,FALSE))-SUMPRODUCT((OFFSET(INDIRECT(CELL("address",INDEX('Leave Tracker'!$A$8:$A$100,MATCH($A22,'Leave Tracker'!$A$8:$A$100,0)))),0,31*(VLOOKUP(H$1,Sprints[],5,FALSE))+DAY(VLOOKUP(H$1,Sprints[],2,FALSE)),1,VLOOKUP(H$1,Sprints[],4,FALSE))&lt;&gt;"")*(IF(OFFSET(INDIRECT(CELL("address",INDEX('Leave Tracker'!$A$8:$A$100,MATCH($A22,'Leave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22">
        <f t="array" aca="1" ref="I22" ca="1">Sheet3!$W$2*$F22*(NETWORKDAYS(VLOOKUP(I$1,Sprints[],2,FALSE), VLOOKUP(I$1,Sprints[],3,FALSE))-SUMPRODUCT((OFFSET(INDIRECT(CELL("address",INDEX('Leave Tracker'!$A$8:$A$100,MATCH($A22,'Leave Tracker'!$A$8:$A$100,0)))),0,31*(VLOOKUP(I$1,Sprints[],5,FALSE))+DAY(VLOOKUP(I$1,Sprints[],2,FALSE)),1,VLOOKUP(I$1,Sprints[],4,FALSE))&lt;&gt;"")*(IF(OFFSET(INDIRECT(CELL("address",INDEX('Leave Tracker'!$A$8:$A$100,MATCH($A22,'Leave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22">
        <f t="array" aca="1" ref="J22" ca="1">Sheet3!$W$2*$F22*(NETWORKDAYS(VLOOKUP(J$1,Sprints[],2,FALSE), VLOOKUP(J$1,Sprints[],3,FALSE))-SUMPRODUCT((OFFSET(INDIRECT(CELL("address",INDEX('Leave Tracker'!$A$8:$A$100,MATCH($A22,'Leave Tracker'!$A$8:$A$100,0)))),0,31*(VLOOKUP(J$1,Sprints[],5,FALSE))+DAY(VLOOKUP(J$1,Sprints[],2,FALSE)),1,VLOOKUP(J$1,Sprints[],4,FALSE))&lt;&gt;"")*(IF(OFFSET(INDIRECT(CELL("address",INDEX('Leave Tracker'!$A$8:$A$100,MATCH($A22,'Leave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22">
        <f t="array" aca="1" ref="K22" ca="1">Sheet3!$W$2*$F22*(NETWORKDAYS(VLOOKUP(K$1,Sprints[],2,FALSE), VLOOKUP(K$1,Sprints[],3,FALSE))-SUMPRODUCT((OFFSET(INDIRECT(CELL("address",INDEX('Leave Tracker'!$A$8:$A$100,MATCH($A22,'Leave Tracker'!$A$8:$A$100,0)))),0,31*(VLOOKUP(K$1,Sprints[],5,FALSE))+DAY(VLOOKUP(K$1,Sprints[],2,FALSE)),1,VLOOKUP(K$1,Sprints[],4,FALSE))&lt;&gt;"")*(IF(OFFSET(INDIRECT(CELL("address",INDEX('Leave Tracker'!$A$8:$A$100,MATCH($A22,'Leave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2.4000000000000004</v>
      </c>
      <c r="L22">
        <f t="array" aca="1" ref="L22" ca="1">Sheet3!$W$2*$F22*(NETWORKDAYS(VLOOKUP(L$1,Sprints[],2,FALSE), VLOOKUP(L$1,Sprints[],3,FALSE))-SUMPRODUCT((OFFSET(INDIRECT(CELL("address",INDEX('Leave Tracker'!$A$8:$A$100,MATCH($A22,'Leave Tracker'!$A$8:$A$100,0)))),0,31*(VLOOKUP(L$1,Sprints[],5,FALSE))+DAY(VLOOKUP(L$1,Sprints[],2,FALSE)),1,VLOOKUP(L$1,Sprints[],4,FALSE))&lt;&gt;"")*(IF(OFFSET(INDIRECT(CELL("address",INDEX('Leave Tracker'!$A$8:$A$100,MATCH($A22,'Leave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4.8000000000000007</v>
      </c>
      <c r="M22" s="45">
        <f t="array" aca="1" ref="M22" ca="1">Sheet3!$W$2*$F22*(NETWORKDAYS(VLOOKUP(M$1,Sprints[],2,FALSE), VLOOKUP(M$1,Sprints[],3,FALSE))-SUMPRODUCT((OFFSET(INDIRECT(CELL("address",INDEX('Leave Tracker'!$A$8:$A$100,MATCH($A22,'Leave Tracker'!$A$8:$A$100,0)))),0,31*(VLOOKUP(M$1,Sprints[],5,FALSE))+DAY(VLOOKUP(M$1,Sprints[],2,FALSE)),1,VLOOKUP(M$1,Sprints[],4,FALSE))&lt;&gt;"")*(IF(OFFSET(INDIRECT(CELL("address",INDEX('Leave Tracker'!$A$8:$A$100,MATCH($A22,'Leave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3.6000000000000005</v>
      </c>
      <c r="N22">
        <f t="array" aca="1" ref="N22" ca="1">Sheet3!$W$2*$F22*(NETWORKDAYS(VLOOKUP(N$1,Sprints[],2,FALSE), VLOOKUP(N$1,Sprints[],3,FALSE))-SUMPRODUCT((OFFSET(INDIRECT(CELL("address",INDEX('Leave Tracker'!$A$8:$A$100,MATCH($A22,'Leave Tracker'!$A$8:$A$100,0)))),0,31*(VLOOKUP(N$1,Sprints[],5,FALSE))+DAY(VLOOKUP(N$1,Sprints[],2,FALSE)),1,VLOOKUP(N$1,Sprints[],4,FALSE))&lt;&gt;"")*(IF(OFFSET(INDIRECT(CELL("address",INDEX('Leave Tracker'!$A$8:$A$100,MATCH($A22,'Leave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22">
        <f t="array" aca="1" ref="O22" ca="1">Sheet3!$W$2*$F22*(NETWORKDAYS(VLOOKUP(O$1,Sprints[],2,FALSE), VLOOKUP(O$1,Sprints[],3,FALSE))-SUMPRODUCT((OFFSET(INDIRECT(CELL("address",INDEX('Leave Tracker'!$A$8:$A$100,MATCH($A22,'Leave Tracker'!$A$8:$A$100,0)))),0,31*(VLOOKUP(O$1,Sprints[],5,FALSE))+DAY(VLOOKUP(O$1,Sprints[],2,FALSE)),1,VLOOKUP(O$1,Sprints[],4,FALSE))&lt;&gt;"")*(IF(OFFSET(INDIRECT(CELL("address",INDEX('Leave Tracker'!$A$8:$A$100,MATCH($A22,'Leave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22">
        <f t="array" aca="1" ref="P22" ca="1">Sheet3!$W$2*$F22*(NETWORKDAYS(VLOOKUP(P$1,Sprints[],2,FALSE), VLOOKUP(P$1,Sprints[],3,FALSE))-SUMPRODUCT((OFFSET(INDIRECT(CELL("address",INDEX('Leave Tracker'!$A$8:$A$100,MATCH($A22,'Leave Tracker'!$A$8:$A$100,0)))),0,31*(VLOOKUP(P$1,Sprints[],5,FALSE))+DAY(VLOOKUP(P$1,Sprints[],2,FALSE)),1,VLOOKUP(P$1,Sprints[],4,FALSE))&lt;&gt;"")*(IF(OFFSET(INDIRECT(CELL("address",INDEX('Leave Tracker'!$A$8:$A$100,MATCH($A22,'Leave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4.8000000000000007</v>
      </c>
      <c r="Q22">
        <f t="array" aca="1" ref="Q22" ca="1">Sheet3!$W$2*$F22*(NETWORKDAYS(VLOOKUP(Q$1,Sprints[],2,FALSE), VLOOKUP(Q$1,Sprints[],3,FALSE))-SUMPRODUCT((OFFSET(INDIRECT(CELL("address",INDEX('Leave Tracker'!$A$8:$A$100,MATCH($A22,'Leave Tracker'!$A$8:$A$100,0)))),0,31*(VLOOKUP(Q$1,Sprints[],5,FALSE))+DAY(VLOOKUP(Q$1,Sprints[],2,FALSE)),1,VLOOKUP(Q$1,Sprints[],4,FALSE))&lt;&gt;"")*(IF(OFFSET(INDIRECT(CELL("address",INDEX('Leave Tracker'!$A$8:$A$100,MATCH($A22,'Leave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3.6000000000000005</v>
      </c>
      <c r="R22">
        <f t="array" aca="1" ref="R22" ca="1">Sheet3!$W$2*$F22*(NETWORKDAYS(VLOOKUP(R$1,Sprints[],2,FALSE), VLOOKUP(R$1,Sprints[],3,FALSE))-SUMPRODUCT((OFFSET(INDIRECT(CELL("address",INDEX('Leave Tracker'!$A$8:$A$100,MATCH($A22,'Leave Tracker'!$A$8:$A$100,0)))),0,31*(VLOOKUP(R$1,Sprints[],5,FALSE))+DAY(VLOOKUP(R$1,Sprints[],2,FALSE)),1,VLOOKUP(R$1,Sprints[],4,FALSE))&lt;&gt;"")*(IF(OFFSET(INDIRECT(CELL("address",INDEX('Leave Tracker'!$A$8:$A$100,MATCH($A22,'Leave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23" spans="1:18" x14ac:dyDescent="0.45">
      <c r="A23" t="s">
        <v>81</v>
      </c>
      <c r="B23" s="45" t="s">
        <v>119</v>
      </c>
      <c r="C23" s="45" t="s">
        <v>117</v>
      </c>
      <c r="D23" s="45" t="s">
        <v>133</v>
      </c>
      <c r="E23" s="45" t="s">
        <v>127</v>
      </c>
      <c r="F23" s="47">
        <v>0.75</v>
      </c>
      <c r="G23" s="45">
        <f t="array" aca="1" ref="G23" ca="1">Sheet3!$W$2*$F23*(NETWORKDAYS(VLOOKUP(G$1,Sprints[],2,FALSE), VLOOKUP(G$1,Sprints[],3,FALSE))-SUMPRODUCT((OFFSET(INDIRECT(CELL("address",INDEX('Leave Tracker'!$A$8:$A$100,MATCH($A23,'Leave Tracker'!$A$8:$A$100,0)))),0,31*(VLOOKUP(G$1,Sprints[],5,FALSE))+DAY(VLOOKUP(G$1,Sprints[],2,FALSE)),1,VLOOKUP(G$1,Sprints[],4,FALSE))&lt;&gt;"")*(IF(OFFSET(INDIRECT(CELL("address",INDEX('Leave Tracker'!$A$8:$A$100,MATCH($A23,'Leave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23">
        <f t="array" aca="1" ref="H23" ca="1">Sheet3!$W$2*$F23*(NETWORKDAYS(VLOOKUP(H$1,Sprints[],2,FALSE), VLOOKUP(H$1,Sprints[],3,FALSE))-SUMPRODUCT((OFFSET(INDIRECT(CELL("address",INDEX('Leave Tracker'!$A$8:$A$100,MATCH($A23,'Leave Tracker'!$A$8:$A$100,0)))),0,31*(VLOOKUP(H$1,Sprints[],5,FALSE))+DAY(VLOOKUP(H$1,Sprints[],2,FALSE)),1,VLOOKUP(H$1,Sprints[],4,FALSE))&lt;&gt;"")*(IF(OFFSET(INDIRECT(CELL("address",INDEX('Leave Tracker'!$A$8:$A$100,MATCH($A23,'Leave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23">
        <f t="array" aca="1" ref="I23" ca="1">Sheet3!$W$2*$F23*(NETWORKDAYS(VLOOKUP(I$1,Sprints[],2,FALSE), VLOOKUP(I$1,Sprints[],3,FALSE))-SUMPRODUCT((OFFSET(INDIRECT(CELL("address",INDEX('Leave Tracker'!$A$8:$A$100,MATCH($A23,'Leave Tracker'!$A$8:$A$100,0)))),0,31*(VLOOKUP(I$1,Sprints[],5,FALSE))+DAY(VLOOKUP(I$1,Sprints[],2,FALSE)),1,VLOOKUP(I$1,Sprints[],4,FALSE))&lt;&gt;"")*(IF(OFFSET(INDIRECT(CELL("address",INDEX('Leave Tracker'!$A$8:$A$100,MATCH($A23,'Leave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23">
        <f t="array" aca="1" ref="J23" ca="1">Sheet3!$W$2*$F23*(NETWORKDAYS(VLOOKUP(J$1,Sprints[],2,FALSE), VLOOKUP(J$1,Sprints[],3,FALSE))-SUMPRODUCT((OFFSET(INDIRECT(CELL("address",INDEX('Leave Tracker'!$A$8:$A$100,MATCH($A23,'Leave Tracker'!$A$8:$A$100,0)))),0,31*(VLOOKUP(J$1,Sprints[],5,FALSE))+DAY(VLOOKUP(J$1,Sprints[],2,FALSE)),1,VLOOKUP(J$1,Sprints[],4,FALSE))&lt;&gt;"")*(IF(OFFSET(INDIRECT(CELL("address",INDEX('Leave Tracker'!$A$8:$A$100,MATCH($A23,'Leave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23">
        <f t="array" aca="1" ref="K23" ca="1">Sheet3!$W$2*$F23*(NETWORKDAYS(VLOOKUP(K$1,Sprints[],2,FALSE), VLOOKUP(K$1,Sprints[],3,FALSE))-SUMPRODUCT((OFFSET(INDIRECT(CELL("address",INDEX('Leave Tracker'!$A$8:$A$100,MATCH($A23,'Leave Tracker'!$A$8:$A$100,0)))),0,31*(VLOOKUP(K$1,Sprints[],5,FALSE))+DAY(VLOOKUP(K$1,Sprints[],2,FALSE)),1,VLOOKUP(K$1,Sprints[],4,FALSE))&lt;&gt;"")*(IF(OFFSET(INDIRECT(CELL("address",INDEX('Leave Tracker'!$A$8:$A$100,MATCH($A23,'Leave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23">
        <f t="array" aca="1" ref="L23" ca="1">Sheet3!$W$2*$F23*(NETWORKDAYS(VLOOKUP(L$1,Sprints[],2,FALSE), VLOOKUP(L$1,Sprints[],3,FALSE))-SUMPRODUCT((OFFSET(INDIRECT(CELL("address",INDEX('Leave Tracker'!$A$8:$A$100,MATCH($A23,'Leave Tracker'!$A$8:$A$100,0)))),0,31*(VLOOKUP(L$1,Sprints[],5,FALSE))+DAY(VLOOKUP(L$1,Sprints[],2,FALSE)),1,VLOOKUP(L$1,Sprints[],4,FALSE))&lt;&gt;"")*(IF(OFFSET(INDIRECT(CELL("address",INDEX('Leave Tracker'!$A$8:$A$100,MATCH($A23,'Leave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4.8000000000000007</v>
      </c>
      <c r="M23" s="45">
        <f t="array" aca="1" ref="M23" ca="1">Sheet3!$W$2*$F23*(NETWORKDAYS(VLOOKUP(M$1,Sprints[],2,FALSE), VLOOKUP(M$1,Sprints[],3,FALSE))-SUMPRODUCT((OFFSET(INDIRECT(CELL("address",INDEX('Leave Tracker'!$A$8:$A$100,MATCH($A23,'Leave Tracker'!$A$8:$A$100,0)))),0,31*(VLOOKUP(M$1,Sprints[],5,FALSE))+DAY(VLOOKUP(M$1,Sprints[],2,FALSE)),1,VLOOKUP(M$1,Sprints[],4,FALSE))&lt;&gt;"")*(IF(OFFSET(INDIRECT(CELL("address",INDEX('Leave Tracker'!$A$8:$A$100,MATCH($A23,'Leave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23">
        <f t="array" aca="1" ref="N23" ca="1">Sheet3!$W$2*$F23*(NETWORKDAYS(VLOOKUP(N$1,Sprints[],2,FALSE), VLOOKUP(N$1,Sprints[],3,FALSE))-SUMPRODUCT((OFFSET(INDIRECT(CELL("address",INDEX('Leave Tracker'!$A$8:$A$100,MATCH($A23,'Leave Tracker'!$A$8:$A$100,0)))),0,31*(VLOOKUP(N$1,Sprints[],5,FALSE))+DAY(VLOOKUP(N$1,Sprints[],2,FALSE)),1,VLOOKUP(N$1,Sprints[],4,FALSE))&lt;&gt;"")*(IF(OFFSET(INDIRECT(CELL("address",INDEX('Leave Tracker'!$A$8:$A$100,MATCH($A23,'Leave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23">
        <f t="array" aca="1" ref="O23" ca="1">Sheet3!$W$2*$F23*(NETWORKDAYS(VLOOKUP(O$1,Sprints[],2,FALSE), VLOOKUP(O$1,Sprints[],3,FALSE))-SUMPRODUCT((OFFSET(INDIRECT(CELL("address",INDEX('Leave Tracker'!$A$8:$A$100,MATCH($A23,'Leave Tracker'!$A$8:$A$100,0)))),0,31*(VLOOKUP(O$1,Sprints[],5,FALSE))+DAY(VLOOKUP(O$1,Sprints[],2,FALSE)),1,VLOOKUP(O$1,Sprints[],4,FALSE))&lt;&gt;"")*(IF(OFFSET(INDIRECT(CELL("address",INDEX('Leave Tracker'!$A$8:$A$100,MATCH($A23,'Leave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23">
        <f t="array" aca="1" ref="P23" ca="1">Sheet3!$W$2*$F23*(NETWORKDAYS(VLOOKUP(P$1,Sprints[],2,FALSE), VLOOKUP(P$1,Sprints[],3,FALSE))-SUMPRODUCT((OFFSET(INDIRECT(CELL("address",INDEX('Leave Tracker'!$A$8:$A$100,MATCH($A23,'Leave Tracker'!$A$8:$A$100,0)))),0,31*(VLOOKUP(P$1,Sprints[],5,FALSE))+DAY(VLOOKUP(P$1,Sprints[],2,FALSE)),1,VLOOKUP(P$1,Sprints[],4,FALSE))&lt;&gt;"")*(IF(OFFSET(INDIRECT(CELL("address",INDEX('Leave Tracker'!$A$8:$A$100,MATCH($A23,'Leave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3.0000000000000004</v>
      </c>
      <c r="Q23">
        <f t="array" aca="1" ref="Q23" ca="1">Sheet3!$W$2*$F23*(NETWORKDAYS(VLOOKUP(Q$1,Sprints[],2,FALSE), VLOOKUP(Q$1,Sprints[],3,FALSE))-SUMPRODUCT((OFFSET(INDIRECT(CELL("address",INDEX('Leave Tracker'!$A$8:$A$100,MATCH($A23,'Leave Tracker'!$A$8:$A$100,0)))),0,31*(VLOOKUP(Q$1,Sprints[],5,FALSE))+DAY(VLOOKUP(Q$1,Sprints[],2,FALSE)),1,VLOOKUP(Q$1,Sprints[],4,FALSE))&lt;&gt;"")*(IF(OFFSET(INDIRECT(CELL("address",INDEX('Leave Tracker'!$A$8:$A$100,MATCH($A23,'Leave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5.4</v>
      </c>
      <c r="R23">
        <f t="array" aca="1" ref="R23" ca="1">Sheet3!$W$2*$F23*(NETWORKDAYS(VLOOKUP(R$1,Sprints[],2,FALSE), VLOOKUP(R$1,Sprints[],3,FALSE))-SUMPRODUCT((OFFSET(INDIRECT(CELL("address",INDEX('Leave Tracker'!$A$8:$A$100,MATCH($A23,'Leave Tracker'!$A$8:$A$100,0)))),0,31*(VLOOKUP(R$1,Sprints[],5,FALSE))+DAY(VLOOKUP(R$1,Sprints[],2,FALSE)),1,VLOOKUP(R$1,Sprints[],4,FALSE))&lt;&gt;"")*(IF(OFFSET(INDIRECT(CELL("address",INDEX('Leave Tracker'!$A$8:$A$100,MATCH($A23,'Leave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24" spans="1:18" x14ac:dyDescent="0.45">
      <c r="A24" t="s">
        <v>82</v>
      </c>
      <c r="B24" s="45" t="s">
        <v>119</v>
      </c>
      <c r="C24" s="45" t="s">
        <v>117</v>
      </c>
      <c r="D24" s="45" t="s">
        <v>133</v>
      </c>
      <c r="E24" s="45" t="s">
        <v>128</v>
      </c>
      <c r="F24" s="47">
        <v>0.75</v>
      </c>
      <c r="G24" s="45">
        <f t="array" aca="1" ref="G24" ca="1">Sheet3!$W$2*$F24*(NETWORKDAYS(VLOOKUP(G$1,Sprints[],2,FALSE), VLOOKUP(G$1,Sprints[],3,FALSE))-SUMPRODUCT((OFFSET(INDIRECT(CELL("address",INDEX('Leave Tracker'!$A$8:$A$100,MATCH($A24,'Leave Tracker'!$A$8:$A$100,0)))),0,31*(VLOOKUP(G$1,Sprints[],5,FALSE))+DAY(VLOOKUP(G$1,Sprints[],2,FALSE)),1,VLOOKUP(G$1,Sprints[],4,FALSE))&lt;&gt;"")*(IF(OFFSET(INDIRECT(CELL("address",INDEX('Leave Tracker'!$A$8:$A$100,MATCH($A24,'Leave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24">
        <f t="array" aca="1" ref="H24" ca="1">Sheet3!$W$2*$F24*(NETWORKDAYS(VLOOKUP(H$1,Sprints[],2,FALSE), VLOOKUP(H$1,Sprints[],3,FALSE))-SUMPRODUCT((OFFSET(INDIRECT(CELL("address",INDEX('Leave Tracker'!$A$8:$A$100,MATCH($A24,'Leave Tracker'!$A$8:$A$100,0)))),0,31*(VLOOKUP(H$1,Sprints[],5,FALSE))+DAY(VLOOKUP(H$1,Sprints[],2,FALSE)),1,VLOOKUP(H$1,Sprints[],4,FALSE))&lt;&gt;"")*(IF(OFFSET(INDIRECT(CELL("address",INDEX('Leave Tracker'!$A$8:$A$100,MATCH($A24,'Leave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24">
        <f t="array" aca="1" ref="I24" ca="1">Sheet3!$W$2*$F24*(NETWORKDAYS(VLOOKUP(I$1,Sprints[],2,FALSE), VLOOKUP(I$1,Sprints[],3,FALSE))-SUMPRODUCT((OFFSET(INDIRECT(CELL("address",INDEX('Leave Tracker'!$A$8:$A$100,MATCH($A24,'Leave Tracker'!$A$8:$A$100,0)))),0,31*(VLOOKUP(I$1,Sprints[],5,FALSE))+DAY(VLOOKUP(I$1,Sprints[],2,FALSE)),1,VLOOKUP(I$1,Sprints[],4,FALSE))&lt;&gt;"")*(IF(OFFSET(INDIRECT(CELL("address",INDEX('Leave Tracker'!$A$8:$A$100,MATCH($A24,'Leave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24">
        <f t="array" aca="1" ref="J24" ca="1">Sheet3!$W$2*$F24*(NETWORKDAYS(VLOOKUP(J$1,Sprints[],2,FALSE), VLOOKUP(J$1,Sprints[],3,FALSE))-SUMPRODUCT((OFFSET(INDIRECT(CELL("address",INDEX('Leave Tracker'!$A$8:$A$100,MATCH($A24,'Leave Tracker'!$A$8:$A$100,0)))),0,31*(VLOOKUP(J$1,Sprints[],5,FALSE))+DAY(VLOOKUP(J$1,Sprints[],2,FALSE)),1,VLOOKUP(J$1,Sprints[],4,FALSE))&lt;&gt;"")*(IF(OFFSET(INDIRECT(CELL("address",INDEX('Leave Tracker'!$A$8:$A$100,MATCH($A24,'Leave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24">
        <f t="array" aca="1" ref="K24" ca="1">Sheet3!$W$2*$F24*(NETWORKDAYS(VLOOKUP(K$1,Sprints[],2,FALSE), VLOOKUP(K$1,Sprints[],3,FALSE))-SUMPRODUCT((OFFSET(INDIRECT(CELL("address",INDEX('Leave Tracker'!$A$8:$A$100,MATCH($A24,'Leave Tracker'!$A$8:$A$100,0)))),0,31*(VLOOKUP(K$1,Sprints[],5,FALSE))+DAY(VLOOKUP(K$1,Sprints[],2,FALSE)),1,VLOOKUP(K$1,Sprints[],4,FALSE))&lt;&gt;"")*(IF(OFFSET(INDIRECT(CELL("address",INDEX('Leave Tracker'!$A$8:$A$100,MATCH($A24,'Leave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24">
        <f t="array" aca="1" ref="L24" ca="1">Sheet3!$W$2*$F24*(NETWORKDAYS(VLOOKUP(L$1,Sprints[],2,FALSE), VLOOKUP(L$1,Sprints[],3,FALSE))-SUMPRODUCT((OFFSET(INDIRECT(CELL("address",INDEX('Leave Tracker'!$A$8:$A$100,MATCH($A24,'Leave Tracker'!$A$8:$A$100,0)))),0,31*(VLOOKUP(L$1,Sprints[],5,FALSE))+DAY(VLOOKUP(L$1,Sprints[],2,FALSE)),1,VLOOKUP(L$1,Sprints[],4,FALSE))&lt;&gt;"")*(IF(OFFSET(INDIRECT(CELL("address",INDEX('Leave Tracker'!$A$8:$A$100,MATCH($A24,'Leave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4.2000000000000011</v>
      </c>
      <c r="M24" s="45">
        <f t="array" aca="1" ref="M24" ca="1">Sheet3!$W$2*$F24*(NETWORKDAYS(VLOOKUP(M$1,Sprints[],2,FALSE), VLOOKUP(M$1,Sprints[],3,FALSE))-SUMPRODUCT((OFFSET(INDIRECT(CELL("address",INDEX('Leave Tracker'!$A$8:$A$100,MATCH($A24,'Leave Tracker'!$A$8:$A$100,0)))),0,31*(VLOOKUP(M$1,Sprints[],5,FALSE))+DAY(VLOOKUP(M$1,Sprints[],2,FALSE)),1,VLOOKUP(M$1,Sprints[],4,FALSE))&lt;&gt;"")*(IF(OFFSET(INDIRECT(CELL("address",INDEX('Leave Tracker'!$A$8:$A$100,MATCH($A24,'Leave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24">
        <f t="array" aca="1" ref="N24" ca="1">Sheet3!$W$2*$F24*(NETWORKDAYS(VLOOKUP(N$1,Sprints[],2,FALSE), VLOOKUP(N$1,Sprints[],3,FALSE))-SUMPRODUCT((OFFSET(INDIRECT(CELL("address",INDEX('Leave Tracker'!$A$8:$A$100,MATCH($A24,'Leave Tracker'!$A$8:$A$100,0)))),0,31*(VLOOKUP(N$1,Sprints[],5,FALSE))+DAY(VLOOKUP(N$1,Sprints[],2,FALSE)),1,VLOOKUP(N$1,Sprints[],4,FALSE))&lt;&gt;"")*(IF(OFFSET(INDIRECT(CELL("address",INDEX('Leave Tracker'!$A$8:$A$100,MATCH($A24,'Leave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24">
        <f t="array" aca="1" ref="O24" ca="1">Sheet3!$W$2*$F24*(NETWORKDAYS(VLOOKUP(O$1,Sprints[],2,FALSE), VLOOKUP(O$1,Sprints[],3,FALSE))-SUMPRODUCT((OFFSET(INDIRECT(CELL("address",INDEX('Leave Tracker'!$A$8:$A$100,MATCH($A24,'Leave Tracker'!$A$8:$A$100,0)))),0,31*(VLOOKUP(O$1,Sprints[],5,FALSE))+DAY(VLOOKUP(O$1,Sprints[],2,FALSE)),1,VLOOKUP(O$1,Sprints[],4,FALSE))&lt;&gt;"")*(IF(OFFSET(INDIRECT(CELL("address",INDEX('Leave Tracker'!$A$8:$A$100,MATCH($A24,'Leave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24">
        <f t="array" aca="1" ref="P24" ca="1">Sheet3!$W$2*$F24*(NETWORKDAYS(VLOOKUP(P$1,Sprints[],2,FALSE), VLOOKUP(P$1,Sprints[],3,FALSE))-SUMPRODUCT((OFFSET(INDIRECT(CELL("address",INDEX('Leave Tracker'!$A$8:$A$100,MATCH($A24,'Leave Tracker'!$A$8:$A$100,0)))),0,31*(VLOOKUP(P$1,Sprints[],5,FALSE))+DAY(VLOOKUP(P$1,Sprints[],2,FALSE)),1,VLOOKUP(P$1,Sprints[],4,FALSE))&lt;&gt;"")*(IF(OFFSET(INDIRECT(CELL("address",INDEX('Leave Tracker'!$A$8:$A$100,MATCH($A24,'Leave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24">
        <f t="array" aca="1" ref="Q24" ca="1">Sheet3!$W$2*$F24*(NETWORKDAYS(VLOOKUP(Q$1,Sprints[],2,FALSE), VLOOKUP(Q$1,Sprints[],3,FALSE))-SUMPRODUCT((OFFSET(INDIRECT(CELL("address",INDEX('Leave Tracker'!$A$8:$A$100,MATCH($A24,'Leave Tracker'!$A$8:$A$100,0)))),0,31*(VLOOKUP(Q$1,Sprints[],5,FALSE))+DAY(VLOOKUP(Q$1,Sprints[],2,FALSE)),1,VLOOKUP(Q$1,Sprints[],4,FALSE))&lt;&gt;"")*(IF(OFFSET(INDIRECT(CELL("address",INDEX('Leave Tracker'!$A$8:$A$100,MATCH($A24,'Leave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5.4</v>
      </c>
      <c r="R24">
        <f t="array" aca="1" ref="R24" ca="1">Sheet3!$W$2*$F24*(NETWORKDAYS(VLOOKUP(R$1,Sprints[],2,FALSE), VLOOKUP(R$1,Sprints[],3,FALSE))-SUMPRODUCT((OFFSET(INDIRECT(CELL("address",INDEX('Leave Tracker'!$A$8:$A$100,MATCH($A24,'Leave Tracker'!$A$8:$A$100,0)))),0,31*(VLOOKUP(R$1,Sprints[],5,FALSE))+DAY(VLOOKUP(R$1,Sprints[],2,FALSE)),1,VLOOKUP(R$1,Sprints[],4,FALSE))&lt;&gt;"")*(IF(OFFSET(INDIRECT(CELL("address",INDEX('Leave Tracker'!$A$8:$A$100,MATCH($A24,'Leave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25" spans="1:18" x14ac:dyDescent="0.45">
      <c r="A25" t="s">
        <v>83</v>
      </c>
      <c r="B25" s="45" t="s">
        <v>119</v>
      </c>
      <c r="C25" s="45" t="s">
        <v>117</v>
      </c>
      <c r="D25" s="45" t="s">
        <v>133</v>
      </c>
      <c r="E25" s="45" t="s">
        <v>128</v>
      </c>
      <c r="F25" s="47">
        <v>0.75</v>
      </c>
      <c r="G25" s="45">
        <f t="array" aca="1" ref="G25" ca="1">Sheet3!$W$2*$F25*(NETWORKDAYS(VLOOKUP(G$1,Sprints[],2,FALSE), VLOOKUP(G$1,Sprints[],3,FALSE))-SUMPRODUCT((OFFSET(INDIRECT(CELL("address",INDEX('Leave Tracker'!$A$8:$A$100,MATCH($A25,'Leave Tracker'!$A$8:$A$100,0)))),0,31*(VLOOKUP(G$1,Sprints[],5,FALSE))+DAY(VLOOKUP(G$1,Sprints[],2,FALSE)),1,VLOOKUP(G$1,Sprints[],4,FALSE))&lt;&gt;"")*(IF(OFFSET(INDIRECT(CELL("address",INDEX('Leave Tracker'!$A$8:$A$100,MATCH($A25,'Leave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25">
        <f t="array" aca="1" ref="H25" ca="1">Sheet3!$W$2*$F25*(NETWORKDAYS(VLOOKUP(H$1,Sprints[],2,FALSE), VLOOKUP(H$1,Sprints[],3,FALSE))-SUMPRODUCT((OFFSET(INDIRECT(CELL("address",INDEX('Leave Tracker'!$A$8:$A$100,MATCH($A25,'Leave Tracker'!$A$8:$A$100,0)))),0,31*(VLOOKUP(H$1,Sprints[],5,FALSE))+DAY(VLOOKUP(H$1,Sprints[],2,FALSE)),1,VLOOKUP(H$1,Sprints[],4,FALSE))&lt;&gt;"")*(IF(OFFSET(INDIRECT(CELL("address",INDEX('Leave Tracker'!$A$8:$A$100,MATCH($A25,'Leave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25">
        <f t="array" aca="1" ref="I25" ca="1">Sheet3!$W$2*$F25*(NETWORKDAYS(VLOOKUP(I$1,Sprints[],2,FALSE), VLOOKUP(I$1,Sprints[],3,FALSE))-SUMPRODUCT((OFFSET(INDIRECT(CELL("address",INDEX('Leave Tracker'!$A$8:$A$100,MATCH($A25,'Leave Tracker'!$A$8:$A$100,0)))),0,31*(VLOOKUP(I$1,Sprints[],5,FALSE))+DAY(VLOOKUP(I$1,Sprints[],2,FALSE)),1,VLOOKUP(I$1,Sprints[],4,FALSE))&lt;&gt;"")*(IF(OFFSET(INDIRECT(CELL("address",INDEX('Leave Tracker'!$A$8:$A$100,MATCH($A25,'Leave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25">
        <f t="array" aca="1" ref="J25" ca="1">Sheet3!$W$2*$F25*(NETWORKDAYS(VLOOKUP(J$1,Sprints[],2,FALSE), VLOOKUP(J$1,Sprints[],3,FALSE))-SUMPRODUCT((OFFSET(INDIRECT(CELL("address",INDEX('Leave Tracker'!$A$8:$A$100,MATCH($A25,'Leave Tracker'!$A$8:$A$100,0)))),0,31*(VLOOKUP(J$1,Sprints[],5,FALSE))+DAY(VLOOKUP(J$1,Sprints[],2,FALSE)),1,VLOOKUP(J$1,Sprints[],4,FALSE))&lt;&gt;"")*(IF(OFFSET(INDIRECT(CELL("address",INDEX('Leave Tracker'!$A$8:$A$100,MATCH($A25,'Leave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25">
        <f t="array" aca="1" ref="K25" ca="1">Sheet3!$W$2*$F25*(NETWORKDAYS(VLOOKUP(K$1,Sprints[],2,FALSE), VLOOKUP(K$1,Sprints[],3,FALSE))-SUMPRODUCT((OFFSET(INDIRECT(CELL("address",INDEX('Leave Tracker'!$A$8:$A$100,MATCH($A25,'Leave Tracker'!$A$8:$A$100,0)))),0,31*(VLOOKUP(K$1,Sprints[],5,FALSE))+DAY(VLOOKUP(K$1,Sprints[],2,FALSE)),1,VLOOKUP(K$1,Sprints[],4,FALSE))&lt;&gt;"")*(IF(OFFSET(INDIRECT(CELL("address",INDEX('Leave Tracker'!$A$8:$A$100,MATCH($A25,'Leave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4.8000000000000007</v>
      </c>
      <c r="L25">
        <f t="array" aca="1" ref="L25" ca="1">Sheet3!$W$2*$F25*(NETWORKDAYS(VLOOKUP(L$1,Sprints[],2,FALSE), VLOOKUP(L$1,Sprints[],3,FALSE))-SUMPRODUCT((OFFSET(INDIRECT(CELL("address",INDEX('Leave Tracker'!$A$8:$A$100,MATCH($A25,'Leave Tracker'!$A$8:$A$100,0)))),0,31*(VLOOKUP(L$1,Sprints[],5,FALSE))+DAY(VLOOKUP(L$1,Sprints[],2,FALSE)),1,VLOOKUP(L$1,Sprints[],4,FALSE))&lt;&gt;"")*(IF(OFFSET(INDIRECT(CELL("address",INDEX('Leave Tracker'!$A$8:$A$100,MATCH($A25,'Leave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3.0000000000000004</v>
      </c>
      <c r="M25" s="45">
        <f t="array" aca="1" ref="M25" ca="1">Sheet3!$W$2*$F25*(NETWORKDAYS(VLOOKUP(M$1,Sprints[],2,FALSE), VLOOKUP(M$1,Sprints[],3,FALSE))-SUMPRODUCT((OFFSET(INDIRECT(CELL("address",INDEX('Leave Tracker'!$A$8:$A$100,MATCH($A25,'Leave Tracker'!$A$8:$A$100,0)))),0,31*(VLOOKUP(M$1,Sprints[],5,FALSE))+DAY(VLOOKUP(M$1,Sprints[],2,FALSE)),1,VLOOKUP(M$1,Sprints[],4,FALSE))&lt;&gt;"")*(IF(OFFSET(INDIRECT(CELL("address",INDEX('Leave Tracker'!$A$8:$A$100,MATCH($A25,'Leave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25">
        <f t="array" aca="1" ref="N25" ca="1">Sheet3!$W$2*$F25*(NETWORKDAYS(VLOOKUP(N$1,Sprints[],2,FALSE), VLOOKUP(N$1,Sprints[],3,FALSE))-SUMPRODUCT((OFFSET(INDIRECT(CELL("address",INDEX('Leave Tracker'!$A$8:$A$100,MATCH($A25,'Leave Tracker'!$A$8:$A$100,0)))),0,31*(VLOOKUP(N$1,Sprints[],5,FALSE))+DAY(VLOOKUP(N$1,Sprints[],2,FALSE)),1,VLOOKUP(N$1,Sprints[],4,FALSE))&lt;&gt;"")*(IF(OFFSET(INDIRECT(CELL("address",INDEX('Leave Tracker'!$A$8:$A$100,MATCH($A25,'Leave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3.0000000000000004</v>
      </c>
      <c r="O25">
        <f t="array" aca="1" ref="O25" ca="1">Sheet3!$W$2*$F25*(NETWORKDAYS(VLOOKUP(O$1,Sprints[],2,FALSE), VLOOKUP(O$1,Sprints[],3,FALSE))-SUMPRODUCT((OFFSET(INDIRECT(CELL("address",INDEX('Leave Tracker'!$A$8:$A$100,MATCH($A25,'Leave Tracker'!$A$8:$A$100,0)))),0,31*(VLOOKUP(O$1,Sprints[],5,FALSE))+DAY(VLOOKUP(O$1,Sprints[],2,FALSE)),1,VLOOKUP(O$1,Sprints[],4,FALSE))&lt;&gt;"")*(IF(OFFSET(INDIRECT(CELL("address",INDEX('Leave Tracker'!$A$8:$A$100,MATCH($A25,'Leave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25">
        <f t="array" aca="1" ref="P25" ca="1">Sheet3!$W$2*$F25*(NETWORKDAYS(VLOOKUP(P$1,Sprints[],2,FALSE), VLOOKUP(P$1,Sprints[],3,FALSE))-SUMPRODUCT((OFFSET(INDIRECT(CELL("address",INDEX('Leave Tracker'!$A$8:$A$100,MATCH($A25,'Leave Tracker'!$A$8:$A$100,0)))),0,31*(VLOOKUP(P$1,Sprints[],5,FALSE))+DAY(VLOOKUP(P$1,Sprints[],2,FALSE)),1,VLOOKUP(P$1,Sprints[],4,FALSE))&lt;&gt;"")*(IF(OFFSET(INDIRECT(CELL("address",INDEX('Leave Tracker'!$A$8:$A$100,MATCH($A25,'Leave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25">
        <f t="array" aca="1" ref="Q25" ca="1">Sheet3!$W$2*$F25*(NETWORKDAYS(VLOOKUP(Q$1,Sprints[],2,FALSE), VLOOKUP(Q$1,Sprints[],3,FALSE))-SUMPRODUCT((OFFSET(INDIRECT(CELL("address",INDEX('Leave Tracker'!$A$8:$A$100,MATCH($A25,'Leave Tracker'!$A$8:$A$100,0)))),0,31*(VLOOKUP(Q$1,Sprints[],5,FALSE))+DAY(VLOOKUP(Q$1,Sprints[],2,FALSE)),1,VLOOKUP(Q$1,Sprints[],4,FALSE))&lt;&gt;"")*(IF(OFFSET(INDIRECT(CELL("address",INDEX('Leave Tracker'!$A$8:$A$100,MATCH($A25,'Leave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5.4</v>
      </c>
      <c r="R25">
        <f t="array" aca="1" ref="R25" ca="1">Sheet3!$W$2*$F25*(NETWORKDAYS(VLOOKUP(R$1,Sprints[],2,FALSE), VLOOKUP(R$1,Sprints[],3,FALSE))-SUMPRODUCT((OFFSET(INDIRECT(CELL("address",INDEX('Leave Tracker'!$A$8:$A$100,MATCH($A25,'Leave Tracker'!$A$8:$A$100,0)))),0,31*(VLOOKUP(R$1,Sprints[],5,FALSE))+DAY(VLOOKUP(R$1,Sprints[],2,FALSE)),1,VLOOKUP(R$1,Sprints[],4,FALSE))&lt;&gt;"")*(IF(OFFSET(INDIRECT(CELL("address",INDEX('Leave Tracker'!$A$8:$A$100,MATCH($A25,'Leave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26" spans="1:18" x14ac:dyDescent="0.45">
      <c r="A26" t="s">
        <v>84</v>
      </c>
      <c r="B26" s="45" t="s">
        <v>114</v>
      </c>
      <c r="C26" s="45" t="s">
        <v>117</v>
      </c>
      <c r="D26" s="45" t="s">
        <v>121</v>
      </c>
      <c r="E26" s="45" t="s">
        <v>126</v>
      </c>
      <c r="F26" s="47">
        <v>0.2</v>
      </c>
      <c r="G26" s="45">
        <f t="array" aca="1" ref="G26" ca="1">Sheet3!$W$2*$F26*(NETWORKDAYS(VLOOKUP(G$1,Sprints[],2,FALSE), VLOOKUP(G$1,Sprints[],3,FALSE))-SUMPRODUCT((OFFSET(INDIRECT(CELL("address",INDEX('Leave Tracker'!$A$8:$A$100,MATCH($A26,'Leave Tracker'!$A$8:$A$100,0)))),0,31*(VLOOKUP(G$1,Sprints[],5,FALSE))+DAY(VLOOKUP(G$1,Sprints[],2,FALSE)),1,VLOOKUP(G$1,Sprints[],4,FALSE))&lt;&gt;"")*(IF(OFFSET(INDIRECT(CELL("address",INDEX('Leave Tracker'!$A$8:$A$100,MATCH($A26,'Leave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0.32000000000000006</v>
      </c>
      <c r="H26">
        <f t="array" aca="1" ref="H26" ca="1">Sheet3!$W$2*$F26*(NETWORKDAYS(VLOOKUP(H$1,Sprints[],2,FALSE), VLOOKUP(H$1,Sprints[],3,FALSE))-SUMPRODUCT((OFFSET(INDIRECT(CELL("address",INDEX('Leave Tracker'!$A$8:$A$100,MATCH($A26,'Leave Tracker'!$A$8:$A$100,0)))),0,31*(VLOOKUP(H$1,Sprints[],5,FALSE))+DAY(VLOOKUP(H$1,Sprints[],2,FALSE)),1,VLOOKUP(H$1,Sprints[],4,FALSE))&lt;&gt;"")*(IF(OFFSET(INDIRECT(CELL("address",INDEX('Leave Tracker'!$A$8:$A$100,MATCH($A26,'Leave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1.1200000000000001</v>
      </c>
      <c r="I26">
        <f t="array" aca="1" ref="I26" ca="1">Sheet3!$W$2*$F26*(NETWORKDAYS(VLOOKUP(I$1,Sprints[],2,FALSE), VLOOKUP(I$1,Sprints[],3,FALSE))-SUMPRODUCT((OFFSET(INDIRECT(CELL("address",INDEX('Leave Tracker'!$A$8:$A$100,MATCH($A26,'Leave Tracker'!$A$8:$A$100,0)))),0,31*(VLOOKUP(I$1,Sprints[],5,FALSE))+DAY(VLOOKUP(I$1,Sprints[],2,FALSE)),1,VLOOKUP(I$1,Sprints[],4,FALSE))&lt;&gt;"")*(IF(OFFSET(INDIRECT(CELL("address",INDEX('Leave Tracker'!$A$8:$A$100,MATCH($A26,'Leave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1.6000000000000003</v>
      </c>
      <c r="J26">
        <f t="array" aca="1" ref="J26" ca="1">Sheet3!$W$2*$F26*(NETWORKDAYS(VLOOKUP(J$1,Sprints[],2,FALSE), VLOOKUP(J$1,Sprints[],3,FALSE))-SUMPRODUCT((OFFSET(INDIRECT(CELL("address",INDEX('Leave Tracker'!$A$8:$A$100,MATCH($A26,'Leave Tracker'!$A$8:$A$100,0)))),0,31*(VLOOKUP(J$1,Sprints[],5,FALSE))+DAY(VLOOKUP(J$1,Sprints[],2,FALSE)),1,VLOOKUP(J$1,Sprints[],4,FALSE))&lt;&gt;"")*(IF(OFFSET(INDIRECT(CELL("address",INDEX('Leave Tracker'!$A$8:$A$100,MATCH($A26,'Leave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1.2000000000000002</v>
      </c>
      <c r="K26">
        <f t="array" aca="1" ref="K26" ca="1">Sheet3!$W$2*$F26*(NETWORKDAYS(VLOOKUP(K$1,Sprints[],2,FALSE), VLOOKUP(K$1,Sprints[],3,FALSE))-SUMPRODUCT((OFFSET(INDIRECT(CELL("address",INDEX('Leave Tracker'!$A$8:$A$100,MATCH($A26,'Leave Tracker'!$A$8:$A$100,0)))),0,31*(VLOOKUP(K$1,Sprints[],5,FALSE))+DAY(VLOOKUP(K$1,Sprints[],2,FALSE)),1,VLOOKUP(K$1,Sprints[],4,FALSE))&lt;&gt;"")*(IF(OFFSET(INDIRECT(CELL("address",INDEX('Leave Tracker'!$A$8:$A$100,MATCH($A26,'Leave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1.6000000000000003</v>
      </c>
      <c r="L26">
        <f t="array" aca="1" ref="L26" ca="1">Sheet3!$W$2*$F26*(NETWORKDAYS(VLOOKUP(L$1,Sprints[],2,FALSE), VLOOKUP(L$1,Sprints[],3,FALSE))-SUMPRODUCT((OFFSET(INDIRECT(CELL("address",INDEX('Leave Tracker'!$A$8:$A$100,MATCH($A26,'Leave Tracker'!$A$8:$A$100,0)))),0,31*(VLOOKUP(L$1,Sprints[],5,FALSE))+DAY(VLOOKUP(L$1,Sprints[],2,FALSE)),1,VLOOKUP(L$1,Sprints[],4,FALSE))&lt;&gt;"")*(IF(OFFSET(INDIRECT(CELL("address",INDEX('Leave Tracker'!$A$8:$A$100,MATCH($A26,'Leave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1.2800000000000002</v>
      </c>
      <c r="M26" s="45">
        <f t="array" aca="1" ref="M26" ca="1">Sheet3!$W$2*$F26*(NETWORKDAYS(VLOOKUP(M$1,Sprints[],2,FALSE), VLOOKUP(M$1,Sprints[],3,FALSE))-SUMPRODUCT((OFFSET(INDIRECT(CELL("address",INDEX('Leave Tracker'!$A$8:$A$100,MATCH($A26,'Leave Tracker'!$A$8:$A$100,0)))),0,31*(VLOOKUP(M$1,Sprints[],5,FALSE))+DAY(VLOOKUP(M$1,Sprints[],2,FALSE)),1,VLOOKUP(M$1,Sprints[],4,FALSE))&lt;&gt;"")*(IF(OFFSET(INDIRECT(CELL("address",INDEX('Leave Tracker'!$A$8:$A$100,MATCH($A26,'Leave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0.96000000000000019</v>
      </c>
      <c r="N26">
        <f t="array" aca="1" ref="N26" ca="1">Sheet3!$W$2*$F26*(NETWORKDAYS(VLOOKUP(N$1,Sprints[],2,FALSE), VLOOKUP(N$1,Sprints[],3,FALSE))-SUMPRODUCT((OFFSET(INDIRECT(CELL("address",INDEX('Leave Tracker'!$A$8:$A$100,MATCH($A26,'Leave Tracker'!$A$8:$A$100,0)))),0,31*(VLOOKUP(N$1,Sprints[],5,FALSE))+DAY(VLOOKUP(N$1,Sprints[],2,FALSE)),1,VLOOKUP(N$1,Sprints[],4,FALSE))&lt;&gt;"")*(IF(OFFSET(INDIRECT(CELL("address",INDEX('Leave Tracker'!$A$8:$A$100,MATCH($A26,'Leave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1.6000000000000003</v>
      </c>
      <c r="O26">
        <f t="array" aca="1" ref="O26" ca="1">Sheet3!$W$2*$F26*(NETWORKDAYS(VLOOKUP(O$1,Sprints[],2,FALSE), VLOOKUP(O$1,Sprints[],3,FALSE))-SUMPRODUCT((OFFSET(INDIRECT(CELL("address",INDEX('Leave Tracker'!$A$8:$A$100,MATCH($A26,'Leave Tracker'!$A$8:$A$100,0)))),0,31*(VLOOKUP(O$1,Sprints[],5,FALSE))+DAY(VLOOKUP(O$1,Sprints[],2,FALSE)),1,VLOOKUP(O$1,Sprints[],4,FALSE))&lt;&gt;"")*(IF(OFFSET(INDIRECT(CELL("address",INDEX('Leave Tracker'!$A$8:$A$100,MATCH($A26,'Leave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1.4400000000000004</v>
      </c>
      <c r="P26">
        <f t="array" aca="1" ref="P26" ca="1">Sheet3!$W$2*$F26*(NETWORKDAYS(VLOOKUP(P$1,Sprints[],2,FALSE), VLOOKUP(P$1,Sprints[],3,FALSE))-SUMPRODUCT((OFFSET(INDIRECT(CELL("address",INDEX('Leave Tracker'!$A$8:$A$100,MATCH($A26,'Leave Tracker'!$A$8:$A$100,0)))),0,31*(VLOOKUP(P$1,Sprints[],5,FALSE))+DAY(VLOOKUP(P$1,Sprints[],2,FALSE)),1,VLOOKUP(P$1,Sprints[],4,FALSE))&lt;&gt;"")*(IF(OFFSET(INDIRECT(CELL("address",INDEX('Leave Tracker'!$A$8:$A$100,MATCH($A26,'Leave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1.2800000000000002</v>
      </c>
      <c r="Q26">
        <f t="array" aca="1" ref="Q26" ca="1">Sheet3!$W$2*$F26*(NETWORKDAYS(VLOOKUP(Q$1,Sprints[],2,FALSE), VLOOKUP(Q$1,Sprints[],3,FALSE))-SUMPRODUCT((OFFSET(INDIRECT(CELL("address",INDEX('Leave Tracker'!$A$8:$A$100,MATCH($A26,'Leave Tracker'!$A$8:$A$100,0)))),0,31*(VLOOKUP(Q$1,Sprints[],5,FALSE))+DAY(VLOOKUP(Q$1,Sprints[],2,FALSE)),1,VLOOKUP(Q$1,Sprints[],4,FALSE))&lt;&gt;"")*(IF(OFFSET(INDIRECT(CELL("address",INDEX('Leave Tracker'!$A$8:$A$100,MATCH($A26,'Leave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0.96000000000000019</v>
      </c>
      <c r="R26">
        <f t="array" aca="1" ref="R26" ca="1">Sheet3!$W$2*$F26*(NETWORKDAYS(VLOOKUP(R$1,Sprints[],2,FALSE), VLOOKUP(R$1,Sprints[],3,FALSE))-SUMPRODUCT((OFFSET(INDIRECT(CELL("address",INDEX('Leave Tracker'!$A$8:$A$100,MATCH($A26,'Leave Tracker'!$A$8:$A$100,0)))),0,31*(VLOOKUP(R$1,Sprints[],5,FALSE))+DAY(VLOOKUP(R$1,Sprints[],2,FALSE)),1,VLOOKUP(R$1,Sprints[],4,FALSE))&lt;&gt;"")*(IF(OFFSET(INDIRECT(CELL("address",INDEX('Leave Tracker'!$A$8:$A$100,MATCH($A26,'Leave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1.6000000000000003</v>
      </c>
    </row>
    <row r="27" spans="1:18" x14ac:dyDescent="0.45">
      <c r="A27" t="s">
        <v>85</v>
      </c>
      <c r="B27" s="45" t="s">
        <v>114</v>
      </c>
      <c r="C27" s="45" t="s">
        <v>117</v>
      </c>
      <c r="D27" s="45" t="s">
        <v>132</v>
      </c>
      <c r="E27" s="45" t="s">
        <v>126</v>
      </c>
      <c r="F27" s="47">
        <v>0.75</v>
      </c>
      <c r="G27" s="45">
        <f t="array" aca="1" ref="G27" ca="1">Sheet3!$W$2*$F27*(NETWORKDAYS(VLOOKUP(G$1,Sprints[],2,FALSE), VLOOKUP(G$1,Sprints[],3,FALSE))-SUMPRODUCT((OFFSET(INDIRECT(CELL("address",INDEX('Leave Tracker'!$A$8:$A$100,MATCH($A27,'Leave Tracker'!$A$8:$A$100,0)))),0,31*(VLOOKUP(G$1,Sprints[],5,FALSE))+DAY(VLOOKUP(G$1,Sprints[],2,FALSE)),1,VLOOKUP(G$1,Sprints[],4,FALSE))&lt;&gt;"")*(IF(OFFSET(INDIRECT(CELL("address",INDEX('Leave Tracker'!$A$8:$A$100,MATCH($A27,'Leave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27">
        <f t="array" aca="1" ref="H27" ca="1">Sheet3!$W$2*$F27*(NETWORKDAYS(VLOOKUP(H$1,Sprints[],2,FALSE), VLOOKUP(H$1,Sprints[],3,FALSE))-SUMPRODUCT((OFFSET(INDIRECT(CELL("address",INDEX('Leave Tracker'!$A$8:$A$100,MATCH($A27,'Leave Tracker'!$A$8:$A$100,0)))),0,31*(VLOOKUP(H$1,Sprints[],5,FALSE))+DAY(VLOOKUP(H$1,Sprints[],2,FALSE)),1,VLOOKUP(H$1,Sprints[],4,FALSE))&lt;&gt;"")*(IF(OFFSET(INDIRECT(CELL("address",INDEX('Leave Tracker'!$A$8:$A$100,MATCH($A27,'Leave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27">
        <f t="array" aca="1" ref="I27" ca="1">Sheet3!$W$2*$F27*(NETWORKDAYS(VLOOKUP(I$1,Sprints[],2,FALSE), VLOOKUP(I$1,Sprints[],3,FALSE))-SUMPRODUCT((OFFSET(INDIRECT(CELL("address",INDEX('Leave Tracker'!$A$8:$A$100,MATCH($A27,'Leave Tracker'!$A$8:$A$100,0)))),0,31*(VLOOKUP(I$1,Sprints[],5,FALSE))+DAY(VLOOKUP(I$1,Sprints[],2,FALSE)),1,VLOOKUP(I$1,Sprints[],4,FALSE))&lt;&gt;"")*(IF(OFFSET(INDIRECT(CELL("address",INDEX('Leave Tracker'!$A$8:$A$100,MATCH($A27,'Leave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27">
        <f t="array" aca="1" ref="J27" ca="1">Sheet3!$W$2*$F27*(NETWORKDAYS(VLOOKUP(J$1,Sprints[],2,FALSE), VLOOKUP(J$1,Sprints[],3,FALSE))-SUMPRODUCT((OFFSET(INDIRECT(CELL("address",INDEX('Leave Tracker'!$A$8:$A$100,MATCH($A27,'Leave Tracker'!$A$8:$A$100,0)))),0,31*(VLOOKUP(J$1,Sprints[],5,FALSE))+DAY(VLOOKUP(J$1,Sprints[],2,FALSE)),1,VLOOKUP(J$1,Sprints[],4,FALSE))&lt;&gt;"")*(IF(OFFSET(INDIRECT(CELL("address",INDEX('Leave Tracker'!$A$8:$A$100,MATCH($A27,'Leave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27">
        <f t="array" aca="1" ref="K27" ca="1">Sheet3!$W$2*$F27*(NETWORKDAYS(VLOOKUP(K$1,Sprints[],2,FALSE), VLOOKUP(K$1,Sprints[],3,FALSE))-SUMPRODUCT((OFFSET(INDIRECT(CELL("address",INDEX('Leave Tracker'!$A$8:$A$100,MATCH($A27,'Leave Tracker'!$A$8:$A$100,0)))),0,31*(VLOOKUP(K$1,Sprints[],5,FALSE))+DAY(VLOOKUP(K$1,Sprints[],2,FALSE)),1,VLOOKUP(K$1,Sprints[],4,FALSE))&lt;&gt;"")*(IF(OFFSET(INDIRECT(CELL("address",INDEX('Leave Tracker'!$A$8:$A$100,MATCH($A27,'Leave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27">
        <f t="array" aca="1" ref="L27" ca="1">Sheet3!$W$2*$F27*(NETWORKDAYS(VLOOKUP(L$1,Sprints[],2,FALSE), VLOOKUP(L$1,Sprints[],3,FALSE))-SUMPRODUCT((OFFSET(INDIRECT(CELL("address",INDEX('Leave Tracker'!$A$8:$A$100,MATCH($A27,'Leave Tracker'!$A$8:$A$100,0)))),0,31*(VLOOKUP(L$1,Sprints[],5,FALSE))+DAY(VLOOKUP(L$1,Sprints[],2,FALSE)),1,VLOOKUP(L$1,Sprints[],4,FALSE))&lt;&gt;"")*(IF(OFFSET(INDIRECT(CELL("address",INDEX('Leave Tracker'!$A$8:$A$100,MATCH($A27,'Leave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4.8000000000000007</v>
      </c>
      <c r="M27" s="45">
        <f t="array" aca="1" ref="M27" ca="1">Sheet3!$W$2*$F27*(NETWORKDAYS(VLOOKUP(M$1,Sprints[],2,FALSE), VLOOKUP(M$1,Sprints[],3,FALSE))-SUMPRODUCT((OFFSET(INDIRECT(CELL("address",INDEX('Leave Tracker'!$A$8:$A$100,MATCH($A27,'Leave Tracker'!$A$8:$A$100,0)))),0,31*(VLOOKUP(M$1,Sprints[],5,FALSE))+DAY(VLOOKUP(M$1,Sprints[],2,FALSE)),1,VLOOKUP(M$1,Sprints[],4,FALSE))&lt;&gt;"")*(IF(OFFSET(INDIRECT(CELL("address",INDEX('Leave Tracker'!$A$8:$A$100,MATCH($A27,'Leave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27">
        <f t="array" aca="1" ref="N27" ca="1">Sheet3!$W$2*$F27*(NETWORKDAYS(VLOOKUP(N$1,Sprints[],2,FALSE), VLOOKUP(N$1,Sprints[],3,FALSE))-SUMPRODUCT((OFFSET(INDIRECT(CELL("address",INDEX('Leave Tracker'!$A$8:$A$100,MATCH($A27,'Leave Tracker'!$A$8:$A$100,0)))),0,31*(VLOOKUP(N$1,Sprints[],5,FALSE))+DAY(VLOOKUP(N$1,Sprints[],2,FALSE)),1,VLOOKUP(N$1,Sprints[],4,FALSE))&lt;&gt;"")*(IF(OFFSET(INDIRECT(CELL("address",INDEX('Leave Tracker'!$A$8:$A$100,MATCH($A27,'Leave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27">
        <f t="array" aca="1" ref="O27" ca="1">Sheet3!$W$2*$F27*(NETWORKDAYS(VLOOKUP(O$1,Sprints[],2,FALSE), VLOOKUP(O$1,Sprints[],3,FALSE))-SUMPRODUCT((OFFSET(INDIRECT(CELL("address",INDEX('Leave Tracker'!$A$8:$A$100,MATCH($A27,'Leave Tracker'!$A$8:$A$100,0)))),0,31*(VLOOKUP(O$1,Sprints[],5,FALSE))+DAY(VLOOKUP(O$1,Sprints[],2,FALSE)),1,VLOOKUP(O$1,Sprints[],4,FALSE))&lt;&gt;"")*(IF(OFFSET(INDIRECT(CELL("address",INDEX('Leave Tracker'!$A$8:$A$100,MATCH($A27,'Leave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27">
        <f t="array" aca="1" ref="P27" ca="1">Sheet3!$W$2*$F27*(NETWORKDAYS(VLOOKUP(P$1,Sprints[],2,FALSE), VLOOKUP(P$1,Sprints[],3,FALSE))-SUMPRODUCT((OFFSET(INDIRECT(CELL("address",INDEX('Leave Tracker'!$A$8:$A$100,MATCH($A27,'Leave Tracker'!$A$8:$A$100,0)))),0,31*(VLOOKUP(P$1,Sprints[],5,FALSE))+DAY(VLOOKUP(P$1,Sprints[],2,FALSE)),1,VLOOKUP(P$1,Sprints[],4,FALSE))&lt;&gt;"")*(IF(OFFSET(INDIRECT(CELL("address",INDEX('Leave Tracker'!$A$8:$A$100,MATCH($A27,'Leave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3.0000000000000004</v>
      </c>
      <c r="Q27">
        <f t="array" aca="1" ref="Q27" ca="1">Sheet3!$W$2*$F27*(NETWORKDAYS(VLOOKUP(Q$1,Sprints[],2,FALSE), VLOOKUP(Q$1,Sprints[],3,FALSE))-SUMPRODUCT((OFFSET(INDIRECT(CELL("address",INDEX('Leave Tracker'!$A$8:$A$100,MATCH($A27,'Leave Tracker'!$A$8:$A$100,0)))),0,31*(VLOOKUP(Q$1,Sprints[],5,FALSE))+DAY(VLOOKUP(Q$1,Sprints[],2,FALSE)),1,VLOOKUP(Q$1,Sprints[],4,FALSE))&lt;&gt;"")*(IF(OFFSET(INDIRECT(CELL("address",INDEX('Leave Tracker'!$A$8:$A$100,MATCH($A27,'Leave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5.4</v>
      </c>
      <c r="R27">
        <f t="array" aca="1" ref="R27" ca="1">Sheet3!$W$2*$F27*(NETWORKDAYS(VLOOKUP(R$1,Sprints[],2,FALSE), VLOOKUP(R$1,Sprints[],3,FALSE))-SUMPRODUCT((OFFSET(INDIRECT(CELL("address",INDEX('Leave Tracker'!$A$8:$A$100,MATCH($A27,'Leave Tracker'!$A$8:$A$100,0)))),0,31*(VLOOKUP(R$1,Sprints[],5,FALSE))+DAY(VLOOKUP(R$1,Sprints[],2,FALSE)),1,VLOOKUP(R$1,Sprints[],4,FALSE))&lt;&gt;"")*(IF(OFFSET(INDIRECT(CELL("address",INDEX('Leave Tracker'!$A$8:$A$100,MATCH($A27,'Leave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28" spans="1:18" x14ac:dyDescent="0.45">
      <c r="A28" t="s">
        <v>86</v>
      </c>
      <c r="B28" s="45" t="s">
        <v>114</v>
      </c>
      <c r="C28" s="45" t="s">
        <v>117</v>
      </c>
      <c r="D28" s="45" t="s">
        <v>132</v>
      </c>
      <c r="E28" s="45" t="s">
        <v>126</v>
      </c>
      <c r="F28" s="47">
        <v>0.75</v>
      </c>
      <c r="G28" s="45">
        <f t="array" aca="1" ref="G28" ca="1">Sheet3!$W$2*$F28*(NETWORKDAYS(VLOOKUP(G$1,Sprints[],2,FALSE), VLOOKUP(G$1,Sprints[],3,FALSE))-SUMPRODUCT((OFFSET(INDIRECT(CELL("address",INDEX('Leave Tracker'!$A$8:$A$100,MATCH($A28,'Leave Tracker'!$A$8:$A$100,0)))),0,31*(VLOOKUP(G$1,Sprints[],5,FALSE))+DAY(VLOOKUP(G$1,Sprints[],2,FALSE)),1,VLOOKUP(G$1,Sprints[],4,FALSE))&lt;&gt;"")*(IF(OFFSET(INDIRECT(CELL("address",INDEX('Leave Tracker'!$A$8:$A$100,MATCH($A28,'Leave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28">
        <f t="array" aca="1" ref="H28" ca="1">Sheet3!$W$2*$F28*(NETWORKDAYS(VLOOKUP(H$1,Sprints[],2,FALSE), VLOOKUP(H$1,Sprints[],3,FALSE))-SUMPRODUCT((OFFSET(INDIRECT(CELL("address",INDEX('Leave Tracker'!$A$8:$A$100,MATCH($A28,'Leave Tracker'!$A$8:$A$100,0)))),0,31*(VLOOKUP(H$1,Sprints[],5,FALSE))+DAY(VLOOKUP(H$1,Sprints[],2,FALSE)),1,VLOOKUP(H$1,Sprints[],4,FALSE))&lt;&gt;"")*(IF(OFFSET(INDIRECT(CELL("address",INDEX('Leave Tracker'!$A$8:$A$100,MATCH($A28,'Leave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28">
        <f t="array" aca="1" ref="I28" ca="1">Sheet3!$W$2*$F28*(NETWORKDAYS(VLOOKUP(I$1,Sprints[],2,FALSE), VLOOKUP(I$1,Sprints[],3,FALSE))-SUMPRODUCT((OFFSET(INDIRECT(CELL("address",INDEX('Leave Tracker'!$A$8:$A$100,MATCH($A28,'Leave Tracker'!$A$8:$A$100,0)))),0,31*(VLOOKUP(I$1,Sprints[],5,FALSE))+DAY(VLOOKUP(I$1,Sprints[],2,FALSE)),1,VLOOKUP(I$1,Sprints[],4,FALSE))&lt;&gt;"")*(IF(OFFSET(INDIRECT(CELL("address",INDEX('Leave Tracker'!$A$8:$A$100,MATCH($A28,'Leave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28">
        <f t="array" aca="1" ref="J28" ca="1">Sheet3!$W$2*$F28*(NETWORKDAYS(VLOOKUP(J$1,Sprints[],2,FALSE), VLOOKUP(J$1,Sprints[],3,FALSE))-SUMPRODUCT((OFFSET(INDIRECT(CELL("address",INDEX('Leave Tracker'!$A$8:$A$100,MATCH($A28,'Leave Tracker'!$A$8:$A$100,0)))),0,31*(VLOOKUP(J$1,Sprints[],5,FALSE))+DAY(VLOOKUP(J$1,Sprints[],2,FALSE)),1,VLOOKUP(J$1,Sprints[],4,FALSE))&lt;&gt;"")*(IF(OFFSET(INDIRECT(CELL("address",INDEX('Leave Tracker'!$A$8:$A$100,MATCH($A28,'Leave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3.6000000000000005</v>
      </c>
      <c r="K28">
        <f t="array" aca="1" ref="K28" ca="1">Sheet3!$W$2*$F28*(NETWORKDAYS(VLOOKUP(K$1,Sprints[],2,FALSE), VLOOKUP(K$1,Sprints[],3,FALSE))-SUMPRODUCT((OFFSET(INDIRECT(CELL("address",INDEX('Leave Tracker'!$A$8:$A$100,MATCH($A28,'Leave Tracker'!$A$8:$A$100,0)))),0,31*(VLOOKUP(K$1,Sprints[],5,FALSE))+DAY(VLOOKUP(K$1,Sprints[],2,FALSE)),1,VLOOKUP(K$1,Sprints[],4,FALSE))&lt;&gt;"")*(IF(OFFSET(INDIRECT(CELL("address",INDEX('Leave Tracker'!$A$8:$A$100,MATCH($A28,'Leave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4.8000000000000007</v>
      </c>
      <c r="L28">
        <f t="array" aca="1" ref="L28" ca="1">Sheet3!$W$2*$F28*(NETWORKDAYS(VLOOKUP(L$1,Sprints[],2,FALSE), VLOOKUP(L$1,Sprints[],3,FALSE))-SUMPRODUCT((OFFSET(INDIRECT(CELL("address",INDEX('Leave Tracker'!$A$8:$A$100,MATCH($A28,'Leave Tracker'!$A$8:$A$100,0)))),0,31*(VLOOKUP(L$1,Sprints[],5,FALSE))+DAY(VLOOKUP(L$1,Sprints[],2,FALSE)),1,VLOOKUP(L$1,Sprints[],4,FALSE))&lt;&gt;"")*(IF(OFFSET(INDIRECT(CELL("address",INDEX('Leave Tracker'!$A$8:$A$100,MATCH($A28,'Leave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3.0000000000000004</v>
      </c>
      <c r="M28" s="45">
        <f t="array" aca="1" ref="M28" ca="1">Sheet3!$W$2*$F28*(NETWORKDAYS(VLOOKUP(M$1,Sprints[],2,FALSE), VLOOKUP(M$1,Sprints[],3,FALSE))-SUMPRODUCT((OFFSET(INDIRECT(CELL("address",INDEX('Leave Tracker'!$A$8:$A$100,MATCH($A28,'Leave Tracker'!$A$8:$A$100,0)))),0,31*(VLOOKUP(M$1,Sprints[],5,FALSE))+DAY(VLOOKUP(M$1,Sprints[],2,FALSE)),1,VLOOKUP(M$1,Sprints[],4,FALSE))&lt;&gt;"")*(IF(OFFSET(INDIRECT(CELL("address",INDEX('Leave Tracker'!$A$8:$A$100,MATCH($A28,'Leave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3.6000000000000005</v>
      </c>
      <c r="N28">
        <f t="array" aca="1" ref="N28" ca="1">Sheet3!$W$2*$F28*(NETWORKDAYS(VLOOKUP(N$1,Sprints[],2,FALSE), VLOOKUP(N$1,Sprints[],3,FALSE))-SUMPRODUCT((OFFSET(INDIRECT(CELL("address",INDEX('Leave Tracker'!$A$8:$A$100,MATCH($A28,'Leave Tracker'!$A$8:$A$100,0)))),0,31*(VLOOKUP(N$1,Sprints[],5,FALSE))+DAY(VLOOKUP(N$1,Sprints[],2,FALSE)),1,VLOOKUP(N$1,Sprints[],4,FALSE))&lt;&gt;"")*(IF(OFFSET(INDIRECT(CELL("address",INDEX('Leave Tracker'!$A$8:$A$100,MATCH($A28,'Leave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4.8000000000000007</v>
      </c>
      <c r="O28">
        <f t="array" aca="1" ref="O28" ca="1">Sheet3!$W$2*$F28*(NETWORKDAYS(VLOOKUP(O$1,Sprints[],2,FALSE), VLOOKUP(O$1,Sprints[],3,FALSE))-SUMPRODUCT((OFFSET(INDIRECT(CELL("address",INDEX('Leave Tracker'!$A$8:$A$100,MATCH($A28,'Leave Tracker'!$A$8:$A$100,0)))),0,31*(VLOOKUP(O$1,Sprints[],5,FALSE))+DAY(VLOOKUP(O$1,Sprints[],2,FALSE)),1,VLOOKUP(O$1,Sprints[],4,FALSE))&lt;&gt;"")*(IF(OFFSET(INDIRECT(CELL("address",INDEX('Leave Tracker'!$A$8:$A$100,MATCH($A28,'Leave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3.6000000000000005</v>
      </c>
      <c r="P28">
        <f t="array" aca="1" ref="P28" ca="1">Sheet3!$W$2*$F28*(NETWORKDAYS(VLOOKUP(P$1,Sprints[],2,FALSE), VLOOKUP(P$1,Sprints[],3,FALSE))-SUMPRODUCT((OFFSET(INDIRECT(CELL("address",INDEX('Leave Tracker'!$A$8:$A$100,MATCH($A28,'Leave Tracker'!$A$8:$A$100,0)))),0,31*(VLOOKUP(P$1,Sprints[],5,FALSE))+DAY(VLOOKUP(P$1,Sprints[],2,FALSE)),1,VLOOKUP(P$1,Sprints[],4,FALSE))&lt;&gt;"")*(IF(OFFSET(INDIRECT(CELL("address",INDEX('Leave Tracker'!$A$8:$A$100,MATCH($A28,'Leave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28">
        <f t="array" aca="1" ref="Q28" ca="1">Sheet3!$W$2*$F28*(NETWORKDAYS(VLOOKUP(Q$1,Sprints[],2,FALSE), VLOOKUP(Q$1,Sprints[],3,FALSE))-SUMPRODUCT((OFFSET(INDIRECT(CELL("address",INDEX('Leave Tracker'!$A$8:$A$100,MATCH($A28,'Leave Tracker'!$A$8:$A$100,0)))),0,31*(VLOOKUP(Q$1,Sprints[],5,FALSE))+DAY(VLOOKUP(Q$1,Sprints[],2,FALSE)),1,VLOOKUP(Q$1,Sprints[],4,FALSE))&lt;&gt;"")*(IF(OFFSET(INDIRECT(CELL("address",INDEX('Leave Tracker'!$A$8:$A$100,MATCH($A28,'Leave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5.4</v>
      </c>
      <c r="R28">
        <f t="array" aca="1" ref="R28" ca="1">Sheet3!$W$2*$F28*(NETWORKDAYS(VLOOKUP(R$1,Sprints[],2,FALSE), VLOOKUP(R$1,Sprints[],3,FALSE))-SUMPRODUCT((OFFSET(INDIRECT(CELL("address",INDEX('Leave Tracker'!$A$8:$A$100,MATCH($A28,'Leave Tracker'!$A$8:$A$100,0)))),0,31*(VLOOKUP(R$1,Sprints[],5,FALSE))+DAY(VLOOKUP(R$1,Sprints[],2,FALSE)),1,VLOOKUP(R$1,Sprints[],4,FALSE))&lt;&gt;"")*(IF(OFFSET(INDIRECT(CELL("address",INDEX('Leave Tracker'!$A$8:$A$100,MATCH($A28,'Leave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29" spans="1:18" x14ac:dyDescent="0.45">
      <c r="A29" t="s">
        <v>87</v>
      </c>
      <c r="B29" s="45" t="s">
        <v>114</v>
      </c>
      <c r="C29" s="45" t="s">
        <v>117</v>
      </c>
      <c r="D29" s="45" t="s">
        <v>132</v>
      </c>
      <c r="E29" s="45" t="s">
        <v>124</v>
      </c>
      <c r="F29" s="47">
        <v>0.75</v>
      </c>
      <c r="G29" s="45">
        <f t="array" aca="1" ref="G29" ca="1">Sheet3!$W$2*$F29*(NETWORKDAYS(VLOOKUP(G$1,Sprints[],2,FALSE), VLOOKUP(G$1,Sprints[],3,FALSE))-SUMPRODUCT((OFFSET(INDIRECT(CELL("address",INDEX('Leave Tracker'!$A$8:$A$100,MATCH($A29,'Leave Tracker'!$A$8:$A$100,0)))),0,31*(VLOOKUP(G$1,Sprints[],5,FALSE))+DAY(VLOOKUP(G$1,Sprints[],2,FALSE)),1,VLOOKUP(G$1,Sprints[],4,FALSE))&lt;&gt;"")*(IF(OFFSET(INDIRECT(CELL("address",INDEX('Leave Tracker'!$A$8:$A$100,MATCH($A29,'Leave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29">
        <f t="array" aca="1" ref="H29" ca="1">Sheet3!$W$2*$F29*(NETWORKDAYS(VLOOKUP(H$1,Sprints[],2,FALSE), VLOOKUP(H$1,Sprints[],3,FALSE))-SUMPRODUCT((OFFSET(INDIRECT(CELL("address",INDEX('Leave Tracker'!$A$8:$A$100,MATCH($A29,'Leave Tracker'!$A$8:$A$100,0)))),0,31*(VLOOKUP(H$1,Sprints[],5,FALSE))+DAY(VLOOKUP(H$1,Sprints[],2,FALSE)),1,VLOOKUP(H$1,Sprints[],4,FALSE))&lt;&gt;"")*(IF(OFFSET(INDIRECT(CELL("address",INDEX('Leave Tracker'!$A$8:$A$100,MATCH($A29,'Leave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29">
        <f t="array" aca="1" ref="I29" ca="1">Sheet3!$W$2*$F29*(NETWORKDAYS(VLOOKUP(I$1,Sprints[],2,FALSE), VLOOKUP(I$1,Sprints[],3,FALSE))-SUMPRODUCT((OFFSET(INDIRECT(CELL("address",INDEX('Leave Tracker'!$A$8:$A$100,MATCH($A29,'Leave Tracker'!$A$8:$A$100,0)))),0,31*(VLOOKUP(I$1,Sprints[],5,FALSE))+DAY(VLOOKUP(I$1,Sprints[],2,FALSE)),1,VLOOKUP(I$1,Sprints[],4,FALSE))&lt;&gt;"")*(IF(OFFSET(INDIRECT(CELL("address",INDEX('Leave Tracker'!$A$8:$A$100,MATCH($A29,'Leave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29">
        <f t="array" aca="1" ref="J29" ca="1">Sheet3!$W$2*$F29*(NETWORKDAYS(VLOOKUP(J$1,Sprints[],2,FALSE), VLOOKUP(J$1,Sprints[],3,FALSE))-SUMPRODUCT((OFFSET(INDIRECT(CELL("address",INDEX('Leave Tracker'!$A$8:$A$100,MATCH($A29,'Leave Tracker'!$A$8:$A$100,0)))),0,31*(VLOOKUP(J$1,Sprints[],5,FALSE))+DAY(VLOOKUP(J$1,Sprints[],2,FALSE)),1,VLOOKUP(J$1,Sprints[],4,FALSE))&lt;&gt;"")*(IF(OFFSET(INDIRECT(CELL("address",INDEX('Leave Tracker'!$A$8:$A$100,MATCH($A29,'Leave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29">
        <f t="array" aca="1" ref="K29" ca="1">Sheet3!$W$2*$F29*(NETWORKDAYS(VLOOKUP(K$1,Sprints[],2,FALSE), VLOOKUP(K$1,Sprints[],3,FALSE))-SUMPRODUCT((OFFSET(INDIRECT(CELL("address",INDEX('Leave Tracker'!$A$8:$A$100,MATCH($A29,'Leave Tracker'!$A$8:$A$100,0)))),0,31*(VLOOKUP(K$1,Sprints[],5,FALSE))+DAY(VLOOKUP(K$1,Sprints[],2,FALSE)),1,VLOOKUP(K$1,Sprints[],4,FALSE))&lt;&gt;"")*(IF(OFFSET(INDIRECT(CELL("address",INDEX('Leave Tracker'!$A$8:$A$100,MATCH($A29,'Leave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29">
        <f t="array" aca="1" ref="L29" ca="1">Sheet3!$W$2*$F29*(NETWORKDAYS(VLOOKUP(L$1,Sprints[],2,FALSE), VLOOKUP(L$1,Sprints[],3,FALSE))-SUMPRODUCT((OFFSET(INDIRECT(CELL("address",INDEX('Leave Tracker'!$A$8:$A$100,MATCH($A29,'Leave Tracker'!$A$8:$A$100,0)))),0,31*(VLOOKUP(L$1,Sprints[],5,FALSE))+DAY(VLOOKUP(L$1,Sprints[],2,FALSE)),1,VLOOKUP(L$1,Sprints[],4,FALSE))&lt;&gt;"")*(IF(OFFSET(INDIRECT(CELL("address",INDEX('Leave Tracker'!$A$8:$A$100,MATCH($A29,'Leave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4.8000000000000007</v>
      </c>
      <c r="M29" s="45">
        <f t="array" aca="1" ref="M29" ca="1">Sheet3!$W$2*$F29*(NETWORKDAYS(VLOOKUP(M$1,Sprints[],2,FALSE), VLOOKUP(M$1,Sprints[],3,FALSE))-SUMPRODUCT((OFFSET(INDIRECT(CELL("address",INDEX('Leave Tracker'!$A$8:$A$100,MATCH($A29,'Leave Tracker'!$A$8:$A$100,0)))),0,31*(VLOOKUP(M$1,Sprints[],5,FALSE))+DAY(VLOOKUP(M$1,Sprints[],2,FALSE)),1,VLOOKUP(M$1,Sprints[],4,FALSE))&lt;&gt;"")*(IF(OFFSET(INDIRECT(CELL("address",INDEX('Leave Tracker'!$A$8:$A$100,MATCH($A29,'Leave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4.2000000000000011</v>
      </c>
      <c r="N29">
        <f t="array" aca="1" ref="N29" ca="1">Sheet3!$W$2*$F29*(NETWORKDAYS(VLOOKUP(N$1,Sprints[],2,FALSE), VLOOKUP(N$1,Sprints[],3,FALSE))-SUMPRODUCT((OFFSET(INDIRECT(CELL("address",INDEX('Leave Tracker'!$A$8:$A$100,MATCH($A29,'Leave Tracker'!$A$8:$A$100,0)))),0,31*(VLOOKUP(N$1,Sprints[],5,FALSE))+DAY(VLOOKUP(N$1,Sprints[],2,FALSE)),1,VLOOKUP(N$1,Sprints[],4,FALSE))&lt;&gt;"")*(IF(OFFSET(INDIRECT(CELL("address",INDEX('Leave Tracker'!$A$8:$A$100,MATCH($A29,'Leave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4.2000000000000011</v>
      </c>
      <c r="O29">
        <f t="array" aca="1" ref="O29" ca="1">Sheet3!$W$2*$F29*(NETWORKDAYS(VLOOKUP(O$1,Sprints[],2,FALSE), VLOOKUP(O$1,Sprints[],3,FALSE))-SUMPRODUCT((OFFSET(INDIRECT(CELL("address",INDEX('Leave Tracker'!$A$8:$A$100,MATCH($A29,'Leave Tracker'!$A$8:$A$100,0)))),0,31*(VLOOKUP(O$1,Sprints[],5,FALSE))+DAY(VLOOKUP(O$1,Sprints[],2,FALSE)),1,VLOOKUP(O$1,Sprints[],4,FALSE))&lt;&gt;"")*(IF(OFFSET(INDIRECT(CELL("address",INDEX('Leave Tracker'!$A$8:$A$100,MATCH($A29,'Leave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29">
        <f t="array" aca="1" ref="P29" ca="1">Sheet3!$W$2*$F29*(NETWORKDAYS(VLOOKUP(P$1,Sprints[],2,FALSE), VLOOKUP(P$1,Sprints[],3,FALSE))-SUMPRODUCT((OFFSET(INDIRECT(CELL("address",INDEX('Leave Tracker'!$A$8:$A$100,MATCH($A29,'Leave Tracker'!$A$8:$A$100,0)))),0,31*(VLOOKUP(P$1,Sprints[],5,FALSE))+DAY(VLOOKUP(P$1,Sprints[],2,FALSE)),1,VLOOKUP(P$1,Sprints[],4,FALSE))&lt;&gt;"")*(IF(OFFSET(INDIRECT(CELL("address",INDEX('Leave Tracker'!$A$8:$A$100,MATCH($A29,'Leave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29">
        <f t="array" aca="1" ref="Q29" ca="1">Sheet3!$W$2*$F29*(NETWORKDAYS(VLOOKUP(Q$1,Sprints[],2,FALSE), VLOOKUP(Q$1,Sprints[],3,FALSE))-SUMPRODUCT((OFFSET(INDIRECT(CELL("address",INDEX('Leave Tracker'!$A$8:$A$100,MATCH($A29,'Leave Tracker'!$A$8:$A$100,0)))),0,31*(VLOOKUP(Q$1,Sprints[],5,FALSE))+DAY(VLOOKUP(Q$1,Sprints[],2,FALSE)),1,VLOOKUP(Q$1,Sprints[],4,FALSE))&lt;&gt;"")*(IF(OFFSET(INDIRECT(CELL("address",INDEX('Leave Tracker'!$A$8:$A$100,MATCH($A29,'Leave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5.4</v>
      </c>
      <c r="R29">
        <f t="array" aca="1" ref="R29" ca="1">Sheet3!$W$2*$F29*(NETWORKDAYS(VLOOKUP(R$1,Sprints[],2,FALSE), VLOOKUP(R$1,Sprints[],3,FALSE))-SUMPRODUCT((OFFSET(INDIRECT(CELL("address",INDEX('Leave Tracker'!$A$8:$A$100,MATCH($A29,'Leave Tracker'!$A$8:$A$100,0)))),0,31*(VLOOKUP(R$1,Sprints[],5,FALSE))+DAY(VLOOKUP(R$1,Sprints[],2,FALSE)),1,VLOOKUP(R$1,Sprints[],4,FALSE))&lt;&gt;"")*(IF(OFFSET(INDIRECT(CELL("address",INDEX('Leave Tracker'!$A$8:$A$100,MATCH($A29,'Leave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30" spans="1:18" x14ac:dyDescent="0.45">
      <c r="A30" t="s">
        <v>88</v>
      </c>
      <c r="B30" s="45" t="s">
        <v>114</v>
      </c>
      <c r="C30" s="45" t="s">
        <v>117</v>
      </c>
      <c r="D30" s="45" t="s">
        <v>132</v>
      </c>
      <c r="E30" s="45" t="s">
        <v>125</v>
      </c>
      <c r="F30" s="47">
        <v>0.75</v>
      </c>
      <c r="G30" s="45">
        <f t="array" aca="1" ref="G30" ca="1">Sheet3!$W$2*$F30*(NETWORKDAYS(VLOOKUP(G$1,Sprints[],2,FALSE), VLOOKUP(G$1,Sprints[],3,FALSE))-SUMPRODUCT((OFFSET(INDIRECT(CELL("address",INDEX('Leave Tracker'!$A$8:$A$100,MATCH($A30,'Leave Tracker'!$A$8:$A$100,0)))),0,31*(VLOOKUP(G$1,Sprints[],5,FALSE))+DAY(VLOOKUP(G$1,Sprints[],2,FALSE)),1,VLOOKUP(G$1,Sprints[],4,FALSE))&lt;&gt;"")*(IF(OFFSET(INDIRECT(CELL("address",INDEX('Leave Tracker'!$A$8:$A$100,MATCH($A30,'Leave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30">
        <f t="array" aca="1" ref="H30" ca="1">Sheet3!$W$2*$F30*(NETWORKDAYS(VLOOKUP(H$1,Sprints[],2,FALSE), VLOOKUP(H$1,Sprints[],3,FALSE))-SUMPRODUCT((OFFSET(INDIRECT(CELL("address",INDEX('Leave Tracker'!$A$8:$A$100,MATCH($A30,'Leave Tracker'!$A$8:$A$100,0)))),0,31*(VLOOKUP(H$1,Sprints[],5,FALSE))+DAY(VLOOKUP(H$1,Sprints[],2,FALSE)),1,VLOOKUP(H$1,Sprints[],4,FALSE))&lt;&gt;"")*(IF(OFFSET(INDIRECT(CELL("address",INDEX('Leave Tracker'!$A$8:$A$100,MATCH($A30,'Leave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30">
        <f t="array" aca="1" ref="I30" ca="1">Sheet3!$W$2*$F30*(NETWORKDAYS(VLOOKUP(I$1,Sprints[],2,FALSE), VLOOKUP(I$1,Sprints[],3,FALSE))-SUMPRODUCT((OFFSET(INDIRECT(CELL("address",INDEX('Leave Tracker'!$A$8:$A$100,MATCH($A30,'Leave Tracker'!$A$8:$A$100,0)))),0,31*(VLOOKUP(I$1,Sprints[],5,FALSE))+DAY(VLOOKUP(I$1,Sprints[],2,FALSE)),1,VLOOKUP(I$1,Sprints[],4,FALSE))&lt;&gt;"")*(IF(OFFSET(INDIRECT(CELL("address",INDEX('Leave Tracker'!$A$8:$A$100,MATCH($A30,'Leave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30">
        <f t="array" aca="1" ref="J30" ca="1">Sheet3!$W$2*$F30*(NETWORKDAYS(VLOOKUP(J$1,Sprints[],2,FALSE), VLOOKUP(J$1,Sprints[],3,FALSE))-SUMPRODUCT((OFFSET(INDIRECT(CELL("address",INDEX('Leave Tracker'!$A$8:$A$100,MATCH($A30,'Leave Tracker'!$A$8:$A$100,0)))),0,31*(VLOOKUP(J$1,Sprints[],5,FALSE))+DAY(VLOOKUP(J$1,Sprints[],2,FALSE)),1,VLOOKUP(J$1,Sprints[],4,FALSE))&lt;&gt;"")*(IF(OFFSET(INDIRECT(CELL("address",INDEX('Leave Tracker'!$A$8:$A$100,MATCH($A30,'Leave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30">
        <f t="array" aca="1" ref="K30" ca="1">Sheet3!$W$2*$F30*(NETWORKDAYS(VLOOKUP(K$1,Sprints[],2,FALSE), VLOOKUP(K$1,Sprints[],3,FALSE))-SUMPRODUCT((OFFSET(INDIRECT(CELL("address",INDEX('Leave Tracker'!$A$8:$A$100,MATCH($A30,'Leave Tracker'!$A$8:$A$100,0)))),0,31*(VLOOKUP(K$1,Sprints[],5,FALSE))+DAY(VLOOKUP(K$1,Sprints[],2,FALSE)),1,VLOOKUP(K$1,Sprints[],4,FALSE))&lt;&gt;"")*(IF(OFFSET(INDIRECT(CELL("address",INDEX('Leave Tracker'!$A$8:$A$100,MATCH($A30,'Leave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30">
        <f t="array" aca="1" ref="L30" ca="1">Sheet3!$W$2*$F30*(NETWORKDAYS(VLOOKUP(L$1,Sprints[],2,FALSE), VLOOKUP(L$1,Sprints[],3,FALSE))-SUMPRODUCT((OFFSET(INDIRECT(CELL("address",INDEX('Leave Tracker'!$A$8:$A$100,MATCH($A30,'Leave Tracker'!$A$8:$A$100,0)))),0,31*(VLOOKUP(L$1,Sprints[],5,FALSE))+DAY(VLOOKUP(L$1,Sprints[],2,FALSE)),1,VLOOKUP(L$1,Sprints[],4,FALSE))&lt;&gt;"")*(IF(OFFSET(INDIRECT(CELL("address",INDEX('Leave Tracker'!$A$8:$A$100,MATCH($A30,'Leave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6.0000000000000009</v>
      </c>
      <c r="M30" s="45">
        <f t="array" aca="1" ref="M30" ca="1">Sheet3!$W$2*$F30*(NETWORKDAYS(VLOOKUP(M$1,Sprints[],2,FALSE), VLOOKUP(M$1,Sprints[],3,FALSE))-SUMPRODUCT((OFFSET(INDIRECT(CELL("address",INDEX('Leave Tracker'!$A$8:$A$100,MATCH($A30,'Leave Tracker'!$A$8:$A$100,0)))),0,31*(VLOOKUP(M$1,Sprints[],5,FALSE))+DAY(VLOOKUP(M$1,Sprints[],2,FALSE)),1,VLOOKUP(M$1,Sprints[],4,FALSE))&lt;&gt;"")*(IF(OFFSET(INDIRECT(CELL("address",INDEX('Leave Tracker'!$A$8:$A$100,MATCH($A30,'Leave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30">
        <f t="array" aca="1" ref="N30" ca="1">Sheet3!$W$2*$F30*(NETWORKDAYS(VLOOKUP(N$1,Sprints[],2,FALSE), VLOOKUP(N$1,Sprints[],3,FALSE))-SUMPRODUCT((OFFSET(INDIRECT(CELL("address",INDEX('Leave Tracker'!$A$8:$A$100,MATCH($A30,'Leave Tracker'!$A$8:$A$100,0)))),0,31*(VLOOKUP(N$1,Sprints[],5,FALSE))+DAY(VLOOKUP(N$1,Sprints[],2,FALSE)),1,VLOOKUP(N$1,Sprints[],4,FALSE))&lt;&gt;"")*(IF(OFFSET(INDIRECT(CELL("address",INDEX('Leave Tracker'!$A$8:$A$100,MATCH($A30,'Leave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30">
        <f t="array" aca="1" ref="O30" ca="1">Sheet3!$W$2*$F30*(NETWORKDAYS(VLOOKUP(O$1,Sprints[],2,FALSE), VLOOKUP(O$1,Sprints[],3,FALSE))-SUMPRODUCT((OFFSET(INDIRECT(CELL("address",INDEX('Leave Tracker'!$A$8:$A$100,MATCH($A30,'Leave Tracker'!$A$8:$A$100,0)))),0,31*(VLOOKUP(O$1,Sprints[],5,FALSE))+DAY(VLOOKUP(O$1,Sprints[],2,FALSE)),1,VLOOKUP(O$1,Sprints[],4,FALSE))&lt;&gt;"")*(IF(OFFSET(INDIRECT(CELL("address",INDEX('Leave Tracker'!$A$8:$A$100,MATCH($A30,'Leave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30">
        <f t="array" aca="1" ref="P30" ca="1">Sheet3!$W$2*$F30*(NETWORKDAYS(VLOOKUP(P$1,Sprints[],2,FALSE), VLOOKUP(P$1,Sprints[],3,FALSE))-SUMPRODUCT((OFFSET(INDIRECT(CELL("address",INDEX('Leave Tracker'!$A$8:$A$100,MATCH($A30,'Leave Tracker'!$A$8:$A$100,0)))),0,31*(VLOOKUP(P$1,Sprints[],5,FALSE))+DAY(VLOOKUP(P$1,Sprints[],2,FALSE)),1,VLOOKUP(P$1,Sprints[],4,FALSE))&lt;&gt;"")*(IF(OFFSET(INDIRECT(CELL("address",INDEX('Leave Tracker'!$A$8:$A$100,MATCH($A30,'Leave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30">
        <f t="array" aca="1" ref="Q30" ca="1">Sheet3!$W$2*$F30*(NETWORKDAYS(VLOOKUP(Q$1,Sprints[],2,FALSE), VLOOKUP(Q$1,Sprints[],3,FALSE))-SUMPRODUCT((OFFSET(INDIRECT(CELL("address",INDEX('Leave Tracker'!$A$8:$A$100,MATCH($A30,'Leave Tracker'!$A$8:$A$100,0)))),0,31*(VLOOKUP(Q$1,Sprints[],5,FALSE))+DAY(VLOOKUP(Q$1,Sprints[],2,FALSE)),1,VLOOKUP(Q$1,Sprints[],4,FALSE))&lt;&gt;"")*(IF(OFFSET(INDIRECT(CELL("address",INDEX('Leave Tracker'!$A$8:$A$100,MATCH($A30,'Leave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5.4</v>
      </c>
      <c r="R30">
        <f t="array" aca="1" ref="R30" ca="1">Sheet3!$W$2*$F30*(NETWORKDAYS(VLOOKUP(R$1,Sprints[],2,FALSE), VLOOKUP(R$1,Sprints[],3,FALSE))-SUMPRODUCT((OFFSET(INDIRECT(CELL("address",INDEX('Leave Tracker'!$A$8:$A$100,MATCH($A30,'Leave Tracker'!$A$8:$A$100,0)))),0,31*(VLOOKUP(R$1,Sprints[],5,FALSE))+DAY(VLOOKUP(R$1,Sprints[],2,FALSE)),1,VLOOKUP(R$1,Sprints[],4,FALSE))&lt;&gt;"")*(IF(OFFSET(INDIRECT(CELL("address",INDEX('Leave Tracker'!$A$8:$A$100,MATCH($A30,'Leave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31" spans="1:18" x14ac:dyDescent="0.45">
      <c r="A31" t="s">
        <v>89</v>
      </c>
      <c r="B31" s="45" t="s">
        <v>114</v>
      </c>
      <c r="C31" s="45" t="s">
        <v>117</v>
      </c>
      <c r="D31" s="45" t="s">
        <v>133</v>
      </c>
      <c r="E31" s="45" t="s">
        <v>127</v>
      </c>
      <c r="F31" s="47">
        <v>0.75</v>
      </c>
      <c r="G31" s="45">
        <f t="array" aca="1" ref="G31" ca="1">Sheet3!$W$2*$F31*(NETWORKDAYS(VLOOKUP(G$1,Sprints[],2,FALSE), VLOOKUP(G$1,Sprints[],3,FALSE))-SUMPRODUCT((OFFSET(INDIRECT(CELL("address",INDEX('Leave Tracker'!$A$8:$A$100,MATCH($A31,'Leave Tracker'!$A$8:$A$100,0)))),0,31*(VLOOKUP(G$1,Sprints[],5,FALSE))+DAY(VLOOKUP(G$1,Sprints[],2,FALSE)),1,VLOOKUP(G$1,Sprints[],4,FALSE))&lt;&gt;"")*(IF(OFFSET(INDIRECT(CELL("address",INDEX('Leave Tracker'!$A$8:$A$100,MATCH($A31,'Leave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31">
        <f t="array" aca="1" ref="H31" ca="1">Sheet3!$W$2*$F31*(NETWORKDAYS(VLOOKUP(H$1,Sprints[],2,FALSE), VLOOKUP(H$1,Sprints[],3,FALSE))-SUMPRODUCT((OFFSET(INDIRECT(CELL("address",INDEX('Leave Tracker'!$A$8:$A$100,MATCH($A31,'Leave Tracker'!$A$8:$A$100,0)))),0,31*(VLOOKUP(H$1,Sprints[],5,FALSE))+DAY(VLOOKUP(H$1,Sprints[],2,FALSE)),1,VLOOKUP(H$1,Sprints[],4,FALSE))&lt;&gt;"")*(IF(OFFSET(INDIRECT(CELL("address",INDEX('Leave Tracker'!$A$8:$A$100,MATCH($A31,'Leave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31">
        <f t="array" aca="1" ref="I31" ca="1">Sheet3!$W$2*$F31*(NETWORKDAYS(VLOOKUP(I$1,Sprints[],2,FALSE), VLOOKUP(I$1,Sprints[],3,FALSE))-SUMPRODUCT((OFFSET(INDIRECT(CELL("address",INDEX('Leave Tracker'!$A$8:$A$100,MATCH($A31,'Leave Tracker'!$A$8:$A$100,0)))),0,31*(VLOOKUP(I$1,Sprints[],5,FALSE))+DAY(VLOOKUP(I$1,Sprints[],2,FALSE)),1,VLOOKUP(I$1,Sprints[],4,FALSE))&lt;&gt;"")*(IF(OFFSET(INDIRECT(CELL("address",INDEX('Leave Tracker'!$A$8:$A$100,MATCH($A31,'Leave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31">
        <f t="array" aca="1" ref="J31" ca="1">Sheet3!$W$2*$F31*(NETWORKDAYS(VLOOKUP(J$1,Sprints[],2,FALSE), VLOOKUP(J$1,Sprints[],3,FALSE))-SUMPRODUCT((OFFSET(INDIRECT(CELL("address",INDEX('Leave Tracker'!$A$8:$A$100,MATCH($A31,'Leave Tracker'!$A$8:$A$100,0)))),0,31*(VLOOKUP(J$1,Sprints[],5,FALSE))+DAY(VLOOKUP(J$1,Sprints[],2,FALSE)),1,VLOOKUP(J$1,Sprints[],4,FALSE))&lt;&gt;"")*(IF(OFFSET(INDIRECT(CELL("address",INDEX('Leave Tracker'!$A$8:$A$100,MATCH($A31,'Leave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31">
        <f t="array" aca="1" ref="K31" ca="1">Sheet3!$W$2*$F31*(NETWORKDAYS(VLOOKUP(K$1,Sprints[],2,FALSE), VLOOKUP(K$1,Sprints[],3,FALSE))-SUMPRODUCT((OFFSET(INDIRECT(CELL("address",INDEX('Leave Tracker'!$A$8:$A$100,MATCH($A31,'Leave Tracker'!$A$8:$A$100,0)))),0,31*(VLOOKUP(K$1,Sprints[],5,FALSE))+DAY(VLOOKUP(K$1,Sprints[],2,FALSE)),1,VLOOKUP(K$1,Sprints[],4,FALSE))&lt;&gt;"")*(IF(OFFSET(INDIRECT(CELL("address",INDEX('Leave Tracker'!$A$8:$A$100,MATCH($A31,'Leave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31">
        <f t="array" aca="1" ref="L31" ca="1">Sheet3!$W$2*$F31*(NETWORKDAYS(VLOOKUP(L$1,Sprints[],2,FALSE), VLOOKUP(L$1,Sprints[],3,FALSE))-SUMPRODUCT((OFFSET(INDIRECT(CELL("address",INDEX('Leave Tracker'!$A$8:$A$100,MATCH($A31,'Leave Tracker'!$A$8:$A$100,0)))),0,31*(VLOOKUP(L$1,Sprints[],5,FALSE))+DAY(VLOOKUP(L$1,Sprints[],2,FALSE)),1,VLOOKUP(L$1,Sprints[],4,FALSE))&lt;&gt;"")*(IF(OFFSET(INDIRECT(CELL("address",INDEX('Leave Tracker'!$A$8:$A$100,MATCH($A31,'Leave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3.6000000000000005</v>
      </c>
      <c r="M31" s="45">
        <f t="array" aca="1" ref="M31" ca="1">Sheet3!$W$2*$F31*(NETWORKDAYS(VLOOKUP(M$1,Sprints[],2,FALSE), VLOOKUP(M$1,Sprints[],3,FALSE))-SUMPRODUCT((OFFSET(INDIRECT(CELL("address",INDEX('Leave Tracker'!$A$8:$A$100,MATCH($A31,'Leave Tracker'!$A$8:$A$100,0)))),0,31*(VLOOKUP(M$1,Sprints[],5,FALSE))+DAY(VLOOKUP(M$1,Sprints[],2,FALSE)),1,VLOOKUP(M$1,Sprints[],4,FALSE))&lt;&gt;"")*(IF(OFFSET(INDIRECT(CELL("address",INDEX('Leave Tracker'!$A$8:$A$100,MATCH($A31,'Leave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31">
        <f t="array" aca="1" ref="N31" ca="1">Sheet3!$W$2*$F31*(NETWORKDAYS(VLOOKUP(N$1,Sprints[],2,FALSE), VLOOKUP(N$1,Sprints[],3,FALSE))-SUMPRODUCT((OFFSET(INDIRECT(CELL("address",INDEX('Leave Tracker'!$A$8:$A$100,MATCH($A31,'Leave Tracker'!$A$8:$A$100,0)))),0,31*(VLOOKUP(N$1,Sprints[],5,FALSE))+DAY(VLOOKUP(N$1,Sprints[],2,FALSE)),1,VLOOKUP(N$1,Sprints[],4,FALSE))&lt;&gt;"")*(IF(OFFSET(INDIRECT(CELL("address",INDEX('Leave Tracker'!$A$8:$A$100,MATCH($A31,'Leave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31">
        <f t="array" aca="1" ref="O31" ca="1">Sheet3!$W$2*$F31*(NETWORKDAYS(VLOOKUP(O$1,Sprints[],2,FALSE), VLOOKUP(O$1,Sprints[],3,FALSE))-SUMPRODUCT((OFFSET(INDIRECT(CELL("address",INDEX('Leave Tracker'!$A$8:$A$100,MATCH($A31,'Leave Tracker'!$A$8:$A$100,0)))),0,31*(VLOOKUP(O$1,Sprints[],5,FALSE))+DAY(VLOOKUP(O$1,Sprints[],2,FALSE)),1,VLOOKUP(O$1,Sprints[],4,FALSE))&lt;&gt;"")*(IF(OFFSET(INDIRECT(CELL("address",INDEX('Leave Tracker'!$A$8:$A$100,MATCH($A31,'Leave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31">
        <f t="array" aca="1" ref="P31" ca="1">Sheet3!$W$2*$F31*(NETWORKDAYS(VLOOKUP(P$1,Sprints[],2,FALSE), VLOOKUP(P$1,Sprints[],3,FALSE))-SUMPRODUCT((OFFSET(INDIRECT(CELL("address",INDEX('Leave Tracker'!$A$8:$A$100,MATCH($A31,'Leave Tracker'!$A$8:$A$100,0)))),0,31*(VLOOKUP(P$1,Sprints[],5,FALSE))+DAY(VLOOKUP(P$1,Sprints[],2,FALSE)),1,VLOOKUP(P$1,Sprints[],4,FALSE))&lt;&gt;"")*(IF(OFFSET(INDIRECT(CELL("address",INDEX('Leave Tracker'!$A$8:$A$100,MATCH($A31,'Leave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31">
        <f t="array" aca="1" ref="Q31" ca="1">Sheet3!$W$2*$F31*(NETWORKDAYS(VLOOKUP(Q$1,Sprints[],2,FALSE), VLOOKUP(Q$1,Sprints[],3,FALSE))-SUMPRODUCT((OFFSET(INDIRECT(CELL("address",INDEX('Leave Tracker'!$A$8:$A$100,MATCH($A31,'Leave Tracker'!$A$8:$A$100,0)))),0,31*(VLOOKUP(Q$1,Sprints[],5,FALSE))+DAY(VLOOKUP(Q$1,Sprints[],2,FALSE)),1,VLOOKUP(Q$1,Sprints[],4,FALSE))&lt;&gt;"")*(IF(OFFSET(INDIRECT(CELL("address",INDEX('Leave Tracker'!$A$8:$A$100,MATCH($A31,'Leave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2.4000000000000004</v>
      </c>
      <c r="R31">
        <f t="array" aca="1" ref="R31" ca="1">Sheet3!$W$2*$F31*(NETWORKDAYS(VLOOKUP(R$1,Sprints[],2,FALSE), VLOOKUP(R$1,Sprints[],3,FALSE))-SUMPRODUCT((OFFSET(INDIRECT(CELL("address",INDEX('Leave Tracker'!$A$8:$A$100,MATCH($A31,'Leave Tracker'!$A$8:$A$100,0)))),0,31*(VLOOKUP(R$1,Sprints[],5,FALSE))+DAY(VLOOKUP(R$1,Sprints[],2,FALSE)),1,VLOOKUP(R$1,Sprints[],4,FALSE))&lt;&gt;"")*(IF(OFFSET(INDIRECT(CELL("address",INDEX('Leave Tracker'!$A$8:$A$100,MATCH($A31,'Leave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32" spans="1:18" x14ac:dyDescent="0.45">
      <c r="A32" t="s">
        <v>90</v>
      </c>
      <c r="B32" s="45" t="s">
        <v>114</v>
      </c>
      <c r="C32" s="45" t="s">
        <v>117</v>
      </c>
      <c r="D32" s="45" t="s">
        <v>133</v>
      </c>
      <c r="E32" s="45" t="s">
        <v>127</v>
      </c>
      <c r="F32" s="47">
        <v>0.75</v>
      </c>
      <c r="G32" s="45">
        <f t="array" aca="1" ref="G32" ca="1">Sheet3!$W$2*$F32*(NETWORKDAYS(VLOOKUP(G$1,Sprints[],2,FALSE), VLOOKUP(G$1,Sprints[],3,FALSE))-SUMPRODUCT((OFFSET(INDIRECT(CELL("address",INDEX('Leave Tracker'!$A$8:$A$100,MATCH($A32,'Leave Tracker'!$A$8:$A$100,0)))),0,31*(VLOOKUP(G$1,Sprints[],5,FALSE))+DAY(VLOOKUP(G$1,Sprints[],2,FALSE)),1,VLOOKUP(G$1,Sprints[],4,FALSE))&lt;&gt;"")*(IF(OFFSET(INDIRECT(CELL("address",INDEX('Leave Tracker'!$A$8:$A$100,MATCH($A32,'Leave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32">
        <f t="array" aca="1" ref="H32" ca="1">Sheet3!$W$2*$F32*(NETWORKDAYS(VLOOKUP(H$1,Sprints[],2,FALSE), VLOOKUP(H$1,Sprints[],3,FALSE))-SUMPRODUCT((OFFSET(INDIRECT(CELL("address",INDEX('Leave Tracker'!$A$8:$A$100,MATCH($A32,'Leave Tracker'!$A$8:$A$100,0)))),0,31*(VLOOKUP(H$1,Sprints[],5,FALSE))+DAY(VLOOKUP(H$1,Sprints[],2,FALSE)),1,VLOOKUP(H$1,Sprints[],4,FALSE))&lt;&gt;"")*(IF(OFFSET(INDIRECT(CELL("address",INDEX('Leave Tracker'!$A$8:$A$100,MATCH($A32,'Leave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32">
        <f t="array" aca="1" ref="I32" ca="1">Sheet3!$W$2*$F32*(NETWORKDAYS(VLOOKUP(I$1,Sprints[],2,FALSE), VLOOKUP(I$1,Sprints[],3,FALSE))-SUMPRODUCT((OFFSET(INDIRECT(CELL("address",INDEX('Leave Tracker'!$A$8:$A$100,MATCH($A32,'Leave Tracker'!$A$8:$A$100,0)))),0,31*(VLOOKUP(I$1,Sprints[],5,FALSE))+DAY(VLOOKUP(I$1,Sprints[],2,FALSE)),1,VLOOKUP(I$1,Sprints[],4,FALSE))&lt;&gt;"")*(IF(OFFSET(INDIRECT(CELL("address",INDEX('Leave Tracker'!$A$8:$A$100,MATCH($A32,'Leave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32">
        <f t="array" aca="1" ref="J32" ca="1">Sheet3!$W$2*$F32*(NETWORKDAYS(VLOOKUP(J$1,Sprints[],2,FALSE), VLOOKUP(J$1,Sprints[],3,FALSE))-SUMPRODUCT((OFFSET(INDIRECT(CELL("address",INDEX('Leave Tracker'!$A$8:$A$100,MATCH($A32,'Leave Tracker'!$A$8:$A$100,0)))),0,31*(VLOOKUP(J$1,Sprints[],5,FALSE))+DAY(VLOOKUP(J$1,Sprints[],2,FALSE)),1,VLOOKUP(J$1,Sprints[],4,FALSE))&lt;&gt;"")*(IF(OFFSET(INDIRECT(CELL("address",INDEX('Leave Tracker'!$A$8:$A$100,MATCH($A32,'Leave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32">
        <f t="array" aca="1" ref="K32" ca="1">Sheet3!$W$2*$F32*(NETWORKDAYS(VLOOKUP(K$1,Sprints[],2,FALSE), VLOOKUP(K$1,Sprints[],3,FALSE))-SUMPRODUCT((OFFSET(INDIRECT(CELL("address",INDEX('Leave Tracker'!$A$8:$A$100,MATCH($A32,'Leave Tracker'!$A$8:$A$100,0)))),0,31*(VLOOKUP(K$1,Sprints[],5,FALSE))+DAY(VLOOKUP(K$1,Sprints[],2,FALSE)),1,VLOOKUP(K$1,Sprints[],4,FALSE))&lt;&gt;"")*(IF(OFFSET(INDIRECT(CELL("address",INDEX('Leave Tracker'!$A$8:$A$100,MATCH($A32,'Leave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4.2000000000000011</v>
      </c>
      <c r="L32">
        <f t="array" aca="1" ref="L32" ca="1">Sheet3!$W$2*$F32*(NETWORKDAYS(VLOOKUP(L$1,Sprints[],2,FALSE), VLOOKUP(L$1,Sprints[],3,FALSE))-SUMPRODUCT((OFFSET(INDIRECT(CELL("address",INDEX('Leave Tracker'!$A$8:$A$100,MATCH($A32,'Leave Tracker'!$A$8:$A$100,0)))),0,31*(VLOOKUP(L$1,Sprints[],5,FALSE))+DAY(VLOOKUP(L$1,Sprints[],2,FALSE)),1,VLOOKUP(L$1,Sprints[],4,FALSE))&lt;&gt;"")*(IF(OFFSET(INDIRECT(CELL("address",INDEX('Leave Tracker'!$A$8:$A$100,MATCH($A32,'Leave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3.0000000000000004</v>
      </c>
      <c r="M32" s="45">
        <f t="array" aca="1" ref="M32" ca="1">Sheet3!$W$2*$F32*(NETWORKDAYS(VLOOKUP(M$1,Sprints[],2,FALSE), VLOOKUP(M$1,Sprints[],3,FALSE))-SUMPRODUCT((OFFSET(INDIRECT(CELL("address",INDEX('Leave Tracker'!$A$8:$A$100,MATCH($A32,'Leave Tracker'!$A$8:$A$100,0)))),0,31*(VLOOKUP(M$1,Sprints[],5,FALSE))+DAY(VLOOKUP(M$1,Sprints[],2,FALSE)),1,VLOOKUP(M$1,Sprints[],4,FALSE))&lt;&gt;"")*(IF(OFFSET(INDIRECT(CELL("address",INDEX('Leave Tracker'!$A$8:$A$100,MATCH($A32,'Leave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3.6000000000000005</v>
      </c>
      <c r="N32">
        <f t="array" aca="1" ref="N32" ca="1">Sheet3!$W$2*$F32*(NETWORKDAYS(VLOOKUP(N$1,Sprints[],2,FALSE), VLOOKUP(N$1,Sprints[],3,FALSE))-SUMPRODUCT((OFFSET(INDIRECT(CELL("address",INDEX('Leave Tracker'!$A$8:$A$100,MATCH($A32,'Leave Tracker'!$A$8:$A$100,0)))),0,31*(VLOOKUP(N$1,Sprints[],5,FALSE))+DAY(VLOOKUP(N$1,Sprints[],2,FALSE)),1,VLOOKUP(N$1,Sprints[],4,FALSE))&lt;&gt;"")*(IF(OFFSET(INDIRECT(CELL("address",INDEX('Leave Tracker'!$A$8:$A$100,MATCH($A32,'Leave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32">
        <f t="array" aca="1" ref="O32" ca="1">Sheet3!$W$2*$F32*(NETWORKDAYS(VLOOKUP(O$1,Sprints[],2,FALSE), VLOOKUP(O$1,Sprints[],3,FALSE))-SUMPRODUCT((OFFSET(INDIRECT(CELL("address",INDEX('Leave Tracker'!$A$8:$A$100,MATCH($A32,'Leave Tracker'!$A$8:$A$100,0)))),0,31*(VLOOKUP(O$1,Sprints[],5,FALSE))+DAY(VLOOKUP(O$1,Sprints[],2,FALSE)),1,VLOOKUP(O$1,Sprints[],4,FALSE))&lt;&gt;"")*(IF(OFFSET(INDIRECT(CELL("address",INDEX('Leave Tracker'!$A$8:$A$100,MATCH($A32,'Leave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32">
        <f t="array" aca="1" ref="P32" ca="1">Sheet3!$W$2*$F32*(NETWORKDAYS(VLOOKUP(P$1,Sprints[],2,FALSE), VLOOKUP(P$1,Sprints[],3,FALSE))-SUMPRODUCT((OFFSET(INDIRECT(CELL("address",INDEX('Leave Tracker'!$A$8:$A$100,MATCH($A32,'Leave Tracker'!$A$8:$A$100,0)))),0,31*(VLOOKUP(P$1,Sprints[],5,FALSE))+DAY(VLOOKUP(P$1,Sprints[],2,FALSE)),1,VLOOKUP(P$1,Sprints[],4,FALSE))&lt;&gt;"")*(IF(OFFSET(INDIRECT(CELL("address",INDEX('Leave Tracker'!$A$8:$A$100,MATCH($A32,'Leave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4.8000000000000007</v>
      </c>
      <c r="Q32">
        <f t="array" aca="1" ref="Q32" ca="1">Sheet3!$W$2*$F32*(NETWORKDAYS(VLOOKUP(Q$1,Sprints[],2,FALSE), VLOOKUP(Q$1,Sprints[],3,FALSE))-SUMPRODUCT((OFFSET(INDIRECT(CELL("address",INDEX('Leave Tracker'!$A$8:$A$100,MATCH($A32,'Leave Tracker'!$A$8:$A$100,0)))),0,31*(VLOOKUP(Q$1,Sprints[],5,FALSE))+DAY(VLOOKUP(Q$1,Sprints[],2,FALSE)),1,VLOOKUP(Q$1,Sprints[],4,FALSE))&lt;&gt;"")*(IF(OFFSET(INDIRECT(CELL("address",INDEX('Leave Tracker'!$A$8:$A$100,MATCH($A32,'Leave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3.6000000000000005</v>
      </c>
      <c r="R32">
        <f t="array" aca="1" ref="R32" ca="1">Sheet3!$W$2*$F32*(NETWORKDAYS(VLOOKUP(R$1,Sprints[],2,FALSE), VLOOKUP(R$1,Sprints[],3,FALSE))-SUMPRODUCT((OFFSET(INDIRECT(CELL("address",INDEX('Leave Tracker'!$A$8:$A$100,MATCH($A32,'Leave Tracker'!$A$8:$A$100,0)))),0,31*(VLOOKUP(R$1,Sprints[],5,FALSE))+DAY(VLOOKUP(R$1,Sprints[],2,FALSE)),1,VLOOKUP(R$1,Sprints[],4,FALSE))&lt;&gt;"")*(IF(OFFSET(INDIRECT(CELL("address",INDEX('Leave Tracker'!$A$8:$A$100,MATCH($A32,'Leave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33" spans="1:18" x14ac:dyDescent="0.45">
      <c r="A33" t="s">
        <v>91</v>
      </c>
      <c r="B33" s="45" t="s">
        <v>114</v>
      </c>
      <c r="C33" s="45" t="s">
        <v>117</v>
      </c>
      <c r="D33" s="45" t="s">
        <v>133</v>
      </c>
      <c r="E33" s="45" t="s">
        <v>128</v>
      </c>
      <c r="F33" s="47">
        <v>0.75</v>
      </c>
      <c r="G33" s="45">
        <f t="array" aca="1" ref="G33" ca="1">Sheet3!$W$2*$F33*(NETWORKDAYS(VLOOKUP(G$1,Sprints[],2,FALSE), VLOOKUP(G$1,Sprints[],3,FALSE))-SUMPRODUCT((OFFSET(INDIRECT(CELL("address",INDEX('Leave Tracker'!$A$8:$A$100,MATCH($A33,'Leave Tracker'!$A$8:$A$100,0)))),0,31*(VLOOKUP(G$1,Sprints[],5,FALSE))+DAY(VLOOKUP(G$1,Sprints[],2,FALSE)),1,VLOOKUP(G$1,Sprints[],4,FALSE))&lt;&gt;"")*(IF(OFFSET(INDIRECT(CELL("address",INDEX('Leave Tracker'!$A$8:$A$100,MATCH($A33,'Leave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33">
        <f t="array" aca="1" ref="H33" ca="1">Sheet3!$W$2*$F33*(NETWORKDAYS(VLOOKUP(H$1,Sprints[],2,FALSE), VLOOKUP(H$1,Sprints[],3,FALSE))-SUMPRODUCT((OFFSET(INDIRECT(CELL("address",INDEX('Leave Tracker'!$A$8:$A$100,MATCH($A33,'Leave Tracker'!$A$8:$A$100,0)))),0,31*(VLOOKUP(H$1,Sprints[],5,FALSE))+DAY(VLOOKUP(H$1,Sprints[],2,FALSE)),1,VLOOKUP(H$1,Sprints[],4,FALSE))&lt;&gt;"")*(IF(OFFSET(INDIRECT(CELL("address",INDEX('Leave Tracker'!$A$8:$A$100,MATCH($A33,'Leave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2.4000000000000004</v>
      </c>
      <c r="I33">
        <f t="array" aca="1" ref="I33" ca="1">Sheet3!$W$2*$F33*(NETWORKDAYS(VLOOKUP(I$1,Sprints[],2,FALSE), VLOOKUP(I$1,Sprints[],3,FALSE))-SUMPRODUCT((OFFSET(INDIRECT(CELL("address",INDEX('Leave Tracker'!$A$8:$A$100,MATCH($A33,'Leave Tracker'!$A$8:$A$100,0)))),0,31*(VLOOKUP(I$1,Sprints[],5,FALSE))+DAY(VLOOKUP(I$1,Sprints[],2,FALSE)),1,VLOOKUP(I$1,Sprints[],4,FALSE))&lt;&gt;"")*(IF(OFFSET(INDIRECT(CELL("address",INDEX('Leave Tracker'!$A$8:$A$100,MATCH($A33,'Leave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33">
        <f t="array" aca="1" ref="J33" ca="1">Sheet3!$W$2*$F33*(NETWORKDAYS(VLOOKUP(J$1,Sprints[],2,FALSE), VLOOKUP(J$1,Sprints[],3,FALSE))-SUMPRODUCT((OFFSET(INDIRECT(CELL("address",INDEX('Leave Tracker'!$A$8:$A$100,MATCH($A33,'Leave Tracker'!$A$8:$A$100,0)))),0,31*(VLOOKUP(J$1,Sprints[],5,FALSE))+DAY(VLOOKUP(J$1,Sprints[],2,FALSE)),1,VLOOKUP(J$1,Sprints[],4,FALSE))&lt;&gt;"")*(IF(OFFSET(INDIRECT(CELL("address",INDEX('Leave Tracker'!$A$8:$A$100,MATCH($A33,'Leave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33">
        <f t="array" aca="1" ref="K33" ca="1">Sheet3!$W$2*$F33*(NETWORKDAYS(VLOOKUP(K$1,Sprints[],2,FALSE), VLOOKUP(K$1,Sprints[],3,FALSE))-SUMPRODUCT((OFFSET(INDIRECT(CELL("address",INDEX('Leave Tracker'!$A$8:$A$100,MATCH($A33,'Leave Tracker'!$A$8:$A$100,0)))),0,31*(VLOOKUP(K$1,Sprints[],5,FALSE))+DAY(VLOOKUP(K$1,Sprints[],2,FALSE)),1,VLOOKUP(K$1,Sprints[],4,FALSE))&lt;&gt;"")*(IF(OFFSET(INDIRECT(CELL("address",INDEX('Leave Tracker'!$A$8:$A$100,MATCH($A33,'Leave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33">
        <f t="array" aca="1" ref="L33" ca="1">Sheet3!$W$2*$F33*(NETWORKDAYS(VLOOKUP(L$1,Sprints[],2,FALSE), VLOOKUP(L$1,Sprints[],3,FALSE))-SUMPRODUCT((OFFSET(INDIRECT(CELL("address",INDEX('Leave Tracker'!$A$8:$A$100,MATCH($A33,'Leave Tracker'!$A$8:$A$100,0)))),0,31*(VLOOKUP(L$1,Sprints[],5,FALSE))+DAY(VLOOKUP(L$1,Sprints[],2,FALSE)),1,VLOOKUP(L$1,Sprints[],4,FALSE))&lt;&gt;"")*(IF(OFFSET(INDIRECT(CELL("address",INDEX('Leave Tracker'!$A$8:$A$100,MATCH($A33,'Leave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6.0000000000000009</v>
      </c>
      <c r="M33" s="45">
        <f t="array" aca="1" ref="M33" ca="1">Sheet3!$W$2*$F33*(NETWORKDAYS(VLOOKUP(M$1,Sprints[],2,FALSE), VLOOKUP(M$1,Sprints[],3,FALSE))-SUMPRODUCT((OFFSET(INDIRECT(CELL("address",INDEX('Leave Tracker'!$A$8:$A$100,MATCH($A33,'Leave Tracker'!$A$8:$A$100,0)))),0,31*(VLOOKUP(M$1,Sprints[],5,FALSE))+DAY(VLOOKUP(M$1,Sprints[],2,FALSE)),1,VLOOKUP(M$1,Sprints[],4,FALSE))&lt;&gt;"")*(IF(OFFSET(INDIRECT(CELL("address",INDEX('Leave Tracker'!$A$8:$A$100,MATCH($A33,'Leave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33">
        <f t="array" aca="1" ref="N33" ca="1">Sheet3!$W$2*$F33*(NETWORKDAYS(VLOOKUP(N$1,Sprints[],2,FALSE), VLOOKUP(N$1,Sprints[],3,FALSE))-SUMPRODUCT((OFFSET(INDIRECT(CELL("address",INDEX('Leave Tracker'!$A$8:$A$100,MATCH($A33,'Leave Tracker'!$A$8:$A$100,0)))),0,31*(VLOOKUP(N$1,Sprints[],5,FALSE))+DAY(VLOOKUP(N$1,Sprints[],2,FALSE)),1,VLOOKUP(N$1,Sprints[],4,FALSE))&lt;&gt;"")*(IF(OFFSET(INDIRECT(CELL("address",INDEX('Leave Tracker'!$A$8:$A$100,MATCH($A33,'Leave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33">
        <f t="array" aca="1" ref="O33" ca="1">Sheet3!$W$2*$F33*(NETWORKDAYS(VLOOKUP(O$1,Sprints[],2,FALSE), VLOOKUP(O$1,Sprints[],3,FALSE))-SUMPRODUCT((OFFSET(INDIRECT(CELL("address",INDEX('Leave Tracker'!$A$8:$A$100,MATCH($A33,'Leave Tracker'!$A$8:$A$100,0)))),0,31*(VLOOKUP(O$1,Sprints[],5,FALSE))+DAY(VLOOKUP(O$1,Sprints[],2,FALSE)),1,VLOOKUP(O$1,Sprints[],4,FALSE))&lt;&gt;"")*(IF(OFFSET(INDIRECT(CELL("address",INDEX('Leave Tracker'!$A$8:$A$100,MATCH($A33,'Leave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33">
        <f t="array" aca="1" ref="P33" ca="1">Sheet3!$W$2*$F33*(NETWORKDAYS(VLOOKUP(P$1,Sprints[],2,FALSE), VLOOKUP(P$1,Sprints[],3,FALSE))-SUMPRODUCT((OFFSET(INDIRECT(CELL("address",INDEX('Leave Tracker'!$A$8:$A$100,MATCH($A33,'Leave Tracker'!$A$8:$A$100,0)))),0,31*(VLOOKUP(P$1,Sprints[],5,FALSE))+DAY(VLOOKUP(P$1,Sprints[],2,FALSE)),1,VLOOKUP(P$1,Sprints[],4,FALSE))&lt;&gt;"")*(IF(OFFSET(INDIRECT(CELL("address",INDEX('Leave Tracker'!$A$8:$A$100,MATCH($A33,'Leave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33">
        <f t="array" aca="1" ref="Q33" ca="1">Sheet3!$W$2*$F33*(NETWORKDAYS(VLOOKUP(Q$1,Sprints[],2,FALSE), VLOOKUP(Q$1,Sprints[],3,FALSE))-SUMPRODUCT((OFFSET(INDIRECT(CELL("address",INDEX('Leave Tracker'!$A$8:$A$100,MATCH($A33,'Leave Tracker'!$A$8:$A$100,0)))),0,31*(VLOOKUP(Q$1,Sprints[],5,FALSE))+DAY(VLOOKUP(Q$1,Sprints[],2,FALSE)),1,VLOOKUP(Q$1,Sprints[],4,FALSE))&lt;&gt;"")*(IF(OFFSET(INDIRECT(CELL("address",INDEX('Leave Tracker'!$A$8:$A$100,MATCH($A33,'Leave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3.0000000000000004</v>
      </c>
      <c r="R33">
        <f t="array" aca="1" ref="R33" ca="1">Sheet3!$W$2*$F33*(NETWORKDAYS(VLOOKUP(R$1,Sprints[],2,FALSE), VLOOKUP(R$1,Sprints[],3,FALSE))-SUMPRODUCT((OFFSET(INDIRECT(CELL("address",INDEX('Leave Tracker'!$A$8:$A$100,MATCH($A33,'Leave Tracker'!$A$8:$A$100,0)))),0,31*(VLOOKUP(R$1,Sprints[],5,FALSE))+DAY(VLOOKUP(R$1,Sprints[],2,FALSE)),1,VLOOKUP(R$1,Sprints[],4,FALSE))&lt;&gt;"")*(IF(OFFSET(INDIRECT(CELL("address",INDEX('Leave Tracker'!$A$8:$A$100,MATCH($A33,'Leave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34" spans="1:18" x14ac:dyDescent="0.45">
      <c r="A34" t="s">
        <v>92</v>
      </c>
      <c r="B34" s="45" t="s">
        <v>114</v>
      </c>
      <c r="C34" s="45" t="s">
        <v>117</v>
      </c>
      <c r="D34" s="45" t="s">
        <v>133</v>
      </c>
      <c r="E34" s="45" t="s">
        <v>128</v>
      </c>
      <c r="F34" s="47">
        <v>0.75</v>
      </c>
      <c r="G34" s="45">
        <f t="array" aca="1" ref="G34" ca="1">Sheet3!$W$2*$F34*(NETWORKDAYS(VLOOKUP(G$1,Sprints[],2,FALSE), VLOOKUP(G$1,Sprints[],3,FALSE))-SUMPRODUCT((OFFSET(INDIRECT(CELL("address",INDEX('Leave Tracker'!$A$8:$A$100,MATCH($A34,'Leave Tracker'!$A$8:$A$100,0)))),0,31*(VLOOKUP(G$1,Sprints[],5,FALSE))+DAY(VLOOKUP(G$1,Sprints[],2,FALSE)),1,VLOOKUP(G$1,Sprints[],4,FALSE))&lt;&gt;"")*(IF(OFFSET(INDIRECT(CELL("address",INDEX('Leave Tracker'!$A$8:$A$100,MATCH($A34,'Leave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3.0000000000000004</v>
      </c>
      <c r="H34">
        <f t="array" aca="1" ref="H34" ca="1">Sheet3!$W$2*$F34*(NETWORKDAYS(VLOOKUP(H$1,Sprints[],2,FALSE), VLOOKUP(H$1,Sprints[],3,FALSE))-SUMPRODUCT((OFFSET(INDIRECT(CELL("address",INDEX('Leave Tracker'!$A$8:$A$100,MATCH($A34,'Leave Tracker'!$A$8:$A$100,0)))),0,31*(VLOOKUP(H$1,Sprints[],5,FALSE))+DAY(VLOOKUP(H$1,Sprints[],2,FALSE)),1,VLOOKUP(H$1,Sprints[],4,FALSE))&lt;&gt;"")*(IF(OFFSET(INDIRECT(CELL("address",INDEX('Leave Tracker'!$A$8:$A$100,MATCH($A34,'Leave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6.0000000000000009</v>
      </c>
      <c r="I34">
        <f t="array" aca="1" ref="I34" ca="1">Sheet3!$W$2*$F34*(NETWORKDAYS(VLOOKUP(I$1,Sprints[],2,FALSE), VLOOKUP(I$1,Sprints[],3,FALSE))-SUMPRODUCT((OFFSET(INDIRECT(CELL("address",INDEX('Leave Tracker'!$A$8:$A$100,MATCH($A34,'Leave Tracker'!$A$8:$A$100,0)))),0,31*(VLOOKUP(I$1,Sprints[],5,FALSE))+DAY(VLOOKUP(I$1,Sprints[],2,FALSE)),1,VLOOKUP(I$1,Sprints[],4,FALSE))&lt;&gt;"")*(IF(OFFSET(INDIRECT(CELL("address",INDEX('Leave Tracker'!$A$8:$A$100,MATCH($A34,'Leave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6.0000000000000009</v>
      </c>
      <c r="J34">
        <f t="array" aca="1" ref="J34" ca="1">Sheet3!$W$2*$F34*(NETWORKDAYS(VLOOKUP(J$1,Sprints[],2,FALSE), VLOOKUP(J$1,Sprints[],3,FALSE))-SUMPRODUCT((OFFSET(INDIRECT(CELL("address",INDEX('Leave Tracker'!$A$8:$A$100,MATCH($A34,'Leave Tracker'!$A$8:$A$100,0)))),0,31*(VLOOKUP(J$1,Sprints[],5,FALSE))+DAY(VLOOKUP(J$1,Sprints[],2,FALSE)),1,VLOOKUP(J$1,Sprints[],4,FALSE))&lt;&gt;"")*(IF(OFFSET(INDIRECT(CELL("address",INDEX('Leave Tracker'!$A$8:$A$100,MATCH($A34,'Leave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4.5000000000000009</v>
      </c>
      <c r="K34">
        <f t="array" aca="1" ref="K34" ca="1">Sheet3!$W$2*$F34*(NETWORKDAYS(VLOOKUP(K$1,Sprints[],2,FALSE), VLOOKUP(K$1,Sprints[],3,FALSE))-SUMPRODUCT((OFFSET(INDIRECT(CELL("address",INDEX('Leave Tracker'!$A$8:$A$100,MATCH($A34,'Leave Tracker'!$A$8:$A$100,0)))),0,31*(VLOOKUP(K$1,Sprints[],5,FALSE))+DAY(VLOOKUP(K$1,Sprints[],2,FALSE)),1,VLOOKUP(K$1,Sprints[],4,FALSE))&lt;&gt;"")*(IF(OFFSET(INDIRECT(CELL("address",INDEX('Leave Tracker'!$A$8:$A$100,MATCH($A34,'Leave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34">
        <f t="array" aca="1" ref="L34" ca="1">Sheet3!$W$2*$F34*(NETWORKDAYS(VLOOKUP(L$1,Sprints[],2,FALSE), VLOOKUP(L$1,Sprints[],3,FALSE))-SUMPRODUCT((OFFSET(INDIRECT(CELL("address",INDEX('Leave Tracker'!$A$8:$A$100,MATCH($A34,'Leave Tracker'!$A$8:$A$100,0)))),0,31*(VLOOKUP(L$1,Sprints[],5,FALSE))+DAY(VLOOKUP(L$1,Sprints[],2,FALSE)),1,VLOOKUP(L$1,Sprints[],4,FALSE))&lt;&gt;"")*(IF(OFFSET(INDIRECT(CELL("address",INDEX('Leave Tracker'!$A$8:$A$100,MATCH($A34,'Leave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6.0000000000000009</v>
      </c>
      <c r="M34" s="45">
        <f t="array" aca="1" ref="M34" ca="1">Sheet3!$W$2*$F34*(NETWORKDAYS(VLOOKUP(M$1,Sprints[],2,FALSE), VLOOKUP(M$1,Sprints[],3,FALSE))-SUMPRODUCT((OFFSET(INDIRECT(CELL("address",INDEX('Leave Tracker'!$A$8:$A$100,MATCH($A34,'Leave Tracker'!$A$8:$A$100,0)))),0,31*(VLOOKUP(M$1,Sprints[],5,FALSE))+DAY(VLOOKUP(M$1,Sprints[],2,FALSE)),1,VLOOKUP(M$1,Sprints[],4,FALSE))&lt;&gt;"")*(IF(OFFSET(INDIRECT(CELL("address",INDEX('Leave Tracker'!$A$8:$A$100,MATCH($A34,'Leave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34">
        <f t="array" aca="1" ref="N34" ca="1">Sheet3!$W$2*$F34*(NETWORKDAYS(VLOOKUP(N$1,Sprints[],2,FALSE), VLOOKUP(N$1,Sprints[],3,FALSE))-SUMPRODUCT((OFFSET(INDIRECT(CELL("address",INDEX('Leave Tracker'!$A$8:$A$100,MATCH($A34,'Leave Tracker'!$A$8:$A$100,0)))),0,31*(VLOOKUP(N$1,Sprints[],5,FALSE))+DAY(VLOOKUP(N$1,Sprints[],2,FALSE)),1,VLOOKUP(N$1,Sprints[],4,FALSE))&lt;&gt;"")*(IF(OFFSET(INDIRECT(CELL("address",INDEX('Leave Tracker'!$A$8:$A$100,MATCH($A34,'Leave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34">
        <f t="array" aca="1" ref="O34" ca="1">Sheet3!$W$2*$F34*(NETWORKDAYS(VLOOKUP(O$1,Sprints[],2,FALSE), VLOOKUP(O$1,Sprints[],3,FALSE))-SUMPRODUCT((OFFSET(INDIRECT(CELL("address",INDEX('Leave Tracker'!$A$8:$A$100,MATCH($A34,'Leave Tracker'!$A$8:$A$100,0)))),0,31*(VLOOKUP(O$1,Sprints[],5,FALSE))+DAY(VLOOKUP(O$1,Sprints[],2,FALSE)),1,VLOOKUP(O$1,Sprints[],4,FALSE))&lt;&gt;"")*(IF(OFFSET(INDIRECT(CELL("address",INDEX('Leave Tracker'!$A$8:$A$100,MATCH($A34,'Leave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5.4</v>
      </c>
      <c r="P34">
        <f t="array" aca="1" ref="P34" ca="1">Sheet3!$W$2*$F34*(NETWORKDAYS(VLOOKUP(P$1,Sprints[],2,FALSE), VLOOKUP(P$1,Sprints[],3,FALSE))-SUMPRODUCT((OFFSET(INDIRECT(CELL("address",INDEX('Leave Tracker'!$A$8:$A$100,MATCH($A34,'Leave Tracker'!$A$8:$A$100,0)))),0,31*(VLOOKUP(P$1,Sprints[],5,FALSE))+DAY(VLOOKUP(P$1,Sprints[],2,FALSE)),1,VLOOKUP(P$1,Sprints[],4,FALSE))&lt;&gt;"")*(IF(OFFSET(INDIRECT(CELL("address",INDEX('Leave Tracker'!$A$8:$A$100,MATCH($A34,'Leave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4.2000000000000011</v>
      </c>
      <c r="Q34">
        <f t="array" aca="1" ref="Q34" ca="1">Sheet3!$W$2*$F34*(NETWORKDAYS(VLOOKUP(Q$1,Sprints[],2,FALSE), VLOOKUP(Q$1,Sprints[],3,FALSE))-SUMPRODUCT((OFFSET(INDIRECT(CELL("address",INDEX('Leave Tracker'!$A$8:$A$100,MATCH($A34,'Leave Tracker'!$A$8:$A$100,0)))),0,31*(VLOOKUP(Q$1,Sprints[],5,FALSE))+DAY(VLOOKUP(Q$1,Sprints[],2,FALSE)),1,VLOOKUP(Q$1,Sprints[],4,FALSE))&lt;&gt;"")*(IF(OFFSET(INDIRECT(CELL("address",INDEX('Leave Tracker'!$A$8:$A$100,MATCH($A34,'Leave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5.4</v>
      </c>
      <c r="R34">
        <f t="array" aca="1" ref="R34" ca="1">Sheet3!$W$2*$F34*(NETWORKDAYS(VLOOKUP(R$1,Sprints[],2,FALSE), VLOOKUP(R$1,Sprints[],3,FALSE))-SUMPRODUCT((OFFSET(INDIRECT(CELL("address",INDEX('Leave Tracker'!$A$8:$A$100,MATCH($A34,'Leave Tracker'!$A$8:$A$100,0)))),0,31*(VLOOKUP(R$1,Sprints[],5,FALSE))+DAY(VLOOKUP(R$1,Sprints[],2,FALSE)),1,VLOOKUP(R$1,Sprints[],4,FALSE))&lt;&gt;"")*(IF(OFFSET(INDIRECT(CELL("address",INDEX('Leave Tracker'!$A$8:$A$100,MATCH($A34,'Leave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35" spans="1:18" x14ac:dyDescent="0.45">
      <c r="A35" t="s">
        <v>93</v>
      </c>
      <c r="B35" s="45" t="s">
        <v>116</v>
      </c>
      <c r="C35" s="45" t="s">
        <v>117</v>
      </c>
      <c r="D35" s="45" t="s">
        <v>121</v>
      </c>
      <c r="E35" s="45" t="s">
        <v>126</v>
      </c>
      <c r="F35" s="47">
        <v>0.2</v>
      </c>
      <c r="G35" s="45">
        <f t="array" aca="1" ref="G35" ca="1">Sheet3!$W$2*$F35*(NETWORKDAYS(VLOOKUP(G$1,Sprints[],2,FALSE), VLOOKUP(G$1,Sprints[],3,FALSE))-SUMPRODUCT((OFFSET(INDIRECT(CELL("address",INDEX('Leave Tracker'!$A$8:$A$100,MATCH($A35,'Leave Tracker'!$A$8:$A$100,0)))),0,31*(VLOOKUP(G$1,Sprints[],5,FALSE))+DAY(VLOOKUP(G$1,Sprints[],2,FALSE)),1,VLOOKUP(G$1,Sprints[],4,FALSE))&lt;&gt;"")*(IF(OFFSET(INDIRECT(CELL("address",INDEX('Leave Tracker'!$A$8:$A$100,MATCH($A35,'Leave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0.80000000000000016</v>
      </c>
      <c r="H35">
        <f t="array" aca="1" ref="H35" ca="1">Sheet3!$W$2*$F35*(NETWORKDAYS(VLOOKUP(H$1,Sprints[],2,FALSE), VLOOKUP(H$1,Sprints[],3,FALSE))-SUMPRODUCT((OFFSET(INDIRECT(CELL("address",INDEX('Leave Tracker'!$A$8:$A$100,MATCH($A35,'Leave Tracker'!$A$8:$A$100,0)))),0,31*(VLOOKUP(H$1,Sprints[],5,FALSE))+DAY(VLOOKUP(H$1,Sprints[],2,FALSE)),1,VLOOKUP(H$1,Sprints[],4,FALSE))&lt;&gt;"")*(IF(OFFSET(INDIRECT(CELL("address",INDEX('Leave Tracker'!$A$8:$A$100,MATCH($A35,'Leave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1.6000000000000003</v>
      </c>
      <c r="I35">
        <f t="array" aca="1" ref="I35" ca="1">Sheet3!$W$2*$F35*(NETWORKDAYS(VLOOKUP(I$1,Sprints[],2,FALSE), VLOOKUP(I$1,Sprints[],3,FALSE))-SUMPRODUCT((OFFSET(INDIRECT(CELL("address",INDEX('Leave Tracker'!$A$8:$A$100,MATCH($A35,'Leave Tracker'!$A$8:$A$100,0)))),0,31*(VLOOKUP(I$1,Sprints[],5,FALSE))+DAY(VLOOKUP(I$1,Sprints[],2,FALSE)),1,VLOOKUP(I$1,Sprints[],4,FALSE))&lt;&gt;"")*(IF(OFFSET(INDIRECT(CELL("address",INDEX('Leave Tracker'!$A$8:$A$100,MATCH($A35,'Leave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1.6000000000000003</v>
      </c>
      <c r="J35">
        <f t="array" aca="1" ref="J35" ca="1">Sheet3!$W$2*$F35*(NETWORKDAYS(VLOOKUP(J$1,Sprints[],2,FALSE), VLOOKUP(J$1,Sprints[],3,FALSE))-SUMPRODUCT((OFFSET(INDIRECT(CELL("address",INDEX('Leave Tracker'!$A$8:$A$100,MATCH($A35,'Leave Tracker'!$A$8:$A$100,0)))),0,31*(VLOOKUP(J$1,Sprints[],5,FALSE))+DAY(VLOOKUP(J$1,Sprints[],2,FALSE)),1,VLOOKUP(J$1,Sprints[],4,FALSE))&lt;&gt;"")*(IF(OFFSET(INDIRECT(CELL("address",INDEX('Leave Tracker'!$A$8:$A$100,MATCH($A35,'Leave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1.2000000000000002</v>
      </c>
      <c r="K35">
        <f t="array" aca="1" ref="K35" ca="1">Sheet3!$W$2*$F35*(NETWORKDAYS(VLOOKUP(K$1,Sprints[],2,FALSE), VLOOKUP(K$1,Sprints[],3,FALSE))-SUMPRODUCT((OFFSET(INDIRECT(CELL("address",INDEX('Leave Tracker'!$A$8:$A$100,MATCH($A35,'Leave Tracker'!$A$8:$A$100,0)))),0,31*(VLOOKUP(K$1,Sprints[],5,FALSE))+DAY(VLOOKUP(K$1,Sprints[],2,FALSE)),1,VLOOKUP(K$1,Sprints[],4,FALSE))&lt;&gt;"")*(IF(OFFSET(INDIRECT(CELL("address",INDEX('Leave Tracker'!$A$8:$A$100,MATCH($A35,'Leave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1.6000000000000003</v>
      </c>
      <c r="L35">
        <f t="array" aca="1" ref="L35" ca="1">Sheet3!$W$2*$F35*(NETWORKDAYS(VLOOKUP(L$1,Sprints[],2,FALSE), VLOOKUP(L$1,Sprints[],3,FALSE))-SUMPRODUCT((OFFSET(INDIRECT(CELL("address",INDEX('Leave Tracker'!$A$8:$A$100,MATCH($A35,'Leave Tracker'!$A$8:$A$100,0)))),0,31*(VLOOKUP(L$1,Sprints[],5,FALSE))+DAY(VLOOKUP(L$1,Sprints[],2,FALSE)),1,VLOOKUP(L$1,Sprints[],4,FALSE))&lt;&gt;"")*(IF(OFFSET(INDIRECT(CELL("address",INDEX('Leave Tracker'!$A$8:$A$100,MATCH($A35,'Leave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1.6000000000000003</v>
      </c>
      <c r="M35" s="45">
        <f t="array" aca="1" ref="M35" ca="1">Sheet3!$W$2*$F35*(NETWORKDAYS(VLOOKUP(M$1,Sprints[],2,FALSE), VLOOKUP(M$1,Sprints[],3,FALSE))-SUMPRODUCT((OFFSET(INDIRECT(CELL("address",INDEX('Leave Tracker'!$A$8:$A$100,MATCH($A35,'Leave Tracker'!$A$8:$A$100,0)))),0,31*(VLOOKUP(M$1,Sprints[],5,FALSE))+DAY(VLOOKUP(M$1,Sprints[],2,FALSE)),1,VLOOKUP(M$1,Sprints[],4,FALSE))&lt;&gt;"")*(IF(OFFSET(INDIRECT(CELL("address",INDEX('Leave Tracker'!$A$8:$A$100,MATCH($A35,'Leave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1.1200000000000001</v>
      </c>
      <c r="N35">
        <f t="array" aca="1" ref="N35" ca="1">Sheet3!$W$2*$F35*(NETWORKDAYS(VLOOKUP(N$1,Sprints[],2,FALSE), VLOOKUP(N$1,Sprints[],3,FALSE))-SUMPRODUCT((OFFSET(INDIRECT(CELL("address",INDEX('Leave Tracker'!$A$8:$A$100,MATCH($A35,'Leave Tracker'!$A$8:$A$100,0)))),0,31*(VLOOKUP(N$1,Sprints[],5,FALSE))+DAY(VLOOKUP(N$1,Sprints[],2,FALSE)),1,VLOOKUP(N$1,Sprints[],4,FALSE))&lt;&gt;"")*(IF(OFFSET(INDIRECT(CELL("address",INDEX('Leave Tracker'!$A$8:$A$100,MATCH($A35,'Leave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1.6000000000000003</v>
      </c>
      <c r="O35">
        <f t="array" aca="1" ref="O35" ca="1">Sheet3!$W$2*$F35*(NETWORKDAYS(VLOOKUP(O$1,Sprints[],2,FALSE), VLOOKUP(O$1,Sprints[],3,FALSE))-SUMPRODUCT((OFFSET(INDIRECT(CELL("address",INDEX('Leave Tracker'!$A$8:$A$100,MATCH($A35,'Leave Tracker'!$A$8:$A$100,0)))),0,31*(VLOOKUP(O$1,Sprints[],5,FALSE))+DAY(VLOOKUP(O$1,Sprints[],2,FALSE)),1,VLOOKUP(O$1,Sprints[],4,FALSE))&lt;&gt;"")*(IF(OFFSET(INDIRECT(CELL("address",INDEX('Leave Tracker'!$A$8:$A$100,MATCH($A35,'Leave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1.4400000000000004</v>
      </c>
      <c r="P35">
        <f t="array" aca="1" ref="P35" ca="1">Sheet3!$W$2*$F35*(NETWORKDAYS(VLOOKUP(P$1,Sprints[],2,FALSE), VLOOKUP(P$1,Sprints[],3,FALSE))-SUMPRODUCT((OFFSET(INDIRECT(CELL("address",INDEX('Leave Tracker'!$A$8:$A$100,MATCH($A35,'Leave Tracker'!$A$8:$A$100,0)))),0,31*(VLOOKUP(P$1,Sprints[],5,FALSE))+DAY(VLOOKUP(P$1,Sprints[],2,FALSE)),1,VLOOKUP(P$1,Sprints[],4,FALSE))&lt;&gt;"")*(IF(OFFSET(INDIRECT(CELL("address",INDEX('Leave Tracker'!$A$8:$A$100,MATCH($A35,'Leave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0.80000000000000016</v>
      </c>
      <c r="Q35">
        <f t="array" aca="1" ref="Q35" ca="1">Sheet3!$W$2*$F35*(NETWORKDAYS(VLOOKUP(Q$1,Sprints[],2,FALSE), VLOOKUP(Q$1,Sprints[],3,FALSE))-SUMPRODUCT((OFFSET(INDIRECT(CELL("address",INDEX('Leave Tracker'!$A$8:$A$100,MATCH($A35,'Leave Tracker'!$A$8:$A$100,0)))),0,31*(VLOOKUP(Q$1,Sprints[],5,FALSE))+DAY(VLOOKUP(Q$1,Sprints[],2,FALSE)),1,VLOOKUP(Q$1,Sprints[],4,FALSE))&lt;&gt;"")*(IF(OFFSET(INDIRECT(CELL("address",INDEX('Leave Tracker'!$A$8:$A$100,MATCH($A35,'Leave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1.4400000000000004</v>
      </c>
      <c r="R35">
        <f t="array" aca="1" ref="R35" ca="1">Sheet3!$W$2*$F35*(NETWORKDAYS(VLOOKUP(R$1,Sprints[],2,FALSE), VLOOKUP(R$1,Sprints[],3,FALSE))-SUMPRODUCT((OFFSET(INDIRECT(CELL("address",INDEX('Leave Tracker'!$A$8:$A$100,MATCH($A35,'Leave Tracker'!$A$8:$A$100,0)))),0,31*(VLOOKUP(R$1,Sprints[],5,FALSE))+DAY(VLOOKUP(R$1,Sprints[],2,FALSE)),1,VLOOKUP(R$1,Sprints[],4,FALSE))&lt;&gt;"")*(IF(OFFSET(INDIRECT(CELL("address",INDEX('Leave Tracker'!$A$8:$A$100,MATCH($A35,'Leave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1.6000000000000003</v>
      </c>
    </row>
    <row r="36" spans="1:18" x14ac:dyDescent="0.45">
      <c r="A36" t="s">
        <v>94</v>
      </c>
      <c r="B36" s="45" t="s">
        <v>116</v>
      </c>
      <c r="C36" s="45" t="s">
        <v>118</v>
      </c>
      <c r="D36" s="45" t="s">
        <v>123</v>
      </c>
      <c r="E36" s="45" t="s">
        <v>125</v>
      </c>
      <c r="F36" s="47">
        <v>0.6</v>
      </c>
      <c r="G36" s="45">
        <f t="array" aca="1" ref="G36" ca="1">Sheet3!$W$2*$F36*(NETWORKDAYS(VLOOKUP(G$1,Sprints[],2,FALSE), VLOOKUP(G$1,Sprints[],3,FALSE))-SUMPRODUCT((OFFSET(INDIRECT(CELL("address",INDEX('Leave Tracker'!$A$8:$A$100,MATCH($A36,'Leave Tracker'!$A$8:$A$100,0)))),0,31*(VLOOKUP(G$1,Sprints[],5,FALSE))+DAY(VLOOKUP(G$1,Sprints[],2,FALSE)),1,VLOOKUP(G$1,Sprints[],4,FALSE))&lt;&gt;"")*(IF(OFFSET(INDIRECT(CELL("address",INDEX('Leave Tracker'!$A$8:$A$100,MATCH($A36,'Leave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1.92</v>
      </c>
      <c r="H36">
        <f t="array" aca="1" ref="H36" ca="1">Sheet3!$W$2*$F36*(NETWORKDAYS(VLOOKUP(H$1,Sprints[],2,FALSE), VLOOKUP(H$1,Sprints[],3,FALSE))-SUMPRODUCT((OFFSET(INDIRECT(CELL("address",INDEX('Leave Tracker'!$A$8:$A$100,MATCH($A36,'Leave Tracker'!$A$8:$A$100,0)))),0,31*(VLOOKUP(H$1,Sprints[],5,FALSE))+DAY(VLOOKUP(H$1,Sprints[],2,FALSE)),1,VLOOKUP(H$1,Sprints[],4,FALSE))&lt;&gt;"")*(IF(OFFSET(INDIRECT(CELL("address",INDEX('Leave Tracker'!$A$8:$A$100,MATCH($A36,'Leave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4.32</v>
      </c>
      <c r="I36">
        <f t="array" aca="1" ref="I36" ca="1">Sheet3!$W$2*$F36*(NETWORKDAYS(VLOOKUP(I$1,Sprints[],2,FALSE), VLOOKUP(I$1,Sprints[],3,FALSE))-SUMPRODUCT((OFFSET(INDIRECT(CELL("address",INDEX('Leave Tracker'!$A$8:$A$100,MATCH($A36,'Leave Tracker'!$A$8:$A$100,0)))),0,31*(VLOOKUP(I$1,Sprints[],5,FALSE))+DAY(VLOOKUP(I$1,Sprints[],2,FALSE)),1,VLOOKUP(I$1,Sprints[],4,FALSE))&lt;&gt;"")*(IF(OFFSET(INDIRECT(CELL("address",INDEX('Leave Tracker'!$A$8:$A$100,MATCH($A36,'Leave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4.32</v>
      </c>
      <c r="J36">
        <f t="array" aca="1" ref="J36" ca="1">Sheet3!$W$2*$F36*(NETWORKDAYS(VLOOKUP(J$1,Sprints[],2,FALSE), VLOOKUP(J$1,Sprints[],3,FALSE))-SUMPRODUCT((OFFSET(INDIRECT(CELL("address",INDEX('Leave Tracker'!$A$8:$A$100,MATCH($A36,'Leave Tracker'!$A$8:$A$100,0)))),0,31*(VLOOKUP(J$1,Sprints[],5,FALSE))+DAY(VLOOKUP(J$1,Sprints[],2,FALSE)),1,VLOOKUP(J$1,Sprints[],4,FALSE))&lt;&gt;"")*(IF(OFFSET(INDIRECT(CELL("address",INDEX('Leave Tracker'!$A$8:$A$100,MATCH($A36,'Leave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4.8</v>
      </c>
      <c r="K36">
        <f t="array" aca="1" ref="K36" ca="1">Sheet3!$W$2*$F36*(NETWORKDAYS(VLOOKUP(K$1,Sprints[],2,FALSE), VLOOKUP(K$1,Sprints[],3,FALSE))-SUMPRODUCT((OFFSET(INDIRECT(CELL("address",INDEX('Leave Tracker'!$A$8:$A$100,MATCH($A36,'Leave Tracker'!$A$8:$A$100,0)))),0,31*(VLOOKUP(K$1,Sprints[],5,FALSE))+DAY(VLOOKUP(K$1,Sprints[],2,FALSE)),1,VLOOKUP(K$1,Sprints[],4,FALSE))&lt;&gt;"")*(IF(OFFSET(INDIRECT(CELL("address",INDEX('Leave Tracker'!$A$8:$A$100,MATCH($A36,'Leave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4.8</v>
      </c>
      <c r="L36">
        <f t="array" aca="1" ref="L36" ca="1">Sheet3!$W$2*$F36*(NETWORKDAYS(VLOOKUP(L$1,Sprints[],2,FALSE), VLOOKUP(L$1,Sprints[],3,FALSE))-SUMPRODUCT((OFFSET(INDIRECT(CELL("address",INDEX('Leave Tracker'!$A$8:$A$100,MATCH($A36,'Leave Tracker'!$A$8:$A$100,0)))),0,31*(VLOOKUP(L$1,Sprints[],5,FALSE))+DAY(VLOOKUP(L$1,Sprints[],2,FALSE)),1,VLOOKUP(L$1,Sprints[],4,FALSE))&lt;&gt;"")*(IF(OFFSET(INDIRECT(CELL("address",INDEX('Leave Tracker'!$A$8:$A$100,MATCH($A36,'Leave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4.8</v>
      </c>
      <c r="M36" s="45">
        <f t="array" aca="1" ref="M36" ca="1">Sheet3!$W$2*$F36*(NETWORKDAYS(VLOOKUP(M$1,Sprints[],2,FALSE), VLOOKUP(M$1,Sprints[],3,FALSE))-SUMPRODUCT((OFFSET(INDIRECT(CELL("address",INDEX('Leave Tracker'!$A$8:$A$100,MATCH($A36,'Leave Tracker'!$A$8:$A$100,0)))),0,31*(VLOOKUP(M$1,Sprints[],5,FALSE))+DAY(VLOOKUP(M$1,Sprints[],2,FALSE)),1,VLOOKUP(M$1,Sprints[],4,FALSE))&lt;&gt;"")*(IF(OFFSET(INDIRECT(CELL("address",INDEX('Leave Tracker'!$A$8:$A$100,MATCH($A36,'Leave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4.32</v>
      </c>
      <c r="N36">
        <f t="array" aca="1" ref="N36" ca="1">Sheet3!$W$2*$F36*(NETWORKDAYS(VLOOKUP(N$1,Sprints[],2,FALSE), VLOOKUP(N$1,Sprints[],3,FALSE))-SUMPRODUCT((OFFSET(INDIRECT(CELL("address",INDEX('Leave Tracker'!$A$8:$A$100,MATCH($A36,'Leave Tracker'!$A$8:$A$100,0)))),0,31*(VLOOKUP(N$1,Sprints[],5,FALSE))+DAY(VLOOKUP(N$1,Sprints[],2,FALSE)),1,VLOOKUP(N$1,Sprints[],4,FALSE))&lt;&gt;"")*(IF(OFFSET(INDIRECT(CELL("address",INDEX('Leave Tracker'!$A$8:$A$100,MATCH($A36,'Leave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4.8</v>
      </c>
      <c r="O36">
        <f t="array" aca="1" ref="O36" ca="1">Sheet3!$W$2*$F36*(NETWORKDAYS(VLOOKUP(O$1,Sprints[],2,FALSE), VLOOKUP(O$1,Sprints[],3,FALSE))-SUMPRODUCT((OFFSET(INDIRECT(CELL("address",INDEX('Leave Tracker'!$A$8:$A$100,MATCH($A36,'Leave Tracker'!$A$8:$A$100,0)))),0,31*(VLOOKUP(O$1,Sprints[],5,FALSE))+DAY(VLOOKUP(O$1,Sprints[],2,FALSE)),1,VLOOKUP(O$1,Sprints[],4,FALSE))&lt;&gt;"")*(IF(OFFSET(INDIRECT(CELL("address",INDEX('Leave Tracker'!$A$8:$A$100,MATCH($A36,'Leave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4.8</v>
      </c>
      <c r="P36">
        <f t="array" aca="1" ref="P36" ca="1">Sheet3!$W$2*$F36*(NETWORKDAYS(VLOOKUP(P$1,Sprints[],2,FALSE), VLOOKUP(P$1,Sprints[],3,FALSE))-SUMPRODUCT((OFFSET(INDIRECT(CELL("address",INDEX('Leave Tracker'!$A$8:$A$100,MATCH($A36,'Leave Tracker'!$A$8:$A$100,0)))),0,31*(VLOOKUP(P$1,Sprints[],5,FALSE))+DAY(VLOOKUP(P$1,Sprints[],2,FALSE)),1,VLOOKUP(P$1,Sprints[],4,FALSE))&lt;&gt;"")*(IF(OFFSET(INDIRECT(CELL("address",INDEX('Leave Tracker'!$A$8:$A$100,MATCH($A36,'Leave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4.8</v>
      </c>
      <c r="Q36">
        <f t="array" aca="1" ref="Q36" ca="1">Sheet3!$W$2*$F36*(NETWORKDAYS(VLOOKUP(Q$1,Sprints[],2,FALSE), VLOOKUP(Q$1,Sprints[],3,FALSE))-SUMPRODUCT((OFFSET(INDIRECT(CELL("address",INDEX('Leave Tracker'!$A$8:$A$100,MATCH($A36,'Leave Tracker'!$A$8:$A$100,0)))),0,31*(VLOOKUP(Q$1,Sprints[],5,FALSE))+DAY(VLOOKUP(Q$1,Sprints[],2,FALSE)),1,VLOOKUP(Q$1,Sprints[],4,FALSE))&lt;&gt;"")*(IF(OFFSET(INDIRECT(CELL("address",INDEX('Leave Tracker'!$A$8:$A$100,MATCH($A36,'Leave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4.8</v>
      </c>
      <c r="R36">
        <f t="array" aca="1" ref="R36" ca="1">Sheet3!$W$2*$F36*(NETWORKDAYS(VLOOKUP(R$1,Sprints[],2,FALSE), VLOOKUP(R$1,Sprints[],3,FALSE))-SUMPRODUCT((OFFSET(INDIRECT(CELL("address",INDEX('Leave Tracker'!$A$8:$A$100,MATCH($A36,'Leave Tracker'!$A$8:$A$100,0)))),0,31*(VLOOKUP(R$1,Sprints[],5,FALSE))+DAY(VLOOKUP(R$1,Sprints[],2,FALSE)),1,VLOOKUP(R$1,Sprints[],4,FALSE))&lt;&gt;"")*(IF(OFFSET(INDIRECT(CELL("address",INDEX('Leave Tracker'!$A$8:$A$100,MATCH($A36,'Leave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4.8</v>
      </c>
    </row>
    <row r="37" spans="1:18" x14ac:dyDescent="0.45">
      <c r="A37" t="s">
        <v>95</v>
      </c>
      <c r="B37" s="45" t="s">
        <v>116</v>
      </c>
      <c r="C37" s="45" t="s">
        <v>118</v>
      </c>
      <c r="D37" s="45" t="s">
        <v>123</v>
      </c>
      <c r="E37" s="45" t="s">
        <v>125</v>
      </c>
      <c r="F37" s="47">
        <v>0.6</v>
      </c>
      <c r="G37" s="45">
        <f t="array" aca="1" ref="G37" ca="1">Sheet3!$W$2*$F37*(NETWORKDAYS(VLOOKUP(G$1,Sprints[],2,FALSE), VLOOKUP(G$1,Sprints[],3,FALSE))-SUMPRODUCT((OFFSET(INDIRECT(CELL("address",INDEX('Leave Tracker'!$A$8:$A$100,MATCH($A37,'Leave Tracker'!$A$8:$A$100,0)))),0,31*(VLOOKUP(G$1,Sprints[],5,FALSE))+DAY(VLOOKUP(G$1,Sprints[],2,FALSE)),1,VLOOKUP(G$1,Sprints[],4,FALSE))&lt;&gt;"")*(IF(OFFSET(INDIRECT(CELL("address",INDEX('Leave Tracker'!$A$8:$A$100,MATCH($A37,'Leave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1.92</v>
      </c>
      <c r="H37">
        <f t="array" aca="1" ref="H37" ca="1">Sheet3!$W$2*$F37*(NETWORKDAYS(VLOOKUP(H$1,Sprints[],2,FALSE), VLOOKUP(H$1,Sprints[],3,FALSE))-SUMPRODUCT((OFFSET(INDIRECT(CELL("address",INDEX('Leave Tracker'!$A$8:$A$100,MATCH($A37,'Leave Tracker'!$A$8:$A$100,0)))),0,31*(VLOOKUP(H$1,Sprints[],5,FALSE))+DAY(VLOOKUP(H$1,Sprints[],2,FALSE)),1,VLOOKUP(H$1,Sprints[],4,FALSE))&lt;&gt;"")*(IF(OFFSET(INDIRECT(CELL("address",INDEX('Leave Tracker'!$A$8:$A$100,MATCH($A37,'Leave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4.32</v>
      </c>
      <c r="I37">
        <f t="array" aca="1" ref="I37" ca="1">Sheet3!$W$2*$F37*(NETWORKDAYS(VLOOKUP(I$1,Sprints[],2,FALSE), VLOOKUP(I$1,Sprints[],3,FALSE))-SUMPRODUCT((OFFSET(INDIRECT(CELL("address",INDEX('Leave Tracker'!$A$8:$A$100,MATCH($A37,'Leave Tracker'!$A$8:$A$100,0)))),0,31*(VLOOKUP(I$1,Sprints[],5,FALSE))+DAY(VLOOKUP(I$1,Sprints[],2,FALSE)),1,VLOOKUP(I$1,Sprints[],4,FALSE))&lt;&gt;"")*(IF(OFFSET(INDIRECT(CELL("address",INDEX('Leave Tracker'!$A$8:$A$100,MATCH($A37,'Leave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4.32</v>
      </c>
      <c r="J37">
        <f t="array" aca="1" ref="J37" ca="1">Sheet3!$W$2*$F37*(NETWORKDAYS(VLOOKUP(J$1,Sprints[],2,FALSE), VLOOKUP(J$1,Sprints[],3,FALSE))-SUMPRODUCT((OFFSET(INDIRECT(CELL("address",INDEX('Leave Tracker'!$A$8:$A$100,MATCH($A37,'Leave Tracker'!$A$8:$A$100,0)))),0,31*(VLOOKUP(J$1,Sprints[],5,FALSE))+DAY(VLOOKUP(J$1,Sprints[],2,FALSE)),1,VLOOKUP(J$1,Sprints[],4,FALSE))&lt;&gt;"")*(IF(OFFSET(INDIRECT(CELL("address",INDEX('Leave Tracker'!$A$8:$A$100,MATCH($A37,'Leave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4.8</v>
      </c>
      <c r="K37">
        <f t="array" aca="1" ref="K37" ca="1">Sheet3!$W$2*$F37*(NETWORKDAYS(VLOOKUP(K$1,Sprints[],2,FALSE), VLOOKUP(K$1,Sprints[],3,FALSE))-SUMPRODUCT((OFFSET(INDIRECT(CELL("address",INDEX('Leave Tracker'!$A$8:$A$100,MATCH($A37,'Leave Tracker'!$A$8:$A$100,0)))),0,31*(VLOOKUP(K$1,Sprints[],5,FALSE))+DAY(VLOOKUP(K$1,Sprints[],2,FALSE)),1,VLOOKUP(K$1,Sprints[],4,FALSE))&lt;&gt;"")*(IF(OFFSET(INDIRECT(CELL("address",INDEX('Leave Tracker'!$A$8:$A$100,MATCH($A37,'Leave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4.8</v>
      </c>
      <c r="L37">
        <f t="array" aca="1" ref="L37" ca="1">Sheet3!$W$2*$F37*(NETWORKDAYS(VLOOKUP(L$1,Sprints[],2,FALSE), VLOOKUP(L$1,Sprints[],3,FALSE))-SUMPRODUCT((OFFSET(INDIRECT(CELL("address",INDEX('Leave Tracker'!$A$8:$A$100,MATCH($A37,'Leave Tracker'!$A$8:$A$100,0)))),0,31*(VLOOKUP(L$1,Sprints[],5,FALSE))+DAY(VLOOKUP(L$1,Sprints[],2,FALSE)),1,VLOOKUP(L$1,Sprints[],4,FALSE))&lt;&gt;"")*(IF(OFFSET(INDIRECT(CELL("address",INDEX('Leave Tracker'!$A$8:$A$100,MATCH($A37,'Leave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4.8</v>
      </c>
      <c r="M37" s="45">
        <f t="array" aca="1" ref="M37" ca="1">Sheet3!$W$2*$F37*(NETWORKDAYS(VLOOKUP(M$1,Sprints[],2,FALSE), VLOOKUP(M$1,Sprints[],3,FALSE))-SUMPRODUCT((OFFSET(INDIRECT(CELL("address",INDEX('Leave Tracker'!$A$8:$A$100,MATCH($A37,'Leave Tracker'!$A$8:$A$100,0)))),0,31*(VLOOKUP(M$1,Sprints[],5,FALSE))+DAY(VLOOKUP(M$1,Sprints[],2,FALSE)),1,VLOOKUP(M$1,Sprints[],4,FALSE))&lt;&gt;"")*(IF(OFFSET(INDIRECT(CELL("address",INDEX('Leave Tracker'!$A$8:$A$100,MATCH($A37,'Leave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4.32</v>
      </c>
      <c r="N37">
        <f t="array" aca="1" ref="N37" ca="1">Sheet3!$W$2*$F37*(NETWORKDAYS(VLOOKUP(N$1,Sprints[],2,FALSE), VLOOKUP(N$1,Sprints[],3,FALSE))-SUMPRODUCT((OFFSET(INDIRECT(CELL("address",INDEX('Leave Tracker'!$A$8:$A$100,MATCH($A37,'Leave Tracker'!$A$8:$A$100,0)))),0,31*(VLOOKUP(N$1,Sprints[],5,FALSE))+DAY(VLOOKUP(N$1,Sprints[],2,FALSE)),1,VLOOKUP(N$1,Sprints[],4,FALSE))&lt;&gt;"")*(IF(OFFSET(INDIRECT(CELL("address",INDEX('Leave Tracker'!$A$8:$A$100,MATCH($A37,'Leave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4.8</v>
      </c>
      <c r="O37">
        <f t="array" aca="1" ref="O37" ca="1">Sheet3!$W$2*$F37*(NETWORKDAYS(VLOOKUP(O$1,Sprints[],2,FALSE), VLOOKUP(O$1,Sprints[],3,FALSE))-SUMPRODUCT((OFFSET(INDIRECT(CELL("address",INDEX('Leave Tracker'!$A$8:$A$100,MATCH($A37,'Leave Tracker'!$A$8:$A$100,0)))),0,31*(VLOOKUP(O$1,Sprints[],5,FALSE))+DAY(VLOOKUP(O$1,Sprints[],2,FALSE)),1,VLOOKUP(O$1,Sprints[],4,FALSE))&lt;&gt;"")*(IF(OFFSET(INDIRECT(CELL("address",INDEX('Leave Tracker'!$A$8:$A$100,MATCH($A37,'Leave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4.8</v>
      </c>
      <c r="P37">
        <f t="array" aca="1" ref="P37" ca="1">Sheet3!$W$2*$F37*(NETWORKDAYS(VLOOKUP(P$1,Sprints[],2,FALSE), VLOOKUP(P$1,Sprints[],3,FALSE))-SUMPRODUCT((OFFSET(INDIRECT(CELL("address",INDEX('Leave Tracker'!$A$8:$A$100,MATCH($A37,'Leave Tracker'!$A$8:$A$100,0)))),0,31*(VLOOKUP(P$1,Sprints[],5,FALSE))+DAY(VLOOKUP(P$1,Sprints[],2,FALSE)),1,VLOOKUP(P$1,Sprints[],4,FALSE))&lt;&gt;"")*(IF(OFFSET(INDIRECT(CELL("address",INDEX('Leave Tracker'!$A$8:$A$100,MATCH($A37,'Leave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4.8</v>
      </c>
      <c r="Q37">
        <f t="array" aca="1" ref="Q37" ca="1">Sheet3!$W$2*$F37*(NETWORKDAYS(VLOOKUP(Q$1,Sprints[],2,FALSE), VLOOKUP(Q$1,Sprints[],3,FALSE))-SUMPRODUCT((OFFSET(INDIRECT(CELL("address",INDEX('Leave Tracker'!$A$8:$A$100,MATCH($A37,'Leave Tracker'!$A$8:$A$100,0)))),0,31*(VLOOKUP(Q$1,Sprints[],5,FALSE))+DAY(VLOOKUP(Q$1,Sprints[],2,FALSE)),1,VLOOKUP(Q$1,Sprints[],4,FALSE))&lt;&gt;"")*(IF(OFFSET(INDIRECT(CELL("address",INDEX('Leave Tracker'!$A$8:$A$100,MATCH($A37,'Leave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4.8</v>
      </c>
      <c r="R37">
        <f t="array" aca="1" ref="R37" ca="1">Sheet3!$W$2*$F37*(NETWORKDAYS(VLOOKUP(R$1,Sprints[],2,FALSE), VLOOKUP(R$1,Sprints[],3,FALSE))-SUMPRODUCT((OFFSET(INDIRECT(CELL("address",INDEX('Leave Tracker'!$A$8:$A$100,MATCH($A37,'Leave Tracker'!$A$8:$A$100,0)))),0,31*(VLOOKUP(R$1,Sprints[],5,FALSE))+DAY(VLOOKUP(R$1,Sprints[],2,FALSE)),1,VLOOKUP(R$1,Sprints[],4,FALSE))&lt;&gt;"")*(IF(OFFSET(INDIRECT(CELL("address",INDEX('Leave Tracker'!$A$8:$A$100,MATCH($A37,'Leave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4.8</v>
      </c>
    </row>
    <row r="38" spans="1:18" x14ac:dyDescent="0.45">
      <c r="A38" t="s">
        <v>96</v>
      </c>
      <c r="B38" s="45" t="s">
        <v>116</v>
      </c>
      <c r="C38" s="45" t="s">
        <v>118</v>
      </c>
      <c r="D38" s="45" t="s">
        <v>132</v>
      </c>
      <c r="E38" s="45" t="s">
        <v>125</v>
      </c>
      <c r="F38" s="47">
        <v>0.75</v>
      </c>
      <c r="G38" s="45">
        <f t="array" aca="1" ref="G38" ca="1">Sheet3!$W$2*$F38*(NETWORKDAYS(VLOOKUP(G$1,Sprints[],2,FALSE), VLOOKUP(G$1,Sprints[],3,FALSE))-SUMPRODUCT((OFFSET(INDIRECT(CELL("address",INDEX('Leave Tracker'!$A$8:$A$100,MATCH($A38,'Leave Tracker'!$A$8:$A$100,0)))),0,31*(VLOOKUP(G$1,Sprints[],5,FALSE))+DAY(VLOOKUP(G$1,Sprints[],2,FALSE)),1,VLOOKUP(G$1,Sprints[],4,FALSE))&lt;&gt;"")*(IF(OFFSET(INDIRECT(CELL("address",INDEX('Leave Tracker'!$A$8:$A$100,MATCH($A38,'Leave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2.4000000000000004</v>
      </c>
      <c r="H38">
        <f t="array" aca="1" ref="H38" ca="1">Sheet3!$W$2*$F38*(NETWORKDAYS(VLOOKUP(H$1,Sprints[],2,FALSE), VLOOKUP(H$1,Sprints[],3,FALSE))-SUMPRODUCT((OFFSET(INDIRECT(CELL("address",INDEX('Leave Tracker'!$A$8:$A$100,MATCH($A38,'Leave Tracker'!$A$8:$A$100,0)))),0,31*(VLOOKUP(H$1,Sprints[],5,FALSE))+DAY(VLOOKUP(H$1,Sprints[],2,FALSE)),1,VLOOKUP(H$1,Sprints[],4,FALSE))&lt;&gt;"")*(IF(OFFSET(INDIRECT(CELL("address",INDEX('Leave Tracker'!$A$8:$A$100,MATCH($A38,'Leave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5.4</v>
      </c>
      <c r="I38">
        <f t="array" aca="1" ref="I38" ca="1">Sheet3!$W$2*$F38*(NETWORKDAYS(VLOOKUP(I$1,Sprints[],2,FALSE), VLOOKUP(I$1,Sprints[],3,FALSE))-SUMPRODUCT((OFFSET(INDIRECT(CELL("address",INDEX('Leave Tracker'!$A$8:$A$100,MATCH($A38,'Leave Tracker'!$A$8:$A$100,0)))),0,31*(VLOOKUP(I$1,Sprints[],5,FALSE))+DAY(VLOOKUP(I$1,Sprints[],2,FALSE)),1,VLOOKUP(I$1,Sprints[],4,FALSE))&lt;&gt;"")*(IF(OFFSET(INDIRECT(CELL("address",INDEX('Leave Tracker'!$A$8:$A$100,MATCH($A38,'Leave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5.4</v>
      </c>
      <c r="J38">
        <f t="array" aca="1" ref="J38" ca="1">Sheet3!$W$2*$F38*(NETWORKDAYS(VLOOKUP(J$1,Sprints[],2,FALSE), VLOOKUP(J$1,Sprints[],3,FALSE))-SUMPRODUCT((OFFSET(INDIRECT(CELL("address",INDEX('Leave Tracker'!$A$8:$A$100,MATCH($A38,'Leave Tracker'!$A$8:$A$100,0)))),0,31*(VLOOKUP(J$1,Sprints[],5,FALSE))+DAY(VLOOKUP(J$1,Sprints[],2,FALSE)),1,VLOOKUP(J$1,Sprints[],4,FALSE))&lt;&gt;"")*(IF(OFFSET(INDIRECT(CELL("address",INDEX('Leave Tracker'!$A$8:$A$100,MATCH($A38,'Leave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6.0000000000000009</v>
      </c>
      <c r="K38">
        <f t="array" aca="1" ref="K38" ca="1">Sheet3!$W$2*$F38*(NETWORKDAYS(VLOOKUP(K$1,Sprints[],2,FALSE), VLOOKUP(K$1,Sprints[],3,FALSE))-SUMPRODUCT((OFFSET(INDIRECT(CELL("address",INDEX('Leave Tracker'!$A$8:$A$100,MATCH($A38,'Leave Tracker'!$A$8:$A$100,0)))),0,31*(VLOOKUP(K$1,Sprints[],5,FALSE))+DAY(VLOOKUP(K$1,Sprints[],2,FALSE)),1,VLOOKUP(K$1,Sprints[],4,FALSE))&lt;&gt;"")*(IF(OFFSET(INDIRECT(CELL("address",INDEX('Leave Tracker'!$A$8:$A$100,MATCH($A38,'Leave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38">
        <f t="array" aca="1" ref="L38" ca="1">Sheet3!$W$2*$F38*(NETWORKDAYS(VLOOKUP(L$1,Sprints[],2,FALSE), VLOOKUP(L$1,Sprints[],3,FALSE))-SUMPRODUCT((OFFSET(INDIRECT(CELL("address",INDEX('Leave Tracker'!$A$8:$A$100,MATCH($A38,'Leave Tracker'!$A$8:$A$100,0)))),0,31*(VLOOKUP(L$1,Sprints[],5,FALSE))+DAY(VLOOKUP(L$1,Sprints[],2,FALSE)),1,VLOOKUP(L$1,Sprints[],4,FALSE))&lt;&gt;"")*(IF(OFFSET(INDIRECT(CELL("address",INDEX('Leave Tracker'!$A$8:$A$100,MATCH($A38,'Leave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6.0000000000000009</v>
      </c>
      <c r="M38" s="45">
        <f t="array" aca="1" ref="M38" ca="1">Sheet3!$W$2*$F38*(NETWORKDAYS(VLOOKUP(M$1,Sprints[],2,FALSE), VLOOKUP(M$1,Sprints[],3,FALSE))-SUMPRODUCT((OFFSET(INDIRECT(CELL("address",INDEX('Leave Tracker'!$A$8:$A$100,MATCH($A38,'Leave Tracker'!$A$8:$A$100,0)))),0,31*(VLOOKUP(M$1,Sprints[],5,FALSE))+DAY(VLOOKUP(M$1,Sprints[],2,FALSE)),1,VLOOKUP(M$1,Sprints[],4,FALSE))&lt;&gt;"")*(IF(OFFSET(INDIRECT(CELL("address",INDEX('Leave Tracker'!$A$8:$A$100,MATCH($A38,'Leave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38">
        <f t="array" aca="1" ref="N38" ca="1">Sheet3!$W$2*$F38*(NETWORKDAYS(VLOOKUP(N$1,Sprints[],2,FALSE), VLOOKUP(N$1,Sprints[],3,FALSE))-SUMPRODUCT((OFFSET(INDIRECT(CELL("address",INDEX('Leave Tracker'!$A$8:$A$100,MATCH($A38,'Leave Tracker'!$A$8:$A$100,0)))),0,31*(VLOOKUP(N$1,Sprints[],5,FALSE))+DAY(VLOOKUP(N$1,Sprints[],2,FALSE)),1,VLOOKUP(N$1,Sprints[],4,FALSE))&lt;&gt;"")*(IF(OFFSET(INDIRECT(CELL("address",INDEX('Leave Tracker'!$A$8:$A$100,MATCH($A38,'Leave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38">
        <f t="array" aca="1" ref="O38" ca="1">Sheet3!$W$2*$F38*(NETWORKDAYS(VLOOKUP(O$1,Sprints[],2,FALSE), VLOOKUP(O$1,Sprints[],3,FALSE))-SUMPRODUCT((OFFSET(INDIRECT(CELL("address",INDEX('Leave Tracker'!$A$8:$A$100,MATCH($A38,'Leave Tracker'!$A$8:$A$100,0)))),0,31*(VLOOKUP(O$1,Sprints[],5,FALSE))+DAY(VLOOKUP(O$1,Sprints[],2,FALSE)),1,VLOOKUP(O$1,Sprints[],4,FALSE))&lt;&gt;"")*(IF(OFFSET(INDIRECT(CELL("address",INDEX('Leave Tracker'!$A$8:$A$100,MATCH($A38,'Leave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6.0000000000000009</v>
      </c>
      <c r="P38">
        <f t="array" aca="1" ref="P38" ca="1">Sheet3!$W$2*$F38*(NETWORKDAYS(VLOOKUP(P$1,Sprints[],2,FALSE), VLOOKUP(P$1,Sprints[],3,FALSE))-SUMPRODUCT((OFFSET(INDIRECT(CELL("address",INDEX('Leave Tracker'!$A$8:$A$100,MATCH($A38,'Leave Tracker'!$A$8:$A$100,0)))),0,31*(VLOOKUP(P$1,Sprints[],5,FALSE))+DAY(VLOOKUP(P$1,Sprints[],2,FALSE)),1,VLOOKUP(P$1,Sprints[],4,FALSE))&lt;&gt;"")*(IF(OFFSET(INDIRECT(CELL("address",INDEX('Leave Tracker'!$A$8:$A$100,MATCH($A38,'Leave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38">
        <f t="array" aca="1" ref="Q38" ca="1">Sheet3!$W$2*$F38*(NETWORKDAYS(VLOOKUP(Q$1,Sprints[],2,FALSE), VLOOKUP(Q$1,Sprints[],3,FALSE))-SUMPRODUCT((OFFSET(INDIRECT(CELL("address",INDEX('Leave Tracker'!$A$8:$A$100,MATCH($A38,'Leave Tracker'!$A$8:$A$100,0)))),0,31*(VLOOKUP(Q$1,Sprints[],5,FALSE))+DAY(VLOOKUP(Q$1,Sprints[],2,FALSE)),1,VLOOKUP(Q$1,Sprints[],4,FALSE))&lt;&gt;"")*(IF(OFFSET(INDIRECT(CELL("address",INDEX('Leave Tracker'!$A$8:$A$100,MATCH($A38,'Leave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6.0000000000000009</v>
      </c>
      <c r="R38">
        <f t="array" aca="1" ref="R38" ca="1">Sheet3!$W$2*$F38*(NETWORKDAYS(VLOOKUP(R$1,Sprints[],2,FALSE), VLOOKUP(R$1,Sprints[],3,FALSE))-SUMPRODUCT((OFFSET(INDIRECT(CELL("address",INDEX('Leave Tracker'!$A$8:$A$100,MATCH($A38,'Leave Tracker'!$A$8:$A$100,0)))),0,31*(VLOOKUP(R$1,Sprints[],5,FALSE))+DAY(VLOOKUP(R$1,Sprints[],2,FALSE)),1,VLOOKUP(R$1,Sprints[],4,FALSE))&lt;&gt;"")*(IF(OFFSET(INDIRECT(CELL("address",INDEX('Leave Tracker'!$A$8:$A$100,MATCH($A38,'Leave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39" spans="1:18" x14ac:dyDescent="0.45">
      <c r="A39" t="s">
        <v>97</v>
      </c>
      <c r="B39" s="45" t="s">
        <v>116</v>
      </c>
      <c r="C39" s="45" t="s">
        <v>118</v>
      </c>
      <c r="D39" s="45" t="s">
        <v>122</v>
      </c>
      <c r="E39" s="45" t="s">
        <v>124</v>
      </c>
      <c r="F39" s="47">
        <v>0.6</v>
      </c>
      <c r="G39" s="45">
        <f t="array" aca="1" ref="G39" ca="1">Sheet3!$W$2*$F39*(NETWORKDAYS(VLOOKUP(G$1,Sprints[],2,FALSE), VLOOKUP(G$1,Sprints[],3,FALSE))-SUMPRODUCT((OFFSET(INDIRECT(CELL("address",INDEX('Leave Tracker'!$A$8:$A$100,MATCH($A39,'Leave Tracker'!$A$8:$A$100,0)))),0,31*(VLOOKUP(G$1,Sprints[],5,FALSE))+DAY(VLOOKUP(G$1,Sprints[],2,FALSE)),1,VLOOKUP(G$1,Sprints[],4,FALSE))&lt;&gt;"")*(IF(OFFSET(INDIRECT(CELL("address",INDEX('Leave Tracker'!$A$8:$A$100,MATCH($A39,'Leave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1.92</v>
      </c>
      <c r="H39">
        <f t="array" aca="1" ref="H39" ca="1">Sheet3!$W$2*$F39*(NETWORKDAYS(VLOOKUP(H$1,Sprints[],2,FALSE), VLOOKUP(H$1,Sprints[],3,FALSE))-SUMPRODUCT((OFFSET(INDIRECT(CELL("address",INDEX('Leave Tracker'!$A$8:$A$100,MATCH($A39,'Leave Tracker'!$A$8:$A$100,0)))),0,31*(VLOOKUP(H$1,Sprints[],5,FALSE))+DAY(VLOOKUP(H$1,Sprints[],2,FALSE)),1,VLOOKUP(H$1,Sprints[],4,FALSE))&lt;&gt;"")*(IF(OFFSET(INDIRECT(CELL("address",INDEX('Leave Tracker'!$A$8:$A$100,MATCH($A39,'Leave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4.32</v>
      </c>
      <c r="I39">
        <f t="array" aca="1" ref="I39" ca="1">Sheet3!$W$2*$F39*(NETWORKDAYS(VLOOKUP(I$1,Sprints[],2,FALSE), VLOOKUP(I$1,Sprints[],3,FALSE))-SUMPRODUCT((OFFSET(INDIRECT(CELL("address",INDEX('Leave Tracker'!$A$8:$A$100,MATCH($A39,'Leave Tracker'!$A$8:$A$100,0)))),0,31*(VLOOKUP(I$1,Sprints[],5,FALSE))+DAY(VLOOKUP(I$1,Sprints[],2,FALSE)),1,VLOOKUP(I$1,Sprints[],4,FALSE))&lt;&gt;"")*(IF(OFFSET(INDIRECT(CELL("address",INDEX('Leave Tracker'!$A$8:$A$100,MATCH($A39,'Leave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4.32</v>
      </c>
      <c r="J39">
        <f t="array" aca="1" ref="J39" ca="1">Sheet3!$W$2*$F39*(NETWORKDAYS(VLOOKUP(J$1,Sprints[],2,FALSE), VLOOKUP(J$1,Sprints[],3,FALSE))-SUMPRODUCT((OFFSET(INDIRECT(CELL("address",INDEX('Leave Tracker'!$A$8:$A$100,MATCH($A39,'Leave Tracker'!$A$8:$A$100,0)))),0,31*(VLOOKUP(J$1,Sprints[],5,FALSE))+DAY(VLOOKUP(J$1,Sprints[],2,FALSE)),1,VLOOKUP(J$1,Sprints[],4,FALSE))&lt;&gt;"")*(IF(OFFSET(INDIRECT(CELL("address",INDEX('Leave Tracker'!$A$8:$A$100,MATCH($A39,'Leave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4.8</v>
      </c>
      <c r="K39">
        <f t="array" aca="1" ref="K39" ca="1">Sheet3!$W$2*$F39*(NETWORKDAYS(VLOOKUP(K$1,Sprints[],2,FALSE), VLOOKUP(K$1,Sprints[],3,FALSE))-SUMPRODUCT((OFFSET(INDIRECT(CELL("address",INDEX('Leave Tracker'!$A$8:$A$100,MATCH($A39,'Leave Tracker'!$A$8:$A$100,0)))),0,31*(VLOOKUP(K$1,Sprints[],5,FALSE))+DAY(VLOOKUP(K$1,Sprints[],2,FALSE)),1,VLOOKUP(K$1,Sprints[],4,FALSE))&lt;&gt;"")*(IF(OFFSET(INDIRECT(CELL("address",INDEX('Leave Tracker'!$A$8:$A$100,MATCH($A39,'Leave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4.8</v>
      </c>
      <c r="L39">
        <f t="array" aca="1" ref="L39" ca="1">Sheet3!$W$2*$F39*(NETWORKDAYS(VLOOKUP(L$1,Sprints[],2,FALSE), VLOOKUP(L$1,Sprints[],3,FALSE))-SUMPRODUCT((OFFSET(INDIRECT(CELL("address",INDEX('Leave Tracker'!$A$8:$A$100,MATCH($A39,'Leave Tracker'!$A$8:$A$100,0)))),0,31*(VLOOKUP(L$1,Sprints[],5,FALSE))+DAY(VLOOKUP(L$1,Sprints[],2,FALSE)),1,VLOOKUP(L$1,Sprints[],4,FALSE))&lt;&gt;"")*(IF(OFFSET(INDIRECT(CELL("address",INDEX('Leave Tracker'!$A$8:$A$100,MATCH($A39,'Leave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4.8</v>
      </c>
      <c r="M39" s="45">
        <f t="array" aca="1" ref="M39" ca="1">Sheet3!$W$2*$F39*(NETWORKDAYS(VLOOKUP(M$1,Sprints[],2,FALSE), VLOOKUP(M$1,Sprints[],3,FALSE))-SUMPRODUCT((OFFSET(INDIRECT(CELL("address",INDEX('Leave Tracker'!$A$8:$A$100,MATCH($A39,'Leave Tracker'!$A$8:$A$100,0)))),0,31*(VLOOKUP(M$1,Sprints[],5,FALSE))+DAY(VLOOKUP(M$1,Sprints[],2,FALSE)),1,VLOOKUP(M$1,Sprints[],4,FALSE))&lt;&gt;"")*(IF(OFFSET(INDIRECT(CELL("address",INDEX('Leave Tracker'!$A$8:$A$100,MATCH($A39,'Leave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4.32</v>
      </c>
      <c r="N39">
        <f t="array" aca="1" ref="N39" ca="1">Sheet3!$W$2*$F39*(NETWORKDAYS(VLOOKUP(N$1,Sprints[],2,FALSE), VLOOKUP(N$1,Sprints[],3,FALSE))-SUMPRODUCT((OFFSET(INDIRECT(CELL("address",INDEX('Leave Tracker'!$A$8:$A$100,MATCH($A39,'Leave Tracker'!$A$8:$A$100,0)))),0,31*(VLOOKUP(N$1,Sprints[],5,FALSE))+DAY(VLOOKUP(N$1,Sprints[],2,FALSE)),1,VLOOKUP(N$1,Sprints[],4,FALSE))&lt;&gt;"")*(IF(OFFSET(INDIRECT(CELL("address",INDEX('Leave Tracker'!$A$8:$A$100,MATCH($A39,'Leave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4.8</v>
      </c>
      <c r="O39">
        <f t="array" aca="1" ref="O39" ca="1">Sheet3!$W$2*$F39*(NETWORKDAYS(VLOOKUP(O$1,Sprints[],2,FALSE), VLOOKUP(O$1,Sprints[],3,FALSE))-SUMPRODUCT((OFFSET(INDIRECT(CELL("address",INDEX('Leave Tracker'!$A$8:$A$100,MATCH($A39,'Leave Tracker'!$A$8:$A$100,0)))),0,31*(VLOOKUP(O$1,Sprints[],5,FALSE))+DAY(VLOOKUP(O$1,Sprints[],2,FALSE)),1,VLOOKUP(O$1,Sprints[],4,FALSE))&lt;&gt;"")*(IF(OFFSET(INDIRECT(CELL("address",INDEX('Leave Tracker'!$A$8:$A$100,MATCH($A39,'Leave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4.8</v>
      </c>
      <c r="P39">
        <f t="array" aca="1" ref="P39" ca="1">Sheet3!$W$2*$F39*(NETWORKDAYS(VLOOKUP(P$1,Sprints[],2,FALSE), VLOOKUP(P$1,Sprints[],3,FALSE))-SUMPRODUCT((OFFSET(INDIRECT(CELL("address",INDEX('Leave Tracker'!$A$8:$A$100,MATCH($A39,'Leave Tracker'!$A$8:$A$100,0)))),0,31*(VLOOKUP(P$1,Sprints[],5,FALSE))+DAY(VLOOKUP(P$1,Sprints[],2,FALSE)),1,VLOOKUP(P$1,Sprints[],4,FALSE))&lt;&gt;"")*(IF(OFFSET(INDIRECT(CELL("address",INDEX('Leave Tracker'!$A$8:$A$100,MATCH($A39,'Leave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4.8</v>
      </c>
      <c r="Q39">
        <f t="array" aca="1" ref="Q39" ca="1">Sheet3!$W$2*$F39*(NETWORKDAYS(VLOOKUP(Q$1,Sprints[],2,FALSE), VLOOKUP(Q$1,Sprints[],3,FALSE))-SUMPRODUCT((OFFSET(INDIRECT(CELL("address",INDEX('Leave Tracker'!$A$8:$A$100,MATCH($A39,'Leave Tracker'!$A$8:$A$100,0)))),0,31*(VLOOKUP(Q$1,Sprints[],5,FALSE))+DAY(VLOOKUP(Q$1,Sprints[],2,FALSE)),1,VLOOKUP(Q$1,Sprints[],4,FALSE))&lt;&gt;"")*(IF(OFFSET(INDIRECT(CELL("address",INDEX('Leave Tracker'!$A$8:$A$100,MATCH($A39,'Leave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4.8</v>
      </c>
      <c r="R39">
        <f t="array" aca="1" ref="R39" ca="1">Sheet3!$W$2*$F39*(NETWORKDAYS(VLOOKUP(R$1,Sprints[],2,FALSE), VLOOKUP(R$1,Sprints[],3,FALSE))-SUMPRODUCT((OFFSET(INDIRECT(CELL("address",INDEX('Leave Tracker'!$A$8:$A$100,MATCH($A39,'Leave Tracker'!$A$8:$A$100,0)))),0,31*(VLOOKUP(R$1,Sprints[],5,FALSE))+DAY(VLOOKUP(R$1,Sprints[],2,FALSE)),1,VLOOKUP(R$1,Sprints[],4,FALSE))&lt;&gt;"")*(IF(OFFSET(INDIRECT(CELL("address",INDEX('Leave Tracker'!$A$8:$A$100,MATCH($A39,'Leave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4.8</v>
      </c>
    </row>
    <row r="40" spans="1:18" x14ac:dyDescent="0.45">
      <c r="A40" t="s">
        <v>98</v>
      </c>
      <c r="B40" s="45" t="s">
        <v>116</v>
      </c>
      <c r="C40" s="45" t="s">
        <v>118</v>
      </c>
      <c r="D40" s="45" t="s">
        <v>133</v>
      </c>
      <c r="E40" s="45" t="s">
        <v>127</v>
      </c>
      <c r="F40" s="47">
        <v>0.75</v>
      </c>
      <c r="G40" s="45">
        <f t="array" aca="1" ref="G40" ca="1">Sheet3!$W$2*$F40*(NETWORKDAYS(VLOOKUP(G$1,Sprints[],2,FALSE), VLOOKUP(G$1,Sprints[],3,FALSE))-SUMPRODUCT((OFFSET(INDIRECT(CELL("address",INDEX('Leave Tracker'!$A$8:$A$100,MATCH($A40,'Leave Tracker'!$A$8:$A$100,0)))),0,31*(VLOOKUP(G$1,Sprints[],5,FALSE))+DAY(VLOOKUP(G$1,Sprints[],2,FALSE)),1,VLOOKUP(G$1,Sprints[],4,FALSE))&lt;&gt;"")*(IF(OFFSET(INDIRECT(CELL("address",INDEX('Leave Tracker'!$A$8:$A$100,MATCH($A40,'Leave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2.4000000000000004</v>
      </c>
      <c r="H40">
        <f t="array" aca="1" ref="H40" ca="1">Sheet3!$W$2*$F40*(NETWORKDAYS(VLOOKUP(H$1,Sprints[],2,FALSE), VLOOKUP(H$1,Sprints[],3,FALSE))-SUMPRODUCT((OFFSET(INDIRECT(CELL("address",INDEX('Leave Tracker'!$A$8:$A$100,MATCH($A40,'Leave Tracker'!$A$8:$A$100,0)))),0,31*(VLOOKUP(H$1,Sprints[],5,FALSE))+DAY(VLOOKUP(H$1,Sprints[],2,FALSE)),1,VLOOKUP(H$1,Sprints[],4,FALSE))&lt;&gt;"")*(IF(OFFSET(INDIRECT(CELL("address",INDEX('Leave Tracker'!$A$8:$A$100,MATCH($A40,'Leave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5.4</v>
      </c>
      <c r="I40">
        <f t="array" aca="1" ref="I40" ca="1">Sheet3!$W$2*$F40*(NETWORKDAYS(VLOOKUP(I$1,Sprints[],2,FALSE), VLOOKUP(I$1,Sprints[],3,FALSE))-SUMPRODUCT((OFFSET(INDIRECT(CELL("address",INDEX('Leave Tracker'!$A$8:$A$100,MATCH($A40,'Leave Tracker'!$A$8:$A$100,0)))),0,31*(VLOOKUP(I$1,Sprints[],5,FALSE))+DAY(VLOOKUP(I$1,Sprints[],2,FALSE)),1,VLOOKUP(I$1,Sprints[],4,FALSE))&lt;&gt;"")*(IF(OFFSET(INDIRECT(CELL("address",INDEX('Leave Tracker'!$A$8:$A$100,MATCH($A40,'Leave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5.4</v>
      </c>
      <c r="J40">
        <f t="array" aca="1" ref="J40" ca="1">Sheet3!$W$2*$F40*(NETWORKDAYS(VLOOKUP(J$1,Sprints[],2,FALSE), VLOOKUP(J$1,Sprints[],3,FALSE))-SUMPRODUCT((OFFSET(INDIRECT(CELL("address",INDEX('Leave Tracker'!$A$8:$A$100,MATCH($A40,'Leave Tracker'!$A$8:$A$100,0)))),0,31*(VLOOKUP(J$1,Sprints[],5,FALSE))+DAY(VLOOKUP(J$1,Sprints[],2,FALSE)),1,VLOOKUP(J$1,Sprints[],4,FALSE))&lt;&gt;"")*(IF(OFFSET(INDIRECT(CELL("address",INDEX('Leave Tracker'!$A$8:$A$100,MATCH($A40,'Leave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6.0000000000000009</v>
      </c>
      <c r="K40">
        <f t="array" aca="1" ref="K40" ca="1">Sheet3!$W$2*$F40*(NETWORKDAYS(VLOOKUP(K$1,Sprints[],2,FALSE), VLOOKUP(K$1,Sprints[],3,FALSE))-SUMPRODUCT((OFFSET(INDIRECT(CELL("address",INDEX('Leave Tracker'!$A$8:$A$100,MATCH($A40,'Leave Tracker'!$A$8:$A$100,0)))),0,31*(VLOOKUP(K$1,Sprints[],5,FALSE))+DAY(VLOOKUP(K$1,Sprints[],2,FALSE)),1,VLOOKUP(K$1,Sprints[],4,FALSE))&lt;&gt;"")*(IF(OFFSET(INDIRECT(CELL("address",INDEX('Leave Tracker'!$A$8:$A$100,MATCH($A40,'Leave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40">
        <f t="array" aca="1" ref="L40" ca="1">Sheet3!$W$2*$F40*(NETWORKDAYS(VLOOKUP(L$1,Sprints[],2,FALSE), VLOOKUP(L$1,Sprints[],3,FALSE))-SUMPRODUCT((OFFSET(INDIRECT(CELL("address",INDEX('Leave Tracker'!$A$8:$A$100,MATCH($A40,'Leave Tracker'!$A$8:$A$100,0)))),0,31*(VLOOKUP(L$1,Sprints[],5,FALSE))+DAY(VLOOKUP(L$1,Sprints[],2,FALSE)),1,VLOOKUP(L$1,Sprints[],4,FALSE))&lt;&gt;"")*(IF(OFFSET(INDIRECT(CELL("address",INDEX('Leave Tracker'!$A$8:$A$100,MATCH($A40,'Leave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6.0000000000000009</v>
      </c>
      <c r="M40" s="45">
        <f t="array" aca="1" ref="M40" ca="1">Sheet3!$W$2*$F40*(NETWORKDAYS(VLOOKUP(M$1,Sprints[],2,FALSE), VLOOKUP(M$1,Sprints[],3,FALSE))-SUMPRODUCT((OFFSET(INDIRECT(CELL("address",INDEX('Leave Tracker'!$A$8:$A$100,MATCH($A40,'Leave Tracker'!$A$8:$A$100,0)))),0,31*(VLOOKUP(M$1,Sprints[],5,FALSE))+DAY(VLOOKUP(M$1,Sprints[],2,FALSE)),1,VLOOKUP(M$1,Sprints[],4,FALSE))&lt;&gt;"")*(IF(OFFSET(INDIRECT(CELL("address",INDEX('Leave Tracker'!$A$8:$A$100,MATCH($A40,'Leave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40">
        <f t="array" aca="1" ref="N40" ca="1">Sheet3!$W$2*$F40*(NETWORKDAYS(VLOOKUP(N$1,Sprints[],2,FALSE), VLOOKUP(N$1,Sprints[],3,FALSE))-SUMPRODUCT((OFFSET(INDIRECT(CELL("address",INDEX('Leave Tracker'!$A$8:$A$100,MATCH($A40,'Leave Tracker'!$A$8:$A$100,0)))),0,31*(VLOOKUP(N$1,Sprints[],5,FALSE))+DAY(VLOOKUP(N$1,Sprints[],2,FALSE)),1,VLOOKUP(N$1,Sprints[],4,FALSE))&lt;&gt;"")*(IF(OFFSET(INDIRECT(CELL("address",INDEX('Leave Tracker'!$A$8:$A$100,MATCH($A40,'Leave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40">
        <f t="array" aca="1" ref="O40" ca="1">Sheet3!$W$2*$F40*(NETWORKDAYS(VLOOKUP(O$1,Sprints[],2,FALSE), VLOOKUP(O$1,Sprints[],3,FALSE))-SUMPRODUCT((OFFSET(INDIRECT(CELL("address",INDEX('Leave Tracker'!$A$8:$A$100,MATCH($A40,'Leave Tracker'!$A$8:$A$100,0)))),0,31*(VLOOKUP(O$1,Sprints[],5,FALSE))+DAY(VLOOKUP(O$1,Sprints[],2,FALSE)),1,VLOOKUP(O$1,Sprints[],4,FALSE))&lt;&gt;"")*(IF(OFFSET(INDIRECT(CELL("address",INDEX('Leave Tracker'!$A$8:$A$100,MATCH($A40,'Leave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6.0000000000000009</v>
      </c>
      <c r="P40">
        <f t="array" aca="1" ref="P40" ca="1">Sheet3!$W$2*$F40*(NETWORKDAYS(VLOOKUP(P$1,Sprints[],2,FALSE), VLOOKUP(P$1,Sprints[],3,FALSE))-SUMPRODUCT((OFFSET(INDIRECT(CELL("address",INDEX('Leave Tracker'!$A$8:$A$100,MATCH($A40,'Leave Tracker'!$A$8:$A$100,0)))),0,31*(VLOOKUP(P$1,Sprints[],5,FALSE))+DAY(VLOOKUP(P$1,Sprints[],2,FALSE)),1,VLOOKUP(P$1,Sprints[],4,FALSE))&lt;&gt;"")*(IF(OFFSET(INDIRECT(CELL("address",INDEX('Leave Tracker'!$A$8:$A$100,MATCH($A40,'Leave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40">
        <f t="array" aca="1" ref="Q40" ca="1">Sheet3!$W$2*$F40*(NETWORKDAYS(VLOOKUP(Q$1,Sprints[],2,FALSE), VLOOKUP(Q$1,Sprints[],3,FALSE))-SUMPRODUCT((OFFSET(INDIRECT(CELL("address",INDEX('Leave Tracker'!$A$8:$A$100,MATCH($A40,'Leave Tracker'!$A$8:$A$100,0)))),0,31*(VLOOKUP(Q$1,Sprints[],5,FALSE))+DAY(VLOOKUP(Q$1,Sprints[],2,FALSE)),1,VLOOKUP(Q$1,Sprints[],4,FALSE))&lt;&gt;"")*(IF(OFFSET(INDIRECT(CELL("address",INDEX('Leave Tracker'!$A$8:$A$100,MATCH($A40,'Leave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6.0000000000000009</v>
      </c>
      <c r="R40">
        <f t="array" aca="1" ref="R40" ca="1">Sheet3!$W$2*$F40*(NETWORKDAYS(VLOOKUP(R$1,Sprints[],2,FALSE), VLOOKUP(R$1,Sprints[],3,FALSE))-SUMPRODUCT((OFFSET(INDIRECT(CELL("address",INDEX('Leave Tracker'!$A$8:$A$100,MATCH($A40,'Leave Tracker'!$A$8:$A$100,0)))),0,31*(VLOOKUP(R$1,Sprints[],5,FALSE))+DAY(VLOOKUP(R$1,Sprints[],2,FALSE)),1,VLOOKUP(R$1,Sprints[],4,FALSE))&lt;&gt;"")*(IF(OFFSET(INDIRECT(CELL("address",INDEX('Leave Tracker'!$A$8:$A$100,MATCH($A40,'Leave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41" spans="1:18" x14ac:dyDescent="0.45">
      <c r="A41" t="s">
        <v>99</v>
      </c>
      <c r="B41" s="45" t="s">
        <v>116</v>
      </c>
      <c r="C41" s="45" t="s">
        <v>118</v>
      </c>
      <c r="D41" s="45" t="s">
        <v>129</v>
      </c>
      <c r="E41" s="45" t="s">
        <v>128</v>
      </c>
      <c r="F41" s="47">
        <v>0.6</v>
      </c>
      <c r="G41" s="45">
        <f t="array" aca="1" ref="G41" ca="1">Sheet3!$W$2*$F41*(NETWORKDAYS(VLOOKUP(G$1,Sprints[],2,FALSE), VLOOKUP(G$1,Sprints[],3,FALSE))-SUMPRODUCT((OFFSET(INDIRECT(CELL("address",INDEX('Leave Tracker'!$A$8:$A$100,MATCH($A41,'Leave Tracker'!$A$8:$A$100,0)))),0,31*(VLOOKUP(G$1,Sprints[],5,FALSE))+DAY(VLOOKUP(G$1,Sprints[],2,FALSE)),1,VLOOKUP(G$1,Sprints[],4,FALSE))&lt;&gt;"")*(IF(OFFSET(INDIRECT(CELL("address",INDEX('Leave Tracker'!$A$8:$A$100,MATCH($A41,'Leave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1.92</v>
      </c>
      <c r="H41">
        <f t="array" aca="1" ref="H41" ca="1">Sheet3!$W$2*$F41*(NETWORKDAYS(VLOOKUP(H$1,Sprints[],2,FALSE), VLOOKUP(H$1,Sprints[],3,FALSE))-SUMPRODUCT((OFFSET(INDIRECT(CELL("address",INDEX('Leave Tracker'!$A$8:$A$100,MATCH($A41,'Leave Tracker'!$A$8:$A$100,0)))),0,31*(VLOOKUP(H$1,Sprints[],5,FALSE))+DAY(VLOOKUP(H$1,Sprints[],2,FALSE)),1,VLOOKUP(H$1,Sprints[],4,FALSE))&lt;&gt;"")*(IF(OFFSET(INDIRECT(CELL("address",INDEX('Leave Tracker'!$A$8:$A$100,MATCH($A41,'Leave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4.32</v>
      </c>
      <c r="I41">
        <f t="array" aca="1" ref="I41" ca="1">Sheet3!$W$2*$F41*(NETWORKDAYS(VLOOKUP(I$1,Sprints[],2,FALSE), VLOOKUP(I$1,Sprints[],3,FALSE))-SUMPRODUCT((OFFSET(INDIRECT(CELL("address",INDEX('Leave Tracker'!$A$8:$A$100,MATCH($A41,'Leave Tracker'!$A$8:$A$100,0)))),0,31*(VLOOKUP(I$1,Sprints[],5,FALSE))+DAY(VLOOKUP(I$1,Sprints[],2,FALSE)),1,VLOOKUP(I$1,Sprints[],4,FALSE))&lt;&gt;"")*(IF(OFFSET(INDIRECT(CELL("address",INDEX('Leave Tracker'!$A$8:$A$100,MATCH($A41,'Leave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4.32</v>
      </c>
      <c r="J41">
        <f t="array" aca="1" ref="J41" ca="1">Sheet3!$W$2*$F41*(NETWORKDAYS(VLOOKUP(J$1,Sprints[],2,FALSE), VLOOKUP(J$1,Sprints[],3,FALSE))-SUMPRODUCT((OFFSET(INDIRECT(CELL("address",INDEX('Leave Tracker'!$A$8:$A$100,MATCH($A41,'Leave Tracker'!$A$8:$A$100,0)))),0,31*(VLOOKUP(J$1,Sprints[],5,FALSE))+DAY(VLOOKUP(J$1,Sprints[],2,FALSE)),1,VLOOKUP(J$1,Sprints[],4,FALSE))&lt;&gt;"")*(IF(OFFSET(INDIRECT(CELL("address",INDEX('Leave Tracker'!$A$8:$A$100,MATCH($A41,'Leave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4.8</v>
      </c>
      <c r="K41">
        <f t="array" aca="1" ref="K41" ca="1">Sheet3!$W$2*$F41*(NETWORKDAYS(VLOOKUP(K$1,Sprints[],2,FALSE), VLOOKUP(K$1,Sprints[],3,FALSE))-SUMPRODUCT((OFFSET(INDIRECT(CELL("address",INDEX('Leave Tracker'!$A$8:$A$100,MATCH($A41,'Leave Tracker'!$A$8:$A$100,0)))),0,31*(VLOOKUP(K$1,Sprints[],5,FALSE))+DAY(VLOOKUP(K$1,Sprints[],2,FALSE)),1,VLOOKUP(K$1,Sprints[],4,FALSE))&lt;&gt;"")*(IF(OFFSET(INDIRECT(CELL("address",INDEX('Leave Tracker'!$A$8:$A$100,MATCH($A41,'Leave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4.8</v>
      </c>
      <c r="L41">
        <f t="array" aca="1" ref="L41" ca="1">Sheet3!$W$2*$F41*(NETWORKDAYS(VLOOKUP(L$1,Sprints[],2,FALSE), VLOOKUP(L$1,Sprints[],3,FALSE))-SUMPRODUCT((OFFSET(INDIRECT(CELL("address",INDEX('Leave Tracker'!$A$8:$A$100,MATCH($A41,'Leave Tracker'!$A$8:$A$100,0)))),0,31*(VLOOKUP(L$1,Sprints[],5,FALSE))+DAY(VLOOKUP(L$1,Sprints[],2,FALSE)),1,VLOOKUP(L$1,Sprints[],4,FALSE))&lt;&gt;"")*(IF(OFFSET(INDIRECT(CELL("address",INDEX('Leave Tracker'!$A$8:$A$100,MATCH($A41,'Leave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4.8</v>
      </c>
      <c r="M41" s="45">
        <f t="array" aca="1" ref="M41" ca="1">Sheet3!$W$2*$F41*(NETWORKDAYS(VLOOKUP(M$1,Sprints[],2,FALSE), VLOOKUP(M$1,Sprints[],3,FALSE))-SUMPRODUCT((OFFSET(INDIRECT(CELL("address",INDEX('Leave Tracker'!$A$8:$A$100,MATCH($A41,'Leave Tracker'!$A$8:$A$100,0)))),0,31*(VLOOKUP(M$1,Sprints[],5,FALSE))+DAY(VLOOKUP(M$1,Sprints[],2,FALSE)),1,VLOOKUP(M$1,Sprints[],4,FALSE))&lt;&gt;"")*(IF(OFFSET(INDIRECT(CELL("address",INDEX('Leave Tracker'!$A$8:$A$100,MATCH($A41,'Leave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4.32</v>
      </c>
      <c r="N41">
        <f t="array" aca="1" ref="N41" ca="1">Sheet3!$W$2*$F41*(NETWORKDAYS(VLOOKUP(N$1,Sprints[],2,FALSE), VLOOKUP(N$1,Sprints[],3,FALSE))-SUMPRODUCT((OFFSET(INDIRECT(CELL("address",INDEX('Leave Tracker'!$A$8:$A$100,MATCH($A41,'Leave Tracker'!$A$8:$A$100,0)))),0,31*(VLOOKUP(N$1,Sprints[],5,FALSE))+DAY(VLOOKUP(N$1,Sprints[],2,FALSE)),1,VLOOKUP(N$1,Sprints[],4,FALSE))&lt;&gt;"")*(IF(OFFSET(INDIRECT(CELL("address",INDEX('Leave Tracker'!$A$8:$A$100,MATCH($A41,'Leave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4.8</v>
      </c>
      <c r="O41">
        <f t="array" aca="1" ref="O41" ca="1">Sheet3!$W$2*$F41*(NETWORKDAYS(VLOOKUP(O$1,Sprints[],2,FALSE), VLOOKUP(O$1,Sprints[],3,FALSE))-SUMPRODUCT((OFFSET(INDIRECT(CELL("address",INDEX('Leave Tracker'!$A$8:$A$100,MATCH($A41,'Leave Tracker'!$A$8:$A$100,0)))),0,31*(VLOOKUP(O$1,Sprints[],5,FALSE))+DAY(VLOOKUP(O$1,Sprints[],2,FALSE)),1,VLOOKUP(O$1,Sprints[],4,FALSE))&lt;&gt;"")*(IF(OFFSET(INDIRECT(CELL("address",INDEX('Leave Tracker'!$A$8:$A$100,MATCH($A41,'Leave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4.8</v>
      </c>
      <c r="P41">
        <f t="array" aca="1" ref="P41" ca="1">Sheet3!$W$2*$F41*(NETWORKDAYS(VLOOKUP(P$1,Sprints[],2,FALSE), VLOOKUP(P$1,Sprints[],3,FALSE))-SUMPRODUCT((OFFSET(INDIRECT(CELL("address",INDEX('Leave Tracker'!$A$8:$A$100,MATCH($A41,'Leave Tracker'!$A$8:$A$100,0)))),0,31*(VLOOKUP(P$1,Sprints[],5,FALSE))+DAY(VLOOKUP(P$1,Sprints[],2,FALSE)),1,VLOOKUP(P$1,Sprints[],4,FALSE))&lt;&gt;"")*(IF(OFFSET(INDIRECT(CELL("address",INDEX('Leave Tracker'!$A$8:$A$100,MATCH($A41,'Leave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4.8</v>
      </c>
      <c r="Q41">
        <f t="array" aca="1" ref="Q41" ca="1">Sheet3!$W$2*$F41*(NETWORKDAYS(VLOOKUP(Q$1,Sprints[],2,FALSE), VLOOKUP(Q$1,Sprints[],3,FALSE))-SUMPRODUCT((OFFSET(INDIRECT(CELL("address",INDEX('Leave Tracker'!$A$8:$A$100,MATCH($A41,'Leave Tracker'!$A$8:$A$100,0)))),0,31*(VLOOKUP(Q$1,Sprints[],5,FALSE))+DAY(VLOOKUP(Q$1,Sprints[],2,FALSE)),1,VLOOKUP(Q$1,Sprints[],4,FALSE))&lt;&gt;"")*(IF(OFFSET(INDIRECT(CELL("address",INDEX('Leave Tracker'!$A$8:$A$100,MATCH($A41,'Leave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4.8</v>
      </c>
      <c r="R41">
        <f t="array" aca="1" ref="R41" ca="1">Sheet3!$W$2*$F41*(NETWORKDAYS(VLOOKUP(R$1,Sprints[],2,FALSE), VLOOKUP(R$1,Sprints[],3,FALSE))-SUMPRODUCT((OFFSET(INDIRECT(CELL("address",INDEX('Leave Tracker'!$A$8:$A$100,MATCH($A41,'Leave Tracker'!$A$8:$A$100,0)))),0,31*(VLOOKUP(R$1,Sprints[],5,FALSE))+DAY(VLOOKUP(R$1,Sprints[],2,FALSE)),1,VLOOKUP(R$1,Sprints[],4,FALSE))&lt;&gt;"")*(IF(OFFSET(INDIRECT(CELL("address",INDEX('Leave Tracker'!$A$8:$A$100,MATCH($A41,'Leave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4.8</v>
      </c>
    </row>
    <row r="42" spans="1:18" x14ac:dyDescent="0.45">
      <c r="A42" t="s">
        <v>100</v>
      </c>
      <c r="B42" s="45" t="s">
        <v>116</v>
      </c>
      <c r="C42" s="45" t="s">
        <v>118</v>
      </c>
      <c r="D42" s="45" t="s">
        <v>129</v>
      </c>
      <c r="E42" s="45" t="s">
        <v>128</v>
      </c>
      <c r="F42" s="47">
        <v>0.6</v>
      </c>
      <c r="G42" s="45">
        <f t="array" aca="1" ref="G42" ca="1">Sheet3!$W$2*$F42*(NETWORKDAYS(VLOOKUP(G$1,Sprints[],2,FALSE), VLOOKUP(G$1,Sprints[],3,FALSE))-SUMPRODUCT((OFFSET(INDIRECT(CELL("address",INDEX('Leave Tracker'!$A$8:$A$100,MATCH($A42,'Leave Tracker'!$A$8:$A$100,0)))),0,31*(VLOOKUP(G$1,Sprints[],5,FALSE))+DAY(VLOOKUP(G$1,Sprints[],2,FALSE)),1,VLOOKUP(G$1,Sprints[],4,FALSE))&lt;&gt;"")*(IF(OFFSET(INDIRECT(CELL("address",INDEX('Leave Tracker'!$A$8:$A$100,MATCH($A42,'Leave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1.92</v>
      </c>
      <c r="H42">
        <f t="array" aca="1" ref="H42" ca="1">Sheet3!$W$2*$F42*(NETWORKDAYS(VLOOKUP(H$1,Sprints[],2,FALSE), VLOOKUP(H$1,Sprints[],3,FALSE))-SUMPRODUCT((OFFSET(INDIRECT(CELL("address",INDEX('Leave Tracker'!$A$8:$A$100,MATCH($A42,'Leave Tracker'!$A$8:$A$100,0)))),0,31*(VLOOKUP(H$1,Sprints[],5,FALSE))+DAY(VLOOKUP(H$1,Sprints[],2,FALSE)),1,VLOOKUP(H$1,Sprints[],4,FALSE))&lt;&gt;"")*(IF(OFFSET(INDIRECT(CELL("address",INDEX('Leave Tracker'!$A$8:$A$100,MATCH($A42,'Leave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4.32</v>
      </c>
      <c r="I42">
        <f t="array" aca="1" ref="I42" ca="1">Sheet3!$W$2*$F42*(NETWORKDAYS(VLOOKUP(I$1,Sprints[],2,FALSE), VLOOKUP(I$1,Sprints[],3,FALSE))-SUMPRODUCT((OFFSET(INDIRECT(CELL("address",INDEX('Leave Tracker'!$A$8:$A$100,MATCH($A42,'Leave Tracker'!$A$8:$A$100,0)))),0,31*(VLOOKUP(I$1,Sprints[],5,FALSE))+DAY(VLOOKUP(I$1,Sprints[],2,FALSE)),1,VLOOKUP(I$1,Sprints[],4,FALSE))&lt;&gt;"")*(IF(OFFSET(INDIRECT(CELL("address",INDEX('Leave Tracker'!$A$8:$A$100,MATCH($A42,'Leave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4.32</v>
      </c>
      <c r="J42">
        <f t="array" aca="1" ref="J42" ca="1">Sheet3!$W$2*$F42*(NETWORKDAYS(VLOOKUP(J$1,Sprints[],2,FALSE), VLOOKUP(J$1,Sprints[],3,FALSE))-SUMPRODUCT((OFFSET(INDIRECT(CELL("address",INDEX('Leave Tracker'!$A$8:$A$100,MATCH($A42,'Leave Tracker'!$A$8:$A$100,0)))),0,31*(VLOOKUP(J$1,Sprints[],5,FALSE))+DAY(VLOOKUP(J$1,Sprints[],2,FALSE)),1,VLOOKUP(J$1,Sprints[],4,FALSE))&lt;&gt;"")*(IF(OFFSET(INDIRECT(CELL("address",INDEX('Leave Tracker'!$A$8:$A$100,MATCH($A42,'Leave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4.8</v>
      </c>
      <c r="K42">
        <f t="array" aca="1" ref="K42" ca="1">Sheet3!$W$2*$F42*(NETWORKDAYS(VLOOKUP(K$1,Sprints[],2,FALSE), VLOOKUP(K$1,Sprints[],3,FALSE))-SUMPRODUCT((OFFSET(INDIRECT(CELL("address",INDEX('Leave Tracker'!$A$8:$A$100,MATCH($A42,'Leave Tracker'!$A$8:$A$100,0)))),0,31*(VLOOKUP(K$1,Sprints[],5,FALSE))+DAY(VLOOKUP(K$1,Sprints[],2,FALSE)),1,VLOOKUP(K$1,Sprints[],4,FALSE))&lt;&gt;"")*(IF(OFFSET(INDIRECT(CELL("address",INDEX('Leave Tracker'!$A$8:$A$100,MATCH($A42,'Leave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4.8</v>
      </c>
      <c r="L42">
        <f t="array" aca="1" ref="L42" ca="1">Sheet3!$W$2*$F42*(NETWORKDAYS(VLOOKUP(L$1,Sprints[],2,FALSE), VLOOKUP(L$1,Sprints[],3,FALSE))-SUMPRODUCT((OFFSET(INDIRECT(CELL("address",INDEX('Leave Tracker'!$A$8:$A$100,MATCH($A42,'Leave Tracker'!$A$8:$A$100,0)))),0,31*(VLOOKUP(L$1,Sprints[],5,FALSE))+DAY(VLOOKUP(L$1,Sprints[],2,FALSE)),1,VLOOKUP(L$1,Sprints[],4,FALSE))&lt;&gt;"")*(IF(OFFSET(INDIRECT(CELL("address",INDEX('Leave Tracker'!$A$8:$A$100,MATCH($A42,'Leave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4.8</v>
      </c>
      <c r="M42" s="45">
        <f t="array" aca="1" ref="M42" ca="1">Sheet3!$W$2*$F42*(NETWORKDAYS(VLOOKUP(M$1,Sprints[],2,FALSE), VLOOKUP(M$1,Sprints[],3,FALSE))-SUMPRODUCT((OFFSET(INDIRECT(CELL("address",INDEX('Leave Tracker'!$A$8:$A$100,MATCH($A42,'Leave Tracker'!$A$8:$A$100,0)))),0,31*(VLOOKUP(M$1,Sprints[],5,FALSE))+DAY(VLOOKUP(M$1,Sprints[],2,FALSE)),1,VLOOKUP(M$1,Sprints[],4,FALSE))&lt;&gt;"")*(IF(OFFSET(INDIRECT(CELL("address",INDEX('Leave Tracker'!$A$8:$A$100,MATCH($A42,'Leave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4.32</v>
      </c>
      <c r="N42">
        <f t="array" aca="1" ref="N42" ca="1">Sheet3!$W$2*$F42*(NETWORKDAYS(VLOOKUP(N$1,Sprints[],2,FALSE), VLOOKUP(N$1,Sprints[],3,FALSE))-SUMPRODUCT((OFFSET(INDIRECT(CELL("address",INDEX('Leave Tracker'!$A$8:$A$100,MATCH($A42,'Leave Tracker'!$A$8:$A$100,0)))),0,31*(VLOOKUP(N$1,Sprints[],5,FALSE))+DAY(VLOOKUP(N$1,Sprints[],2,FALSE)),1,VLOOKUP(N$1,Sprints[],4,FALSE))&lt;&gt;"")*(IF(OFFSET(INDIRECT(CELL("address",INDEX('Leave Tracker'!$A$8:$A$100,MATCH($A42,'Leave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4.8</v>
      </c>
      <c r="O42">
        <f t="array" aca="1" ref="O42" ca="1">Sheet3!$W$2*$F42*(NETWORKDAYS(VLOOKUP(O$1,Sprints[],2,FALSE), VLOOKUP(O$1,Sprints[],3,FALSE))-SUMPRODUCT((OFFSET(INDIRECT(CELL("address",INDEX('Leave Tracker'!$A$8:$A$100,MATCH($A42,'Leave Tracker'!$A$8:$A$100,0)))),0,31*(VLOOKUP(O$1,Sprints[],5,FALSE))+DAY(VLOOKUP(O$1,Sprints[],2,FALSE)),1,VLOOKUP(O$1,Sprints[],4,FALSE))&lt;&gt;"")*(IF(OFFSET(INDIRECT(CELL("address",INDEX('Leave Tracker'!$A$8:$A$100,MATCH($A42,'Leave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4.8</v>
      </c>
      <c r="P42">
        <f t="array" aca="1" ref="P42" ca="1">Sheet3!$W$2*$F42*(NETWORKDAYS(VLOOKUP(P$1,Sprints[],2,FALSE), VLOOKUP(P$1,Sprints[],3,FALSE))-SUMPRODUCT((OFFSET(INDIRECT(CELL("address",INDEX('Leave Tracker'!$A$8:$A$100,MATCH($A42,'Leave Tracker'!$A$8:$A$100,0)))),0,31*(VLOOKUP(P$1,Sprints[],5,FALSE))+DAY(VLOOKUP(P$1,Sprints[],2,FALSE)),1,VLOOKUP(P$1,Sprints[],4,FALSE))&lt;&gt;"")*(IF(OFFSET(INDIRECT(CELL("address",INDEX('Leave Tracker'!$A$8:$A$100,MATCH($A42,'Leave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4.8</v>
      </c>
      <c r="Q42">
        <f t="array" aca="1" ref="Q42" ca="1">Sheet3!$W$2*$F42*(NETWORKDAYS(VLOOKUP(Q$1,Sprints[],2,FALSE), VLOOKUP(Q$1,Sprints[],3,FALSE))-SUMPRODUCT((OFFSET(INDIRECT(CELL("address",INDEX('Leave Tracker'!$A$8:$A$100,MATCH($A42,'Leave Tracker'!$A$8:$A$100,0)))),0,31*(VLOOKUP(Q$1,Sprints[],5,FALSE))+DAY(VLOOKUP(Q$1,Sprints[],2,FALSE)),1,VLOOKUP(Q$1,Sprints[],4,FALSE))&lt;&gt;"")*(IF(OFFSET(INDIRECT(CELL("address",INDEX('Leave Tracker'!$A$8:$A$100,MATCH($A42,'Leave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4.8</v>
      </c>
      <c r="R42">
        <f t="array" aca="1" ref="R42" ca="1">Sheet3!$W$2*$F42*(NETWORKDAYS(VLOOKUP(R$1,Sprints[],2,FALSE), VLOOKUP(R$1,Sprints[],3,FALSE))-SUMPRODUCT((OFFSET(INDIRECT(CELL("address",INDEX('Leave Tracker'!$A$8:$A$100,MATCH($A42,'Leave Tracker'!$A$8:$A$100,0)))),0,31*(VLOOKUP(R$1,Sprints[],5,FALSE))+DAY(VLOOKUP(R$1,Sprints[],2,FALSE)),1,VLOOKUP(R$1,Sprints[],4,FALSE))&lt;&gt;"")*(IF(OFFSET(INDIRECT(CELL("address",INDEX('Leave Tracker'!$A$8:$A$100,MATCH($A42,'Leave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4.8</v>
      </c>
    </row>
    <row r="43" spans="1:18" x14ac:dyDescent="0.45">
      <c r="A43" t="s">
        <v>101</v>
      </c>
      <c r="B43" s="45" t="s">
        <v>116</v>
      </c>
      <c r="C43" s="45" t="s">
        <v>118</v>
      </c>
      <c r="D43" s="45" t="s">
        <v>132</v>
      </c>
      <c r="E43" s="45" t="s">
        <v>124</v>
      </c>
      <c r="F43" s="47">
        <v>0.75</v>
      </c>
      <c r="G43" s="45">
        <f t="array" aca="1" ref="G43" ca="1">Sheet3!$W$2*$F43*(NETWORKDAYS(VLOOKUP(G$1,Sprints[],2,FALSE), VLOOKUP(G$1,Sprints[],3,FALSE))-SUMPRODUCT((OFFSET(INDIRECT(CELL("address",INDEX('Leave Tracker'!$A$8:$A$100,MATCH($A43,'Leave Tracker'!$A$8:$A$100,0)))),0,31*(VLOOKUP(G$1,Sprints[],5,FALSE))+DAY(VLOOKUP(G$1,Sprints[],2,FALSE)),1,VLOOKUP(G$1,Sprints[],4,FALSE))&lt;&gt;"")*(IF(OFFSET(INDIRECT(CELL("address",INDEX('Leave Tracker'!$A$8:$A$100,MATCH($A43,'Leave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2.4000000000000004</v>
      </c>
      <c r="H43">
        <f t="array" aca="1" ref="H43" ca="1">Sheet3!$W$2*$F43*(NETWORKDAYS(VLOOKUP(H$1,Sprints[],2,FALSE), VLOOKUP(H$1,Sprints[],3,FALSE))-SUMPRODUCT((OFFSET(INDIRECT(CELL("address",INDEX('Leave Tracker'!$A$8:$A$100,MATCH($A43,'Leave Tracker'!$A$8:$A$100,0)))),0,31*(VLOOKUP(H$1,Sprints[],5,FALSE))+DAY(VLOOKUP(H$1,Sprints[],2,FALSE)),1,VLOOKUP(H$1,Sprints[],4,FALSE))&lt;&gt;"")*(IF(OFFSET(INDIRECT(CELL("address",INDEX('Leave Tracker'!$A$8:$A$100,MATCH($A43,'Leave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5.4</v>
      </c>
      <c r="I43">
        <f t="array" aca="1" ref="I43" ca="1">Sheet3!$W$2*$F43*(NETWORKDAYS(VLOOKUP(I$1,Sprints[],2,FALSE), VLOOKUP(I$1,Sprints[],3,FALSE))-SUMPRODUCT((OFFSET(INDIRECT(CELL("address",INDEX('Leave Tracker'!$A$8:$A$100,MATCH($A43,'Leave Tracker'!$A$8:$A$100,0)))),0,31*(VLOOKUP(I$1,Sprints[],5,FALSE))+DAY(VLOOKUP(I$1,Sprints[],2,FALSE)),1,VLOOKUP(I$1,Sprints[],4,FALSE))&lt;&gt;"")*(IF(OFFSET(INDIRECT(CELL("address",INDEX('Leave Tracker'!$A$8:$A$100,MATCH($A43,'Leave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5.4</v>
      </c>
      <c r="J43">
        <f t="array" aca="1" ref="J43" ca="1">Sheet3!$W$2*$F43*(NETWORKDAYS(VLOOKUP(J$1,Sprints[],2,FALSE), VLOOKUP(J$1,Sprints[],3,FALSE))-SUMPRODUCT((OFFSET(INDIRECT(CELL("address",INDEX('Leave Tracker'!$A$8:$A$100,MATCH($A43,'Leave Tracker'!$A$8:$A$100,0)))),0,31*(VLOOKUP(J$1,Sprints[],5,FALSE))+DAY(VLOOKUP(J$1,Sprints[],2,FALSE)),1,VLOOKUP(J$1,Sprints[],4,FALSE))&lt;&gt;"")*(IF(OFFSET(INDIRECT(CELL("address",INDEX('Leave Tracker'!$A$8:$A$100,MATCH($A43,'Leave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6.0000000000000009</v>
      </c>
      <c r="K43">
        <f t="array" aca="1" ref="K43" ca="1">Sheet3!$W$2*$F43*(NETWORKDAYS(VLOOKUP(K$1,Sprints[],2,FALSE), VLOOKUP(K$1,Sprints[],3,FALSE))-SUMPRODUCT((OFFSET(INDIRECT(CELL("address",INDEX('Leave Tracker'!$A$8:$A$100,MATCH($A43,'Leave Tracker'!$A$8:$A$100,0)))),0,31*(VLOOKUP(K$1,Sprints[],5,FALSE))+DAY(VLOOKUP(K$1,Sprints[],2,FALSE)),1,VLOOKUP(K$1,Sprints[],4,FALSE))&lt;&gt;"")*(IF(OFFSET(INDIRECT(CELL("address",INDEX('Leave Tracker'!$A$8:$A$100,MATCH($A43,'Leave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43">
        <f t="array" aca="1" ref="L43" ca="1">Sheet3!$W$2*$F43*(NETWORKDAYS(VLOOKUP(L$1,Sprints[],2,FALSE), VLOOKUP(L$1,Sprints[],3,FALSE))-SUMPRODUCT((OFFSET(INDIRECT(CELL("address",INDEX('Leave Tracker'!$A$8:$A$100,MATCH($A43,'Leave Tracker'!$A$8:$A$100,0)))),0,31*(VLOOKUP(L$1,Sprints[],5,FALSE))+DAY(VLOOKUP(L$1,Sprints[],2,FALSE)),1,VLOOKUP(L$1,Sprints[],4,FALSE))&lt;&gt;"")*(IF(OFFSET(INDIRECT(CELL("address",INDEX('Leave Tracker'!$A$8:$A$100,MATCH($A43,'Leave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6.0000000000000009</v>
      </c>
      <c r="M43" s="45">
        <f t="array" aca="1" ref="M43" ca="1">Sheet3!$W$2*$F43*(NETWORKDAYS(VLOOKUP(M$1,Sprints[],2,FALSE), VLOOKUP(M$1,Sprints[],3,FALSE))-SUMPRODUCT((OFFSET(INDIRECT(CELL("address",INDEX('Leave Tracker'!$A$8:$A$100,MATCH($A43,'Leave Tracker'!$A$8:$A$100,0)))),0,31*(VLOOKUP(M$1,Sprints[],5,FALSE))+DAY(VLOOKUP(M$1,Sprints[],2,FALSE)),1,VLOOKUP(M$1,Sprints[],4,FALSE))&lt;&gt;"")*(IF(OFFSET(INDIRECT(CELL("address",INDEX('Leave Tracker'!$A$8:$A$100,MATCH($A43,'Leave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43">
        <f t="array" aca="1" ref="N43" ca="1">Sheet3!$W$2*$F43*(NETWORKDAYS(VLOOKUP(N$1,Sprints[],2,FALSE), VLOOKUP(N$1,Sprints[],3,FALSE))-SUMPRODUCT((OFFSET(INDIRECT(CELL("address",INDEX('Leave Tracker'!$A$8:$A$100,MATCH($A43,'Leave Tracker'!$A$8:$A$100,0)))),0,31*(VLOOKUP(N$1,Sprints[],5,FALSE))+DAY(VLOOKUP(N$1,Sprints[],2,FALSE)),1,VLOOKUP(N$1,Sprints[],4,FALSE))&lt;&gt;"")*(IF(OFFSET(INDIRECT(CELL("address",INDEX('Leave Tracker'!$A$8:$A$100,MATCH($A43,'Leave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43">
        <f t="array" aca="1" ref="O43" ca="1">Sheet3!$W$2*$F43*(NETWORKDAYS(VLOOKUP(O$1,Sprints[],2,FALSE), VLOOKUP(O$1,Sprints[],3,FALSE))-SUMPRODUCT((OFFSET(INDIRECT(CELL("address",INDEX('Leave Tracker'!$A$8:$A$100,MATCH($A43,'Leave Tracker'!$A$8:$A$100,0)))),0,31*(VLOOKUP(O$1,Sprints[],5,FALSE))+DAY(VLOOKUP(O$1,Sprints[],2,FALSE)),1,VLOOKUP(O$1,Sprints[],4,FALSE))&lt;&gt;"")*(IF(OFFSET(INDIRECT(CELL("address",INDEX('Leave Tracker'!$A$8:$A$100,MATCH($A43,'Leave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6.0000000000000009</v>
      </c>
      <c r="P43">
        <f t="array" aca="1" ref="P43" ca="1">Sheet3!$W$2*$F43*(NETWORKDAYS(VLOOKUP(P$1,Sprints[],2,FALSE), VLOOKUP(P$1,Sprints[],3,FALSE))-SUMPRODUCT((OFFSET(INDIRECT(CELL("address",INDEX('Leave Tracker'!$A$8:$A$100,MATCH($A43,'Leave Tracker'!$A$8:$A$100,0)))),0,31*(VLOOKUP(P$1,Sprints[],5,FALSE))+DAY(VLOOKUP(P$1,Sprints[],2,FALSE)),1,VLOOKUP(P$1,Sprints[],4,FALSE))&lt;&gt;"")*(IF(OFFSET(INDIRECT(CELL("address",INDEX('Leave Tracker'!$A$8:$A$100,MATCH($A43,'Leave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43">
        <f t="array" aca="1" ref="Q43" ca="1">Sheet3!$W$2*$F43*(NETWORKDAYS(VLOOKUP(Q$1,Sprints[],2,FALSE), VLOOKUP(Q$1,Sprints[],3,FALSE))-SUMPRODUCT((OFFSET(INDIRECT(CELL("address",INDEX('Leave Tracker'!$A$8:$A$100,MATCH($A43,'Leave Tracker'!$A$8:$A$100,0)))),0,31*(VLOOKUP(Q$1,Sprints[],5,FALSE))+DAY(VLOOKUP(Q$1,Sprints[],2,FALSE)),1,VLOOKUP(Q$1,Sprints[],4,FALSE))&lt;&gt;"")*(IF(OFFSET(INDIRECT(CELL("address",INDEX('Leave Tracker'!$A$8:$A$100,MATCH($A43,'Leave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6.0000000000000009</v>
      </c>
      <c r="R43">
        <f t="array" aca="1" ref="R43" ca="1">Sheet3!$W$2*$F43*(NETWORKDAYS(VLOOKUP(R$1,Sprints[],2,FALSE), VLOOKUP(R$1,Sprints[],3,FALSE))-SUMPRODUCT((OFFSET(INDIRECT(CELL("address",INDEX('Leave Tracker'!$A$8:$A$100,MATCH($A43,'Leave Tracker'!$A$8:$A$100,0)))),0,31*(VLOOKUP(R$1,Sprints[],5,FALSE))+DAY(VLOOKUP(R$1,Sprints[],2,FALSE)),1,VLOOKUP(R$1,Sprints[],4,FALSE))&lt;&gt;"")*(IF(OFFSET(INDIRECT(CELL("address",INDEX('Leave Tracker'!$A$8:$A$100,MATCH($A43,'Leave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44" spans="1:18" x14ac:dyDescent="0.45">
      <c r="A44" t="s">
        <v>102</v>
      </c>
      <c r="B44" s="45" t="s">
        <v>116</v>
      </c>
      <c r="C44" s="45" t="s">
        <v>118</v>
      </c>
      <c r="D44" s="45" t="s">
        <v>132</v>
      </c>
      <c r="E44" s="45" t="s">
        <v>125</v>
      </c>
      <c r="F44" s="47">
        <v>0.75</v>
      </c>
      <c r="G44" s="45">
        <f t="array" aca="1" ref="G44" ca="1">Sheet3!$W$2*$F44*(NETWORKDAYS(VLOOKUP(G$1,Sprints[],2,FALSE), VLOOKUP(G$1,Sprints[],3,FALSE))-SUMPRODUCT((OFFSET(INDIRECT(CELL("address",INDEX('Leave Tracker'!$A$8:$A$100,MATCH($A44,'Leave Tracker'!$A$8:$A$100,0)))),0,31*(VLOOKUP(G$1,Sprints[],5,FALSE))+DAY(VLOOKUP(G$1,Sprints[],2,FALSE)),1,VLOOKUP(G$1,Sprints[],4,FALSE))&lt;&gt;"")*(IF(OFFSET(INDIRECT(CELL("address",INDEX('Leave Tracker'!$A$8:$A$100,MATCH($A44,'Leave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2.4000000000000004</v>
      </c>
      <c r="H44">
        <f t="array" aca="1" ref="H44" ca="1">Sheet3!$W$2*$F44*(NETWORKDAYS(VLOOKUP(H$1,Sprints[],2,FALSE), VLOOKUP(H$1,Sprints[],3,FALSE))-SUMPRODUCT((OFFSET(INDIRECT(CELL("address",INDEX('Leave Tracker'!$A$8:$A$100,MATCH($A44,'Leave Tracker'!$A$8:$A$100,0)))),0,31*(VLOOKUP(H$1,Sprints[],5,FALSE))+DAY(VLOOKUP(H$1,Sprints[],2,FALSE)),1,VLOOKUP(H$1,Sprints[],4,FALSE))&lt;&gt;"")*(IF(OFFSET(INDIRECT(CELL("address",INDEX('Leave Tracker'!$A$8:$A$100,MATCH($A44,'Leave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5.4</v>
      </c>
      <c r="I44">
        <f t="array" aca="1" ref="I44" ca="1">Sheet3!$W$2*$F44*(NETWORKDAYS(VLOOKUP(I$1,Sprints[],2,FALSE), VLOOKUP(I$1,Sprints[],3,FALSE))-SUMPRODUCT((OFFSET(INDIRECT(CELL("address",INDEX('Leave Tracker'!$A$8:$A$100,MATCH($A44,'Leave Tracker'!$A$8:$A$100,0)))),0,31*(VLOOKUP(I$1,Sprints[],5,FALSE))+DAY(VLOOKUP(I$1,Sprints[],2,FALSE)),1,VLOOKUP(I$1,Sprints[],4,FALSE))&lt;&gt;"")*(IF(OFFSET(INDIRECT(CELL("address",INDEX('Leave Tracker'!$A$8:$A$100,MATCH($A44,'Leave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5.4</v>
      </c>
      <c r="J44">
        <f t="array" aca="1" ref="J44" ca="1">Sheet3!$W$2*$F44*(NETWORKDAYS(VLOOKUP(J$1,Sprints[],2,FALSE), VLOOKUP(J$1,Sprints[],3,FALSE))-SUMPRODUCT((OFFSET(INDIRECT(CELL("address",INDEX('Leave Tracker'!$A$8:$A$100,MATCH($A44,'Leave Tracker'!$A$8:$A$100,0)))),0,31*(VLOOKUP(J$1,Sprints[],5,FALSE))+DAY(VLOOKUP(J$1,Sprints[],2,FALSE)),1,VLOOKUP(J$1,Sprints[],4,FALSE))&lt;&gt;"")*(IF(OFFSET(INDIRECT(CELL("address",INDEX('Leave Tracker'!$A$8:$A$100,MATCH($A44,'Leave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6.0000000000000009</v>
      </c>
      <c r="K44">
        <f t="array" aca="1" ref="K44" ca="1">Sheet3!$W$2*$F44*(NETWORKDAYS(VLOOKUP(K$1,Sprints[],2,FALSE), VLOOKUP(K$1,Sprints[],3,FALSE))-SUMPRODUCT((OFFSET(INDIRECT(CELL("address",INDEX('Leave Tracker'!$A$8:$A$100,MATCH($A44,'Leave Tracker'!$A$8:$A$100,0)))),0,31*(VLOOKUP(K$1,Sprints[],5,FALSE))+DAY(VLOOKUP(K$1,Sprints[],2,FALSE)),1,VLOOKUP(K$1,Sprints[],4,FALSE))&lt;&gt;"")*(IF(OFFSET(INDIRECT(CELL("address",INDEX('Leave Tracker'!$A$8:$A$100,MATCH($A44,'Leave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44">
        <f t="array" aca="1" ref="L44" ca="1">Sheet3!$W$2*$F44*(NETWORKDAYS(VLOOKUP(L$1,Sprints[],2,FALSE), VLOOKUP(L$1,Sprints[],3,FALSE))-SUMPRODUCT((OFFSET(INDIRECT(CELL("address",INDEX('Leave Tracker'!$A$8:$A$100,MATCH($A44,'Leave Tracker'!$A$8:$A$100,0)))),0,31*(VLOOKUP(L$1,Sprints[],5,FALSE))+DAY(VLOOKUP(L$1,Sprints[],2,FALSE)),1,VLOOKUP(L$1,Sprints[],4,FALSE))&lt;&gt;"")*(IF(OFFSET(INDIRECT(CELL("address",INDEX('Leave Tracker'!$A$8:$A$100,MATCH($A44,'Leave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6.0000000000000009</v>
      </c>
      <c r="M44" s="45">
        <f t="array" aca="1" ref="M44" ca="1">Sheet3!$W$2*$F44*(NETWORKDAYS(VLOOKUP(M$1,Sprints[],2,FALSE), VLOOKUP(M$1,Sprints[],3,FALSE))-SUMPRODUCT((OFFSET(INDIRECT(CELL("address",INDEX('Leave Tracker'!$A$8:$A$100,MATCH($A44,'Leave Tracker'!$A$8:$A$100,0)))),0,31*(VLOOKUP(M$1,Sprints[],5,FALSE))+DAY(VLOOKUP(M$1,Sprints[],2,FALSE)),1,VLOOKUP(M$1,Sprints[],4,FALSE))&lt;&gt;"")*(IF(OFFSET(INDIRECT(CELL("address",INDEX('Leave Tracker'!$A$8:$A$100,MATCH($A44,'Leave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44">
        <f t="array" aca="1" ref="N44" ca="1">Sheet3!$W$2*$F44*(NETWORKDAYS(VLOOKUP(N$1,Sprints[],2,FALSE), VLOOKUP(N$1,Sprints[],3,FALSE))-SUMPRODUCT((OFFSET(INDIRECT(CELL("address",INDEX('Leave Tracker'!$A$8:$A$100,MATCH($A44,'Leave Tracker'!$A$8:$A$100,0)))),0,31*(VLOOKUP(N$1,Sprints[],5,FALSE))+DAY(VLOOKUP(N$1,Sprints[],2,FALSE)),1,VLOOKUP(N$1,Sprints[],4,FALSE))&lt;&gt;"")*(IF(OFFSET(INDIRECT(CELL("address",INDEX('Leave Tracker'!$A$8:$A$100,MATCH($A44,'Leave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44">
        <f t="array" aca="1" ref="O44" ca="1">Sheet3!$W$2*$F44*(NETWORKDAYS(VLOOKUP(O$1,Sprints[],2,FALSE), VLOOKUP(O$1,Sprints[],3,FALSE))-SUMPRODUCT((OFFSET(INDIRECT(CELL("address",INDEX('Leave Tracker'!$A$8:$A$100,MATCH($A44,'Leave Tracker'!$A$8:$A$100,0)))),0,31*(VLOOKUP(O$1,Sprints[],5,FALSE))+DAY(VLOOKUP(O$1,Sprints[],2,FALSE)),1,VLOOKUP(O$1,Sprints[],4,FALSE))&lt;&gt;"")*(IF(OFFSET(INDIRECT(CELL("address",INDEX('Leave Tracker'!$A$8:$A$100,MATCH($A44,'Leave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6.0000000000000009</v>
      </c>
      <c r="P44">
        <f t="array" aca="1" ref="P44" ca="1">Sheet3!$W$2*$F44*(NETWORKDAYS(VLOOKUP(P$1,Sprints[],2,FALSE), VLOOKUP(P$1,Sprints[],3,FALSE))-SUMPRODUCT((OFFSET(INDIRECT(CELL("address",INDEX('Leave Tracker'!$A$8:$A$100,MATCH($A44,'Leave Tracker'!$A$8:$A$100,0)))),0,31*(VLOOKUP(P$1,Sprints[],5,FALSE))+DAY(VLOOKUP(P$1,Sprints[],2,FALSE)),1,VLOOKUP(P$1,Sprints[],4,FALSE))&lt;&gt;"")*(IF(OFFSET(INDIRECT(CELL("address",INDEX('Leave Tracker'!$A$8:$A$100,MATCH($A44,'Leave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44">
        <f t="array" aca="1" ref="Q44" ca="1">Sheet3!$W$2*$F44*(NETWORKDAYS(VLOOKUP(Q$1,Sprints[],2,FALSE), VLOOKUP(Q$1,Sprints[],3,FALSE))-SUMPRODUCT((OFFSET(INDIRECT(CELL("address",INDEX('Leave Tracker'!$A$8:$A$100,MATCH($A44,'Leave Tracker'!$A$8:$A$100,0)))),0,31*(VLOOKUP(Q$1,Sprints[],5,FALSE))+DAY(VLOOKUP(Q$1,Sprints[],2,FALSE)),1,VLOOKUP(Q$1,Sprints[],4,FALSE))&lt;&gt;"")*(IF(OFFSET(INDIRECT(CELL("address",INDEX('Leave Tracker'!$A$8:$A$100,MATCH($A44,'Leave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6.0000000000000009</v>
      </c>
      <c r="R44">
        <f t="array" aca="1" ref="R44" ca="1">Sheet3!$W$2*$F44*(NETWORKDAYS(VLOOKUP(R$1,Sprints[],2,FALSE), VLOOKUP(R$1,Sprints[],3,FALSE))-SUMPRODUCT((OFFSET(INDIRECT(CELL("address",INDEX('Leave Tracker'!$A$8:$A$100,MATCH($A44,'Leave Tracker'!$A$8:$A$100,0)))),0,31*(VLOOKUP(R$1,Sprints[],5,FALSE))+DAY(VLOOKUP(R$1,Sprints[],2,FALSE)),1,VLOOKUP(R$1,Sprints[],4,FALSE))&lt;&gt;"")*(IF(OFFSET(INDIRECT(CELL("address",INDEX('Leave Tracker'!$A$8:$A$100,MATCH($A44,'Leave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45" spans="1:18" x14ac:dyDescent="0.45">
      <c r="A45" t="s">
        <v>103</v>
      </c>
      <c r="B45" s="45" t="s">
        <v>116</v>
      </c>
      <c r="C45" s="45" t="s">
        <v>118</v>
      </c>
      <c r="D45" s="45" t="s">
        <v>132</v>
      </c>
      <c r="E45" s="45" t="s">
        <v>124</v>
      </c>
      <c r="F45" s="47">
        <v>0.75</v>
      </c>
      <c r="G45" s="45">
        <f t="array" aca="1" ref="G45" ca="1">Sheet3!$W$2*$F45*(NETWORKDAYS(VLOOKUP(G$1,Sprints[],2,FALSE), VLOOKUP(G$1,Sprints[],3,FALSE))-SUMPRODUCT((OFFSET(INDIRECT(CELL("address",INDEX('Leave Tracker'!$A$8:$A$100,MATCH($A45,'Leave Tracker'!$A$8:$A$100,0)))),0,31*(VLOOKUP(G$1,Sprints[],5,FALSE))+DAY(VLOOKUP(G$1,Sprints[],2,FALSE)),1,VLOOKUP(G$1,Sprints[],4,FALSE))&lt;&gt;"")*(IF(OFFSET(INDIRECT(CELL("address",INDEX('Leave Tracker'!$A$8:$A$100,MATCH($A45,'Leave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2.4000000000000004</v>
      </c>
      <c r="H45">
        <f t="array" aca="1" ref="H45" ca="1">Sheet3!$W$2*$F45*(NETWORKDAYS(VLOOKUP(H$1,Sprints[],2,FALSE), VLOOKUP(H$1,Sprints[],3,FALSE))-SUMPRODUCT((OFFSET(INDIRECT(CELL("address",INDEX('Leave Tracker'!$A$8:$A$100,MATCH($A45,'Leave Tracker'!$A$8:$A$100,0)))),0,31*(VLOOKUP(H$1,Sprints[],5,FALSE))+DAY(VLOOKUP(H$1,Sprints[],2,FALSE)),1,VLOOKUP(H$1,Sprints[],4,FALSE))&lt;&gt;"")*(IF(OFFSET(INDIRECT(CELL("address",INDEX('Leave Tracker'!$A$8:$A$100,MATCH($A45,'Leave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5.4</v>
      </c>
      <c r="I45">
        <f t="array" aca="1" ref="I45" ca="1">Sheet3!$W$2*$F45*(NETWORKDAYS(VLOOKUP(I$1,Sprints[],2,FALSE), VLOOKUP(I$1,Sprints[],3,FALSE))-SUMPRODUCT((OFFSET(INDIRECT(CELL("address",INDEX('Leave Tracker'!$A$8:$A$100,MATCH($A45,'Leave Tracker'!$A$8:$A$100,0)))),0,31*(VLOOKUP(I$1,Sprints[],5,FALSE))+DAY(VLOOKUP(I$1,Sprints[],2,FALSE)),1,VLOOKUP(I$1,Sprints[],4,FALSE))&lt;&gt;"")*(IF(OFFSET(INDIRECT(CELL("address",INDEX('Leave Tracker'!$A$8:$A$100,MATCH($A45,'Leave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5.4</v>
      </c>
      <c r="J45">
        <f t="array" aca="1" ref="J45" ca="1">Sheet3!$W$2*$F45*(NETWORKDAYS(VLOOKUP(J$1,Sprints[],2,FALSE), VLOOKUP(J$1,Sprints[],3,FALSE))-SUMPRODUCT((OFFSET(INDIRECT(CELL("address",INDEX('Leave Tracker'!$A$8:$A$100,MATCH($A45,'Leave Tracker'!$A$8:$A$100,0)))),0,31*(VLOOKUP(J$1,Sprints[],5,FALSE))+DAY(VLOOKUP(J$1,Sprints[],2,FALSE)),1,VLOOKUP(J$1,Sprints[],4,FALSE))&lt;&gt;"")*(IF(OFFSET(INDIRECT(CELL("address",INDEX('Leave Tracker'!$A$8:$A$100,MATCH($A45,'Leave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6.0000000000000009</v>
      </c>
      <c r="K45">
        <f t="array" aca="1" ref="K45" ca="1">Sheet3!$W$2*$F45*(NETWORKDAYS(VLOOKUP(K$1,Sprints[],2,FALSE), VLOOKUP(K$1,Sprints[],3,FALSE))-SUMPRODUCT((OFFSET(INDIRECT(CELL("address",INDEX('Leave Tracker'!$A$8:$A$100,MATCH($A45,'Leave Tracker'!$A$8:$A$100,0)))),0,31*(VLOOKUP(K$1,Sprints[],5,FALSE))+DAY(VLOOKUP(K$1,Sprints[],2,FALSE)),1,VLOOKUP(K$1,Sprints[],4,FALSE))&lt;&gt;"")*(IF(OFFSET(INDIRECT(CELL("address",INDEX('Leave Tracker'!$A$8:$A$100,MATCH($A45,'Leave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45">
        <f t="array" aca="1" ref="L45" ca="1">Sheet3!$W$2*$F45*(NETWORKDAYS(VLOOKUP(L$1,Sprints[],2,FALSE), VLOOKUP(L$1,Sprints[],3,FALSE))-SUMPRODUCT((OFFSET(INDIRECT(CELL("address",INDEX('Leave Tracker'!$A$8:$A$100,MATCH($A45,'Leave Tracker'!$A$8:$A$100,0)))),0,31*(VLOOKUP(L$1,Sprints[],5,FALSE))+DAY(VLOOKUP(L$1,Sprints[],2,FALSE)),1,VLOOKUP(L$1,Sprints[],4,FALSE))&lt;&gt;"")*(IF(OFFSET(INDIRECT(CELL("address",INDEX('Leave Tracker'!$A$8:$A$100,MATCH($A45,'Leave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6.0000000000000009</v>
      </c>
      <c r="M45" s="45">
        <f t="array" aca="1" ref="M45" ca="1">Sheet3!$W$2*$F45*(NETWORKDAYS(VLOOKUP(M$1,Sprints[],2,FALSE), VLOOKUP(M$1,Sprints[],3,FALSE))-SUMPRODUCT((OFFSET(INDIRECT(CELL("address",INDEX('Leave Tracker'!$A$8:$A$100,MATCH($A45,'Leave Tracker'!$A$8:$A$100,0)))),0,31*(VLOOKUP(M$1,Sprints[],5,FALSE))+DAY(VLOOKUP(M$1,Sprints[],2,FALSE)),1,VLOOKUP(M$1,Sprints[],4,FALSE))&lt;&gt;"")*(IF(OFFSET(INDIRECT(CELL("address",INDEX('Leave Tracker'!$A$8:$A$100,MATCH($A45,'Leave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45">
        <f t="array" aca="1" ref="N45" ca="1">Sheet3!$W$2*$F45*(NETWORKDAYS(VLOOKUP(N$1,Sprints[],2,FALSE), VLOOKUP(N$1,Sprints[],3,FALSE))-SUMPRODUCT((OFFSET(INDIRECT(CELL("address",INDEX('Leave Tracker'!$A$8:$A$100,MATCH($A45,'Leave Tracker'!$A$8:$A$100,0)))),0,31*(VLOOKUP(N$1,Sprints[],5,FALSE))+DAY(VLOOKUP(N$1,Sprints[],2,FALSE)),1,VLOOKUP(N$1,Sprints[],4,FALSE))&lt;&gt;"")*(IF(OFFSET(INDIRECT(CELL("address",INDEX('Leave Tracker'!$A$8:$A$100,MATCH($A45,'Leave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45">
        <f t="array" aca="1" ref="O45" ca="1">Sheet3!$W$2*$F45*(NETWORKDAYS(VLOOKUP(O$1,Sprints[],2,FALSE), VLOOKUP(O$1,Sprints[],3,FALSE))-SUMPRODUCT((OFFSET(INDIRECT(CELL("address",INDEX('Leave Tracker'!$A$8:$A$100,MATCH($A45,'Leave Tracker'!$A$8:$A$100,0)))),0,31*(VLOOKUP(O$1,Sprints[],5,FALSE))+DAY(VLOOKUP(O$1,Sprints[],2,FALSE)),1,VLOOKUP(O$1,Sprints[],4,FALSE))&lt;&gt;"")*(IF(OFFSET(INDIRECT(CELL("address",INDEX('Leave Tracker'!$A$8:$A$100,MATCH($A45,'Leave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6.0000000000000009</v>
      </c>
      <c r="P45">
        <f t="array" aca="1" ref="P45" ca="1">Sheet3!$W$2*$F45*(NETWORKDAYS(VLOOKUP(P$1,Sprints[],2,FALSE), VLOOKUP(P$1,Sprints[],3,FALSE))-SUMPRODUCT((OFFSET(INDIRECT(CELL("address",INDEX('Leave Tracker'!$A$8:$A$100,MATCH($A45,'Leave Tracker'!$A$8:$A$100,0)))),0,31*(VLOOKUP(P$1,Sprints[],5,FALSE))+DAY(VLOOKUP(P$1,Sprints[],2,FALSE)),1,VLOOKUP(P$1,Sprints[],4,FALSE))&lt;&gt;"")*(IF(OFFSET(INDIRECT(CELL("address",INDEX('Leave Tracker'!$A$8:$A$100,MATCH($A45,'Leave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45">
        <f t="array" aca="1" ref="Q45" ca="1">Sheet3!$W$2*$F45*(NETWORKDAYS(VLOOKUP(Q$1,Sprints[],2,FALSE), VLOOKUP(Q$1,Sprints[],3,FALSE))-SUMPRODUCT((OFFSET(INDIRECT(CELL("address",INDEX('Leave Tracker'!$A$8:$A$100,MATCH($A45,'Leave Tracker'!$A$8:$A$100,0)))),0,31*(VLOOKUP(Q$1,Sprints[],5,FALSE))+DAY(VLOOKUP(Q$1,Sprints[],2,FALSE)),1,VLOOKUP(Q$1,Sprints[],4,FALSE))&lt;&gt;"")*(IF(OFFSET(INDIRECT(CELL("address",INDEX('Leave Tracker'!$A$8:$A$100,MATCH($A45,'Leave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6.0000000000000009</v>
      </c>
      <c r="R45">
        <f t="array" aca="1" ref="R45" ca="1">Sheet3!$W$2*$F45*(NETWORKDAYS(VLOOKUP(R$1,Sprints[],2,FALSE), VLOOKUP(R$1,Sprints[],3,FALSE))-SUMPRODUCT((OFFSET(INDIRECT(CELL("address",INDEX('Leave Tracker'!$A$8:$A$100,MATCH($A45,'Leave Tracker'!$A$8:$A$100,0)))),0,31*(VLOOKUP(R$1,Sprints[],5,FALSE))+DAY(VLOOKUP(R$1,Sprints[],2,FALSE)),1,VLOOKUP(R$1,Sprints[],4,FALSE))&lt;&gt;"")*(IF(OFFSET(INDIRECT(CELL("address",INDEX('Leave Tracker'!$A$8:$A$100,MATCH($A45,'Leave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46" spans="1:18" x14ac:dyDescent="0.45">
      <c r="A46" t="s">
        <v>104</v>
      </c>
      <c r="B46" s="45" t="s">
        <v>116</v>
      </c>
      <c r="C46" s="45" t="s">
        <v>118</v>
      </c>
      <c r="D46" s="45" t="s">
        <v>133</v>
      </c>
      <c r="E46" s="45" t="s">
        <v>128</v>
      </c>
      <c r="F46" s="47">
        <v>0.75</v>
      </c>
      <c r="G46" s="45">
        <f t="array" aca="1" ref="G46" ca="1">Sheet3!$W$2*$F46*(NETWORKDAYS(VLOOKUP(G$1,Sprints[],2,FALSE), VLOOKUP(G$1,Sprints[],3,FALSE))-SUMPRODUCT((OFFSET(INDIRECT(CELL("address",INDEX('Leave Tracker'!$A$8:$A$100,MATCH($A46,'Leave Tracker'!$A$8:$A$100,0)))),0,31*(VLOOKUP(G$1,Sprints[],5,FALSE))+DAY(VLOOKUP(G$1,Sprints[],2,FALSE)),1,VLOOKUP(G$1,Sprints[],4,FALSE))&lt;&gt;"")*(IF(OFFSET(INDIRECT(CELL("address",INDEX('Leave Tracker'!$A$8:$A$100,MATCH($A46,'Leave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2.4000000000000004</v>
      </c>
      <c r="H46">
        <f t="array" aca="1" ref="H46" ca="1">Sheet3!$W$2*$F46*(NETWORKDAYS(VLOOKUP(H$1,Sprints[],2,FALSE), VLOOKUP(H$1,Sprints[],3,FALSE))-SUMPRODUCT((OFFSET(INDIRECT(CELL("address",INDEX('Leave Tracker'!$A$8:$A$100,MATCH($A46,'Leave Tracker'!$A$8:$A$100,0)))),0,31*(VLOOKUP(H$1,Sprints[],5,FALSE))+DAY(VLOOKUP(H$1,Sprints[],2,FALSE)),1,VLOOKUP(H$1,Sprints[],4,FALSE))&lt;&gt;"")*(IF(OFFSET(INDIRECT(CELL("address",INDEX('Leave Tracker'!$A$8:$A$100,MATCH($A46,'Leave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5.4</v>
      </c>
      <c r="I46">
        <f t="array" aca="1" ref="I46" ca="1">Sheet3!$W$2*$F46*(NETWORKDAYS(VLOOKUP(I$1,Sprints[],2,FALSE), VLOOKUP(I$1,Sprints[],3,FALSE))-SUMPRODUCT((OFFSET(INDIRECT(CELL("address",INDEX('Leave Tracker'!$A$8:$A$100,MATCH($A46,'Leave Tracker'!$A$8:$A$100,0)))),0,31*(VLOOKUP(I$1,Sprints[],5,FALSE))+DAY(VLOOKUP(I$1,Sprints[],2,FALSE)),1,VLOOKUP(I$1,Sprints[],4,FALSE))&lt;&gt;"")*(IF(OFFSET(INDIRECT(CELL("address",INDEX('Leave Tracker'!$A$8:$A$100,MATCH($A46,'Leave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5.4</v>
      </c>
      <c r="J46">
        <f t="array" aca="1" ref="J46" ca="1">Sheet3!$W$2*$F46*(NETWORKDAYS(VLOOKUP(J$1,Sprints[],2,FALSE), VLOOKUP(J$1,Sprints[],3,FALSE))-SUMPRODUCT((OFFSET(INDIRECT(CELL("address",INDEX('Leave Tracker'!$A$8:$A$100,MATCH($A46,'Leave Tracker'!$A$8:$A$100,0)))),0,31*(VLOOKUP(J$1,Sprints[],5,FALSE))+DAY(VLOOKUP(J$1,Sprints[],2,FALSE)),1,VLOOKUP(J$1,Sprints[],4,FALSE))&lt;&gt;"")*(IF(OFFSET(INDIRECT(CELL("address",INDEX('Leave Tracker'!$A$8:$A$100,MATCH($A46,'Leave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6.0000000000000009</v>
      </c>
      <c r="K46">
        <f t="array" aca="1" ref="K46" ca="1">Sheet3!$W$2*$F46*(NETWORKDAYS(VLOOKUP(K$1,Sprints[],2,FALSE), VLOOKUP(K$1,Sprints[],3,FALSE))-SUMPRODUCT((OFFSET(INDIRECT(CELL("address",INDEX('Leave Tracker'!$A$8:$A$100,MATCH($A46,'Leave Tracker'!$A$8:$A$100,0)))),0,31*(VLOOKUP(K$1,Sprints[],5,FALSE))+DAY(VLOOKUP(K$1,Sprints[],2,FALSE)),1,VLOOKUP(K$1,Sprints[],4,FALSE))&lt;&gt;"")*(IF(OFFSET(INDIRECT(CELL("address",INDEX('Leave Tracker'!$A$8:$A$100,MATCH($A46,'Leave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46">
        <f t="array" aca="1" ref="L46" ca="1">Sheet3!$W$2*$F46*(NETWORKDAYS(VLOOKUP(L$1,Sprints[],2,FALSE), VLOOKUP(L$1,Sprints[],3,FALSE))-SUMPRODUCT((OFFSET(INDIRECT(CELL("address",INDEX('Leave Tracker'!$A$8:$A$100,MATCH($A46,'Leave Tracker'!$A$8:$A$100,0)))),0,31*(VLOOKUP(L$1,Sprints[],5,FALSE))+DAY(VLOOKUP(L$1,Sprints[],2,FALSE)),1,VLOOKUP(L$1,Sprints[],4,FALSE))&lt;&gt;"")*(IF(OFFSET(INDIRECT(CELL("address",INDEX('Leave Tracker'!$A$8:$A$100,MATCH($A46,'Leave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6.0000000000000009</v>
      </c>
      <c r="M46" s="45">
        <f t="array" aca="1" ref="M46" ca="1">Sheet3!$W$2*$F46*(NETWORKDAYS(VLOOKUP(M$1,Sprints[],2,FALSE), VLOOKUP(M$1,Sprints[],3,FALSE))-SUMPRODUCT((OFFSET(INDIRECT(CELL("address",INDEX('Leave Tracker'!$A$8:$A$100,MATCH($A46,'Leave Tracker'!$A$8:$A$100,0)))),0,31*(VLOOKUP(M$1,Sprints[],5,FALSE))+DAY(VLOOKUP(M$1,Sprints[],2,FALSE)),1,VLOOKUP(M$1,Sprints[],4,FALSE))&lt;&gt;"")*(IF(OFFSET(INDIRECT(CELL("address",INDEX('Leave Tracker'!$A$8:$A$100,MATCH($A46,'Leave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46">
        <f t="array" aca="1" ref="N46" ca="1">Sheet3!$W$2*$F46*(NETWORKDAYS(VLOOKUP(N$1,Sprints[],2,FALSE), VLOOKUP(N$1,Sprints[],3,FALSE))-SUMPRODUCT((OFFSET(INDIRECT(CELL("address",INDEX('Leave Tracker'!$A$8:$A$100,MATCH($A46,'Leave Tracker'!$A$8:$A$100,0)))),0,31*(VLOOKUP(N$1,Sprints[],5,FALSE))+DAY(VLOOKUP(N$1,Sprints[],2,FALSE)),1,VLOOKUP(N$1,Sprints[],4,FALSE))&lt;&gt;"")*(IF(OFFSET(INDIRECT(CELL("address",INDEX('Leave Tracker'!$A$8:$A$100,MATCH($A46,'Leave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46">
        <f t="array" aca="1" ref="O46" ca="1">Sheet3!$W$2*$F46*(NETWORKDAYS(VLOOKUP(O$1,Sprints[],2,FALSE), VLOOKUP(O$1,Sprints[],3,FALSE))-SUMPRODUCT((OFFSET(INDIRECT(CELL("address",INDEX('Leave Tracker'!$A$8:$A$100,MATCH($A46,'Leave Tracker'!$A$8:$A$100,0)))),0,31*(VLOOKUP(O$1,Sprints[],5,FALSE))+DAY(VLOOKUP(O$1,Sprints[],2,FALSE)),1,VLOOKUP(O$1,Sprints[],4,FALSE))&lt;&gt;"")*(IF(OFFSET(INDIRECT(CELL("address",INDEX('Leave Tracker'!$A$8:$A$100,MATCH($A46,'Leave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6.0000000000000009</v>
      </c>
      <c r="P46">
        <f t="array" aca="1" ref="P46" ca="1">Sheet3!$W$2*$F46*(NETWORKDAYS(VLOOKUP(P$1,Sprints[],2,FALSE), VLOOKUP(P$1,Sprints[],3,FALSE))-SUMPRODUCT((OFFSET(INDIRECT(CELL("address",INDEX('Leave Tracker'!$A$8:$A$100,MATCH($A46,'Leave Tracker'!$A$8:$A$100,0)))),0,31*(VLOOKUP(P$1,Sprints[],5,FALSE))+DAY(VLOOKUP(P$1,Sprints[],2,FALSE)),1,VLOOKUP(P$1,Sprints[],4,FALSE))&lt;&gt;"")*(IF(OFFSET(INDIRECT(CELL("address",INDEX('Leave Tracker'!$A$8:$A$100,MATCH($A46,'Leave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46">
        <f t="array" aca="1" ref="Q46" ca="1">Sheet3!$W$2*$F46*(NETWORKDAYS(VLOOKUP(Q$1,Sprints[],2,FALSE), VLOOKUP(Q$1,Sprints[],3,FALSE))-SUMPRODUCT((OFFSET(INDIRECT(CELL("address",INDEX('Leave Tracker'!$A$8:$A$100,MATCH($A46,'Leave Tracker'!$A$8:$A$100,0)))),0,31*(VLOOKUP(Q$1,Sprints[],5,FALSE))+DAY(VLOOKUP(Q$1,Sprints[],2,FALSE)),1,VLOOKUP(Q$1,Sprints[],4,FALSE))&lt;&gt;"")*(IF(OFFSET(INDIRECT(CELL("address",INDEX('Leave Tracker'!$A$8:$A$100,MATCH($A46,'Leave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6.0000000000000009</v>
      </c>
      <c r="R46">
        <f t="array" aca="1" ref="R46" ca="1">Sheet3!$W$2*$F46*(NETWORKDAYS(VLOOKUP(R$1,Sprints[],2,FALSE), VLOOKUP(R$1,Sprints[],3,FALSE))-SUMPRODUCT((OFFSET(INDIRECT(CELL("address",INDEX('Leave Tracker'!$A$8:$A$100,MATCH($A46,'Leave Tracker'!$A$8:$A$100,0)))),0,31*(VLOOKUP(R$1,Sprints[],5,FALSE))+DAY(VLOOKUP(R$1,Sprints[],2,FALSE)),1,VLOOKUP(R$1,Sprints[],4,FALSE))&lt;&gt;"")*(IF(OFFSET(INDIRECT(CELL("address",INDEX('Leave Tracker'!$A$8:$A$100,MATCH($A46,'Leave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47" spans="1:18" x14ac:dyDescent="0.45">
      <c r="A47" t="s">
        <v>105</v>
      </c>
      <c r="B47" s="45" t="s">
        <v>116</v>
      </c>
      <c r="C47" s="45" t="s">
        <v>118</v>
      </c>
      <c r="D47" s="45" t="s">
        <v>133</v>
      </c>
      <c r="E47" s="45" t="s">
        <v>128</v>
      </c>
      <c r="F47" s="47">
        <v>0.75</v>
      </c>
      <c r="G47" s="45">
        <f t="array" aca="1" ref="G47" ca="1">Sheet3!$W$2*$F47*(NETWORKDAYS(VLOOKUP(G$1,Sprints[],2,FALSE), VLOOKUP(G$1,Sprints[],3,FALSE))-SUMPRODUCT((OFFSET(INDIRECT(CELL("address",INDEX('Leave Tracker'!$A$8:$A$100,MATCH($A47,'Leave Tracker'!$A$8:$A$100,0)))),0,31*(VLOOKUP(G$1,Sprints[],5,FALSE))+DAY(VLOOKUP(G$1,Sprints[],2,FALSE)),1,VLOOKUP(G$1,Sprints[],4,FALSE))&lt;&gt;"")*(IF(OFFSET(INDIRECT(CELL("address",INDEX('Leave Tracker'!$A$8:$A$100,MATCH($A47,'Leave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2.4000000000000004</v>
      </c>
      <c r="H47">
        <f t="array" aca="1" ref="H47" ca="1">Sheet3!$W$2*$F47*(NETWORKDAYS(VLOOKUP(H$1,Sprints[],2,FALSE), VLOOKUP(H$1,Sprints[],3,FALSE))-SUMPRODUCT((OFFSET(INDIRECT(CELL("address",INDEX('Leave Tracker'!$A$8:$A$100,MATCH($A47,'Leave Tracker'!$A$8:$A$100,0)))),0,31*(VLOOKUP(H$1,Sprints[],5,FALSE))+DAY(VLOOKUP(H$1,Sprints[],2,FALSE)),1,VLOOKUP(H$1,Sprints[],4,FALSE))&lt;&gt;"")*(IF(OFFSET(INDIRECT(CELL("address",INDEX('Leave Tracker'!$A$8:$A$100,MATCH($A47,'Leave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5.4</v>
      </c>
      <c r="I47">
        <f t="array" aca="1" ref="I47" ca="1">Sheet3!$W$2*$F47*(NETWORKDAYS(VLOOKUP(I$1,Sprints[],2,FALSE), VLOOKUP(I$1,Sprints[],3,FALSE))-SUMPRODUCT((OFFSET(INDIRECT(CELL("address",INDEX('Leave Tracker'!$A$8:$A$100,MATCH($A47,'Leave Tracker'!$A$8:$A$100,0)))),0,31*(VLOOKUP(I$1,Sprints[],5,FALSE))+DAY(VLOOKUP(I$1,Sprints[],2,FALSE)),1,VLOOKUP(I$1,Sprints[],4,FALSE))&lt;&gt;"")*(IF(OFFSET(INDIRECT(CELL("address",INDEX('Leave Tracker'!$A$8:$A$100,MATCH($A47,'Leave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5.4</v>
      </c>
      <c r="J47">
        <f t="array" aca="1" ref="J47" ca="1">Sheet3!$W$2*$F47*(NETWORKDAYS(VLOOKUP(J$1,Sprints[],2,FALSE), VLOOKUP(J$1,Sprints[],3,FALSE))-SUMPRODUCT((OFFSET(INDIRECT(CELL("address",INDEX('Leave Tracker'!$A$8:$A$100,MATCH($A47,'Leave Tracker'!$A$8:$A$100,0)))),0,31*(VLOOKUP(J$1,Sprints[],5,FALSE))+DAY(VLOOKUP(J$1,Sprints[],2,FALSE)),1,VLOOKUP(J$1,Sprints[],4,FALSE))&lt;&gt;"")*(IF(OFFSET(INDIRECT(CELL("address",INDEX('Leave Tracker'!$A$8:$A$100,MATCH($A47,'Leave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6.0000000000000009</v>
      </c>
      <c r="K47">
        <f t="array" aca="1" ref="K47" ca="1">Sheet3!$W$2*$F47*(NETWORKDAYS(VLOOKUP(K$1,Sprints[],2,FALSE), VLOOKUP(K$1,Sprints[],3,FALSE))-SUMPRODUCT((OFFSET(INDIRECT(CELL("address",INDEX('Leave Tracker'!$A$8:$A$100,MATCH($A47,'Leave Tracker'!$A$8:$A$100,0)))),0,31*(VLOOKUP(K$1,Sprints[],5,FALSE))+DAY(VLOOKUP(K$1,Sprints[],2,FALSE)),1,VLOOKUP(K$1,Sprints[],4,FALSE))&lt;&gt;"")*(IF(OFFSET(INDIRECT(CELL("address",INDEX('Leave Tracker'!$A$8:$A$100,MATCH($A47,'Leave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47">
        <f t="array" aca="1" ref="L47" ca="1">Sheet3!$W$2*$F47*(NETWORKDAYS(VLOOKUP(L$1,Sprints[],2,FALSE), VLOOKUP(L$1,Sprints[],3,FALSE))-SUMPRODUCT((OFFSET(INDIRECT(CELL("address",INDEX('Leave Tracker'!$A$8:$A$100,MATCH($A47,'Leave Tracker'!$A$8:$A$100,0)))),0,31*(VLOOKUP(L$1,Sprints[],5,FALSE))+DAY(VLOOKUP(L$1,Sprints[],2,FALSE)),1,VLOOKUP(L$1,Sprints[],4,FALSE))&lt;&gt;"")*(IF(OFFSET(INDIRECT(CELL("address",INDEX('Leave Tracker'!$A$8:$A$100,MATCH($A47,'Leave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6.0000000000000009</v>
      </c>
      <c r="M47" s="45">
        <f t="array" aca="1" ref="M47" ca="1">Sheet3!$W$2*$F47*(NETWORKDAYS(VLOOKUP(M$1,Sprints[],2,FALSE), VLOOKUP(M$1,Sprints[],3,FALSE))-SUMPRODUCT((OFFSET(INDIRECT(CELL("address",INDEX('Leave Tracker'!$A$8:$A$100,MATCH($A47,'Leave Tracker'!$A$8:$A$100,0)))),0,31*(VLOOKUP(M$1,Sprints[],5,FALSE))+DAY(VLOOKUP(M$1,Sprints[],2,FALSE)),1,VLOOKUP(M$1,Sprints[],4,FALSE))&lt;&gt;"")*(IF(OFFSET(INDIRECT(CELL("address",INDEX('Leave Tracker'!$A$8:$A$100,MATCH($A47,'Leave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47">
        <f t="array" aca="1" ref="N47" ca="1">Sheet3!$W$2*$F47*(NETWORKDAYS(VLOOKUP(N$1,Sprints[],2,FALSE), VLOOKUP(N$1,Sprints[],3,FALSE))-SUMPRODUCT((OFFSET(INDIRECT(CELL("address",INDEX('Leave Tracker'!$A$8:$A$100,MATCH($A47,'Leave Tracker'!$A$8:$A$100,0)))),0,31*(VLOOKUP(N$1,Sprints[],5,FALSE))+DAY(VLOOKUP(N$1,Sprints[],2,FALSE)),1,VLOOKUP(N$1,Sprints[],4,FALSE))&lt;&gt;"")*(IF(OFFSET(INDIRECT(CELL("address",INDEX('Leave Tracker'!$A$8:$A$100,MATCH($A47,'Leave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47">
        <f t="array" aca="1" ref="O47" ca="1">Sheet3!$W$2*$F47*(NETWORKDAYS(VLOOKUP(O$1,Sprints[],2,FALSE), VLOOKUP(O$1,Sprints[],3,FALSE))-SUMPRODUCT((OFFSET(INDIRECT(CELL("address",INDEX('Leave Tracker'!$A$8:$A$100,MATCH($A47,'Leave Tracker'!$A$8:$A$100,0)))),0,31*(VLOOKUP(O$1,Sprints[],5,FALSE))+DAY(VLOOKUP(O$1,Sprints[],2,FALSE)),1,VLOOKUP(O$1,Sprints[],4,FALSE))&lt;&gt;"")*(IF(OFFSET(INDIRECT(CELL("address",INDEX('Leave Tracker'!$A$8:$A$100,MATCH($A47,'Leave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6.0000000000000009</v>
      </c>
      <c r="P47">
        <f t="array" aca="1" ref="P47" ca="1">Sheet3!$W$2*$F47*(NETWORKDAYS(VLOOKUP(P$1,Sprints[],2,FALSE), VLOOKUP(P$1,Sprints[],3,FALSE))-SUMPRODUCT((OFFSET(INDIRECT(CELL("address",INDEX('Leave Tracker'!$A$8:$A$100,MATCH($A47,'Leave Tracker'!$A$8:$A$100,0)))),0,31*(VLOOKUP(P$1,Sprints[],5,FALSE))+DAY(VLOOKUP(P$1,Sprints[],2,FALSE)),1,VLOOKUP(P$1,Sprints[],4,FALSE))&lt;&gt;"")*(IF(OFFSET(INDIRECT(CELL("address",INDEX('Leave Tracker'!$A$8:$A$100,MATCH($A47,'Leave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47">
        <f t="array" aca="1" ref="Q47" ca="1">Sheet3!$W$2*$F47*(NETWORKDAYS(VLOOKUP(Q$1,Sprints[],2,FALSE), VLOOKUP(Q$1,Sprints[],3,FALSE))-SUMPRODUCT((OFFSET(INDIRECT(CELL("address",INDEX('Leave Tracker'!$A$8:$A$100,MATCH($A47,'Leave Tracker'!$A$8:$A$100,0)))),0,31*(VLOOKUP(Q$1,Sprints[],5,FALSE))+DAY(VLOOKUP(Q$1,Sprints[],2,FALSE)),1,VLOOKUP(Q$1,Sprints[],4,FALSE))&lt;&gt;"")*(IF(OFFSET(INDIRECT(CELL("address",INDEX('Leave Tracker'!$A$8:$A$100,MATCH($A47,'Leave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6.0000000000000009</v>
      </c>
      <c r="R47">
        <f t="array" aca="1" ref="R47" ca="1">Sheet3!$W$2*$F47*(NETWORKDAYS(VLOOKUP(R$1,Sprints[],2,FALSE), VLOOKUP(R$1,Sprints[],3,FALSE))-SUMPRODUCT((OFFSET(INDIRECT(CELL("address",INDEX('Leave Tracker'!$A$8:$A$100,MATCH($A47,'Leave Tracker'!$A$8:$A$100,0)))),0,31*(VLOOKUP(R$1,Sprints[],5,FALSE))+DAY(VLOOKUP(R$1,Sprints[],2,FALSE)),1,VLOOKUP(R$1,Sprints[],4,FALSE))&lt;&gt;"")*(IF(OFFSET(INDIRECT(CELL("address",INDEX('Leave Tracker'!$A$8:$A$100,MATCH($A47,'Leave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48" spans="1:18" x14ac:dyDescent="0.45">
      <c r="A48" t="s">
        <v>106</v>
      </c>
      <c r="B48" s="45" t="s">
        <v>116</v>
      </c>
      <c r="C48" s="45" t="s">
        <v>118</v>
      </c>
      <c r="D48" s="45" t="s">
        <v>132</v>
      </c>
      <c r="E48" s="45" t="s">
        <v>125</v>
      </c>
      <c r="F48" s="47">
        <v>0.75</v>
      </c>
      <c r="G48" s="45">
        <f t="array" aca="1" ref="G48" ca="1">Sheet3!$W$2*$F48*(NETWORKDAYS(VLOOKUP(G$1,Sprints[],2,FALSE), VLOOKUP(G$1,Sprints[],3,FALSE))-SUMPRODUCT((OFFSET(INDIRECT(CELL("address",INDEX('Leave Tracker'!$A$8:$A$100,MATCH($A48,'Leave Tracker'!$A$8:$A$100,0)))),0,31*(VLOOKUP(G$1,Sprints[],5,FALSE))+DAY(VLOOKUP(G$1,Sprints[],2,FALSE)),1,VLOOKUP(G$1,Sprints[],4,FALSE))&lt;&gt;"")*(IF(OFFSET(INDIRECT(CELL("address",INDEX('Leave Tracker'!$A$8:$A$100,MATCH($A48,'Leave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2.4000000000000004</v>
      </c>
      <c r="H48">
        <f t="array" aca="1" ref="H48" ca="1">Sheet3!$W$2*$F48*(NETWORKDAYS(VLOOKUP(H$1,Sprints[],2,FALSE), VLOOKUP(H$1,Sprints[],3,FALSE))-SUMPRODUCT((OFFSET(INDIRECT(CELL("address",INDEX('Leave Tracker'!$A$8:$A$100,MATCH($A48,'Leave Tracker'!$A$8:$A$100,0)))),0,31*(VLOOKUP(H$1,Sprints[],5,FALSE))+DAY(VLOOKUP(H$1,Sprints[],2,FALSE)),1,VLOOKUP(H$1,Sprints[],4,FALSE))&lt;&gt;"")*(IF(OFFSET(INDIRECT(CELL("address",INDEX('Leave Tracker'!$A$8:$A$100,MATCH($A48,'Leave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5.4</v>
      </c>
      <c r="I48">
        <f t="array" aca="1" ref="I48" ca="1">Sheet3!$W$2*$F48*(NETWORKDAYS(VLOOKUP(I$1,Sprints[],2,FALSE), VLOOKUP(I$1,Sprints[],3,FALSE))-SUMPRODUCT((OFFSET(INDIRECT(CELL("address",INDEX('Leave Tracker'!$A$8:$A$100,MATCH($A48,'Leave Tracker'!$A$8:$A$100,0)))),0,31*(VLOOKUP(I$1,Sprints[],5,FALSE))+DAY(VLOOKUP(I$1,Sprints[],2,FALSE)),1,VLOOKUP(I$1,Sprints[],4,FALSE))&lt;&gt;"")*(IF(OFFSET(INDIRECT(CELL("address",INDEX('Leave Tracker'!$A$8:$A$100,MATCH($A48,'Leave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5.4</v>
      </c>
      <c r="J48">
        <f t="array" aca="1" ref="J48" ca="1">Sheet3!$W$2*$F48*(NETWORKDAYS(VLOOKUP(J$1,Sprints[],2,FALSE), VLOOKUP(J$1,Sprints[],3,FALSE))-SUMPRODUCT((OFFSET(INDIRECT(CELL("address",INDEX('Leave Tracker'!$A$8:$A$100,MATCH($A48,'Leave Tracker'!$A$8:$A$100,0)))),0,31*(VLOOKUP(J$1,Sprints[],5,FALSE))+DAY(VLOOKUP(J$1,Sprints[],2,FALSE)),1,VLOOKUP(J$1,Sprints[],4,FALSE))&lt;&gt;"")*(IF(OFFSET(INDIRECT(CELL("address",INDEX('Leave Tracker'!$A$8:$A$100,MATCH($A48,'Leave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6.0000000000000009</v>
      </c>
      <c r="K48">
        <f t="array" aca="1" ref="K48" ca="1">Sheet3!$W$2*$F48*(NETWORKDAYS(VLOOKUP(K$1,Sprints[],2,FALSE), VLOOKUP(K$1,Sprints[],3,FALSE))-SUMPRODUCT((OFFSET(INDIRECT(CELL("address",INDEX('Leave Tracker'!$A$8:$A$100,MATCH($A48,'Leave Tracker'!$A$8:$A$100,0)))),0,31*(VLOOKUP(K$1,Sprints[],5,FALSE))+DAY(VLOOKUP(K$1,Sprints[],2,FALSE)),1,VLOOKUP(K$1,Sprints[],4,FALSE))&lt;&gt;"")*(IF(OFFSET(INDIRECT(CELL("address",INDEX('Leave Tracker'!$A$8:$A$100,MATCH($A48,'Leave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48">
        <f t="array" aca="1" ref="L48" ca="1">Sheet3!$W$2*$F48*(NETWORKDAYS(VLOOKUP(L$1,Sprints[],2,FALSE), VLOOKUP(L$1,Sprints[],3,FALSE))-SUMPRODUCT((OFFSET(INDIRECT(CELL("address",INDEX('Leave Tracker'!$A$8:$A$100,MATCH($A48,'Leave Tracker'!$A$8:$A$100,0)))),0,31*(VLOOKUP(L$1,Sprints[],5,FALSE))+DAY(VLOOKUP(L$1,Sprints[],2,FALSE)),1,VLOOKUP(L$1,Sprints[],4,FALSE))&lt;&gt;"")*(IF(OFFSET(INDIRECT(CELL("address",INDEX('Leave Tracker'!$A$8:$A$100,MATCH($A48,'Leave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6.0000000000000009</v>
      </c>
      <c r="M48" s="45">
        <f t="array" aca="1" ref="M48" ca="1">Sheet3!$W$2*$F48*(NETWORKDAYS(VLOOKUP(M$1,Sprints[],2,FALSE), VLOOKUP(M$1,Sprints[],3,FALSE))-SUMPRODUCT((OFFSET(INDIRECT(CELL("address",INDEX('Leave Tracker'!$A$8:$A$100,MATCH($A48,'Leave Tracker'!$A$8:$A$100,0)))),0,31*(VLOOKUP(M$1,Sprints[],5,FALSE))+DAY(VLOOKUP(M$1,Sprints[],2,FALSE)),1,VLOOKUP(M$1,Sprints[],4,FALSE))&lt;&gt;"")*(IF(OFFSET(INDIRECT(CELL("address",INDEX('Leave Tracker'!$A$8:$A$100,MATCH($A48,'Leave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48">
        <f t="array" aca="1" ref="N48" ca="1">Sheet3!$W$2*$F48*(NETWORKDAYS(VLOOKUP(N$1,Sprints[],2,FALSE), VLOOKUP(N$1,Sprints[],3,FALSE))-SUMPRODUCT((OFFSET(INDIRECT(CELL("address",INDEX('Leave Tracker'!$A$8:$A$100,MATCH($A48,'Leave Tracker'!$A$8:$A$100,0)))),0,31*(VLOOKUP(N$1,Sprints[],5,FALSE))+DAY(VLOOKUP(N$1,Sprints[],2,FALSE)),1,VLOOKUP(N$1,Sprints[],4,FALSE))&lt;&gt;"")*(IF(OFFSET(INDIRECT(CELL("address",INDEX('Leave Tracker'!$A$8:$A$100,MATCH($A48,'Leave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48">
        <f t="array" aca="1" ref="O48" ca="1">Sheet3!$W$2*$F48*(NETWORKDAYS(VLOOKUP(O$1,Sprints[],2,FALSE), VLOOKUP(O$1,Sprints[],3,FALSE))-SUMPRODUCT((OFFSET(INDIRECT(CELL("address",INDEX('Leave Tracker'!$A$8:$A$100,MATCH($A48,'Leave Tracker'!$A$8:$A$100,0)))),0,31*(VLOOKUP(O$1,Sprints[],5,FALSE))+DAY(VLOOKUP(O$1,Sprints[],2,FALSE)),1,VLOOKUP(O$1,Sprints[],4,FALSE))&lt;&gt;"")*(IF(OFFSET(INDIRECT(CELL("address",INDEX('Leave Tracker'!$A$8:$A$100,MATCH($A48,'Leave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6.0000000000000009</v>
      </c>
      <c r="P48">
        <f t="array" aca="1" ref="P48" ca="1">Sheet3!$W$2*$F48*(NETWORKDAYS(VLOOKUP(P$1,Sprints[],2,FALSE), VLOOKUP(P$1,Sprints[],3,FALSE))-SUMPRODUCT((OFFSET(INDIRECT(CELL("address",INDEX('Leave Tracker'!$A$8:$A$100,MATCH($A48,'Leave Tracker'!$A$8:$A$100,0)))),0,31*(VLOOKUP(P$1,Sprints[],5,FALSE))+DAY(VLOOKUP(P$1,Sprints[],2,FALSE)),1,VLOOKUP(P$1,Sprints[],4,FALSE))&lt;&gt;"")*(IF(OFFSET(INDIRECT(CELL("address",INDEX('Leave Tracker'!$A$8:$A$100,MATCH($A48,'Leave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48">
        <f t="array" aca="1" ref="Q48" ca="1">Sheet3!$W$2*$F48*(NETWORKDAYS(VLOOKUP(Q$1,Sprints[],2,FALSE), VLOOKUP(Q$1,Sprints[],3,FALSE))-SUMPRODUCT((OFFSET(INDIRECT(CELL("address",INDEX('Leave Tracker'!$A$8:$A$100,MATCH($A48,'Leave Tracker'!$A$8:$A$100,0)))),0,31*(VLOOKUP(Q$1,Sprints[],5,FALSE))+DAY(VLOOKUP(Q$1,Sprints[],2,FALSE)),1,VLOOKUP(Q$1,Sprints[],4,FALSE))&lt;&gt;"")*(IF(OFFSET(INDIRECT(CELL("address",INDEX('Leave Tracker'!$A$8:$A$100,MATCH($A48,'Leave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6.0000000000000009</v>
      </c>
      <c r="R48">
        <f t="array" aca="1" ref="R48" ca="1">Sheet3!$W$2*$F48*(NETWORKDAYS(VLOOKUP(R$1,Sprints[],2,FALSE), VLOOKUP(R$1,Sprints[],3,FALSE))-SUMPRODUCT((OFFSET(INDIRECT(CELL("address",INDEX('Leave Tracker'!$A$8:$A$100,MATCH($A48,'Leave Tracker'!$A$8:$A$100,0)))),0,31*(VLOOKUP(R$1,Sprints[],5,FALSE))+DAY(VLOOKUP(R$1,Sprints[],2,FALSE)),1,VLOOKUP(R$1,Sprints[],4,FALSE))&lt;&gt;"")*(IF(OFFSET(INDIRECT(CELL("address",INDEX('Leave Tracker'!$A$8:$A$100,MATCH($A48,'Leave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49" spans="1:18" x14ac:dyDescent="0.45">
      <c r="A49" t="s">
        <v>107</v>
      </c>
      <c r="B49" s="45" t="s">
        <v>116</v>
      </c>
      <c r="C49" s="45" t="s">
        <v>118</v>
      </c>
      <c r="D49" s="45" t="s">
        <v>132</v>
      </c>
      <c r="E49" s="45" t="s">
        <v>125</v>
      </c>
      <c r="F49" s="47">
        <v>0.75</v>
      </c>
      <c r="G49" s="45">
        <f t="array" aca="1" ref="G49" ca="1">Sheet3!$W$2*$F49*(NETWORKDAYS(VLOOKUP(G$1,Sprints[],2,FALSE), VLOOKUP(G$1,Sprints[],3,FALSE))-SUMPRODUCT((OFFSET(INDIRECT(CELL("address",INDEX('Leave Tracker'!$A$8:$A$100,MATCH($A49,'Leave Tracker'!$A$8:$A$100,0)))),0,31*(VLOOKUP(G$1,Sprints[],5,FALSE))+DAY(VLOOKUP(G$1,Sprints[],2,FALSE)),1,VLOOKUP(G$1,Sprints[],4,FALSE))&lt;&gt;"")*(IF(OFFSET(INDIRECT(CELL("address",INDEX('Leave Tracker'!$A$8:$A$100,MATCH($A49,'Leave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2.4000000000000004</v>
      </c>
      <c r="H49">
        <f t="array" aca="1" ref="H49" ca="1">Sheet3!$W$2*$F49*(NETWORKDAYS(VLOOKUP(H$1,Sprints[],2,FALSE), VLOOKUP(H$1,Sprints[],3,FALSE))-SUMPRODUCT((OFFSET(INDIRECT(CELL("address",INDEX('Leave Tracker'!$A$8:$A$100,MATCH($A49,'Leave Tracker'!$A$8:$A$100,0)))),0,31*(VLOOKUP(H$1,Sprints[],5,FALSE))+DAY(VLOOKUP(H$1,Sprints[],2,FALSE)),1,VLOOKUP(H$1,Sprints[],4,FALSE))&lt;&gt;"")*(IF(OFFSET(INDIRECT(CELL("address",INDEX('Leave Tracker'!$A$8:$A$100,MATCH($A49,'Leave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5.4</v>
      </c>
      <c r="I49">
        <f t="array" aca="1" ref="I49" ca="1">Sheet3!$W$2*$F49*(NETWORKDAYS(VLOOKUP(I$1,Sprints[],2,FALSE), VLOOKUP(I$1,Sprints[],3,FALSE))-SUMPRODUCT((OFFSET(INDIRECT(CELL("address",INDEX('Leave Tracker'!$A$8:$A$100,MATCH($A49,'Leave Tracker'!$A$8:$A$100,0)))),0,31*(VLOOKUP(I$1,Sprints[],5,FALSE))+DAY(VLOOKUP(I$1,Sprints[],2,FALSE)),1,VLOOKUP(I$1,Sprints[],4,FALSE))&lt;&gt;"")*(IF(OFFSET(INDIRECT(CELL("address",INDEX('Leave Tracker'!$A$8:$A$100,MATCH($A49,'Leave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5.4</v>
      </c>
      <c r="J49">
        <f t="array" aca="1" ref="J49" ca="1">Sheet3!$W$2*$F49*(NETWORKDAYS(VLOOKUP(J$1,Sprints[],2,FALSE), VLOOKUP(J$1,Sprints[],3,FALSE))-SUMPRODUCT((OFFSET(INDIRECT(CELL("address",INDEX('Leave Tracker'!$A$8:$A$100,MATCH($A49,'Leave Tracker'!$A$8:$A$100,0)))),0,31*(VLOOKUP(J$1,Sprints[],5,FALSE))+DAY(VLOOKUP(J$1,Sprints[],2,FALSE)),1,VLOOKUP(J$1,Sprints[],4,FALSE))&lt;&gt;"")*(IF(OFFSET(INDIRECT(CELL("address",INDEX('Leave Tracker'!$A$8:$A$100,MATCH($A49,'Leave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6.0000000000000009</v>
      </c>
      <c r="K49">
        <f t="array" aca="1" ref="K49" ca="1">Sheet3!$W$2*$F49*(NETWORKDAYS(VLOOKUP(K$1,Sprints[],2,FALSE), VLOOKUP(K$1,Sprints[],3,FALSE))-SUMPRODUCT((OFFSET(INDIRECT(CELL("address",INDEX('Leave Tracker'!$A$8:$A$100,MATCH($A49,'Leave Tracker'!$A$8:$A$100,0)))),0,31*(VLOOKUP(K$1,Sprints[],5,FALSE))+DAY(VLOOKUP(K$1,Sprints[],2,FALSE)),1,VLOOKUP(K$1,Sprints[],4,FALSE))&lt;&gt;"")*(IF(OFFSET(INDIRECT(CELL("address",INDEX('Leave Tracker'!$A$8:$A$100,MATCH($A49,'Leave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49">
        <f t="array" aca="1" ref="L49" ca="1">Sheet3!$W$2*$F49*(NETWORKDAYS(VLOOKUP(L$1,Sprints[],2,FALSE), VLOOKUP(L$1,Sprints[],3,FALSE))-SUMPRODUCT((OFFSET(INDIRECT(CELL("address",INDEX('Leave Tracker'!$A$8:$A$100,MATCH($A49,'Leave Tracker'!$A$8:$A$100,0)))),0,31*(VLOOKUP(L$1,Sprints[],5,FALSE))+DAY(VLOOKUP(L$1,Sprints[],2,FALSE)),1,VLOOKUP(L$1,Sprints[],4,FALSE))&lt;&gt;"")*(IF(OFFSET(INDIRECT(CELL("address",INDEX('Leave Tracker'!$A$8:$A$100,MATCH($A49,'Leave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6.0000000000000009</v>
      </c>
      <c r="M49" s="45">
        <f t="array" aca="1" ref="M49" ca="1">Sheet3!$W$2*$F49*(NETWORKDAYS(VLOOKUP(M$1,Sprints[],2,FALSE), VLOOKUP(M$1,Sprints[],3,FALSE))-SUMPRODUCT((OFFSET(INDIRECT(CELL("address",INDEX('Leave Tracker'!$A$8:$A$100,MATCH($A49,'Leave Tracker'!$A$8:$A$100,0)))),0,31*(VLOOKUP(M$1,Sprints[],5,FALSE))+DAY(VLOOKUP(M$1,Sprints[],2,FALSE)),1,VLOOKUP(M$1,Sprints[],4,FALSE))&lt;&gt;"")*(IF(OFFSET(INDIRECT(CELL("address",INDEX('Leave Tracker'!$A$8:$A$100,MATCH($A49,'Leave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49">
        <f t="array" aca="1" ref="N49" ca="1">Sheet3!$W$2*$F49*(NETWORKDAYS(VLOOKUP(N$1,Sprints[],2,FALSE), VLOOKUP(N$1,Sprints[],3,FALSE))-SUMPRODUCT((OFFSET(INDIRECT(CELL("address",INDEX('Leave Tracker'!$A$8:$A$100,MATCH($A49,'Leave Tracker'!$A$8:$A$100,0)))),0,31*(VLOOKUP(N$1,Sprints[],5,FALSE))+DAY(VLOOKUP(N$1,Sprints[],2,FALSE)),1,VLOOKUP(N$1,Sprints[],4,FALSE))&lt;&gt;"")*(IF(OFFSET(INDIRECT(CELL("address",INDEX('Leave Tracker'!$A$8:$A$100,MATCH($A49,'Leave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49">
        <f t="array" aca="1" ref="O49" ca="1">Sheet3!$W$2*$F49*(NETWORKDAYS(VLOOKUP(O$1,Sprints[],2,FALSE), VLOOKUP(O$1,Sprints[],3,FALSE))-SUMPRODUCT((OFFSET(INDIRECT(CELL("address",INDEX('Leave Tracker'!$A$8:$A$100,MATCH($A49,'Leave Tracker'!$A$8:$A$100,0)))),0,31*(VLOOKUP(O$1,Sprints[],5,FALSE))+DAY(VLOOKUP(O$1,Sprints[],2,FALSE)),1,VLOOKUP(O$1,Sprints[],4,FALSE))&lt;&gt;"")*(IF(OFFSET(INDIRECT(CELL("address",INDEX('Leave Tracker'!$A$8:$A$100,MATCH($A49,'Leave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6.0000000000000009</v>
      </c>
      <c r="P49">
        <f t="array" aca="1" ref="P49" ca="1">Sheet3!$W$2*$F49*(NETWORKDAYS(VLOOKUP(P$1,Sprints[],2,FALSE), VLOOKUP(P$1,Sprints[],3,FALSE))-SUMPRODUCT((OFFSET(INDIRECT(CELL("address",INDEX('Leave Tracker'!$A$8:$A$100,MATCH($A49,'Leave Tracker'!$A$8:$A$100,0)))),0,31*(VLOOKUP(P$1,Sprints[],5,FALSE))+DAY(VLOOKUP(P$1,Sprints[],2,FALSE)),1,VLOOKUP(P$1,Sprints[],4,FALSE))&lt;&gt;"")*(IF(OFFSET(INDIRECT(CELL("address",INDEX('Leave Tracker'!$A$8:$A$100,MATCH($A49,'Leave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49">
        <f t="array" aca="1" ref="Q49" ca="1">Sheet3!$W$2*$F49*(NETWORKDAYS(VLOOKUP(Q$1,Sprints[],2,FALSE), VLOOKUP(Q$1,Sprints[],3,FALSE))-SUMPRODUCT((OFFSET(INDIRECT(CELL("address",INDEX('Leave Tracker'!$A$8:$A$100,MATCH($A49,'Leave Tracker'!$A$8:$A$100,0)))),0,31*(VLOOKUP(Q$1,Sprints[],5,FALSE))+DAY(VLOOKUP(Q$1,Sprints[],2,FALSE)),1,VLOOKUP(Q$1,Sprints[],4,FALSE))&lt;&gt;"")*(IF(OFFSET(INDIRECT(CELL("address",INDEX('Leave Tracker'!$A$8:$A$100,MATCH($A49,'Leave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6.0000000000000009</v>
      </c>
      <c r="R49">
        <f t="array" aca="1" ref="R49" ca="1">Sheet3!$W$2*$F49*(NETWORKDAYS(VLOOKUP(R$1,Sprints[],2,FALSE), VLOOKUP(R$1,Sprints[],3,FALSE))-SUMPRODUCT((OFFSET(INDIRECT(CELL("address",INDEX('Leave Tracker'!$A$8:$A$100,MATCH($A49,'Leave Tracker'!$A$8:$A$100,0)))),0,31*(VLOOKUP(R$1,Sprints[],5,FALSE))+DAY(VLOOKUP(R$1,Sprints[],2,FALSE)),1,VLOOKUP(R$1,Sprints[],4,FALSE))&lt;&gt;"")*(IF(OFFSET(INDIRECT(CELL("address",INDEX('Leave Tracker'!$A$8:$A$100,MATCH($A49,'Leave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50" spans="1:18" x14ac:dyDescent="0.45">
      <c r="A50" t="s">
        <v>108</v>
      </c>
      <c r="B50" s="45" t="s">
        <v>116</v>
      </c>
      <c r="C50" s="45" t="s">
        <v>118</v>
      </c>
      <c r="D50" s="45" t="s">
        <v>132</v>
      </c>
      <c r="E50" s="45" t="s">
        <v>124</v>
      </c>
      <c r="F50" s="47">
        <v>0.75</v>
      </c>
      <c r="G50" s="45">
        <f t="array" aca="1" ref="G50" ca="1">Sheet3!$W$2*$F50*(NETWORKDAYS(VLOOKUP(G$1,Sprints[],2,FALSE), VLOOKUP(G$1,Sprints[],3,FALSE))-SUMPRODUCT((OFFSET(INDIRECT(CELL("address",INDEX('Leave Tracker'!$A$8:$A$100,MATCH($A50,'Leave Tracker'!$A$8:$A$100,0)))),0,31*(VLOOKUP(G$1,Sprints[],5,FALSE))+DAY(VLOOKUP(G$1,Sprints[],2,FALSE)),1,VLOOKUP(G$1,Sprints[],4,FALSE))&lt;&gt;"")*(IF(OFFSET(INDIRECT(CELL("address",INDEX('Leave Tracker'!$A$8:$A$100,MATCH($A50,'Leave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2.4000000000000004</v>
      </c>
      <c r="H50">
        <f t="array" aca="1" ref="H50" ca="1">Sheet3!$W$2*$F50*(NETWORKDAYS(VLOOKUP(H$1,Sprints[],2,FALSE), VLOOKUP(H$1,Sprints[],3,FALSE))-SUMPRODUCT((OFFSET(INDIRECT(CELL("address",INDEX('Leave Tracker'!$A$8:$A$100,MATCH($A50,'Leave Tracker'!$A$8:$A$100,0)))),0,31*(VLOOKUP(H$1,Sprints[],5,FALSE))+DAY(VLOOKUP(H$1,Sprints[],2,FALSE)),1,VLOOKUP(H$1,Sprints[],4,FALSE))&lt;&gt;"")*(IF(OFFSET(INDIRECT(CELL("address",INDEX('Leave Tracker'!$A$8:$A$100,MATCH($A50,'Leave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5.4</v>
      </c>
      <c r="I50">
        <f t="array" aca="1" ref="I50" ca="1">Sheet3!$W$2*$F50*(NETWORKDAYS(VLOOKUP(I$1,Sprints[],2,FALSE), VLOOKUP(I$1,Sprints[],3,FALSE))-SUMPRODUCT((OFFSET(INDIRECT(CELL("address",INDEX('Leave Tracker'!$A$8:$A$100,MATCH($A50,'Leave Tracker'!$A$8:$A$100,0)))),0,31*(VLOOKUP(I$1,Sprints[],5,FALSE))+DAY(VLOOKUP(I$1,Sprints[],2,FALSE)),1,VLOOKUP(I$1,Sprints[],4,FALSE))&lt;&gt;"")*(IF(OFFSET(INDIRECT(CELL("address",INDEX('Leave Tracker'!$A$8:$A$100,MATCH($A50,'Leave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5.4</v>
      </c>
      <c r="J50">
        <f t="array" aca="1" ref="J50" ca="1">Sheet3!$W$2*$F50*(NETWORKDAYS(VLOOKUP(J$1,Sprints[],2,FALSE), VLOOKUP(J$1,Sprints[],3,FALSE))-SUMPRODUCT((OFFSET(INDIRECT(CELL("address",INDEX('Leave Tracker'!$A$8:$A$100,MATCH($A50,'Leave Tracker'!$A$8:$A$100,0)))),0,31*(VLOOKUP(J$1,Sprints[],5,FALSE))+DAY(VLOOKUP(J$1,Sprints[],2,FALSE)),1,VLOOKUP(J$1,Sprints[],4,FALSE))&lt;&gt;"")*(IF(OFFSET(INDIRECT(CELL("address",INDEX('Leave Tracker'!$A$8:$A$100,MATCH($A50,'Leave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6.0000000000000009</v>
      </c>
      <c r="K50">
        <f t="array" aca="1" ref="K50" ca="1">Sheet3!$W$2*$F50*(NETWORKDAYS(VLOOKUP(K$1,Sprints[],2,FALSE), VLOOKUP(K$1,Sprints[],3,FALSE))-SUMPRODUCT((OFFSET(INDIRECT(CELL("address",INDEX('Leave Tracker'!$A$8:$A$100,MATCH($A50,'Leave Tracker'!$A$8:$A$100,0)))),0,31*(VLOOKUP(K$1,Sprints[],5,FALSE))+DAY(VLOOKUP(K$1,Sprints[],2,FALSE)),1,VLOOKUP(K$1,Sprints[],4,FALSE))&lt;&gt;"")*(IF(OFFSET(INDIRECT(CELL("address",INDEX('Leave Tracker'!$A$8:$A$100,MATCH($A50,'Leave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50">
        <f t="array" aca="1" ref="L50" ca="1">Sheet3!$W$2*$F50*(NETWORKDAYS(VLOOKUP(L$1,Sprints[],2,FALSE), VLOOKUP(L$1,Sprints[],3,FALSE))-SUMPRODUCT((OFFSET(INDIRECT(CELL("address",INDEX('Leave Tracker'!$A$8:$A$100,MATCH($A50,'Leave Tracker'!$A$8:$A$100,0)))),0,31*(VLOOKUP(L$1,Sprints[],5,FALSE))+DAY(VLOOKUP(L$1,Sprints[],2,FALSE)),1,VLOOKUP(L$1,Sprints[],4,FALSE))&lt;&gt;"")*(IF(OFFSET(INDIRECT(CELL("address",INDEX('Leave Tracker'!$A$8:$A$100,MATCH($A50,'Leave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6.0000000000000009</v>
      </c>
      <c r="M50" s="45">
        <f t="array" aca="1" ref="M50" ca="1">Sheet3!$W$2*$F50*(NETWORKDAYS(VLOOKUP(M$1,Sprints[],2,FALSE), VLOOKUP(M$1,Sprints[],3,FALSE))-SUMPRODUCT((OFFSET(INDIRECT(CELL("address",INDEX('Leave Tracker'!$A$8:$A$100,MATCH($A50,'Leave Tracker'!$A$8:$A$100,0)))),0,31*(VLOOKUP(M$1,Sprints[],5,FALSE))+DAY(VLOOKUP(M$1,Sprints[],2,FALSE)),1,VLOOKUP(M$1,Sprints[],4,FALSE))&lt;&gt;"")*(IF(OFFSET(INDIRECT(CELL("address",INDEX('Leave Tracker'!$A$8:$A$100,MATCH($A50,'Leave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50">
        <f t="array" aca="1" ref="N50" ca="1">Sheet3!$W$2*$F50*(NETWORKDAYS(VLOOKUP(N$1,Sprints[],2,FALSE), VLOOKUP(N$1,Sprints[],3,FALSE))-SUMPRODUCT((OFFSET(INDIRECT(CELL("address",INDEX('Leave Tracker'!$A$8:$A$100,MATCH($A50,'Leave Tracker'!$A$8:$A$100,0)))),0,31*(VLOOKUP(N$1,Sprints[],5,FALSE))+DAY(VLOOKUP(N$1,Sprints[],2,FALSE)),1,VLOOKUP(N$1,Sprints[],4,FALSE))&lt;&gt;"")*(IF(OFFSET(INDIRECT(CELL("address",INDEX('Leave Tracker'!$A$8:$A$100,MATCH($A50,'Leave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50">
        <f t="array" aca="1" ref="O50" ca="1">Sheet3!$W$2*$F50*(NETWORKDAYS(VLOOKUP(O$1,Sprints[],2,FALSE), VLOOKUP(O$1,Sprints[],3,FALSE))-SUMPRODUCT((OFFSET(INDIRECT(CELL("address",INDEX('Leave Tracker'!$A$8:$A$100,MATCH($A50,'Leave Tracker'!$A$8:$A$100,0)))),0,31*(VLOOKUP(O$1,Sprints[],5,FALSE))+DAY(VLOOKUP(O$1,Sprints[],2,FALSE)),1,VLOOKUP(O$1,Sprints[],4,FALSE))&lt;&gt;"")*(IF(OFFSET(INDIRECT(CELL("address",INDEX('Leave Tracker'!$A$8:$A$100,MATCH($A50,'Leave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6.0000000000000009</v>
      </c>
      <c r="P50">
        <f t="array" aca="1" ref="P50" ca="1">Sheet3!$W$2*$F50*(NETWORKDAYS(VLOOKUP(P$1,Sprints[],2,FALSE), VLOOKUP(P$1,Sprints[],3,FALSE))-SUMPRODUCT((OFFSET(INDIRECT(CELL("address",INDEX('Leave Tracker'!$A$8:$A$100,MATCH($A50,'Leave Tracker'!$A$8:$A$100,0)))),0,31*(VLOOKUP(P$1,Sprints[],5,FALSE))+DAY(VLOOKUP(P$1,Sprints[],2,FALSE)),1,VLOOKUP(P$1,Sprints[],4,FALSE))&lt;&gt;"")*(IF(OFFSET(INDIRECT(CELL("address",INDEX('Leave Tracker'!$A$8:$A$100,MATCH($A50,'Leave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50">
        <f t="array" aca="1" ref="Q50" ca="1">Sheet3!$W$2*$F50*(NETWORKDAYS(VLOOKUP(Q$1,Sprints[],2,FALSE), VLOOKUP(Q$1,Sprints[],3,FALSE))-SUMPRODUCT((OFFSET(INDIRECT(CELL("address",INDEX('Leave Tracker'!$A$8:$A$100,MATCH($A50,'Leave Tracker'!$A$8:$A$100,0)))),0,31*(VLOOKUP(Q$1,Sprints[],5,FALSE))+DAY(VLOOKUP(Q$1,Sprints[],2,FALSE)),1,VLOOKUP(Q$1,Sprints[],4,FALSE))&lt;&gt;"")*(IF(OFFSET(INDIRECT(CELL("address",INDEX('Leave Tracker'!$A$8:$A$100,MATCH($A50,'Leave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6.0000000000000009</v>
      </c>
      <c r="R50">
        <f t="array" aca="1" ref="R50" ca="1">Sheet3!$W$2*$F50*(NETWORKDAYS(VLOOKUP(R$1,Sprints[],2,FALSE), VLOOKUP(R$1,Sprints[],3,FALSE))-SUMPRODUCT((OFFSET(INDIRECT(CELL("address",INDEX('Leave Tracker'!$A$8:$A$100,MATCH($A50,'Leave Tracker'!$A$8:$A$100,0)))),0,31*(VLOOKUP(R$1,Sprints[],5,FALSE))+DAY(VLOOKUP(R$1,Sprints[],2,FALSE)),1,VLOOKUP(R$1,Sprints[],4,FALSE))&lt;&gt;"")*(IF(OFFSET(INDIRECT(CELL("address",INDEX('Leave Tracker'!$A$8:$A$100,MATCH($A50,'Leave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51" spans="1:18" x14ac:dyDescent="0.45">
      <c r="A51" t="s">
        <v>109</v>
      </c>
      <c r="B51" s="45" t="s">
        <v>116</v>
      </c>
      <c r="C51" s="45" t="s">
        <v>118</v>
      </c>
      <c r="D51" s="45" t="s">
        <v>132</v>
      </c>
      <c r="E51" s="45" t="s">
        <v>125</v>
      </c>
      <c r="F51" s="47">
        <v>0.75</v>
      </c>
      <c r="G51" s="45">
        <f t="array" aca="1" ref="G51" ca="1">Sheet3!$W$2*$F51*(NETWORKDAYS(VLOOKUP(G$1,Sprints[],2,FALSE), VLOOKUP(G$1,Sprints[],3,FALSE))-SUMPRODUCT((OFFSET(INDIRECT(CELL("address",INDEX('Leave Tracker'!$A$8:$A$100,MATCH($A51,'Leave Tracker'!$A$8:$A$100,0)))),0,31*(VLOOKUP(G$1,Sprints[],5,FALSE))+DAY(VLOOKUP(G$1,Sprints[],2,FALSE)),1,VLOOKUP(G$1,Sprints[],4,FALSE))&lt;&gt;"")*(IF(OFFSET(INDIRECT(CELL("address",INDEX('Leave Tracker'!$A$8:$A$100,MATCH($A51,'Leave Tracker'!$A$8:$A$100,0)))),0,31*(VLOOKUP(G$1,Sprints[],5,FALSE))+DAY(VLOOKUP(G$1,Sprints[],2,FALSE)),1,VLOOKUP(G$1,Sprints[],4,FALSE))='Leave Tracker'!$OA$12,0.5,1)*(OFFSET('Leave Tracker'!$A$3,0,31*(VLOOKUP(G$1,Sprints[],5,FALSE))+DAY(VLOOKUP(G$1,Sprints[],2,FALSE)),1,VLOOKUP(G$1,Sprints[],4,FALSE))))))</f>
        <v>2.4000000000000004</v>
      </c>
      <c r="H51">
        <f t="array" aca="1" ref="H51" ca="1">Sheet3!$W$2*$F51*(NETWORKDAYS(VLOOKUP(H$1,Sprints[],2,FALSE), VLOOKUP(H$1,Sprints[],3,FALSE))-SUMPRODUCT((OFFSET(INDIRECT(CELL("address",INDEX('Leave Tracker'!$A$8:$A$100,MATCH($A51,'Leave Tracker'!$A$8:$A$100,0)))),0,31*(VLOOKUP(H$1,Sprints[],5,FALSE))+DAY(VLOOKUP(H$1,Sprints[],2,FALSE)),1,VLOOKUP(H$1,Sprints[],4,FALSE))&lt;&gt;"")*(IF(OFFSET(INDIRECT(CELL("address",INDEX('Leave Tracker'!$A$8:$A$100,MATCH($A51,'Leave Tracker'!$A$8:$A$100,0)))),0,31*(VLOOKUP(H$1,Sprints[],5,FALSE))+DAY(VLOOKUP(H$1,Sprints[],2,FALSE)),1,VLOOKUP(H$1,Sprints[],4,FALSE))='Leave Tracker'!$OA$12,0.5,1)*(OFFSET('Leave Tracker'!$A$3,0,31*(VLOOKUP(H$1,Sprints[],5,FALSE))+DAY(VLOOKUP(H$1,Sprints[],2,FALSE)),1,VLOOKUP(H$1,Sprints[],4,FALSE))))))</f>
        <v>5.4</v>
      </c>
      <c r="I51">
        <f t="array" aca="1" ref="I51" ca="1">Sheet3!$W$2*$F51*(NETWORKDAYS(VLOOKUP(I$1,Sprints[],2,FALSE), VLOOKUP(I$1,Sprints[],3,FALSE))-SUMPRODUCT((OFFSET(INDIRECT(CELL("address",INDEX('Leave Tracker'!$A$8:$A$100,MATCH($A51,'Leave Tracker'!$A$8:$A$100,0)))),0,31*(VLOOKUP(I$1,Sprints[],5,FALSE))+DAY(VLOOKUP(I$1,Sprints[],2,FALSE)),1,VLOOKUP(I$1,Sprints[],4,FALSE))&lt;&gt;"")*(IF(OFFSET(INDIRECT(CELL("address",INDEX('Leave Tracker'!$A$8:$A$100,MATCH($A51,'Leave Tracker'!$A$8:$A$100,0)))),0,31*(VLOOKUP(I$1,Sprints[],5,FALSE))+DAY(VLOOKUP(I$1,Sprints[],2,FALSE)),1,VLOOKUP(I$1,Sprints[],4,FALSE))='Leave Tracker'!$OA$12,0.5,1)*(OFFSET('Leave Tracker'!$A$3,0,31*(VLOOKUP(I$1,Sprints[],5,FALSE))+DAY(VLOOKUP(I$1,Sprints[],2,FALSE)),1,VLOOKUP(I$1,Sprints[],4,FALSE))))))</f>
        <v>5.4</v>
      </c>
      <c r="J51">
        <f t="array" aca="1" ref="J51" ca="1">Sheet3!$W$2*$F51*(NETWORKDAYS(VLOOKUP(J$1,Sprints[],2,FALSE), VLOOKUP(J$1,Sprints[],3,FALSE))-SUMPRODUCT((OFFSET(INDIRECT(CELL("address",INDEX('Leave Tracker'!$A$8:$A$100,MATCH($A51,'Leave Tracker'!$A$8:$A$100,0)))),0,31*(VLOOKUP(J$1,Sprints[],5,FALSE))+DAY(VLOOKUP(J$1,Sprints[],2,FALSE)),1,VLOOKUP(J$1,Sprints[],4,FALSE))&lt;&gt;"")*(IF(OFFSET(INDIRECT(CELL("address",INDEX('Leave Tracker'!$A$8:$A$100,MATCH($A51,'Leave Tracker'!$A$8:$A$100,0)))),0,31*(VLOOKUP(J$1,Sprints[],5,FALSE))+DAY(VLOOKUP(J$1,Sprints[],2,FALSE)),1,VLOOKUP(J$1,Sprints[],4,FALSE))='Leave Tracker'!$OA$12,0.5,1)*(OFFSET('Leave Tracker'!$A$3,0,31*(VLOOKUP(J$1,Sprints[],5,FALSE))+DAY(VLOOKUP(J$1,Sprints[],2,FALSE)),1,VLOOKUP(J$1,Sprints[],4,FALSE))))))</f>
        <v>6.0000000000000009</v>
      </c>
      <c r="K51">
        <f t="array" aca="1" ref="K51" ca="1">Sheet3!$W$2*$F51*(NETWORKDAYS(VLOOKUP(K$1,Sprints[],2,FALSE), VLOOKUP(K$1,Sprints[],3,FALSE))-SUMPRODUCT((OFFSET(INDIRECT(CELL("address",INDEX('Leave Tracker'!$A$8:$A$100,MATCH($A51,'Leave Tracker'!$A$8:$A$100,0)))),0,31*(VLOOKUP(K$1,Sprints[],5,FALSE))+DAY(VLOOKUP(K$1,Sprints[],2,FALSE)),1,VLOOKUP(K$1,Sprints[],4,FALSE))&lt;&gt;"")*(IF(OFFSET(INDIRECT(CELL("address",INDEX('Leave Tracker'!$A$8:$A$100,MATCH($A51,'Leave Tracker'!$A$8:$A$100,0)))),0,31*(VLOOKUP(K$1,Sprints[],5,FALSE))+DAY(VLOOKUP(K$1,Sprints[],2,FALSE)),1,VLOOKUP(K$1,Sprints[],4,FALSE))='Leave Tracker'!$OA$12,0.5,1)*(OFFSET('Leave Tracker'!$A$3,0,31*(VLOOKUP(K$1,Sprints[],5,FALSE))+DAY(VLOOKUP(K$1,Sprints[],2,FALSE)),1,VLOOKUP(K$1,Sprints[],4,FALSE))))))</f>
        <v>6.0000000000000009</v>
      </c>
      <c r="L51" s="45">
        <f t="array" aca="1" ref="L51" ca="1">Sheet3!$W$2*$F51*(NETWORKDAYS(VLOOKUP(L$1,Sprints[],2,FALSE), VLOOKUP(L$1,Sprints[],3,FALSE))-SUMPRODUCT((OFFSET(INDIRECT(CELL("address",INDEX('Leave Tracker'!$A$8:$A$100,MATCH($A51,'Leave Tracker'!$A$8:$A$100,0)))),0,31*(VLOOKUP(L$1,Sprints[],5,FALSE))+DAY(VLOOKUP(L$1,Sprints[],2,FALSE)),1,VLOOKUP(L$1,Sprints[],4,FALSE))&lt;&gt;"")*(IF(OFFSET(INDIRECT(CELL("address",INDEX('Leave Tracker'!$A$8:$A$100,MATCH($A51,'Leave Tracker'!$A$8:$A$100,0)))),0,31*(VLOOKUP(L$1,Sprints[],5,FALSE))+DAY(VLOOKUP(L$1,Sprints[],2,FALSE)),1,VLOOKUP(L$1,Sprints[],4,FALSE))='Leave Tracker'!$OA$12,0.5,1)*(OFFSET('Leave Tracker'!$A$3,0,31*(VLOOKUP(L$1,Sprints[],5,FALSE))+DAY(VLOOKUP(L$1,Sprints[],2,FALSE)),1,VLOOKUP(L$1,Sprints[],4,FALSE))))))</f>
        <v>6.0000000000000009</v>
      </c>
      <c r="M51">
        <f t="array" aca="1" ref="M51" ca="1">Sheet3!$W$2*$F51*(NETWORKDAYS(VLOOKUP(M$1,Sprints[],2,FALSE), VLOOKUP(M$1,Sprints[],3,FALSE))-SUMPRODUCT((OFFSET(INDIRECT(CELL("address",INDEX('Leave Tracker'!$A$8:$A$100,MATCH($A51,'Leave Tracker'!$A$8:$A$100,0)))),0,31*(VLOOKUP(M$1,Sprints[],5,FALSE))+DAY(VLOOKUP(M$1,Sprints[],2,FALSE)),1,VLOOKUP(M$1,Sprints[],4,FALSE))&lt;&gt;"")*(IF(OFFSET(INDIRECT(CELL("address",INDEX('Leave Tracker'!$A$8:$A$100,MATCH($A51,'Leave Tracker'!$A$8:$A$100,0)))),0,31*(VLOOKUP(M$1,Sprints[],5,FALSE))+DAY(VLOOKUP(M$1,Sprints[],2,FALSE)),1,VLOOKUP(M$1,Sprints[],4,FALSE))='Leave Tracker'!$OA$12,0.5,1)*(OFFSET('Leave Tracker'!$A$3,0,31*(VLOOKUP(M$1,Sprints[],5,FALSE))+DAY(VLOOKUP(M$1,Sprints[],2,FALSE)),1,VLOOKUP(M$1,Sprints[],4,FALSE))))))</f>
        <v>5.4</v>
      </c>
      <c r="N51">
        <f t="array" aca="1" ref="N51" ca="1">Sheet3!$W$2*$F51*(NETWORKDAYS(VLOOKUP(N$1,Sprints[],2,FALSE), VLOOKUP(N$1,Sprints[],3,FALSE))-SUMPRODUCT((OFFSET(INDIRECT(CELL("address",INDEX('Leave Tracker'!$A$8:$A$100,MATCH($A51,'Leave Tracker'!$A$8:$A$100,0)))),0,31*(VLOOKUP(N$1,Sprints[],5,FALSE))+DAY(VLOOKUP(N$1,Sprints[],2,FALSE)),1,VLOOKUP(N$1,Sprints[],4,FALSE))&lt;&gt;"")*(IF(OFFSET(INDIRECT(CELL("address",INDEX('Leave Tracker'!$A$8:$A$100,MATCH($A51,'Leave Tracker'!$A$8:$A$100,0)))),0,31*(VLOOKUP(N$1,Sprints[],5,FALSE))+DAY(VLOOKUP(N$1,Sprints[],2,FALSE)),1,VLOOKUP(N$1,Sprints[],4,FALSE))='Leave Tracker'!$OA$12,0.5,1)*(OFFSET('Leave Tracker'!$A$3,0,31*(VLOOKUP(N$1,Sprints[],5,FALSE))+DAY(VLOOKUP(N$1,Sprints[],2,FALSE)),1,VLOOKUP(N$1,Sprints[],4,FALSE))))))</f>
        <v>6.0000000000000009</v>
      </c>
      <c r="O51">
        <f t="array" aca="1" ref="O51" ca="1">Sheet3!$W$2*$F51*(NETWORKDAYS(VLOOKUP(O$1,Sprints[],2,FALSE), VLOOKUP(O$1,Sprints[],3,FALSE))-SUMPRODUCT((OFFSET(INDIRECT(CELL("address",INDEX('Leave Tracker'!$A$8:$A$100,MATCH($A51,'Leave Tracker'!$A$8:$A$100,0)))),0,31*(VLOOKUP(O$1,Sprints[],5,FALSE))+DAY(VLOOKUP(O$1,Sprints[],2,FALSE)),1,VLOOKUP(O$1,Sprints[],4,FALSE))&lt;&gt;"")*(IF(OFFSET(INDIRECT(CELL("address",INDEX('Leave Tracker'!$A$8:$A$100,MATCH($A51,'Leave Tracker'!$A$8:$A$100,0)))),0,31*(VLOOKUP(O$1,Sprints[],5,FALSE))+DAY(VLOOKUP(O$1,Sprints[],2,FALSE)),1,VLOOKUP(O$1,Sprints[],4,FALSE))='Leave Tracker'!$OA$12,0.5,1)*(OFFSET('Leave Tracker'!$A$3,0,31*(VLOOKUP(O$1,Sprints[],5,FALSE))+DAY(VLOOKUP(O$1,Sprints[],2,FALSE)),1,VLOOKUP(O$1,Sprints[],4,FALSE))))))</f>
        <v>6.0000000000000009</v>
      </c>
      <c r="P51">
        <f t="array" aca="1" ref="P51" ca="1">Sheet3!$W$2*$F51*(NETWORKDAYS(VLOOKUP(P$1,Sprints[],2,FALSE), VLOOKUP(P$1,Sprints[],3,FALSE))-SUMPRODUCT((OFFSET(INDIRECT(CELL("address",INDEX('Leave Tracker'!$A$8:$A$100,MATCH($A51,'Leave Tracker'!$A$8:$A$100,0)))),0,31*(VLOOKUP(P$1,Sprints[],5,FALSE))+DAY(VLOOKUP(P$1,Sprints[],2,FALSE)),1,VLOOKUP(P$1,Sprints[],4,FALSE))&lt;&gt;"")*(IF(OFFSET(INDIRECT(CELL("address",INDEX('Leave Tracker'!$A$8:$A$100,MATCH($A51,'Leave Tracker'!$A$8:$A$100,0)))),0,31*(VLOOKUP(P$1,Sprints[],5,FALSE))+DAY(VLOOKUP(P$1,Sprints[],2,FALSE)),1,VLOOKUP(P$1,Sprints[],4,FALSE))='Leave Tracker'!$OA$12,0.5,1)*(OFFSET('Leave Tracker'!$A$3,0,31*(VLOOKUP(P$1,Sprints[],5,FALSE))+DAY(VLOOKUP(P$1,Sprints[],2,FALSE)),1,VLOOKUP(P$1,Sprints[],4,FALSE))))))</f>
        <v>6.0000000000000009</v>
      </c>
      <c r="Q51">
        <f t="array" aca="1" ref="Q51" ca="1">Sheet3!$W$2*$F51*(NETWORKDAYS(VLOOKUP(Q$1,Sprints[],2,FALSE), VLOOKUP(Q$1,Sprints[],3,FALSE))-SUMPRODUCT((OFFSET(INDIRECT(CELL("address",INDEX('Leave Tracker'!$A$8:$A$100,MATCH($A51,'Leave Tracker'!$A$8:$A$100,0)))),0,31*(VLOOKUP(Q$1,Sprints[],5,FALSE))+DAY(VLOOKUP(Q$1,Sprints[],2,FALSE)),1,VLOOKUP(Q$1,Sprints[],4,FALSE))&lt;&gt;"")*(IF(OFFSET(INDIRECT(CELL("address",INDEX('Leave Tracker'!$A$8:$A$100,MATCH($A51,'Leave Tracker'!$A$8:$A$100,0)))),0,31*(VLOOKUP(Q$1,Sprints[],5,FALSE))+DAY(VLOOKUP(Q$1,Sprints[],2,FALSE)),1,VLOOKUP(Q$1,Sprints[],4,FALSE))='Leave Tracker'!$OA$12,0.5,1)*(OFFSET('Leave Tracker'!$A$3,0,31*(VLOOKUP(Q$1,Sprints[],5,FALSE))+DAY(VLOOKUP(Q$1,Sprints[],2,FALSE)),1,VLOOKUP(Q$1,Sprints[],4,FALSE))))))</f>
        <v>6.0000000000000009</v>
      </c>
      <c r="R51">
        <f t="array" aca="1" ref="R51" ca="1">Sheet3!$W$2*$F51*(NETWORKDAYS(VLOOKUP(R$1,Sprints[],2,FALSE), VLOOKUP(R$1,Sprints[],3,FALSE))-SUMPRODUCT((OFFSET(INDIRECT(CELL("address",INDEX('Leave Tracker'!$A$8:$A$100,MATCH($A51,'Leave Tracker'!$A$8:$A$100,0)))),0,31*(VLOOKUP(R$1,Sprints[],5,FALSE))+DAY(VLOOKUP(R$1,Sprints[],2,FALSE)),1,VLOOKUP(R$1,Sprints[],4,FALSE))&lt;&gt;"")*(IF(OFFSET(INDIRECT(CELL("address",INDEX('Leave Tracker'!$A$8:$A$100,MATCH($A51,'Leave Tracker'!$A$8:$A$100,0)))),0,31*(VLOOKUP(R$1,Sprints[],5,FALSE))+DAY(VLOOKUP(R$1,Sprints[],2,FALSE)),1,VLOOKUP(R$1,Sprints[],4,FALSE))='Leave Tracker'!$OA$12,0.5,1)*(OFFSET('Leave Tracker'!$A$3,0,31*(VLOOKUP(R$1,Sprints[],5,FALSE))+DAY(VLOOKUP(R$1,Sprints[],2,FALSE)),1,VLOOKUP(R$1,Sprints[],4,FALSE))))))</f>
        <v>6.0000000000000009</v>
      </c>
    </row>
    <row r="54" spans="1:18" x14ac:dyDescent="0.45">
      <c r="G54" s="45"/>
      <c r="H54" s="45"/>
      <c r="I54" s="45"/>
      <c r="J54" s="45"/>
      <c r="K54" s="45"/>
      <c r="M54" s="45"/>
      <c r="N54" s="45"/>
      <c r="O54" s="45"/>
      <c r="P54" s="45"/>
      <c r="Q54" s="45"/>
      <c r="R54" s="45"/>
    </row>
    <row r="57" spans="1:18" x14ac:dyDescent="0.45">
      <c r="A57" s="45"/>
    </row>
    <row r="58" spans="1:18" x14ac:dyDescent="0.45">
      <c r="A58" s="45"/>
    </row>
    <row r="61" spans="1:18" x14ac:dyDescent="0.45">
      <c r="A61" s="45"/>
    </row>
    <row r="63" spans="1:18" x14ac:dyDescent="0.45">
      <c r="A63" s="50"/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Sheet3!$I$2:$I$6</xm:f>
          </x14:formula1>
          <xm:sqref>B2:B51</xm:sqref>
        </x14:dataValidation>
        <x14:dataValidation type="list" allowBlank="1" showInputMessage="1" showErrorMessage="1">
          <x14:formula1>
            <xm:f>Sheet3!$K$2:$K$3</xm:f>
          </x14:formula1>
          <xm:sqref>C2:C51</xm:sqref>
        </x14:dataValidation>
        <x14:dataValidation type="list" allowBlank="1" showInputMessage="1" showErrorMessage="1">
          <x14:formula1>
            <xm:f>Sheet3!$M$2:$M$8</xm:f>
          </x14:formula1>
          <xm:sqref>D2:D51</xm:sqref>
        </x14:dataValidation>
        <x14:dataValidation type="list" allowBlank="1" showInputMessage="1" showErrorMessage="1">
          <x14:formula1>
            <xm:f>Sheet3!$O$2:$O$6</xm:f>
          </x14:formula1>
          <xm:sqref>E2:E51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7"/>
  <sheetViews>
    <sheetView showGridLines="0" workbookViewId="0">
      <selection activeCell="M1" sqref="M1"/>
    </sheetView>
  </sheetViews>
  <sheetFormatPr defaultRowHeight="14.25" x14ac:dyDescent="0.45"/>
  <cols>
    <col min="1" max="1" width="10.19921875" bestFit="1" customWidth="1"/>
    <col min="2" max="10" width="3.73046875" bestFit="1" customWidth="1"/>
    <col min="11" max="13" width="4.53125" bestFit="1" customWidth="1"/>
    <col min="14" max="14" width="6.46484375" bestFit="1" customWidth="1"/>
  </cols>
  <sheetData>
    <row r="1" spans="1:14" x14ac:dyDescent="0.45">
      <c r="A1" s="68" t="s">
        <v>110</v>
      </c>
      <c r="B1" s="45" t="s">
        <v>151</v>
      </c>
      <c r="C1" s="45" t="s">
        <v>152</v>
      </c>
      <c r="D1" s="45" t="s">
        <v>153</v>
      </c>
      <c r="E1" s="45" t="s">
        <v>154</v>
      </c>
      <c r="F1" s="45" t="s">
        <v>155</v>
      </c>
      <c r="G1" s="45" t="s">
        <v>156</v>
      </c>
      <c r="H1" s="45" t="s">
        <v>157</v>
      </c>
      <c r="I1" s="45" t="s">
        <v>158</v>
      </c>
      <c r="J1" s="45" t="s">
        <v>159</v>
      </c>
      <c r="K1" s="45" t="s">
        <v>160</v>
      </c>
      <c r="L1" s="45" t="s">
        <v>161</v>
      </c>
      <c r="M1" s="45" t="s">
        <v>162</v>
      </c>
      <c r="N1" s="45" t="s">
        <v>163</v>
      </c>
    </row>
    <row r="2" spans="1:14" x14ac:dyDescent="0.45">
      <c r="A2" s="46" t="s">
        <v>112</v>
      </c>
      <c r="B2" s="69">
        <v>15.4</v>
      </c>
      <c r="C2" s="69">
        <v>30.400000000000002</v>
      </c>
      <c r="D2" s="69">
        <v>30.32</v>
      </c>
      <c r="E2" s="69">
        <v>21.82</v>
      </c>
      <c r="F2" s="69">
        <v>30</v>
      </c>
      <c r="G2" s="69">
        <v>23</v>
      </c>
      <c r="H2" s="69">
        <v>22.159999999999997</v>
      </c>
      <c r="I2" s="69">
        <v>23.8</v>
      </c>
      <c r="J2" s="69">
        <v>24.200000000000003</v>
      </c>
      <c r="K2" s="69">
        <v>28.400000000000002</v>
      </c>
      <c r="L2" s="69">
        <v>23.439999999999998</v>
      </c>
      <c r="M2" s="69">
        <v>30.8</v>
      </c>
      <c r="N2" s="69">
        <v>303.74000000000007</v>
      </c>
    </row>
    <row r="3" spans="1:14" x14ac:dyDescent="0.45">
      <c r="A3" s="46" t="s">
        <v>113</v>
      </c>
      <c r="B3" s="69">
        <v>18.8</v>
      </c>
      <c r="C3" s="69">
        <v>41.500000000000007</v>
      </c>
      <c r="D3" s="69">
        <v>43.6</v>
      </c>
      <c r="E3" s="69">
        <v>31.200000000000003</v>
      </c>
      <c r="F3" s="69">
        <v>36.400000000000006</v>
      </c>
      <c r="G3" s="69">
        <v>37.280000000000008</v>
      </c>
      <c r="H3" s="69">
        <v>35.400000000000006</v>
      </c>
      <c r="I3" s="69">
        <v>38.28</v>
      </c>
      <c r="J3" s="69">
        <v>36.24</v>
      </c>
      <c r="K3" s="69">
        <v>40.6</v>
      </c>
      <c r="L3" s="69">
        <v>39.239999999999995</v>
      </c>
      <c r="M3" s="69">
        <v>43.6</v>
      </c>
      <c r="N3" s="69">
        <v>442.1400000000001</v>
      </c>
    </row>
    <row r="4" spans="1:14" x14ac:dyDescent="0.45">
      <c r="A4" s="46" t="s">
        <v>119</v>
      </c>
      <c r="B4" s="69">
        <v>24.6</v>
      </c>
      <c r="C4" s="69">
        <v>49.2</v>
      </c>
      <c r="D4" s="69">
        <v>49.2</v>
      </c>
      <c r="E4" s="69">
        <v>34.500000000000007</v>
      </c>
      <c r="F4" s="69">
        <v>42.600000000000009</v>
      </c>
      <c r="G4" s="69">
        <v>36.000000000000007</v>
      </c>
      <c r="H4" s="69">
        <v>38.880000000000003</v>
      </c>
      <c r="I4" s="69">
        <v>45.000000000000007</v>
      </c>
      <c r="J4" s="69">
        <v>42.48</v>
      </c>
      <c r="K4" s="69">
        <v>40.800000000000004</v>
      </c>
      <c r="L4" s="69">
        <v>37.68</v>
      </c>
      <c r="M4" s="69">
        <v>49.2</v>
      </c>
      <c r="N4" s="69">
        <v>490.14000000000004</v>
      </c>
    </row>
    <row r="5" spans="1:14" x14ac:dyDescent="0.45">
      <c r="A5" s="46" t="s">
        <v>116</v>
      </c>
      <c r="B5" s="69">
        <v>36.79999999999999</v>
      </c>
      <c r="C5" s="69">
        <v>82.600000000000009</v>
      </c>
      <c r="D5" s="69">
        <v>82.600000000000009</v>
      </c>
      <c r="E5" s="69">
        <v>91.2</v>
      </c>
      <c r="F5" s="69">
        <v>91.6</v>
      </c>
      <c r="G5" s="69">
        <v>91.6</v>
      </c>
      <c r="H5" s="69">
        <v>82.120000000000019</v>
      </c>
      <c r="I5" s="69">
        <v>91.6</v>
      </c>
      <c r="J5" s="69">
        <v>91.44</v>
      </c>
      <c r="K5" s="69">
        <v>90.8</v>
      </c>
      <c r="L5" s="69">
        <v>91.44</v>
      </c>
      <c r="M5" s="69">
        <v>91.6</v>
      </c>
      <c r="N5" s="69">
        <v>1015.4</v>
      </c>
    </row>
    <row r="6" spans="1:14" x14ac:dyDescent="0.45">
      <c r="A6" s="46" t="s">
        <v>114</v>
      </c>
      <c r="B6" s="69">
        <v>24.32</v>
      </c>
      <c r="C6" s="69">
        <v>45.52</v>
      </c>
      <c r="D6" s="69">
        <v>49.6</v>
      </c>
      <c r="E6" s="69">
        <v>36.300000000000004</v>
      </c>
      <c r="F6" s="69">
        <v>46.6</v>
      </c>
      <c r="G6" s="69">
        <v>38.480000000000004</v>
      </c>
      <c r="H6" s="69">
        <v>39.36</v>
      </c>
      <c r="I6" s="69">
        <v>46.6</v>
      </c>
      <c r="J6" s="69">
        <v>42.839999999999996</v>
      </c>
      <c r="K6" s="69">
        <v>43.28</v>
      </c>
      <c r="L6" s="69">
        <v>36.96</v>
      </c>
      <c r="M6" s="69">
        <v>49.6</v>
      </c>
      <c r="N6" s="69">
        <v>499.46</v>
      </c>
    </row>
    <row r="7" spans="1:14" x14ac:dyDescent="0.45">
      <c r="A7" s="46" t="s">
        <v>150</v>
      </c>
      <c r="B7" s="69">
        <v>119.91999999999999</v>
      </c>
      <c r="C7" s="69">
        <v>249.22000000000003</v>
      </c>
      <c r="D7" s="69">
        <v>255.32000000000002</v>
      </c>
      <c r="E7" s="69">
        <v>215.02000000000004</v>
      </c>
      <c r="F7" s="69">
        <v>247.20000000000002</v>
      </c>
      <c r="G7" s="69">
        <v>226.36</v>
      </c>
      <c r="H7" s="69">
        <v>217.92000000000002</v>
      </c>
      <c r="I7" s="69">
        <v>245.28</v>
      </c>
      <c r="J7" s="69">
        <v>237.20000000000002</v>
      </c>
      <c r="K7" s="69">
        <v>243.88000000000002</v>
      </c>
      <c r="L7" s="69">
        <v>228.76</v>
      </c>
      <c r="M7" s="69">
        <v>264.8</v>
      </c>
      <c r="N7" s="69">
        <v>2750.8800000000006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3"/>
  <sheetViews>
    <sheetView topLeftCell="H1" workbookViewId="0">
      <selection activeCell="W16" sqref="W16"/>
    </sheetView>
  </sheetViews>
  <sheetFormatPr defaultRowHeight="14.25" x14ac:dyDescent="0.45"/>
  <cols>
    <col min="7" max="7" width="10.46484375" bestFit="1" customWidth="1"/>
    <col min="9" max="9" width="10.53125" customWidth="1"/>
    <col min="11" max="11" width="9.86328125" customWidth="1"/>
    <col min="13" max="13" width="9.86328125" customWidth="1"/>
    <col min="15" max="15" width="12" customWidth="1"/>
    <col min="17" max="19" width="9.86328125" customWidth="1"/>
    <col min="20" max="20" width="26.33203125" customWidth="1"/>
    <col min="21" max="21" width="11" customWidth="1"/>
    <col min="23" max="23" width="12.9296875" customWidth="1"/>
  </cols>
  <sheetData>
    <row r="1" spans="1:23" x14ac:dyDescent="0.45">
      <c r="A1" s="1" t="s">
        <v>19</v>
      </c>
      <c r="B1" s="1">
        <v>1</v>
      </c>
      <c r="D1">
        <v>1</v>
      </c>
      <c r="E1" t="s">
        <v>11</v>
      </c>
      <c r="G1" t="str">
        <f>INDEX($A$1:$A$12,MATCH('Leave Tracker'!$A$1+'Leave Tracker'!$A$3-1,Sheet3!$B$1:$B$12,0))&amp;" "&amp;'Leave Tracker'!$A$2</f>
        <v>April 2018</v>
      </c>
      <c r="H1" s="6"/>
      <c r="I1" t="s">
        <v>115</v>
      </c>
      <c r="K1" s="45" t="s">
        <v>111</v>
      </c>
      <c r="M1" s="45" t="s">
        <v>120</v>
      </c>
      <c r="O1" s="45" t="s">
        <v>131</v>
      </c>
      <c r="Q1" s="45" t="s">
        <v>142</v>
      </c>
      <c r="R1" s="45" t="s">
        <v>36</v>
      </c>
      <c r="S1" s="45" t="s">
        <v>37</v>
      </c>
      <c r="T1" t="s">
        <v>38</v>
      </c>
      <c r="U1" t="s">
        <v>148</v>
      </c>
      <c r="W1" s="45" t="s">
        <v>149</v>
      </c>
    </row>
    <row r="2" spans="1:23" x14ac:dyDescent="0.45">
      <c r="A2" s="1" t="s">
        <v>0</v>
      </c>
      <c r="B2" s="1">
        <v>2</v>
      </c>
      <c r="D2">
        <v>2</v>
      </c>
      <c r="E2" t="s">
        <v>12</v>
      </c>
      <c r="G2" s="6" t="str">
        <f>INDEX($A$1:$A$12,MATCH(MONTH(DATE('Leave Tracker'!$A$2,'Leave Tracker'!$A$1+'Leave Tracker'!$A$3-1,1)),$B$1:$B$12,0))&amp;" "&amp;YEAR(DATE('Leave Tracker'!$A$2,'Leave Tracker'!$A$1+'Leave Tracker'!$A$3-1,1))</f>
        <v>April 2018</v>
      </c>
      <c r="I2" t="s">
        <v>112</v>
      </c>
      <c r="K2" t="s">
        <v>117</v>
      </c>
      <c r="M2" t="s">
        <v>121</v>
      </c>
      <c r="O2" t="s">
        <v>124</v>
      </c>
      <c r="Q2" t="s">
        <v>135</v>
      </c>
      <c r="R2" s="6">
        <v>43201</v>
      </c>
      <c r="S2" s="6">
        <v>43207</v>
      </c>
      <c r="T2">
        <f t="shared" ref="T2:T13" si="0">DATEDIF(R2,S2,"d") + 1 + (DATEDIF(DATE(YEAR(R2),MONTH(R2),1),DATE(YEAR(S2),MONTH(S2),1),"m")*31 - DATEDIF(DATE(YEAR(R2),MONTH(R2),1),DATE(YEAR(S2),MONTH(S2),1),"d"))</f>
        <v>7</v>
      </c>
      <c r="U2">
        <f>DATEDIF(DATE('Leave Tracker'!$A$2,'Leave Tracker'!$A$1,1),DATE(YEAR(R2),MONTH(R2),1),"m")</f>
        <v>0</v>
      </c>
      <c r="W2" s="47">
        <v>0.8</v>
      </c>
    </row>
    <row r="3" spans="1:23" x14ac:dyDescent="0.45">
      <c r="A3" s="1" t="s">
        <v>1</v>
      </c>
      <c r="B3" s="1">
        <v>3</v>
      </c>
      <c r="D3">
        <v>3</v>
      </c>
      <c r="E3" t="s">
        <v>13</v>
      </c>
      <c r="I3" t="s">
        <v>113</v>
      </c>
      <c r="K3" t="s">
        <v>118</v>
      </c>
      <c r="M3" s="45" t="s">
        <v>122</v>
      </c>
      <c r="O3" t="s">
        <v>125</v>
      </c>
      <c r="Q3" t="s">
        <v>136</v>
      </c>
      <c r="R3" s="6">
        <f>S2+1</f>
        <v>43208</v>
      </c>
      <c r="S3" s="6">
        <f>S2+14</f>
        <v>43221</v>
      </c>
      <c r="T3">
        <f t="shared" si="0"/>
        <v>15</v>
      </c>
      <c r="U3">
        <f>DATEDIF(DATE('Leave Tracker'!$A$2,'Leave Tracker'!$A$1,1),DATE(YEAR(R3),MONTH(R3),1),"m")</f>
        <v>0</v>
      </c>
    </row>
    <row r="4" spans="1:23" x14ac:dyDescent="0.45">
      <c r="A4" s="1" t="s">
        <v>2</v>
      </c>
      <c r="B4" s="1">
        <v>4</v>
      </c>
      <c r="D4">
        <v>4</v>
      </c>
      <c r="E4" t="s">
        <v>14</v>
      </c>
      <c r="I4" t="s">
        <v>119</v>
      </c>
      <c r="M4" s="45" t="s">
        <v>123</v>
      </c>
      <c r="O4" t="s">
        <v>126</v>
      </c>
      <c r="Q4" t="s">
        <v>137</v>
      </c>
      <c r="R4" s="6">
        <f>S3+1</f>
        <v>43222</v>
      </c>
      <c r="S4" s="6">
        <f>S3+14</f>
        <v>43235</v>
      </c>
      <c r="T4">
        <f t="shared" si="0"/>
        <v>14</v>
      </c>
      <c r="U4">
        <f>DATEDIF(DATE('Leave Tracker'!$A$2,'Leave Tracker'!$A$1,1),DATE(YEAR(R4),MONTH(R4),1),"m")</f>
        <v>1</v>
      </c>
    </row>
    <row r="5" spans="1:23" x14ac:dyDescent="0.45">
      <c r="A5" s="1" t="s">
        <v>3</v>
      </c>
      <c r="B5" s="1">
        <v>5</v>
      </c>
      <c r="D5">
        <v>5</v>
      </c>
      <c r="E5" t="s">
        <v>15</v>
      </c>
      <c r="I5" t="s">
        <v>114</v>
      </c>
      <c r="M5" s="45" t="s">
        <v>129</v>
      </c>
      <c r="O5" t="s">
        <v>127</v>
      </c>
      <c r="Q5" t="s">
        <v>138</v>
      </c>
      <c r="R5" s="6">
        <f t="shared" ref="R5:R13" si="1">S4+1</f>
        <v>43236</v>
      </c>
      <c r="S5" s="6">
        <f t="shared" ref="S4:S13" si="2">S4+14</f>
        <v>43249</v>
      </c>
      <c r="T5">
        <f t="shared" si="0"/>
        <v>14</v>
      </c>
      <c r="U5">
        <f>DATEDIF(DATE('Leave Tracker'!$A$2,'Leave Tracker'!$A$1,1),DATE(YEAR(R5),MONTH(R5),1),"m")</f>
        <v>1</v>
      </c>
    </row>
    <row r="6" spans="1:23" x14ac:dyDescent="0.45">
      <c r="A6" s="1" t="s">
        <v>4</v>
      </c>
      <c r="B6" s="1">
        <v>6</v>
      </c>
      <c r="D6">
        <v>6</v>
      </c>
      <c r="E6" t="s">
        <v>16</v>
      </c>
      <c r="I6" t="s">
        <v>116</v>
      </c>
      <c r="M6" t="s">
        <v>134</v>
      </c>
      <c r="O6" t="s">
        <v>128</v>
      </c>
      <c r="Q6" t="s">
        <v>139</v>
      </c>
      <c r="R6" s="6">
        <f t="shared" si="1"/>
        <v>43250</v>
      </c>
      <c r="S6" s="6">
        <f t="shared" si="2"/>
        <v>43263</v>
      </c>
      <c r="T6">
        <f t="shared" si="0"/>
        <v>14</v>
      </c>
      <c r="U6">
        <f>DATEDIF(DATE('Leave Tracker'!$A$2,'Leave Tracker'!$A$1,1),DATE(YEAR(R6),MONTH(R6),1),"m")</f>
        <v>1</v>
      </c>
    </row>
    <row r="7" spans="1:23" x14ac:dyDescent="0.45">
      <c r="A7" s="1" t="s">
        <v>5</v>
      </c>
      <c r="B7" s="1">
        <v>7</v>
      </c>
      <c r="D7">
        <v>7</v>
      </c>
      <c r="E7" t="s">
        <v>17</v>
      </c>
      <c r="M7" s="45" t="s">
        <v>132</v>
      </c>
      <c r="Q7" t="s">
        <v>140</v>
      </c>
      <c r="R7" s="6">
        <f t="shared" si="1"/>
        <v>43264</v>
      </c>
      <c r="S7" s="6">
        <f t="shared" si="2"/>
        <v>43277</v>
      </c>
      <c r="T7">
        <f t="shared" si="0"/>
        <v>14</v>
      </c>
      <c r="U7">
        <f>DATEDIF(DATE('Leave Tracker'!$A$2,'Leave Tracker'!$A$1,1),DATE(YEAR(R7),MONTH(R7),1),"m")</f>
        <v>2</v>
      </c>
    </row>
    <row r="8" spans="1:23" x14ac:dyDescent="0.45">
      <c r="A8" s="1" t="s">
        <v>6</v>
      </c>
      <c r="B8" s="1">
        <v>8</v>
      </c>
      <c r="M8" s="45" t="s">
        <v>133</v>
      </c>
      <c r="Q8" t="s">
        <v>141</v>
      </c>
      <c r="R8" s="6">
        <f t="shared" si="1"/>
        <v>43278</v>
      </c>
      <c r="S8" s="6">
        <f t="shared" si="2"/>
        <v>43291</v>
      </c>
      <c r="T8">
        <f t="shared" si="0"/>
        <v>15</v>
      </c>
      <c r="U8">
        <f>DATEDIF(DATE('Leave Tracker'!$A$2,'Leave Tracker'!$A$1,1),DATE(YEAR(R8),MONTH(R8),1),"m")</f>
        <v>2</v>
      </c>
    </row>
    <row r="9" spans="1:23" x14ac:dyDescent="0.45">
      <c r="A9" s="1" t="s">
        <v>7</v>
      </c>
      <c r="B9" s="1">
        <v>9</v>
      </c>
      <c r="Q9" t="s">
        <v>143</v>
      </c>
      <c r="R9" s="6">
        <f t="shared" si="1"/>
        <v>43292</v>
      </c>
      <c r="S9" s="6">
        <f t="shared" si="2"/>
        <v>43305</v>
      </c>
      <c r="T9">
        <f t="shared" si="0"/>
        <v>14</v>
      </c>
      <c r="U9">
        <f>DATEDIF(DATE('Leave Tracker'!$A$2,'Leave Tracker'!$A$1,1),DATE(YEAR(R9),MONTH(R9),1),"m")</f>
        <v>3</v>
      </c>
    </row>
    <row r="10" spans="1:23" x14ac:dyDescent="0.45">
      <c r="A10" s="1" t="s">
        <v>8</v>
      </c>
      <c r="B10" s="1">
        <v>10</v>
      </c>
      <c r="Q10" t="s">
        <v>144</v>
      </c>
      <c r="R10" s="6">
        <f t="shared" si="1"/>
        <v>43306</v>
      </c>
      <c r="S10" s="6">
        <f t="shared" si="2"/>
        <v>43319</v>
      </c>
      <c r="T10">
        <f t="shared" si="0"/>
        <v>14</v>
      </c>
      <c r="U10">
        <f>DATEDIF(DATE('Leave Tracker'!$A$2,'Leave Tracker'!$A$1,1),DATE(YEAR(R10),MONTH(R10),1),"m")</f>
        <v>3</v>
      </c>
    </row>
    <row r="11" spans="1:23" x14ac:dyDescent="0.45">
      <c r="A11" s="1" t="s">
        <v>9</v>
      </c>
      <c r="B11" s="1">
        <v>11</v>
      </c>
      <c r="Q11" t="s">
        <v>145</v>
      </c>
      <c r="R11" s="6">
        <f t="shared" si="1"/>
        <v>43320</v>
      </c>
      <c r="S11" s="6">
        <f t="shared" si="2"/>
        <v>43333</v>
      </c>
      <c r="T11">
        <f t="shared" si="0"/>
        <v>14</v>
      </c>
      <c r="U11">
        <f>DATEDIF(DATE('Leave Tracker'!$A$2,'Leave Tracker'!$A$1,1),DATE(YEAR(R11),MONTH(R11),1),"m")</f>
        <v>4</v>
      </c>
    </row>
    <row r="12" spans="1:23" x14ac:dyDescent="0.45">
      <c r="A12" s="1" t="s">
        <v>10</v>
      </c>
      <c r="B12" s="1">
        <v>12</v>
      </c>
      <c r="Q12" t="s">
        <v>146</v>
      </c>
      <c r="R12" s="6">
        <f t="shared" si="1"/>
        <v>43334</v>
      </c>
      <c r="S12" s="6">
        <f t="shared" si="2"/>
        <v>43347</v>
      </c>
      <c r="T12">
        <f t="shared" si="0"/>
        <v>14</v>
      </c>
      <c r="U12">
        <f>DATEDIF(DATE('Leave Tracker'!$A$2,'Leave Tracker'!$A$1,1),DATE(YEAR(R12),MONTH(R12),1),"m")</f>
        <v>4</v>
      </c>
    </row>
    <row r="13" spans="1:23" x14ac:dyDescent="0.45">
      <c r="Q13" t="s">
        <v>147</v>
      </c>
      <c r="R13" s="6">
        <f t="shared" si="1"/>
        <v>43348</v>
      </c>
      <c r="S13" s="6">
        <f t="shared" si="2"/>
        <v>43361</v>
      </c>
      <c r="T13">
        <f t="shared" si="0"/>
        <v>14</v>
      </c>
      <c r="U13">
        <f>DATEDIF(DATE('Leave Tracker'!$A$2,'Leave Tracker'!$A$1,1),DATE(YEAR(R13),MONTH(R13),1),"m")</f>
        <v>5</v>
      </c>
    </row>
  </sheetData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4BD1C4-8F77-442F-808C-BE77BD8341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Leave Tracker</vt:lpstr>
      <vt:lpstr>Holidays</vt:lpstr>
      <vt:lpstr>Team</vt:lpstr>
      <vt:lpstr>Team Capacity</vt:lpstr>
      <vt:lpstr>Sheet3</vt:lpstr>
      <vt:lpstr>HolidayListNamedRange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Alex Folomechine</cp:lastModifiedBy>
  <dcterms:created xsi:type="dcterms:W3CDTF">2014-12-17T05:13:13Z</dcterms:created>
  <dcterms:modified xsi:type="dcterms:W3CDTF">2018-04-02T11:04:28Z</dcterms:modified>
</cp:coreProperties>
</file>