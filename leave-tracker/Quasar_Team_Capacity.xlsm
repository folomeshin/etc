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bookViews>
    <workbookView xWindow="0" yWindow="0" windowWidth="21600" windowHeight="9285" activeTab="3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pivotCaches>
    <pivotCache cacheId="6" r:id="rId6"/>
  </pivotCaches>
  <fileRecoveryPr autoRecover="0"/>
</workbook>
</file>

<file path=xl/calcChain.xml><?xml version="1.0" encoding="utf-8"?>
<calcChain xmlns="http://schemas.openxmlformats.org/spreadsheetml/2006/main">
  <c r="Z3" i="11" l="1"/>
  <c r="Z4" i="11"/>
  <c r="Z5" i="11"/>
  <c r="Z6" i="11"/>
  <c r="Z7" i="11"/>
  <c r="Z8" i="11"/>
  <c r="AA3" i="11"/>
  <c r="AA4" i="11"/>
  <c r="AA5" i="11"/>
  <c r="AA6" i="11"/>
  <c r="AA7" i="11"/>
  <c r="AA8" i="11"/>
  <c r="AB3" i="11"/>
  <c r="AB4" i="11"/>
  <c r="AB5" i="11"/>
  <c r="AB6" i="11"/>
  <c r="AB7" i="11"/>
  <c r="AB8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T3" i="5" s="1"/>
  <c r="R3" i="5"/>
  <c r="U3" i="5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33" i="10" a="1"/>
  <c r="H37" i="10" a="1"/>
  <c r="G37" i="10" a="1"/>
  <c r="G38" i="10" a="1"/>
  <c r="H38" i="10" a="1"/>
  <c r="G58" i="10" a="1"/>
  <c r="H33" i="10" a="1"/>
  <c r="G57" i="10" a="1"/>
  <c r="H57" i="10" a="1"/>
  <c r="H58" i="10" a="1"/>
  <c r="G56" i="10" a="1"/>
  <c r="H56" i="10" a="1"/>
  <c r="S4" i="5" l="1"/>
  <c r="NN63" i="8" a="1"/>
  <c r="NN63" i="8" s="1"/>
  <c r="NM63" i="8" a="1"/>
  <c r="NM63" i="8" s="1"/>
  <c r="NL63" i="8" a="1"/>
  <c r="NL63" i="8" s="1"/>
  <c r="NK63" i="8" a="1"/>
  <c r="NK63" i="8" s="1"/>
  <c r="H57" i="10"/>
  <c r="G57" i="10"/>
  <c r="H58" i="10"/>
  <c r="H56" i="10"/>
  <c r="G58" i="10"/>
  <c r="G56" i="10"/>
  <c r="NK62" i="8" a="1"/>
  <c r="NK62" i="8" s="1"/>
  <c r="NK61" i="8" a="1"/>
  <c r="NK61" i="8" s="1"/>
  <c r="NL61" i="8" a="1"/>
  <c r="NL61" i="8" s="1"/>
  <c r="NN61" i="8" a="1"/>
  <c r="NN61" i="8" s="1"/>
  <c r="NM61" i="8" a="1"/>
  <c r="NM61" i="8" s="1"/>
  <c r="NL41" i="8" a="1"/>
  <c r="NL41" i="8" s="1"/>
  <c r="NN62" i="8" a="1"/>
  <c r="NN62" i="8" s="1"/>
  <c r="NL62" i="8" a="1"/>
  <c r="NL62" i="8" s="1"/>
  <c r="NM62" i="8" a="1"/>
  <c r="NM62" i="8" s="1"/>
  <c r="NK43" i="8" a="1"/>
  <c r="NK43" i="8" s="1"/>
  <c r="G33" i="10"/>
  <c r="G38" i="10"/>
  <c r="G37" i="10"/>
  <c r="H38" i="10"/>
  <c r="H33" i="10"/>
  <c r="H37" i="10"/>
  <c r="NM43" i="8" a="1"/>
  <c r="NM43" i="8" s="1"/>
  <c r="NN42" i="8" a="1"/>
  <c r="NN42" i="8" s="1"/>
  <c r="NM42" i="8" a="1"/>
  <c r="NM42" i="8" s="1"/>
  <c r="NL44" i="8" a="1"/>
  <c r="NL44" i="8" s="1"/>
  <c r="NN60" i="8" a="1"/>
  <c r="NN60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38" i="8" a="1"/>
  <c r="NK38" i="8" s="1"/>
  <c r="NK39" i="8" a="1"/>
  <c r="NK39" i="8" s="1"/>
  <c r="NK57" i="8" a="1"/>
  <c r="NK57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5" i="8" a="1"/>
  <c r="NK55" i="8" s="1"/>
  <c r="NN30" i="8" a="1"/>
  <c r="NN30" i="8" s="1"/>
  <c r="NL30" i="8" a="1"/>
  <c r="NL30" i="8" s="1"/>
  <c r="NL59" i="8" a="1"/>
  <c r="NL59" i="8" s="1"/>
  <c r="NK33" i="8" a="1"/>
  <c r="NK33" i="8" s="1"/>
  <c r="NM34" i="8" a="1"/>
  <c r="NM34" i="8" s="1"/>
  <c r="NN9" i="8" a="1"/>
  <c r="NN9" i="8" s="1"/>
  <c r="NL10" i="8" a="1"/>
  <c r="NL10" i="8" s="1"/>
  <c r="NL47" i="8" a="1"/>
  <c r="NL47" i="8" s="1"/>
  <c r="NK26" i="8" a="1"/>
  <c r="NK26" i="8" s="1"/>
  <c r="NM49" i="8" a="1"/>
  <c r="NM49" i="8" s="1"/>
  <c r="NN50" i="8" a="1"/>
  <c r="NN50" i="8" s="1"/>
  <c r="NL29" i="8" a="1"/>
  <c r="NL29" i="8" s="1"/>
  <c r="NL52" i="8" a="1"/>
  <c r="NL52" i="8" s="1"/>
  <c r="NK44" i="8" a="1"/>
  <c r="NK44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8" i="8" a="1"/>
  <c r="NM58" i="8" s="1"/>
  <c r="NK23" i="8" a="1"/>
  <c r="NK23" i="8" s="1"/>
  <c r="NK46" i="8" a="1"/>
  <c r="NK46" i="8" s="1"/>
  <c r="NK35" i="8" a="1"/>
  <c r="NK35" i="8" s="1"/>
  <c r="NK34" i="8" a="1"/>
  <c r="NK34" i="8" s="1"/>
  <c r="NK17" i="8" a="1"/>
  <c r="NK17" i="8" s="1"/>
  <c r="NK49" i="8" a="1"/>
  <c r="NK49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8" i="8" a="1"/>
  <c r="NK58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0" i="8" a="1"/>
  <c r="NK50" i="8" s="1"/>
  <c r="NK15" i="8" a="1"/>
  <c r="NK15" i="8" s="1"/>
  <c r="NK11" i="8" a="1"/>
  <c r="NK11" i="8" s="1"/>
  <c r="NK12" i="8" a="1"/>
  <c r="NK12" i="8" s="1"/>
  <c r="NK59" i="8" a="1"/>
  <c r="NK59" i="8" s="1"/>
  <c r="NK40" i="8" a="1"/>
  <c r="NK40" i="8" s="1"/>
  <c r="NK47" i="8" a="1"/>
  <c r="NK47" i="8" s="1"/>
  <c r="NK29" i="8" a="1"/>
  <c r="NK29" i="8" s="1"/>
  <c r="NK60" i="8" a="1"/>
  <c r="NK60" i="8" s="1"/>
  <c r="NK51" i="8" a="1"/>
  <c r="NK51" i="8" s="1"/>
  <c r="NK32" i="8" a="1"/>
  <c r="NK32" i="8" s="1"/>
  <c r="NK56" i="8" a="1"/>
  <c r="NK56" i="8" s="1"/>
  <c r="NK53" i="8" a="1"/>
  <c r="NK53" i="8" s="1"/>
  <c r="NK52" i="8" a="1"/>
  <c r="NK52" i="8" s="1"/>
  <c r="NK41" i="8" a="1"/>
  <c r="NK41" i="8" s="1"/>
  <c r="NK16" i="8" a="1"/>
  <c r="NK16" i="8" s="1"/>
  <c r="NK48" i="8" a="1"/>
  <c r="NK48" i="8" s="1"/>
  <c r="NK13" i="8" a="1"/>
  <c r="NK13" i="8" s="1"/>
  <c r="NK24" i="8" a="1"/>
  <c r="NK24" i="8" s="1"/>
  <c r="NK54" i="8" a="1"/>
  <c r="NK54" i="8" s="1"/>
  <c r="NK45" i="8" a="1"/>
  <c r="NK45" i="8" s="1"/>
  <c r="NN13" i="8" a="1"/>
  <c r="NN13" i="8" s="1"/>
  <c r="NK21" i="8" a="1"/>
  <c r="NK21" i="8" s="1"/>
  <c r="NM32" i="8" a="1"/>
  <c r="NM32" i="8" s="1"/>
  <c r="NM21" i="8" a="1"/>
  <c r="NM21" i="8" s="1"/>
  <c r="NM44" i="8" a="1"/>
  <c r="NM44" i="8" s="1"/>
  <c r="NM46" i="8" a="1"/>
  <c r="NM46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59" i="8" a="1"/>
  <c r="NN59" i="8" s="1"/>
  <c r="NN48" i="8" a="1"/>
  <c r="NN48" i="8" s="1"/>
  <c r="NL24" i="8" a="1"/>
  <c r="NL24" i="8" s="1"/>
  <c r="NL19" i="8" a="1"/>
  <c r="NL19" i="8" s="1"/>
  <c r="NL60" i="8" a="1"/>
  <c r="NL60" i="8" s="1"/>
  <c r="NL31" i="8" a="1"/>
  <c r="NL31" i="8" s="1"/>
  <c r="NL56" i="8" a="1"/>
  <c r="NL56" i="8" s="1"/>
  <c r="NL51" i="8" a="1"/>
  <c r="NL51" i="8" s="1"/>
  <c r="NL22" i="8" a="1"/>
  <c r="NL22" i="8" s="1"/>
  <c r="NM40" i="8" a="1"/>
  <c r="NM40" i="8" s="1"/>
  <c r="NM36" i="8" a="1"/>
  <c r="NM36" i="8" s="1"/>
  <c r="NM11" i="8" a="1"/>
  <c r="NM11" i="8" s="1"/>
  <c r="NM55" i="8" a="1"/>
  <c r="NM55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6" i="8" a="1"/>
  <c r="NL46" i="8" s="1"/>
  <c r="NL25" i="8" a="1"/>
  <c r="NL25" i="8" s="1"/>
  <c r="NL39" i="8" a="1"/>
  <c r="NL39" i="8" s="1"/>
  <c r="NL58" i="8" a="1"/>
  <c r="NL58" i="8" s="1"/>
  <c r="NL50" i="8" a="1"/>
  <c r="NL50" i="8" s="1"/>
  <c r="NL23" i="8" a="1"/>
  <c r="NL23" i="8" s="1"/>
  <c r="NM29" i="8" a="1"/>
  <c r="NM29" i="8" s="1"/>
  <c r="NM53" i="8" a="1"/>
  <c r="NM53" i="8" s="1"/>
  <c r="NM60" i="8" a="1"/>
  <c r="NM60" i="8" s="1"/>
  <c r="NM57" i="8" a="1"/>
  <c r="NM57" i="8" s="1"/>
  <c r="NM50" i="8" a="1"/>
  <c r="NM50" i="8" s="1"/>
  <c r="NM59" i="8" a="1"/>
  <c r="NM59" i="8" s="1"/>
  <c r="NN44" i="8" a="1"/>
  <c r="NN44" i="8" s="1"/>
  <c r="NN33" i="8" a="1"/>
  <c r="NN33" i="8" s="1"/>
  <c r="NN34" i="8" a="1"/>
  <c r="NN34" i="8" s="1"/>
  <c r="NN53" i="8" a="1"/>
  <c r="NN53" i="8" s="1"/>
  <c r="NN57" i="8" a="1"/>
  <c r="NN57" i="8" s="1"/>
  <c r="NN51" i="8" a="1"/>
  <c r="NN51" i="8" s="1"/>
  <c r="NL16" i="8" a="1"/>
  <c r="NL16" i="8" s="1"/>
  <c r="NL37" i="8" a="1"/>
  <c r="NL37" i="8" s="1"/>
  <c r="NL28" i="8" a="1"/>
  <c r="NL28" i="8" s="1"/>
  <c r="NL40" i="8" a="1"/>
  <c r="NL40" i="8" s="1"/>
  <c r="NL57" i="8" a="1"/>
  <c r="NL57" i="8" s="1"/>
  <c r="NL49" i="8" a="1"/>
  <c r="NL49" i="8" s="1"/>
  <c r="NL21" i="8" a="1"/>
  <c r="NL21" i="8" s="1"/>
  <c r="NM51" i="8" a="1"/>
  <c r="NM51" i="8" s="1"/>
  <c r="NM31" i="8" a="1"/>
  <c r="NM31" i="8" s="1"/>
  <c r="NM19" i="8" a="1"/>
  <c r="NM19" i="8" s="1"/>
  <c r="NM28" i="8" a="1"/>
  <c r="NM28" i="8" s="1"/>
  <c r="NM37" i="8" a="1"/>
  <c r="NM37" i="8" s="1"/>
  <c r="NM56" i="8" a="1"/>
  <c r="NM56" i="8" s="1"/>
  <c r="NN52" i="8" a="1"/>
  <c r="NN52" i="8" s="1"/>
  <c r="NN45" i="8" a="1"/>
  <c r="NN45" i="8" s="1"/>
  <c r="NN56" i="8" a="1"/>
  <c r="NN56" i="8" s="1"/>
  <c r="NN49" i="8" a="1"/>
  <c r="NN49" i="8" s="1"/>
  <c r="NN46" i="8" a="1"/>
  <c r="NN46" i="8" s="1"/>
  <c r="NN38" i="8" a="1"/>
  <c r="NN38" i="8" s="1"/>
  <c r="NL45" i="8" a="1"/>
  <c r="NL45" i="8" s="1"/>
  <c r="NL15" i="8" a="1"/>
  <c r="NL15" i="8" s="1"/>
  <c r="NL26" i="8" a="1"/>
  <c r="NL26" i="8" s="1"/>
  <c r="NL38" i="8" a="1"/>
  <c r="NL38" i="8" s="1"/>
  <c r="NL55" i="8" a="1"/>
  <c r="NL55" i="8" s="1"/>
  <c r="NL48" i="8" a="1"/>
  <c r="NL48" i="8" s="1"/>
  <c r="NM54" i="8" a="1"/>
  <c r="NM54" i="8" s="1"/>
  <c r="NM38" i="8" a="1"/>
  <c r="NM38" i="8" s="1"/>
  <c r="NM48" i="8" a="1"/>
  <c r="NM48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8" i="8" a="1"/>
  <c r="NN58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4" i="8" a="1"/>
  <c r="NL54" i="8" s="1"/>
  <c r="NM17" i="8" a="1"/>
  <c r="NM17" i="8" s="1"/>
  <c r="NM41" i="8" a="1"/>
  <c r="NM41" i="8" s="1"/>
  <c r="NM24" i="8" a="1"/>
  <c r="NM24" i="8" s="1"/>
  <c r="NM45" i="8" a="1"/>
  <c r="NM45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7" i="8" a="1"/>
  <c r="NN47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3" i="8" a="1"/>
  <c r="NL53" i="8" s="1"/>
  <c r="NM52" i="8" a="1"/>
  <c r="NM52" i="8" s="1"/>
  <c r="NM20" i="8" a="1"/>
  <c r="NM20" i="8" s="1"/>
  <c r="NM25" i="8" a="1"/>
  <c r="NM25" i="8" s="1"/>
  <c r="NM47" i="8" a="1"/>
  <c r="NM47" i="8" s="1"/>
  <c r="NM18" i="8" a="1"/>
  <c r="NM18" i="8" s="1"/>
  <c r="NM27" i="8" a="1"/>
  <c r="NM27" i="8" s="1"/>
  <c r="NN20" i="8" a="1"/>
  <c r="NN20" i="8" s="1"/>
  <c r="NN24" i="8" a="1"/>
  <c r="NN24" i="8" s="1"/>
  <c r="NN55" i="8" a="1"/>
  <c r="NN55" i="8" s="1"/>
  <c r="NN23" i="8" a="1"/>
  <c r="NN23" i="8" s="1"/>
  <c r="NN27" i="8" a="1"/>
  <c r="NN27" i="8" s="1"/>
  <c r="NN29" i="8" a="1"/>
  <c r="NN29" i="8" s="1"/>
  <c r="NN54" i="8" a="1"/>
  <c r="NN54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5" i="8"/>
  <c r="T4" i="5" l="1"/>
  <c r="R5" i="5"/>
  <c r="S5" i="5"/>
  <c r="NJ61" i="8" a="1"/>
  <c r="NJ61" i="8" s="1"/>
  <c r="NJ63" i="8" a="1"/>
  <c r="NJ63" i="8" s="1"/>
  <c r="NJ62" i="8" a="1"/>
  <c r="NJ62" i="8" s="1"/>
  <c r="NJ42" i="8" a="1"/>
  <c r="NJ42" i="8" s="1"/>
  <c r="NJ32" i="8" a="1"/>
  <c r="NJ32" i="8" s="1"/>
  <c r="NJ46" i="8" a="1"/>
  <c r="NJ46" i="8" s="1"/>
  <c r="NJ15" i="8" a="1"/>
  <c r="NJ15" i="8" s="1"/>
  <c r="NJ60" i="8" a="1"/>
  <c r="NJ60" i="8" s="1"/>
  <c r="NJ34" i="8" a="1"/>
  <c r="NJ34" i="8" s="1"/>
  <c r="NJ26" i="8" a="1"/>
  <c r="NJ26" i="8" s="1"/>
  <c r="NJ56" i="8" a="1"/>
  <c r="NJ56" i="8" s="1"/>
  <c r="NJ28" i="8" a="1"/>
  <c r="NJ28" i="8" s="1"/>
  <c r="NJ53" i="8" a="1"/>
  <c r="NJ53" i="8" s="1"/>
  <c r="NJ41" i="8" a="1"/>
  <c r="NJ41" i="8" s="1"/>
  <c r="NJ50" i="8" a="1"/>
  <c r="NJ50" i="8" s="1"/>
  <c r="NJ37" i="8" a="1"/>
  <c r="NJ37" i="8" s="1"/>
  <c r="NJ14" i="8" a="1"/>
  <c r="NJ14" i="8" s="1"/>
  <c r="NJ55" i="8" a="1"/>
  <c r="NJ55" i="8" s="1"/>
  <c r="NJ27" i="8" a="1"/>
  <c r="NJ27" i="8" s="1"/>
  <c r="NJ49" i="8" a="1"/>
  <c r="NJ49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1" i="8" a="1"/>
  <c r="NJ51" i="8" s="1"/>
  <c r="NJ44" i="8" a="1"/>
  <c r="NJ44" i="8" s="1"/>
  <c r="NJ23" i="8" a="1"/>
  <c r="NJ23" i="8" s="1"/>
  <c r="NJ17" i="8" a="1"/>
  <c r="NJ17" i="8" s="1"/>
  <c r="NJ24" i="8" a="1"/>
  <c r="NJ24" i="8" s="1"/>
  <c r="NJ48" i="8" a="1"/>
  <c r="NJ48" i="8" s="1"/>
  <c r="NJ36" i="8" a="1"/>
  <c r="NJ36" i="8" s="1"/>
  <c r="NJ21" i="8" a="1"/>
  <c r="NJ21" i="8" s="1"/>
  <c r="NJ47" i="8" a="1"/>
  <c r="NJ47" i="8" s="1"/>
  <c r="NJ13" i="8" a="1"/>
  <c r="NJ13" i="8" s="1"/>
  <c r="NJ19" i="8" a="1"/>
  <c r="NJ19" i="8" s="1"/>
  <c r="NJ54" i="8" a="1"/>
  <c r="NJ54" i="8" s="1"/>
  <c r="NJ59" i="8" a="1"/>
  <c r="NJ59" i="8" s="1"/>
  <c r="NJ58" i="8" a="1"/>
  <c r="NJ58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5" i="8" a="1"/>
  <c r="NJ45" i="8" s="1"/>
  <c r="NJ33" i="8" a="1"/>
  <c r="NJ33" i="8" s="1"/>
  <c r="NJ11" i="8" a="1"/>
  <c r="NJ11" i="8" s="1"/>
  <c r="NJ52" i="8" a="1"/>
  <c r="NJ52" i="8" s="1"/>
  <c r="NJ57" i="8" a="1"/>
  <c r="NJ57" i="8" s="1"/>
  <c r="NJ35" i="8" a="1"/>
  <c r="NJ35" i="8" s="1"/>
  <c r="I56" i="10" a="1"/>
  <c r="I37" i="10" a="1"/>
  <c r="I38" i="10" a="1"/>
  <c r="I57" i="10" a="1"/>
  <c r="I58" i="10" a="1"/>
  <c r="I33" i="10" a="1"/>
  <c r="I58" i="10" l="1"/>
  <c r="I38" i="10"/>
  <c r="I33" i="10"/>
  <c r="I37" i="10"/>
  <c r="I57" i="10"/>
  <c r="I56" i="10"/>
  <c r="R6" i="5"/>
  <c r="S6" i="5"/>
  <c r="U5" i="5"/>
  <c r="T5" i="5"/>
  <c r="NP63" i="8" s="1" a="1"/>
  <c r="NP63" i="8" s="1"/>
  <c r="NO61" i="8" a="1"/>
  <c r="NO61" i="8" s="1"/>
  <c r="NO33" i="8" a="1"/>
  <c r="NO33" i="8" s="1"/>
  <c r="NO24" i="8" a="1"/>
  <c r="NO24" i="8" s="1"/>
  <c r="NO10" i="8" a="1"/>
  <c r="NO10" i="8" s="1"/>
  <c r="NO46" i="8" a="1"/>
  <c r="NO46" i="8" s="1"/>
  <c r="NO9" i="8" a="1"/>
  <c r="NO9" i="8" s="1"/>
  <c r="NO29" i="8" a="1"/>
  <c r="NO29" i="8" s="1"/>
  <c r="NO36" i="8" a="1"/>
  <c r="NO36" i="8" s="1"/>
  <c r="NO54" i="8" a="1"/>
  <c r="NO54" i="8" s="1"/>
  <c r="NO34" i="8" a="1"/>
  <c r="NO34" i="8" s="1"/>
  <c r="NO47" i="8" a="1"/>
  <c r="NO47" i="8" s="1"/>
  <c r="NO50" i="8" a="1"/>
  <c r="NO50" i="8" s="1"/>
  <c r="NO57" i="8" a="1"/>
  <c r="NO57" i="8" s="1"/>
  <c r="NO43" i="8" a="1"/>
  <c r="NO43" i="8" s="1"/>
  <c r="NO20" i="8" a="1"/>
  <c r="NO20" i="8" s="1"/>
  <c r="NO59" i="8" a="1"/>
  <c r="NO59" i="8" s="1"/>
  <c r="NO55" i="8" a="1"/>
  <c r="NO55" i="8" s="1"/>
  <c r="NO18" i="8" a="1"/>
  <c r="NO18" i="8" s="1"/>
  <c r="NO27" i="8" a="1"/>
  <c r="NO27" i="8" s="1"/>
  <c r="NO37" i="8" a="1"/>
  <c r="NO37" i="8" s="1"/>
  <c r="NO56" i="8" a="1"/>
  <c r="NO56" i="8" s="1"/>
  <c r="NO63" i="8" a="1"/>
  <c r="NO63" i="8" s="1"/>
  <c r="NO8" i="8" a="1"/>
  <c r="NO8" i="8" s="1"/>
  <c r="NO39" i="8" a="1"/>
  <c r="NO39" i="8" s="1"/>
  <c r="NO44" i="8" a="1"/>
  <c r="NO44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3" i="8" a="1"/>
  <c r="NO53" i="8" s="1"/>
  <c r="NO38" i="8" a="1"/>
  <c r="NO38" i="8" s="1"/>
  <c r="NO62" i="8" a="1"/>
  <c r="NO62" i="8" s="1"/>
  <c r="NO22" i="8" a="1"/>
  <c r="NO22" i="8" s="1"/>
  <c r="NO52" i="8" a="1"/>
  <c r="NO52" i="8" s="1"/>
  <c r="NO21" i="8" a="1"/>
  <c r="NO21" i="8" s="1"/>
  <c r="NO16" i="8" a="1"/>
  <c r="NO16" i="8" s="1"/>
  <c r="NO13" i="8" a="1"/>
  <c r="NO13" i="8" s="1"/>
  <c r="NO49" i="8" a="1"/>
  <c r="NO49" i="8" s="1"/>
  <c r="NO17" i="8" a="1"/>
  <c r="NO17" i="8" s="1"/>
  <c r="NO28" i="8" a="1"/>
  <c r="NO28" i="8" s="1"/>
  <c r="NO19" i="8" a="1"/>
  <c r="NO19" i="8" s="1"/>
  <c r="NO42" i="8" a="1"/>
  <c r="NO42" i="8" s="1"/>
  <c r="NO51" i="8" a="1"/>
  <c r="NO51" i="8" s="1"/>
  <c r="NO35" i="8" a="1"/>
  <c r="NO35" i="8" s="1"/>
  <c r="NO60" i="8" a="1"/>
  <c r="NO60" i="8" s="1"/>
  <c r="NO26" i="8" a="1"/>
  <c r="NO26" i="8" s="1"/>
  <c r="NO12" i="8" a="1"/>
  <c r="NO12" i="8" s="1"/>
  <c r="NO48" i="8" a="1"/>
  <c r="NO48" i="8" s="1"/>
  <c r="NO14" i="8" a="1"/>
  <c r="NO14" i="8" s="1"/>
  <c r="NO45" i="8" a="1"/>
  <c r="NO45" i="8" s="1"/>
  <c r="NO58" i="8" a="1"/>
  <c r="NO58" i="8" s="1"/>
  <c r="NO23" i="8" a="1"/>
  <c r="NO23" i="8" s="1"/>
  <c r="NO41" i="8" a="1"/>
  <c r="NO41" i="8" s="1"/>
  <c r="J36" i="10" a="1"/>
  <c r="G4" i="10" a="1"/>
  <c r="G2" i="10" a="1"/>
  <c r="G32" i="10" a="1"/>
  <c r="J56" i="10" a="1"/>
  <c r="G50" i="10" a="1"/>
  <c r="G12" i="10" a="1"/>
  <c r="G34" i="10" a="1"/>
  <c r="G14" i="10" a="1"/>
  <c r="I12" i="10" a="1"/>
  <c r="J13" i="10" a="1"/>
  <c r="H53" i="10" a="1"/>
  <c r="J24" i="10" a="1"/>
  <c r="G13" i="10" a="1"/>
  <c r="I51" i="10" a="1"/>
  <c r="I23" i="10" a="1"/>
  <c r="I11" i="10" a="1"/>
  <c r="J12" i="10" a="1"/>
  <c r="J32" i="10" a="1"/>
  <c r="J16" i="10" a="1"/>
  <c r="I53" i="10" a="1"/>
  <c r="G9" i="10" a="1"/>
  <c r="I16" i="10" a="1"/>
  <c r="H9" i="10" a="1"/>
  <c r="I10" i="10" a="1"/>
  <c r="I25" i="10" a="1"/>
  <c r="I26" i="10" a="1"/>
  <c r="H35" i="10" a="1"/>
  <c r="G48" i="10" a="1"/>
  <c r="G18" i="10" a="1"/>
  <c r="H11" i="10" a="1"/>
  <c r="H17" i="10" a="1"/>
  <c r="I54" i="10" a="1"/>
  <c r="G53" i="10" a="1"/>
  <c r="J44" i="10" a="1"/>
  <c r="G26" i="10" a="1"/>
  <c r="G42" i="10" a="1"/>
  <c r="J25" i="10" a="1"/>
  <c r="J5" i="10" a="1"/>
  <c r="I46" i="10" a="1"/>
  <c r="I18" i="10" a="1"/>
  <c r="I2" i="10" a="1"/>
  <c r="I19" i="10" a="1"/>
  <c r="H44" i="10" a="1"/>
  <c r="H51" i="10" a="1"/>
  <c r="J42" i="10" a="1"/>
  <c r="I47" i="10" a="1"/>
  <c r="I34" i="10" a="1"/>
  <c r="I17" i="10" a="1"/>
  <c r="H42" i="10" a="1"/>
  <c r="I50" i="10" a="1"/>
  <c r="J17" i="10" a="1"/>
  <c r="I39" i="10" a="1"/>
  <c r="H5" i="10" a="1"/>
  <c r="I41" i="10" a="1"/>
  <c r="I6" i="10" a="1"/>
  <c r="J20" i="10" a="1"/>
  <c r="G28" i="10" a="1"/>
  <c r="I9" i="10" a="1"/>
  <c r="H15" i="10" a="1"/>
  <c r="J33" i="10" a="1"/>
  <c r="H21" i="10" a="1"/>
  <c r="I21" i="10" a="1"/>
  <c r="G22" i="10" a="1"/>
  <c r="H39" i="10" a="1"/>
  <c r="J30" i="10" a="1"/>
  <c r="H41" i="10" a="1"/>
  <c r="G51" i="10" a="1"/>
  <c r="J47" i="10" a="1"/>
  <c r="J50" i="10" a="1"/>
  <c r="H27" i="10" a="1"/>
  <c r="H54" i="10" a="1"/>
  <c r="H6" i="10" a="1"/>
  <c r="J2" i="10" a="1"/>
  <c r="I40" i="10" a="1"/>
  <c r="G24" i="10" a="1"/>
  <c r="I48" i="10" a="1"/>
  <c r="J35" i="10" a="1"/>
  <c r="J10" i="10" a="1"/>
  <c r="H13" i="10" a="1"/>
  <c r="J48" i="10" a="1"/>
  <c r="I42" i="10" a="1"/>
  <c r="J19" i="10" a="1"/>
  <c r="J46" i="10" a="1"/>
  <c r="J38" i="10" a="1"/>
  <c r="I14" i="10" a="1"/>
  <c r="I22" i="10" a="1"/>
  <c r="G21" i="10" a="1"/>
  <c r="I52" i="10" a="1"/>
  <c r="H18" i="10" a="1"/>
  <c r="G40" i="10" a="1"/>
  <c r="J4" i="10" a="1"/>
  <c r="I30" i="10" a="1"/>
  <c r="I27" i="10" a="1"/>
  <c r="J3" i="10" a="1"/>
  <c r="G19" i="10" a="1"/>
  <c r="J40" i="10" a="1"/>
  <c r="G39" i="10" a="1"/>
  <c r="I3" i="10" a="1"/>
  <c r="G43" i="10" a="1"/>
  <c r="G6" i="10" a="1"/>
  <c r="H45" i="10" a="1"/>
  <c r="G8" i="10" a="1"/>
  <c r="J37" i="10" a="1"/>
  <c r="H50" i="10" a="1"/>
  <c r="H25" i="10" a="1"/>
  <c r="G31" i="10" a="1"/>
  <c r="J27" i="10" a="1"/>
  <c r="J39" i="10" a="1"/>
  <c r="I7" i="10" a="1"/>
  <c r="G3" i="10" a="1"/>
  <c r="J41" i="10" a="1"/>
  <c r="H52" i="10" a="1"/>
  <c r="I32" i="10" a="1"/>
  <c r="G35" i="10" a="1"/>
  <c r="H40" i="10" a="1"/>
  <c r="H20" i="10" a="1"/>
  <c r="I35" i="10" a="1"/>
  <c r="H46" i="10" a="1"/>
  <c r="H47" i="10" a="1"/>
  <c r="I49" i="10" a="1"/>
  <c r="H28" i="10" a="1"/>
  <c r="H4" i="10" a="1"/>
  <c r="G45" i="10" a="1"/>
  <c r="J18" i="10" a="1"/>
  <c r="J52" i="10" a="1"/>
  <c r="H19" i="10" a="1"/>
  <c r="J14" i="10" a="1"/>
  <c r="I44" i="10" a="1"/>
  <c r="J15" i="10" a="1"/>
  <c r="H32" i="10" a="1"/>
  <c r="H22" i="10" a="1"/>
  <c r="J9" i="10" a="1"/>
  <c r="I13" i="10" a="1"/>
  <c r="H23" i="10" a="1"/>
  <c r="G36" i="10" a="1"/>
  <c r="G5" i="10" a="1"/>
  <c r="G44" i="10" a="1"/>
  <c r="G49" i="10" a="1"/>
  <c r="I8" i="10" a="1"/>
  <c r="I45" i="10" a="1"/>
  <c r="J29" i="10" a="1"/>
  <c r="H31" i="10" a="1"/>
  <c r="J51" i="10" a="1"/>
  <c r="G41" i="10" a="1"/>
  <c r="G30" i="10" a="1"/>
  <c r="H49" i="10" a="1"/>
  <c r="J21" i="10" a="1"/>
  <c r="G20" i="10" a="1"/>
  <c r="G17" i="10" a="1"/>
  <c r="I4" i="10" a="1"/>
  <c r="I31" i="10" a="1"/>
  <c r="G10" i="10" a="1"/>
  <c r="J43" i="10" a="1"/>
  <c r="I29" i="10" a="1"/>
  <c r="H10" i="10" a="1"/>
  <c r="I20" i="10" a="1"/>
  <c r="J53" i="10" a="1"/>
  <c r="H30" i="10" a="1"/>
  <c r="G27" i="10" a="1"/>
  <c r="H16" i="10" a="1"/>
  <c r="I43" i="10" a="1"/>
  <c r="I36" i="10" a="1"/>
  <c r="G47" i="10" a="1"/>
  <c r="G29" i="10" a="1"/>
  <c r="J11" i="10" a="1"/>
  <c r="J55" i="10" a="1"/>
  <c r="I24" i="10" a="1"/>
  <c r="G16" i="10" a="1"/>
  <c r="H48" i="10" a="1"/>
  <c r="G15" i="10" a="1"/>
  <c r="G52" i="10" a="1"/>
  <c r="J23" i="10" a="1"/>
  <c r="J57" i="10" a="1"/>
  <c r="H7" i="10" a="1"/>
  <c r="J22" i="10" a="1"/>
  <c r="G11" i="10" a="1"/>
  <c r="J7" i="10" a="1"/>
  <c r="J45" i="10" a="1"/>
  <c r="G54" i="10" a="1"/>
  <c r="G7" i="10" a="1"/>
  <c r="G23" i="10" a="1"/>
  <c r="J49" i="10" a="1"/>
  <c r="H55" i="10" a="1"/>
  <c r="J54" i="10" a="1"/>
  <c r="H36" i="10" a="1"/>
  <c r="H14" i="10" a="1"/>
  <c r="J6" i="10" a="1"/>
  <c r="I5" i="10" a="1"/>
  <c r="J8" i="10" a="1"/>
  <c r="H3" i="10" a="1"/>
  <c r="H34" i="10" a="1"/>
  <c r="H29" i="10" a="1"/>
  <c r="I28" i="10" a="1"/>
  <c r="J34" i="10" a="1"/>
  <c r="G25" i="10" a="1"/>
  <c r="H2" i="10" a="1"/>
  <c r="I15" i="10" a="1"/>
  <c r="J58" i="10" a="1"/>
  <c r="G55" i="10" a="1"/>
  <c r="H8" i="10" a="1"/>
  <c r="I55" i="10" a="1"/>
  <c r="H26" i="10" a="1"/>
  <c r="H43" i="10" a="1"/>
  <c r="H24" i="10" a="1"/>
  <c r="J28" i="10" a="1"/>
  <c r="J31" i="10" a="1"/>
  <c r="H12" i="10" a="1"/>
  <c r="J26" i="10" a="1"/>
  <c r="G46" i="10" a="1"/>
  <c r="J56" i="10" l="1"/>
  <c r="J38" i="10"/>
  <c r="J37" i="10"/>
  <c r="J57" i="10"/>
  <c r="J33" i="10"/>
  <c r="J58" i="10"/>
  <c r="U6" i="5"/>
  <c r="T6" i="5"/>
  <c r="S7" i="5"/>
  <c r="R7" i="5"/>
  <c r="NP24" i="8" a="1"/>
  <c r="NP24" i="8" s="1"/>
  <c r="NP33" i="8" a="1"/>
  <c r="NP33" i="8" s="1"/>
  <c r="NP27" i="8" a="1"/>
  <c r="NP27" i="8" s="1"/>
  <c r="NP47" i="8" a="1"/>
  <c r="NP47" i="8" s="1"/>
  <c r="NP57" i="8" a="1"/>
  <c r="NP57" i="8" s="1"/>
  <c r="NP9" i="8" a="1"/>
  <c r="NP9" i="8" s="1"/>
  <c r="NP29" i="8" a="1"/>
  <c r="NP29" i="8" s="1"/>
  <c r="NP39" i="8" a="1"/>
  <c r="NP39" i="8" s="1"/>
  <c r="NP60" i="8" a="1"/>
  <c r="NP60" i="8" s="1"/>
  <c r="NP22" i="8" a="1"/>
  <c r="NP22" i="8" s="1"/>
  <c r="NP51" i="8" a="1"/>
  <c r="NP51" i="8" s="1"/>
  <c r="NP54" i="8" a="1"/>
  <c r="NP54" i="8" s="1"/>
  <c r="NP41" i="8" a="1"/>
  <c r="NP41" i="8" s="1"/>
  <c r="NP55" i="8" a="1"/>
  <c r="NP55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49" i="8" a="1"/>
  <c r="NP49" i="8" s="1"/>
  <c r="NP10" i="8" a="1"/>
  <c r="NP10" i="8" s="1"/>
  <c r="NP21" i="8" a="1"/>
  <c r="NP21" i="8" s="1"/>
  <c r="NP50" i="8" a="1"/>
  <c r="NP50" i="8" s="1"/>
  <c r="NP45" i="8" a="1"/>
  <c r="NP45" i="8" s="1"/>
  <c r="NP23" i="8" a="1"/>
  <c r="NP23" i="8" s="1"/>
  <c r="NP19" i="8" a="1"/>
  <c r="NP19" i="8" s="1"/>
  <c r="NP26" i="8" a="1"/>
  <c r="NP26" i="8" s="1"/>
  <c r="NP61" i="8" a="1"/>
  <c r="NP61" i="8" s="1"/>
  <c r="NP62" i="8" a="1"/>
  <c r="NP62" i="8" s="1"/>
  <c r="NP46" i="8" a="1"/>
  <c r="NP46" i="8" s="1"/>
  <c r="NP28" i="8" a="1"/>
  <c r="NP28" i="8" s="1"/>
  <c r="NP48" i="8" a="1"/>
  <c r="NP48" i="8" s="1"/>
  <c r="NP8" i="8" a="1"/>
  <c r="NP8" i="8" s="1"/>
  <c r="NP11" i="8" a="1"/>
  <c r="NP11" i="8" s="1"/>
  <c r="NP30" i="8" a="1"/>
  <c r="NP30" i="8" s="1"/>
  <c r="NP59" i="8" a="1"/>
  <c r="NP59" i="8" s="1"/>
  <c r="NP12" i="8" a="1"/>
  <c r="NP12" i="8" s="1"/>
  <c r="NP40" i="8" a="1"/>
  <c r="NP40" i="8" s="1"/>
  <c r="NP35" i="8" a="1"/>
  <c r="NP35" i="8" s="1"/>
  <c r="NP25" i="8" a="1"/>
  <c r="NP25" i="8" s="1"/>
  <c r="NP44" i="8" a="1"/>
  <c r="NP44" i="8" s="1"/>
  <c r="NP42" i="8" a="1"/>
  <c r="NP42" i="8" s="1"/>
  <c r="NP43" i="8" a="1"/>
  <c r="NP43" i="8" s="1"/>
  <c r="NP34" i="8" a="1"/>
  <c r="NP34" i="8" s="1"/>
  <c r="NP15" i="8" a="1"/>
  <c r="NP15" i="8" s="1"/>
  <c r="NP56" i="8" a="1"/>
  <c r="NP56" i="8" s="1"/>
  <c r="NP17" i="8" a="1"/>
  <c r="NP17" i="8" s="1"/>
  <c r="NP20" i="8" a="1"/>
  <c r="NP20" i="8" s="1"/>
  <c r="NP38" i="8" a="1"/>
  <c r="NP38" i="8" s="1"/>
  <c r="NP58" i="8" a="1"/>
  <c r="NP58" i="8" s="1"/>
  <c r="NP53" i="8" a="1"/>
  <c r="NP53" i="8" s="1"/>
  <c r="NP31" i="8" a="1"/>
  <c r="NP31" i="8" s="1"/>
  <c r="NP52" i="8" a="1"/>
  <c r="NP52" i="8" s="1"/>
  <c r="NP14" i="8" a="1"/>
  <c r="NP14" i="8" s="1"/>
  <c r="NP13" i="8" a="1"/>
  <c r="NP13" i="8" s="1"/>
  <c r="G3" i="10"/>
  <c r="J5" i="10"/>
  <c r="J39" i="10"/>
  <c r="I13" i="10"/>
  <c r="I49" i="10"/>
  <c r="I43" i="10"/>
  <c r="J36" i="10"/>
  <c r="G10" i="10"/>
  <c r="I30" i="10"/>
  <c r="G39" i="10"/>
  <c r="G18" i="10"/>
  <c r="H6" i="10"/>
  <c r="I8" i="10"/>
  <c r="H10" i="10"/>
  <c r="H9" i="10"/>
  <c r="G46" i="10"/>
  <c r="H18" i="10"/>
  <c r="H42" i="10"/>
  <c r="H29" i="10"/>
  <c r="I45" i="10"/>
  <c r="J22" i="10"/>
  <c r="J24" i="10"/>
  <c r="I23" i="10"/>
  <c r="J50" i="10"/>
  <c r="H14" i="10"/>
  <c r="G45" i="10"/>
  <c r="I26" i="10"/>
  <c r="J42" i="10"/>
  <c r="J8" i="10"/>
  <c r="J14" i="10"/>
  <c r="J7" i="10"/>
  <c r="G24" i="10"/>
  <c r="H51" i="10"/>
  <c r="I40" i="10"/>
  <c r="G51" i="10"/>
  <c r="J21" i="10"/>
  <c r="J30" i="10"/>
  <c r="J18" i="10"/>
  <c r="H20" i="10"/>
  <c r="H2" i="10"/>
  <c r="H32" i="10"/>
  <c r="I12" i="10"/>
  <c r="H41" i="10"/>
  <c r="G54" i="10"/>
  <c r="G29" i="10"/>
  <c r="J9" i="10"/>
  <c r="H35" i="10"/>
  <c r="H27" i="10"/>
  <c r="J47" i="10"/>
  <c r="G19" i="10"/>
  <c r="I29" i="10"/>
  <c r="H25" i="10"/>
  <c r="G42" i="10"/>
  <c r="J20" i="10"/>
  <c r="I15" i="10"/>
  <c r="I11" i="10"/>
  <c r="G4" i="10"/>
  <c r="H7" i="10"/>
  <c r="I2" i="10"/>
  <c r="G55" i="10"/>
  <c r="I51" i="10"/>
  <c r="H50" i="10"/>
  <c r="I39" i="10"/>
  <c r="I32" i="10"/>
  <c r="J34" i="10"/>
  <c r="I24" i="10"/>
  <c r="J13" i="10"/>
  <c r="G8" i="10"/>
  <c r="H49" i="10"/>
  <c r="J44" i="10"/>
  <c r="I42" i="10"/>
  <c r="J15" i="10"/>
  <c r="G28" i="10"/>
  <c r="J40" i="10"/>
  <c r="I5" i="10"/>
  <c r="G21" i="10"/>
  <c r="I55" i="10"/>
  <c r="J23" i="10"/>
  <c r="J2" i="10"/>
  <c r="I14" i="10"/>
  <c r="J51" i="10"/>
  <c r="G52" i="10"/>
  <c r="G13" i="10"/>
  <c r="G11" i="10"/>
  <c r="J10" i="10"/>
  <c r="H4" i="10"/>
  <c r="I48" i="10"/>
  <c r="G9" i="10"/>
  <c r="I34" i="10"/>
  <c r="I18" i="10"/>
  <c r="G50" i="10"/>
  <c r="H36" i="10"/>
  <c r="I17" i="10"/>
  <c r="J53" i="10"/>
  <c r="J6" i="10"/>
  <c r="G20" i="10"/>
  <c r="I7" i="10"/>
  <c r="I27" i="10"/>
  <c r="I20" i="10"/>
  <c r="H45" i="10"/>
  <c r="I31" i="10"/>
  <c r="J27" i="10"/>
  <c r="H46" i="10"/>
  <c r="J31" i="10"/>
  <c r="H21" i="10"/>
  <c r="G36" i="10"/>
  <c r="I35" i="10"/>
  <c r="G26" i="10"/>
  <c r="G27" i="10"/>
  <c r="H15" i="10"/>
  <c r="I50" i="10"/>
  <c r="J32" i="10"/>
  <c r="I4" i="10"/>
  <c r="J46" i="10"/>
  <c r="G44" i="10"/>
  <c r="J35" i="10"/>
  <c r="H16" i="10"/>
  <c r="I10" i="10"/>
  <c r="G53" i="10"/>
  <c r="H44" i="10"/>
  <c r="I47" i="10"/>
  <c r="G31" i="10"/>
  <c r="G48" i="10"/>
  <c r="G32" i="10"/>
  <c r="G40" i="10"/>
  <c r="J26" i="10"/>
  <c r="J29" i="10"/>
  <c r="H19" i="10"/>
  <c r="H48" i="10"/>
  <c r="I54" i="10"/>
  <c r="H52" i="10"/>
  <c r="G34" i="10"/>
  <c r="H17" i="10"/>
  <c r="I36" i="10"/>
  <c r="H26" i="10"/>
  <c r="G7" i="10"/>
  <c r="H43" i="10"/>
  <c r="H34" i="10"/>
  <c r="J17" i="10"/>
  <c r="H13" i="10"/>
  <c r="H12" i="10"/>
  <c r="I3" i="10"/>
  <c r="I53" i="10"/>
  <c r="H3" i="10"/>
  <c r="J16" i="10"/>
  <c r="H55" i="10"/>
  <c r="G30" i="10"/>
  <c r="H54" i="10"/>
  <c r="I16" i="10"/>
  <c r="J45" i="10"/>
  <c r="I21" i="10"/>
  <c r="G35" i="10"/>
  <c r="G47" i="10"/>
  <c r="G43" i="10"/>
  <c r="I28" i="10"/>
  <c r="H40" i="10"/>
  <c r="H23" i="10"/>
  <c r="H5" i="10"/>
  <c r="I9" i="10"/>
  <c r="G49" i="10"/>
  <c r="I44" i="10"/>
  <c r="G25" i="10"/>
  <c r="G2" i="10"/>
  <c r="H53" i="10"/>
  <c r="H47" i="10"/>
  <c r="J41" i="10"/>
  <c r="H24" i="10"/>
  <c r="I6" i="10"/>
  <c r="I22" i="10"/>
  <c r="G17" i="10"/>
  <c r="I46" i="10"/>
  <c r="I19" i="10"/>
  <c r="H28" i="10"/>
  <c r="J43" i="10"/>
  <c r="H39" i="10"/>
  <c r="G6" i="10"/>
  <c r="J49" i="10"/>
  <c r="G12" i="10"/>
  <c r="G23" i="10"/>
  <c r="J4" i="10"/>
  <c r="G16" i="10"/>
  <c r="G5" i="10"/>
  <c r="I41" i="10"/>
  <c r="J28" i="10"/>
  <c r="J19" i="10"/>
  <c r="J54" i="10"/>
  <c r="H8" i="10"/>
  <c r="J52" i="10"/>
  <c r="H30" i="10"/>
  <c r="G22" i="10"/>
  <c r="H31" i="10"/>
  <c r="G14" i="10"/>
  <c r="I52" i="10"/>
  <c r="J11" i="10"/>
  <c r="J25" i="10"/>
  <c r="G41" i="10"/>
  <c r="J55" i="10"/>
  <c r="H22" i="10"/>
  <c r="J48" i="10"/>
  <c r="G15" i="10"/>
  <c r="I25" i="10"/>
  <c r="J12" i="10"/>
  <c r="H11" i="10"/>
  <c r="J3" i="10"/>
  <c r="K13" i="10" a="1"/>
  <c r="K38" i="10" a="1"/>
  <c r="K32" i="10" a="1"/>
  <c r="K20" i="10" a="1"/>
  <c r="K49" i="10" a="1"/>
  <c r="K7" i="10" a="1"/>
  <c r="K52" i="10" a="1"/>
  <c r="K37" i="10" a="1"/>
  <c r="K43" i="10" a="1"/>
  <c r="K24" i="10" a="1"/>
  <c r="K3" i="10" a="1"/>
  <c r="K39" i="10" a="1"/>
  <c r="K17" i="10" a="1"/>
  <c r="K29" i="10" a="1"/>
  <c r="K44" i="10" a="1"/>
  <c r="K23" i="10" a="1"/>
  <c r="K54" i="10" a="1"/>
  <c r="K45" i="10" a="1"/>
  <c r="K58" i="10" a="1"/>
  <c r="K55" i="10" a="1"/>
  <c r="K42" i="10" a="1"/>
  <c r="K35" i="10" a="1"/>
  <c r="K56" i="10" a="1"/>
  <c r="K48" i="10" a="1"/>
  <c r="K40" i="10" a="1"/>
  <c r="K11" i="10" a="1"/>
  <c r="K9" i="10" a="1"/>
  <c r="K5" i="10" a="1"/>
  <c r="K21" i="10" a="1"/>
  <c r="K53" i="10" a="1"/>
  <c r="K33" i="10" a="1"/>
  <c r="K30" i="10" a="1"/>
  <c r="K19" i="10" a="1"/>
  <c r="K57" i="10" a="1"/>
  <c r="K26" i="10" a="1"/>
  <c r="K50" i="10" a="1"/>
  <c r="K2" i="10" a="1"/>
  <c r="K18" i="10" a="1"/>
  <c r="K51" i="10" a="1"/>
  <c r="K22" i="10" a="1"/>
  <c r="K31" i="10" a="1"/>
  <c r="K8" i="10" a="1"/>
  <c r="K10" i="10" a="1"/>
  <c r="K25" i="10" a="1"/>
  <c r="K41" i="10" a="1"/>
  <c r="K28" i="10" a="1"/>
  <c r="K16" i="10" a="1"/>
  <c r="K14" i="10" a="1"/>
  <c r="K47" i="10" a="1"/>
  <c r="K6" i="10" a="1"/>
  <c r="K34" i="10" a="1"/>
  <c r="K15" i="10" a="1"/>
  <c r="K12" i="10" a="1"/>
  <c r="K36" i="10" a="1"/>
  <c r="K4" i="10" a="1"/>
  <c r="K27" i="10" a="1"/>
  <c r="K46" i="10" a="1"/>
  <c r="K14" i="10" l="1"/>
  <c r="K7" i="10"/>
  <c r="K18" i="10"/>
  <c r="K4" i="10"/>
  <c r="K57" i="10"/>
  <c r="K6" i="10"/>
  <c r="K50" i="10"/>
  <c r="K24" i="10"/>
  <c r="K9" i="10"/>
  <c r="K15" i="10"/>
  <c r="K2" i="10"/>
  <c r="K55" i="10"/>
  <c r="K28" i="10"/>
  <c r="K19" i="10"/>
  <c r="K21" i="10"/>
  <c r="K13" i="10"/>
  <c r="K31" i="10"/>
  <c r="K11" i="10"/>
  <c r="K29" i="10"/>
  <c r="K39" i="10"/>
  <c r="K3" i="10"/>
  <c r="K48" i="10"/>
  <c r="K52" i="10"/>
  <c r="K33" i="10"/>
  <c r="K38" i="10"/>
  <c r="K30" i="10"/>
  <c r="K26" i="10"/>
  <c r="K35" i="10"/>
  <c r="K5" i="10"/>
  <c r="K41" i="10"/>
  <c r="K49" i="10"/>
  <c r="K43" i="10"/>
  <c r="K22" i="10"/>
  <c r="K46" i="10"/>
  <c r="K23" i="10"/>
  <c r="K44" i="10"/>
  <c r="K58" i="10"/>
  <c r="K34" i="10"/>
  <c r="K25" i="10"/>
  <c r="K27" i="10"/>
  <c r="K45" i="10"/>
  <c r="K8" i="10"/>
  <c r="K53" i="10"/>
  <c r="K16" i="10"/>
  <c r="K51" i="10"/>
  <c r="K40" i="10"/>
  <c r="K42" i="10"/>
  <c r="K36" i="10"/>
  <c r="K12" i="10"/>
  <c r="K54" i="10"/>
  <c r="K10" i="10"/>
  <c r="K20" i="10"/>
  <c r="K32" i="10"/>
  <c r="K17" i="10"/>
  <c r="K47" i="10"/>
  <c r="K56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59" i="8" a="1"/>
  <c r="NQ59" i="8" s="1"/>
  <c r="NQ21" i="8" a="1"/>
  <c r="NQ21" i="8" s="1"/>
  <c r="NQ51" i="8" a="1"/>
  <c r="NQ51" i="8" s="1"/>
  <c r="NQ12" i="8" a="1"/>
  <c r="NQ12" i="8" s="1"/>
  <c r="NQ40" i="8" a="1"/>
  <c r="NQ40" i="8" s="1"/>
  <c r="NQ45" i="8" a="1"/>
  <c r="NQ45" i="8" s="1"/>
  <c r="NQ26" i="8" a="1"/>
  <c r="NQ26" i="8" s="1"/>
  <c r="NQ19" i="8" a="1"/>
  <c r="NQ19" i="8" s="1"/>
  <c r="NQ25" i="8" a="1"/>
  <c r="NQ25" i="8" s="1"/>
  <c r="NQ46" i="8" a="1"/>
  <c r="NQ46" i="8" s="1"/>
  <c r="NQ48" i="8" a="1"/>
  <c r="NQ48" i="8" s="1"/>
  <c r="NQ18" i="8" a="1"/>
  <c r="NQ18" i="8" s="1"/>
  <c r="NQ20" i="8" a="1"/>
  <c r="NQ20" i="8" s="1"/>
  <c r="NQ39" i="8" a="1"/>
  <c r="NQ39" i="8" s="1"/>
  <c r="NQ52" i="8" a="1"/>
  <c r="NQ52" i="8" s="1"/>
  <c r="NQ31" i="8" a="1"/>
  <c r="NQ31" i="8" s="1"/>
  <c r="NQ44" i="8" a="1"/>
  <c r="NQ44" i="8" s="1"/>
  <c r="NQ14" i="8" a="1"/>
  <c r="NQ14" i="8" s="1"/>
  <c r="NQ32" i="8" a="1"/>
  <c r="NQ32" i="8" s="1"/>
  <c r="NQ35" i="8" a="1"/>
  <c r="NQ35" i="8" s="1"/>
  <c r="NQ43" i="8" a="1"/>
  <c r="NQ43" i="8" s="1"/>
  <c r="NQ56" i="8" a="1"/>
  <c r="NQ56" i="8" s="1"/>
  <c r="NQ36" i="8" a="1"/>
  <c r="NQ36" i="8" s="1"/>
  <c r="NQ55" i="8" a="1"/>
  <c r="NQ55" i="8" s="1"/>
  <c r="NQ57" i="8" a="1"/>
  <c r="NQ57" i="8" s="1"/>
  <c r="NQ10" i="8" a="1"/>
  <c r="NQ10" i="8" s="1"/>
  <c r="NQ29" i="8" a="1"/>
  <c r="NQ29" i="8" s="1"/>
  <c r="NQ58" i="8" a="1"/>
  <c r="NQ58" i="8" s="1"/>
  <c r="NQ11" i="8" a="1"/>
  <c r="NQ11" i="8" s="1"/>
  <c r="NQ50" i="8" a="1"/>
  <c r="NQ50" i="8" s="1"/>
  <c r="NQ53" i="8" a="1"/>
  <c r="NQ53" i="8" s="1"/>
  <c r="NQ23" i="8" a="1"/>
  <c r="NQ23" i="8" s="1"/>
  <c r="NQ33" i="8" a="1"/>
  <c r="NQ33" i="8" s="1"/>
  <c r="NQ54" i="8" a="1"/>
  <c r="NQ54" i="8" s="1"/>
  <c r="NQ17" i="8" a="1"/>
  <c r="NQ17" i="8" s="1"/>
  <c r="NQ47" i="8" a="1"/>
  <c r="NQ47" i="8" s="1"/>
  <c r="NQ24" i="8" a="1"/>
  <c r="NQ24" i="8" s="1"/>
  <c r="NQ27" i="8" a="1"/>
  <c r="NQ27" i="8" s="1"/>
  <c r="NQ37" i="8" a="1"/>
  <c r="NQ37" i="8" s="1"/>
  <c r="NQ49" i="8" a="1"/>
  <c r="NQ49" i="8" s="1"/>
  <c r="NQ60" i="8" a="1"/>
  <c r="NQ60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1" i="8" a="1"/>
  <c r="NQ61" i="8" s="1"/>
  <c r="NQ63" i="8" a="1"/>
  <c r="NQ63" i="8" s="1"/>
  <c r="NQ62" i="8" a="1"/>
  <c r="NQ62" i="8" s="1"/>
  <c r="NQ42" i="8" a="1"/>
  <c r="NQ42" i="8" s="1"/>
  <c r="L23" i="10" a="1"/>
  <c r="L11" i="10" a="1"/>
  <c r="L45" i="10" a="1"/>
  <c r="L3" i="10" a="1"/>
  <c r="L4" i="10" a="1"/>
  <c r="L10" i="10" a="1"/>
  <c r="L20" i="10" a="1"/>
  <c r="L29" i="10" a="1"/>
  <c r="L55" i="10" a="1"/>
  <c r="L2" i="10" a="1"/>
  <c r="L34" i="10" a="1"/>
  <c r="L43" i="10" a="1"/>
  <c r="L38" i="10" a="1"/>
  <c r="L49" i="10" a="1"/>
  <c r="L52" i="10" a="1"/>
  <c r="L26" i="10" a="1"/>
  <c r="L32" i="10" a="1"/>
  <c r="L6" i="10" a="1"/>
  <c r="L41" i="10" a="1"/>
  <c r="L48" i="10" a="1"/>
  <c r="L51" i="10" a="1"/>
  <c r="L33" i="10" a="1"/>
  <c r="L15" i="10" a="1"/>
  <c r="L58" i="10" a="1"/>
  <c r="L50" i="10" a="1"/>
  <c r="L19" i="10" a="1"/>
  <c r="L13" i="10" a="1"/>
  <c r="L12" i="10" a="1"/>
  <c r="L39" i="10" a="1"/>
  <c r="L57" i="10" a="1"/>
  <c r="L56" i="10" a="1"/>
  <c r="L37" i="10" a="1"/>
  <c r="L18" i="10" a="1"/>
  <c r="L31" i="10" a="1"/>
  <c r="L47" i="10" a="1"/>
  <c r="L27" i="10" a="1"/>
  <c r="L7" i="10" a="1"/>
  <c r="L5" i="10" a="1"/>
  <c r="L28" i="10" a="1"/>
  <c r="L24" i="10" a="1"/>
  <c r="L21" i="10" a="1"/>
  <c r="L44" i="10" a="1"/>
  <c r="L40" i="10" a="1"/>
  <c r="L22" i="10" a="1"/>
  <c r="L42" i="10" a="1"/>
  <c r="L14" i="10" a="1"/>
  <c r="L17" i="10" a="1"/>
  <c r="L16" i="10" a="1"/>
  <c r="L46" i="10" a="1"/>
  <c r="L30" i="10" a="1"/>
  <c r="L8" i="10" a="1"/>
  <c r="L53" i="10" a="1"/>
  <c r="L35" i="10" a="1"/>
  <c r="L25" i="10" a="1"/>
  <c r="L9" i="10" a="1"/>
  <c r="L54" i="10" a="1"/>
  <c r="L36" i="10" a="1"/>
  <c r="L27" i="10" l="1"/>
  <c r="L39" i="10"/>
  <c r="L48" i="10"/>
  <c r="L40" i="10"/>
  <c r="L23" i="10"/>
  <c r="L28" i="10"/>
  <c r="L6" i="10"/>
  <c r="L50" i="10"/>
  <c r="L26" i="10"/>
  <c r="L9" i="10"/>
  <c r="L45" i="10"/>
  <c r="L58" i="10"/>
  <c r="L10" i="10"/>
  <c r="L41" i="10"/>
  <c r="L34" i="10"/>
  <c r="L44" i="10"/>
  <c r="L4" i="10"/>
  <c r="L54" i="10"/>
  <c r="L47" i="10"/>
  <c r="L53" i="10"/>
  <c r="L15" i="10"/>
  <c r="L13" i="10"/>
  <c r="L22" i="10"/>
  <c r="L14" i="10"/>
  <c r="L57" i="10"/>
  <c r="L3" i="10"/>
  <c r="L18" i="10"/>
  <c r="L55" i="10"/>
  <c r="L24" i="10"/>
  <c r="L43" i="10"/>
  <c r="L37" i="10"/>
  <c r="L19" i="10"/>
  <c r="L30" i="10"/>
  <c r="L51" i="10"/>
  <c r="L42" i="10"/>
  <c r="L32" i="10"/>
  <c r="L17" i="10"/>
  <c r="L12" i="10"/>
  <c r="L29" i="10"/>
  <c r="L52" i="10"/>
  <c r="L20" i="10"/>
  <c r="L46" i="10"/>
  <c r="L5" i="10"/>
  <c r="L49" i="10"/>
  <c r="L16" i="10"/>
  <c r="L7" i="10"/>
  <c r="L11" i="10"/>
  <c r="L56" i="10"/>
  <c r="L36" i="10"/>
  <c r="L25" i="10"/>
  <c r="L2" i="10"/>
  <c r="L21" i="10"/>
  <c r="L38" i="10"/>
  <c r="L35" i="10"/>
  <c r="L31" i="10"/>
  <c r="L8" i="10"/>
  <c r="L33" i="10"/>
  <c r="NR63" i="8" a="1"/>
  <c r="NR63" i="8" s="1"/>
  <c r="NR61" i="8" a="1"/>
  <c r="NR61" i="8" s="1"/>
  <c r="NR57" i="8" a="1"/>
  <c r="NR57" i="8" s="1"/>
  <c r="NR45" i="8" a="1"/>
  <c r="NR45" i="8" s="1"/>
  <c r="NR59" i="8" a="1"/>
  <c r="NR59" i="8" s="1"/>
  <c r="NR16" i="8" a="1"/>
  <c r="NR16" i="8" s="1"/>
  <c r="NR39" i="8" a="1"/>
  <c r="NR39" i="8" s="1"/>
  <c r="NR52" i="8" a="1"/>
  <c r="NR52" i="8" s="1"/>
  <c r="NR8" i="8" a="1"/>
  <c r="NR8" i="8" s="1"/>
  <c r="NR21" i="8" a="1"/>
  <c r="NR21" i="8" s="1"/>
  <c r="NR40" i="8" a="1"/>
  <c r="NR40" i="8" s="1"/>
  <c r="NR56" i="8" a="1"/>
  <c r="NR56" i="8" s="1"/>
  <c r="NR41" i="8" a="1"/>
  <c r="NR41" i="8" s="1"/>
  <c r="NR55" i="8" a="1"/>
  <c r="NR55" i="8" s="1"/>
  <c r="NR51" i="8" a="1"/>
  <c r="NR51" i="8" s="1"/>
  <c r="NR31" i="8" a="1"/>
  <c r="NR31" i="8" s="1"/>
  <c r="NR29" i="8" a="1"/>
  <c r="NR29" i="8" s="1"/>
  <c r="NR27" i="8" a="1"/>
  <c r="NR27" i="8" s="1"/>
  <c r="NR30" i="8" a="1"/>
  <c r="NR30" i="8" s="1"/>
  <c r="NR54" i="8" a="1"/>
  <c r="NR54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4" i="8" a="1"/>
  <c r="NR44" i="8" s="1"/>
  <c r="NR22" i="8" a="1"/>
  <c r="NR22" i="8" s="1"/>
  <c r="NR47" i="8" a="1"/>
  <c r="NR47" i="8" s="1"/>
  <c r="NR60" i="8" a="1"/>
  <c r="NR60" i="8" s="1"/>
  <c r="NR18" i="8" a="1"/>
  <c r="NR18" i="8" s="1"/>
  <c r="NR43" i="8" a="1"/>
  <c r="NR43" i="8" s="1"/>
  <c r="NR26" i="8" a="1"/>
  <c r="NR26" i="8" s="1"/>
  <c r="NR53" i="8" a="1"/>
  <c r="NR53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2" i="8" a="1"/>
  <c r="NR62" i="8" s="1"/>
  <c r="NR46" i="8" a="1"/>
  <c r="NR46" i="8" s="1"/>
  <c r="NR48" i="8" a="1"/>
  <c r="NR48" i="8" s="1"/>
  <c r="NR14" i="8" a="1"/>
  <c r="NR14" i="8" s="1"/>
  <c r="NR10" i="8" a="1"/>
  <c r="NR10" i="8" s="1"/>
  <c r="NR49" i="8" a="1"/>
  <c r="NR49" i="8" s="1"/>
  <c r="NR17" i="8" a="1"/>
  <c r="NR17" i="8" s="1"/>
  <c r="NR32" i="8" a="1"/>
  <c r="NR32" i="8" s="1"/>
  <c r="NR36" i="8" a="1"/>
  <c r="NR36" i="8" s="1"/>
  <c r="NR9" i="8" a="1"/>
  <c r="NR9" i="8" s="1"/>
  <c r="NR58" i="8" a="1"/>
  <c r="NR58" i="8" s="1"/>
  <c r="NR38" i="8" a="1"/>
  <c r="NR38" i="8" s="1"/>
  <c r="NR50" i="8" a="1"/>
  <c r="NR50" i="8" s="1"/>
  <c r="NR13" i="8" a="1"/>
  <c r="NR13" i="8" s="1"/>
  <c r="NR12" i="8" a="1"/>
  <c r="NR12" i="8" s="1"/>
  <c r="NR34" i="8" a="1"/>
  <c r="NR34" i="8" s="1"/>
  <c r="T8" i="5"/>
  <c r="U8" i="5"/>
  <c r="S9" i="5"/>
  <c r="R9" i="5"/>
  <c r="M18" i="10" a="1"/>
  <c r="M20" i="10" a="1"/>
  <c r="M56" i="10" a="1"/>
  <c r="M38" i="10" a="1"/>
  <c r="M35" i="10" a="1"/>
  <c r="M46" i="10" a="1"/>
  <c r="M21" i="10" a="1"/>
  <c r="M32" i="10" a="1"/>
  <c r="M2" i="10" a="1"/>
  <c r="M47" i="10" a="1"/>
  <c r="M57" i="10" a="1"/>
  <c r="M25" i="10" a="1"/>
  <c r="M15" i="10" a="1"/>
  <c r="M31" i="10" a="1"/>
  <c r="M16" i="10" a="1"/>
  <c r="M54" i="10" a="1"/>
  <c r="M26" i="10" a="1"/>
  <c r="M33" i="10" a="1"/>
  <c r="M19" i="10" a="1"/>
  <c r="M50" i="10" a="1"/>
  <c r="M24" i="10" a="1"/>
  <c r="M42" i="10" a="1"/>
  <c r="M8" i="10" a="1"/>
  <c r="M28" i="10" a="1"/>
  <c r="M41" i="10" a="1"/>
  <c r="M43" i="10" a="1"/>
  <c r="M30" i="10" a="1"/>
  <c r="M36" i="10" a="1"/>
  <c r="M4" i="10" a="1"/>
  <c r="M55" i="10" a="1"/>
  <c r="M7" i="10" a="1"/>
  <c r="M29" i="10" a="1"/>
  <c r="M39" i="10" a="1"/>
  <c r="M3" i="10" a="1"/>
  <c r="M58" i="10" a="1"/>
  <c r="M11" i="10" a="1"/>
  <c r="M44" i="10" a="1"/>
  <c r="M34" i="10" a="1"/>
  <c r="M53" i="10" a="1"/>
  <c r="M10" i="10" a="1"/>
  <c r="M12" i="10" a="1"/>
  <c r="M13" i="10" a="1"/>
  <c r="M37" i="10" a="1"/>
  <c r="M48" i="10" a="1"/>
  <c r="M27" i="10" a="1"/>
  <c r="M14" i="10" a="1"/>
  <c r="M22" i="10" a="1"/>
  <c r="M5" i="10" a="1"/>
  <c r="M51" i="10" a="1"/>
  <c r="M6" i="10" a="1"/>
  <c r="M40" i="10" a="1"/>
  <c r="M45" i="10" a="1"/>
  <c r="M23" i="10" a="1"/>
  <c r="M17" i="10" a="1"/>
  <c r="M52" i="10" a="1"/>
  <c r="M49" i="10" a="1"/>
  <c r="M9" i="10" a="1"/>
  <c r="M56" i="10" l="1"/>
  <c r="M25" i="10"/>
  <c r="M23" i="10"/>
  <c r="M39" i="10"/>
  <c r="M18" i="10"/>
  <c r="M11" i="10"/>
  <c r="M17" i="10"/>
  <c r="M47" i="10"/>
  <c r="M21" i="10"/>
  <c r="M29" i="10"/>
  <c r="M3" i="10"/>
  <c r="M52" i="10"/>
  <c r="M46" i="10"/>
  <c r="M58" i="10"/>
  <c r="M45" i="10"/>
  <c r="M38" i="10"/>
  <c r="M41" i="10"/>
  <c r="M51" i="10"/>
  <c r="M7" i="10"/>
  <c r="M55" i="10"/>
  <c r="M53" i="10"/>
  <c r="M16" i="10"/>
  <c r="M30" i="10"/>
  <c r="M44" i="10"/>
  <c r="M8" i="10"/>
  <c r="M2" i="10"/>
  <c r="M43" i="10"/>
  <c r="M36" i="10"/>
  <c r="M32" i="10"/>
  <c r="M15" i="10"/>
  <c r="M10" i="10"/>
  <c r="M12" i="10"/>
  <c r="M4" i="10"/>
  <c r="M20" i="10"/>
  <c r="M48" i="10"/>
  <c r="M26" i="10"/>
  <c r="M40" i="10"/>
  <c r="M24" i="10"/>
  <c r="M6" i="10"/>
  <c r="M54" i="10"/>
  <c r="M9" i="10"/>
  <c r="M14" i="10"/>
  <c r="M13" i="10"/>
  <c r="M31" i="10"/>
  <c r="M49" i="10"/>
  <c r="M5" i="10"/>
  <c r="M33" i="10"/>
  <c r="M22" i="10"/>
  <c r="M50" i="10"/>
  <c r="M37" i="10"/>
  <c r="M57" i="10"/>
  <c r="M34" i="10"/>
  <c r="M28" i="10"/>
  <c r="M35" i="10"/>
  <c r="M27" i="10"/>
  <c r="M42" i="10"/>
  <c r="M19" i="10"/>
  <c r="U9" i="5"/>
  <c r="T9" i="5"/>
  <c r="NS8" i="8" a="1"/>
  <c r="NS8" i="8" s="1"/>
  <c r="NS63" i="8" a="1"/>
  <c r="NS63" i="8" s="1"/>
  <c r="NS14" i="8" a="1"/>
  <c r="NS14" i="8" s="1"/>
  <c r="NS21" i="8" a="1"/>
  <c r="NS21" i="8" s="1"/>
  <c r="NS45" i="8" a="1"/>
  <c r="NS45" i="8" s="1"/>
  <c r="NS32" i="8" a="1"/>
  <c r="NS32" i="8" s="1"/>
  <c r="NS27" i="8" a="1"/>
  <c r="NS27" i="8" s="1"/>
  <c r="NS53" i="8" a="1"/>
  <c r="NS53" i="8" s="1"/>
  <c r="NS10" i="8" a="1"/>
  <c r="NS10" i="8" s="1"/>
  <c r="NS16" i="8" a="1"/>
  <c r="NS16" i="8" s="1"/>
  <c r="NS52" i="8" a="1"/>
  <c r="NS52" i="8" s="1"/>
  <c r="NS39" i="8" a="1"/>
  <c r="NS39" i="8" s="1"/>
  <c r="NS57" i="8" a="1"/>
  <c r="NS57" i="8" s="1"/>
  <c r="NS60" i="8" a="1"/>
  <c r="NS60" i="8" s="1"/>
  <c r="NS47" i="8" a="1"/>
  <c r="NS47" i="8" s="1"/>
  <c r="NS43" i="8" a="1"/>
  <c r="NS43" i="8" s="1"/>
  <c r="NS28" i="8" a="1"/>
  <c r="NS28" i="8" s="1"/>
  <c r="NS22" i="8" a="1"/>
  <c r="NS22" i="8" s="1"/>
  <c r="NS54" i="8" a="1"/>
  <c r="NS54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49" i="8" a="1"/>
  <c r="NS49" i="8" s="1"/>
  <c r="NS42" i="8" a="1"/>
  <c r="NS42" i="8" s="1"/>
  <c r="NS36" i="8" a="1"/>
  <c r="NS36" i="8" s="1"/>
  <c r="NS17" i="8" a="1"/>
  <c r="NS17" i="8" s="1"/>
  <c r="NS48" i="8" a="1"/>
  <c r="NS48" i="8" s="1"/>
  <c r="NS50" i="8" a="1"/>
  <c r="NS50" i="8" s="1"/>
  <c r="NS58" i="8" a="1"/>
  <c r="NS58" i="8" s="1"/>
  <c r="NS23" i="8" a="1"/>
  <c r="NS23" i="8" s="1"/>
  <c r="NS18" i="8" a="1"/>
  <c r="NS18" i="8" s="1"/>
  <c r="NS35" i="8" a="1"/>
  <c r="NS35" i="8" s="1"/>
  <c r="NS46" i="8" a="1"/>
  <c r="NS46" i="8" s="1"/>
  <c r="NS62" i="8" a="1"/>
  <c r="NS62" i="8" s="1"/>
  <c r="NS29" i="8" a="1"/>
  <c r="NS29" i="8" s="1"/>
  <c r="NS31" i="8" a="1"/>
  <c r="NS31" i="8" s="1"/>
  <c r="NS56" i="8" a="1"/>
  <c r="NS56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5" i="8" a="1"/>
  <c r="NS55" i="8" s="1"/>
  <c r="NS61" i="8" a="1"/>
  <c r="NS61" i="8" s="1"/>
  <c r="NS38" i="8" a="1"/>
  <c r="NS38" i="8" s="1"/>
  <c r="NS44" i="8" a="1"/>
  <c r="NS44" i="8" s="1"/>
  <c r="NS9" i="8" a="1"/>
  <c r="NS9" i="8" s="1"/>
  <c r="NS26" i="8" a="1"/>
  <c r="NS26" i="8" s="1"/>
  <c r="NS12" i="8" a="1"/>
  <c r="NS12" i="8" s="1"/>
  <c r="NS13" i="8" a="1"/>
  <c r="NS13" i="8" s="1"/>
  <c r="NS59" i="8" a="1"/>
  <c r="NS59" i="8" s="1"/>
  <c r="NS40" i="8" a="1"/>
  <c r="NS40" i="8" s="1"/>
  <c r="NS51" i="8" a="1"/>
  <c r="NS51" i="8" s="1"/>
  <c r="S10" i="5"/>
  <c r="R10" i="5"/>
  <c r="N33" i="10" a="1"/>
  <c r="N45" i="10" a="1"/>
  <c r="N57" i="10" a="1"/>
  <c r="N55" i="10" a="1"/>
  <c r="N10" i="10" a="1"/>
  <c r="N48" i="10" a="1"/>
  <c r="N16" i="10" a="1"/>
  <c r="N15" i="10" a="1"/>
  <c r="N56" i="10" a="1"/>
  <c r="N29" i="10" a="1"/>
  <c r="N7" i="10" a="1"/>
  <c r="N9" i="10" a="1"/>
  <c r="N4" i="10" a="1"/>
  <c r="N47" i="10" a="1"/>
  <c r="N32" i="10" a="1"/>
  <c r="N37" i="10" a="1"/>
  <c r="N51" i="10" a="1"/>
  <c r="N54" i="10" a="1"/>
  <c r="N17" i="10" a="1"/>
  <c r="N2" i="10" a="1"/>
  <c r="N14" i="10" a="1"/>
  <c r="N38" i="10" a="1"/>
  <c r="N5" i="10" a="1"/>
  <c r="N6" i="10" a="1"/>
  <c r="N20" i="10" a="1"/>
  <c r="N50" i="10" a="1"/>
  <c r="N58" i="10" a="1"/>
  <c r="N53" i="10" a="1"/>
  <c r="N13" i="10" a="1"/>
  <c r="N30" i="10" a="1"/>
  <c r="N3" i="10" a="1"/>
  <c r="N31" i="10" a="1"/>
  <c r="N42" i="10" a="1"/>
  <c r="N39" i="10" a="1"/>
  <c r="N22" i="10" a="1"/>
  <c r="N12" i="10" a="1"/>
  <c r="N28" i="10" a="1"/>
  <c r="N8" i="10" a="1"/>
  <c r="N52" i="10" a="1"/>
  <c r="N43" i="10" a="1"/>
  <c r="N40" i="10" a="1"/>
  <c r="N41" i="10" a="1"/>
  <c r="N35" i="10" a="1"/>
  <c r="N23" i="10" a="1"/>
  <c r="N19" i="10" a="1"/>
  <c r="N11" i="10" a="1"/>
  <c r="N25" i="10" a="1"/>
  <c r="N46" i="10" a="1"/>
  <c r="N18" i="10" a="1"/>
  <c r="N44" i="10" a="1"/>
  <c r="N24" i="10" a="1"/>
  <c r="N49" i="10" a="1"/>
  <c r="N26" i="10" a="1"/>
  <c r="N34" i="10" a="1"/>
  <c r="N27" i="10" a="1"/>
  <c r="N21" i="10" a="1"/>
  <c r="N36" i="10" a="1"/>
  <c r="N12" i="10" l="1"/>
  <c r="N57" i="10"/>
  <c r="N2" i="10"/>
  <c r="N28" i="10"/>
  <c r="N47" i="10"/>
  <c r="N18" i="10"/>
  <c r="N7" i="10"/>
  <c r="N58" i="10"/>
  <c r="N21" i="10"/>
  <c r="N15" i="10"/>
  <c r="N51" i="10"/>
  <c r="N17" i="10"/>
  <c r="N34" i="10"/>
  <c r="N56" i="10"/>
  <c r="N4" i="10"/>
  <c r="N24" i="10"/>
  <c r="N31" i="10"/>
  <c r="N3" i="10"/>
  <c r="N6" i="10"/>
  <c r="N25" i="10"/>
  <c r="N32" i="10"/>
  <c r="N16" i="10"/>
  <c r="N29" i="10"/>
  <c r="N27" i="10"/>
  <c r="N26" i="10"/>
  <c r="N54" i="10"/>
  <c r="N55" i="10"/>
  <c r="N45" i="10"/>
  <c r="N44" i="10"/>
  <c r="N38" i="10"/>
  <c r="N9" i="10"/>
  <c r="N33" i="10"/>
  <c r="N53" i="10"/>
  <c r="N13" i="10"/>
  <c r="N39" i="10"/>
  <c r="N35" i="10"/>
  <c r="N36" i="10"/>
  <c r="N52" i="10"/>
  <c r="N50" i="10"/>
  <c r="N5" i="10"/>
  <c r="N22" i="10"/>
  <c r="N8" i="10"/>
  <c r="N49" i="10"/>
  <c r="N48" i="10"/>
  <c r="N30" i="10"/>
  <c r="N42" i="10"/>
  <c r="N14" i="10"/>
  <c r="N46" i="10"/>
  <c r="N43" i="10"/>
  <c r="N20" i="10"/>
  <c r="N37" i="10"/>
  <c r="N40" i="10"/>
  <c r="N19" i="10"/>
  <c r="N41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3" i="8" a="1"/>
  <c r="NT53" i="8" s="1"/>
  <c r="NT30" i="8" a="1"/>
  <c r="NT30" i="8" s="1"/>
  <c r="NT44" i="8" a="1"/>
  <c r="NT44" i="8" s="1"/>
  <c r="NT41" i="8" a="1"/>
  <c r="NT41" i="8" s="1"/>
  <c r="NT26" i="8" a="1"/>
  <c r="NT26" i="8" s="1"/>
  <c r="NT56" i="8" a="1"/>
  <c r="NT56" i="8" s="1"/>
  <c r="NT20" i="8" a="1"/>
  <c r="NT20" i="8" s="1"/>
  <c r="NT45" i="8" a="1"/>
  <c r="NT45" i="8" s="1"/>
  <c r="NT33" i="8" a="1"/>
  <c r="NT33" i="8" s="1"/>
  <c r="NT8" i="8" a="1"/>
  <c r="NT8" i="8" s="1"/>
  <c r="NT24" i="8" a="1"/>
  <c r="NT24" i="8" s="1"/>
  <c r="NT63" i="8" a="1"/>
  <c r="NT63" i="8" s="1"/>
  <c r="NT16" i="8" a="1"/>
  <c r="NT16" i="8" s="1"/>
  <c r="NT32" i="8" a="1"/>
  <c r="NT32" i="8" s="1"/>
  <c r="NT48" i="8" a="1"/>
  <c r="NT48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1" i="8" a="1"/>
  <c r="NT51" i="8" s="1"/>
  <c r="NT50" i="8" a="1"/>
  <c r="NT50" i="8" s="1"/>
  <c r="NT46" i="8" a="1"/>
  <c r="NT46" i="8" s="1"/>
  <c r="NT59" i="8" a="1"/>
  <c r="NT59" i="8" s="1"/>
  <c r="NT54" i="8" a="1"/>
  <c r="NT54" i="8" s="1"/>
  <c r="NT52" i="8" a="1"/>
  <c r="NT52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2" i="8" a="1"/>
  <c r="NT62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8" i="8" a="1"/>
  <c r="NT58" i="8" s="1"/>
  <c r="NT55" i="8" a="1"/>
  <c r="NT55" i="8" s="1"/>
  <c r="NT47" i="8" a="1"/>
  <c r="NT47" i="8" s="1"/>
  <c r="NT36" i="8" a="1"/>
  <c r="NT36" i="8" s="1"/>
  <c r="NT49" i="8" a="1"/>
  <c r="NT49" i="8" s="1"/>
  <c r="NT57" i="8" a="1"/>
  <c r="NT57" i="8" s="1"/>
  <c r="NT60" i="8" a="1"/>
  <c r="NT60" i="8" s="1"/>
  <c r="NT61" i="8" a="1"/>
  <c r="NT61" i="8" s="1"/>
  <c r="R11" i="5"/>
  <c r="S11" i="5"/>
  <c r="O39" i="10" a="1"/>
  <c r="O38" i="10" a="1"/>
  <c r="O33" i="10" a="1"/>
  <c r="O14" i="10" a="1"/>
  <c r="O31" i="10" a="1"/>
  <c r="O9" i="10" a="1"/>
  <c r="O17" i="10" a="1"/>
  <c r="O46" i="10" a="1"/>
  <c r="O3" i="10" a="1"/>
  <c r="O47" i="10" a="1"/>
  <c r="O36" i="10" a="1"/>
  <c r="O30" i="10" a="1"/>
  <c r="O34" i="10" a="1"/>
  <c r="O26" i="10" a="1"/>
  <c r="O24" i="10" a="1"/>
  <c r="O45" i="10" a="1"/>
  <c r="O12" i="10" a="1"/>
  <c r="O41" i="10" a="1"/>
  <c r="O35" i="10" a="1"/>
  <c r="O10" i="10" a="1"/>
  <c r="O20" i="10" a="1"/>
  <c r="O28" i="10" a="1"/>
  <c r="O25" i="10" a="1"/>
  <c r="O7" i="10" a="1"/>
  <c r="O50" i="10" a="1"/>
  <c r="O29" i="10" a="1"/>
  <c r="O53" i="10" a="1"/>
  <c r="O8" i="10" a="1"/>
  <c r="O57" i="10" a="1"/>
  <c r="O11" i="10" a="1"/>
  <c r="O44" i="10" a="1"/>
  <c r="O40" i="10" a="1"/>
  <c r="O23" i="10" a="1"/>
  <c r="O13" i="10" a="1"/>
  <c r="O56" i="10" a="1"/>
  <c r="O15" i="10" a="1"/>
  <c r="O48" i="10" a="1"/>
  <c r="O6" i="10" a="1"/>
  <c r="O2" i="10" a="1"/>
  <c r="O18" i="10" a="1"/>
  <c r="O42" i="10" a="1"/>
  <c r="O43" i="10" a="1"/>
  <c r="O37" i="10" a="1"/>
  <c r="O58" i="10" a="1"/>
  <c r="O54" i="10" a="1"/>
  <c r="O16" i="10" a="1"/>
  <c r="O52" i="10" a="1"/>
  <c r="O49" i="10" a="1"/>
  <c r="O51" i="10" a="1"/>
  <c r="O4" i="10" a="1"/>
  <c r="O19" i="10" a="1"/>
  <c r="O32" i="10" a="1"/>
  <c r="O22" i="10" a="1"/>
  <c r="O27" i="10" a="1"/>
  <c r="O55" i="10" a="1"/>
  <c r="O21" i="10" a="1"/>
  <c r="O5" i="10" a="1"/>
  <c r="O16" i="10" l="1"/>
  <c r="O43" i="10"/>
  <c r="O14" i="10"/>
  <c r="O20" i="10"/>
  <c r="O5" i="10"/>
  <c r="O6" i="10"/>
  <c r="O21" i="10"/>
  <c r="O48" i="10"/>
  <c r="O19" i="10"/>
  <c r="O18" i="10"/>
  <c r="O35" i="10"/>
  <c r="O24" i="10"/>
  <c r="O34" i="10"/>
  <c r="O41" i="10"/>
  <c r="O51" i="10"/>
  <c r="O45" i="10"/>
  <c r="O4" i="10"/>
  <c r="O57" i="10"/>
  <c r="O29" i="10"/>
  <c r="O31" i="10"/>
  <c r="O12" i="10"/>
  <c r="O53" i="10"/>
  <c r="O32" i="10"/>
  <c r="O55" i="10"/>
  <c r="O11" i="10"/>
  <c r="O27" i="10"/>
  <c r="O42" i="10"/>
  <c r="O26" i="10"/>
  <c r="O30" i="10"/>
  <c r="O37" i="10"/>
  <c r="O56" i="10"/>
  <c r="O58" i="10"/>
  <c r="O33" i="10"/>
  <c r="O44" i="10"/>
  <c r="O15" i="10"/>
  <c r="O8" i="10"/>
  <c r="O49" i="10"/>
  <c r="O40" i="10"/>
  <c r="O10" i="10"/>
  <c r="O9" i="10"/>
  <c r="O39" i="10"/>
  <c r="O17" i="10"/>
  <c r="O25" i="10"/>
  <c r="O28" i="10"/>
  <c r="O2" i="10"/>
  <c r="O50" i="10"/>
  <c r="O52" i="10"/>
  <c r="O47" i="10"/>
  <c r="O46" i="10"/>
  <c r="O13" i="10"/>
  <c r="O36" i="10"/>
  <c r="O3" i="10"/>
  <c r="O23" i="10"/>
  <c r="O54" i="10"/>
  <c r="O38" i="10"/>
  <c r="O22" i="10"/>
  <c r="O7" i="10"/>
  <c r="R12" i="5"/>
  <c r="S12" i="5"/>
  <c r="NU43" i="8" a="1"/>
  <c r="NU43" i="8" s="1"/>
  <c r="NU58" i="8" a="1"/>
  <c r="NU58" i="8" s="1"/>
  <c r="NU9" i="8" a="1"/>
  <c r="NU9" i="8" s="1"/>
  <c r="NU50" i="8" a="1"/>
  <c r="NU50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49" i="8" a="1"/>
  <c r="NU49" i="8" s="1"/>
  <c r="NU28" i="8" a="1"/>
  <c r="NU28" i="8" s="1"/>
  <c r="NU12" i="8" a="1"/>
  <c r="NU12" i="8" s="1"/>
  <c r="NU21" i="8" a="1"/>
  <c r="NU21" i="8" s="1"/>
  <c r="NU39" i="8" a="1"/>
  <c r="NU39" i="8" s="1"/>
  <c r="NU57" i="8" a="1"/>
  <c r="NU57" i="8" s="1"/>
  <c r="NU27" i="8" a="1"/>
  <c r="NU27" i="8" s="1"/>
  <c r="NU54" i="8" a="1"/>
  <c r="NU54" i="8" s="1"/>
  <c r="NU46" i="8" a="1"/>
  <c r="NU46" i="8" s="1"/>
  <c r="NU34" i="8" a="1"/>
  <c r="NU34" i="8" s="1"/>
  <c r="NU13" i="8" a="1"/>
  <c r="NU13" i="8" s="1"/>
  <c r="NU63" i="8" a="1"/>
  <c r="NU63" i="8" s="1"/>
  <c r="NU62" i="8" a="1"/>
  <c r="NU62" i="8" s="1"/>
  <c r="NU25" i="8" a="1"/>
  <c r="NU25" i="8" s="1"/>
  <c r="NU44" i="8" a="1"/>
  <c r="NU44" i="8" s="1"/>
  <c r="NU53" i="8" a="1"/>
  <c r="NU53" i="8" s="1"/>
  <c r="NU16" i="8" a="1"/>
  <c r="NU16" i="8" s="1"/>
  <c r="NU59" i="8" a="1"/>
  <c r="NU59" i="8" s="1"/>
  <c r="NU51" i="8" a="1"/>
  <c r="NU51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0" i="8" a="1"/>
  <c r="NU60" i="8" s="1"/>
  <c r="NU37" i="8" a="1"/>
  <c r="NU37" i="8" s="1"/>
  <c r="NU45" i="8" a="1"/>
  <c r="NU45" i="8" s="1"/>
  <c r="NU48" i="8" a="1"/>
  <c r="NU48" i="8" s="1"/>
  <c r="NU24" i="8" a="1"/>
  <c r="NU24" i="8" s="1"/>
  <c r="NU47" i="8" a="1"/>
  <c r="NU47" i="8" s="1"/>
  <c r="NU42" i="8" a="1"/>
  <c r="NU42" i="8" s="1"/>
  <c r="NU38" i="8" a="1"/>
  <c r="NU38" i="8" s="1"/>
  <c r="NU22" i="8" a="1"/>
  <c r="NU22" i="8" s="1"/>
  <c r="NU35" i="8" a="1"/>
  <c r="NU35" i="8" s="1"/>
  <c r="NU61" i="8" a="1"/>
  <c r="NU61" i="8" s="1"/>
  <c r="NU19" i="8" a="1"/>
  <c r="NU19" i="8" s="1"/>
  <c r="NU56" i="8" a="1"/>
  <c r="NU56" i="8" s="1"/>
  <c r="NU55" i="8" a="1"/>
  <c r="NU55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2" i="8" a="1"/>
  <c r="NU52" i="8" s="1"/>
  <c r="NU29" i="8" a="1"/>
  <c r="NU29" i="8" s="1"/>
  <c r="T11" i="5"/>
  <c r="U11" i="5"/>
  <c r="P58" i="10" a="1"/>
  <c r="P57" i="10" a="1"/>
  <c r="P25" i="10" a="1"/>
  <c r="P44" i="10" a="1"/>
  <c r="P17" i="10" a="1"/>
  <c r="P45" i="10" a="1"/>
  <c r="P47" i="10" a="1"/>
  <c r="P35" i="10" a="1"/>
  <c r="P46" i="10" a="1"/>
  <c r="P24" i="10" a="1"/>
  <c r="P28" i="10" a="1"/>
  <c r="P36" i="10" a="1"/>
  <c r="P20" i="10" a="1"/>
  <c r="P3" i="10" a="1"/>
  <c r="P10" i="10" a="1"/>
  <c r="P4" i="10" a="1"/>
  <c r="P18" i="10" a="1"/>
  <c r="P55" i="10" a="1"/>
  <c r="P39" i="10" a="1"/>
  <c r="P40" i="10" a="1"/>
  <c r="P32" i="10" a="1"/>
  <c r="P42" i="10" a="1"/>
  <c r="P27" i="10" a="1"/>
  <c r="P30" i="10" a="1"/>
  <c r="P52" i="10" a="1"/>
  <c r="P56" i="10" a="1"/>
  <c r="P12" i="10" a="1"/>
  <c r="P51" i="10" a="1"/>
  <c r="P8" i="10" a="1"/>
  <c r="P14" i="10" a="1"/>
  <c r="P13" i="10" a="1"/>
  <c r="P54" i="10" a="1"/>
  <c r="P26" i="10" a="1"/>
  <c r="P37" i="10" a="1"/>
  <c r="P19" i="10" a="1"/>
  <c r="P21" i="10" a="1"/>
  <c r="P43" i="10" a="1"/>
  <c r="P23" i="10" a="1"/>
  <c r="P50" i="10" a="1"/>
  <c r="P22" i="10" a="1"/>
  <c r="P31" i="10" a="1"/>
  <c r="P48" i="10" a="1"/>
  <c r="P33" i="10" a="1"/>
  <c r="P49" i="10" a="1"/>
  <c r="P11" i="10" a="1"/>
  <c r="P7" i="10" a="1"/>
  <c r="P2" i="10" a="1"/>
  <c r="P53" i="10" a="1"/>
  <c r="P9" i="10" a="1"/>
  <c r="P5" i="10" a="1"/>
  <c r="P41" i="10" a="1"/>
  <c r="P15" i="10" a="1"/>
  <c r="P29" i="10" a="1"/>
  <c r="P16" i="10" a="1"/>
  <c r="P38" i="10" a="1"/>
  <c r="P6" i="10" a="1"/>
  <c r="P34" i="10" a="1"/>
  <c r="P58" i="10" l="1"/>
  <c r="P34" i="10"/>
  <c r="P2" i="10"/>
  <c r="P4" i="10"/>
  <c r="P42" i="10"/>
  <c r="P49" i="10"/>
  <c r="P7" i="10"/>
  <c r="P47" i="10"/>
  <c r="P9" i="10"/>
  <c r="P5" i="10"/>
  <c r="P24" i="10"/>
  <c r="P54" i="10"/>
  <c r="P6" i="10"/>
  <c r="P55" i="10"/>
  <c r="P30" i="10"/>
  <c r="P12" i="10"/>
  <c r="P51" i="10"/>
  <c r="P14" i="10"/>
  <c r="P53" i="10"/>
  <c r="P56" i="10"/>
  <c r="P36" i="10"/>
  <c r="P50" i="10"/>
  <c r="P17" i="10"/>
  <c r="P19" i="10"/>
  <c r="P28" i="10"/>
  <c r="P20" i="10"/>
  <c r="P10" i="10"/>
  <c r="P46" i="10"/>
  <c r="P41" i="10"/>
  <c r="P27" i="10"/>
  <c r="P38" i="10"/>
  <c r="P52" i="10"/>
  <c r="P31" i="10"/>
  <c r="P35" i="10"/>
  <c r="P43" i="10"/>
  <c r="P13" i="10"/>
  <c r="P29" i="10"/>
  <c r="P37" i="10"/>
  <c r="P21" i="10"/>
  <c r="P48" i="10"/>
  <c r="P45" i="10"/>
  <c r="P33" i="10"/>
  <c r="P57" i="10"/>
  <c r="P23" i="10"/>
  <c r="P22" i="10"/>
  <c r="P11" i="10"/>
  <c r="P18" i="10"/>
  <c r="P40" i="10"/>
  <c r="P32" i="10"/>
  <c r="P16" i="10"/>
  <c r="P15" i="10"/>
  <c r="P39" i="10"/>
  <c r="P44" i="10"/>
  <c r="P8" i="10"/>
  <c r="P3" i="10"/>
  <c r="P26" i="10"/>
  <c r="P25" i="10"/>
  <c r="S13" i="5"/>
  <c r="R13" i="5"/>
  <c r="NV62" i="8" a="1"/>
  <c r="NV62" i="8" s="1"/>
  <c r="NV61" i="8" a="1"/>
  <c r="NV61" i="8" s="1"/>
  <c r="NV13" i="8" a="1"/>
  <c r="NV13" i="8" s="1"/>
  <c r="NV47" i="8" a="1"/>
  <c r="NV47" i="8" s="1"/>
  <c r="NV17" i="8" a="1"/>
  <c r="NV17" i="8" s="1"/>
  <c r="NV48" i="8" a="1"/>
  <c r="NV48" i="8" s="1"/>
  <c r="NV28" i="8" a="1"/>
  <c r="NV28" i="8" s="1"/>
  <c r="NV10" i="8" a="1"/>
  <c r="NV10" i="8" s="1"/>
  <c r="NV26" i="8" a="1"/>
  <c r="NV26" i="8" s="1"/>
  <c r="NV39" i="8" a="1"/>
  <c r="NV39" i="8" s="1"/>
  <c r="NV53" i="8" a="1"/>
  <c r="NV53" i="8" s="1"/>
  <c r="NV15" i="8" a="1"/>
  <c r="NV15" i="8" s="1"/>
  <c r="NV57" i="8" a="1"/>
  <c r="NV57" i="8" s="1"/>
  <c r="NV50" i="8" a="1"/>
  <c r="NV50" i="8" s="1"/>
  <c r="NV18" i="8" a="1"/>
  <c r="NV18" i="8" s="1"/>
  <c r="NV49" i="8" a="1"/>
  <c r="NV49" i="8" s="1"/>
  <c r="NV55" i="8" a="1"/>
  <c r="NV55" i="8" s="1"/>
  <c r="NV8" i="8" a="1"/>
  <c r="NV8" i="8" s="1"/>
  <c r="NV38" i="8" a="1"/>
  <c r="NV38" i="8" s="1"/>
  <c r="NV56" i="8" a="1"/>
  <c r="NV56" i="8" s="1"/>
  <c r="NV14" i="8" a="1"/>
  <c r="NV14" i="8" s="1"/>
  <c r="NV54" i="8" a="1"/>
  <c r="NV54" i="8" s="1"/>
  <c r="NV63" i="8" a="1"/>
  <c r="NV63" i="8" s="1"/>
  <c r="NV51" i="8" a="1"/>
  <c r="NV51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59" i="8" a="1"/>
  <c r="NV59" i="8" s="1"/>
  <c r="NV42" i="8" a="1"/>
  <c r="NV42" i="8" s="1"/>
  <c r="NV16" i="8" a="1"/>
  <c r="NV16" i="8" s="1"/>
  <c r="NV21" i="8" a="1"/>
  <c r="NV21" i="8" s="1"/>
  <c r="NV45" i="8" a="1"/>
  <c r="NV45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4" i="8" a="1"/>
  <c r="NV44" i="8" s="1"/>
  <c r="NV58" i="8" a="1"/>
  <c r="NV58" i="8" s="1"/>
  <c r="NV43" i="8" a="1"/>
  <c r="NV43" i="8" s="1"/>
  <c r="NV30" i="8" a="1"/>
  <c r="NV30" i="8" s="1"/>
  <c r="NV52" i="8" a="1"/>
  <c r="NV52" i="8" s="1"/>
  <c r="NV46" i="8" a="1"/>
  <c r="NV46" i="8" s="1"/>
  <c r="NV36" i="8" a="1"/>
  <c r="NV36" i="8" s="1"/>
  <c r="NV60" i="8" a="1"/>
  <c r="NV60" i="8" s="1"/>
  <c r="NV35" i="8" a="1"/>
  <c r="NV35" i="8" s="1"/>
  <c r="T12" i="5"/>
  <c r="U12" i="5"/>
  <c r="Q2" i="10" a="1"/>
  <c r="Q11" i="10" a="1"/>
  <c r="Q6" i="10" a="1"/>
  <c r="Q28" i="10" a="1"/>
  <c r="Q32" i="10" a="1"/>
  <c r="Q3" i="10" a="1"/>
  <c r="Q18" i="10" a="1"/>
  <c r="Q49" i="10" a="1"/>
  <c r="Q19" i="10" a="1"/>
  <c r="Q8" i="10" a="1"/>
  <c r="Q29" i="10" a="1"/>
  <c r="Q9" i="10" a="1"/>
  <c r="Q22" i="10" a="1"/>
  <c r="Q23" i="10" a="1"/>
  <c r="Q54" i="10" a="1"/>
  <c r="Q47" i="10" a="1"/>
  <c r="Q36" i="10" a="1"/>
  <c r="Q58" i="10" a="1"/>
  <c r="Q42" i="10" a="1"/>
  <c r="Q24" i="10" a="1"/>
  <c r="Q4" i="10" a="1"/>
  <c r="Q55" i="10" a="1"/>
  <c r="Q14" i="10" a="1"/>
  <c r="Q27" i="10" a="1"/>
  <c r="Q21" i="10" a="1"/>
  <c r="Q13" i="10" a="1"/>
  <c r="Q53" i="10" a="1"/>
  <c r="Q30" i="10" a="1"/>
  <c r="Q37" i="10" a="1"/>
  <c r="Q33" i="10" a="1"/>
  <c r="Q51" i="10" a="1"/>
  <c r="Q57" i="10" a="1"/>
  <c r="Q34" i="10" a="1"/>
  <c r="Q5" i="10" a="1"/>
  <c r="Q25" i="10" a="1"/>
  <c r="Q44" i="10" a="1"/>
  <c r="Q41" i="10" a="1"/>
  <c r="Q31" i="10" a="1"/>
  <c r="Q26" i="10" a="1"/>
  <c r="Q7" i="10" a="1"/>
  <c r="Q48" i="10" a="1"/>
  <c r="Q56" i="10" a="1"/>
  <c r="Q40" i="10" a="1"/>
  <c r="Q38" i="10" a="1"/>
  <c r="Q35" i="10" a="1"/>
  <c r="Q50" i="10" a="1"/>
  <c r="Q39" i="10" a="1"/>
  <c r="Q52" i="10" a="1"/>
  <c r="Q43" i="10" a="1"/>
  <c r="Q10" i="10" a="1"/>
  <c r="Q15" i="10" a="1"/>
  <c r="Q12" i="10" a="1"/>
  <c r="Q46" i="10" a="1"/>
  <c r="Q16" i="10" a="1"/>
  <c r="Q45" i="10" a="1"/>
  <c r="Q17" i="10" a="1"/>
  <c r="Q20" i="10" a="1"/>
  <c r="Q18" i="10" l="1"/>
  <c r="Q48" i="10"/>
  <c r="Q55" i="10"/>
  <c r="Q44" i="10"/>
  <c r="Q10" i="10"/>
  <c r="Q50" i="10"/>
  <c r="Q54" i="10"/>
  <c r="Q2" i="10"/>
  <c r="Q4" i="10"/>
  <c r="Q42" i="10"/>
  <c r="Q11" i="10"/>
  <c r="Q15" i="10"/>
  <c r="Q43" i="10"/>
  <c r="Q26" i="10"/>
  <c r="Q30" i="10"/>
  <c r="Q45" i="10"/>
  <c r="Q46" i="10"/>
  <c r="Q32" i="10"/>
  <c r="Q24" i="10"/>
  <c r="Q3" i="10"/>
  <c r="Q5" i="10"/>
  <c r="Q29" i="10"/>
  <c r="Q36" i="10"/>
  <c r="Q57" i="10"/>
  <c r="Q38" i="10"/>
  <c r="Q33" i="10"/>
  <c r="Q25" i="10"/>
  <c r="Q53" i="10"/>
  <c r="Q22" i="10"/>
  <c r="Q51" i="10"/>
  <c r="Q23" i="10"/>
  <c r="Q47" i="10"/>
  <c r="Q19" i="10"/>
  <c r="Q39" i="10"/>
  <c r="Q13" i="10"/>
  <c r="Q16" i="10"/>
  <c r="Q7" i="10"/>
  <c r="Q37" i="10"/>
  <c r="Q6" i="10"/>
  <c r="Q49" i="10"/>
  <c r="Q28" i="10"/>
  <c r="Q41" i="10"/>
  <c r="Q58" i="10"/>
  <c r="Q40" i="10"/>
  <c r="Q31" i="10"/>
  <c r="Q8" i="10"/>
  <c r="Q9" i="10"/>
  <c r="Q12" i="10"/>
  <c r="Q52" i="10"/>
  <c r="Q27" i="10"/>
  <c r="Q34" i="10"/>
  <c r="Q17" i="10"/>
  <c r="Q21" i="10"/>
  <c r="Q56" i="10"/>
  <c r="Q20" i="10"/>
  <c r="Q14" i="10"/>
  <c r="Q35" i="10"/>
  <c r="NW55" i="8" a="1"/>
  <c r="NW55" i="8" s="1"/>
  <c r="NW36" i="8" a="1"/>
  <c r="NW36" i="8" s="1"/>
  <c r="NW48" i="8" a="1"/>
  <c r="NW48" i="8" s="1"/>
  <c r="NW50" i="8" a="1"/>
  <c r="NW50" i="8" s="1"/>
  <c r="NW18" i="8" a="1"/>
  <c r="NW18" i="8" s="1"/>
  <c r="NW23" i="8" a="1"/>
  <c r="NW23" i="8" s="1"/>
  <c r="NW13" i="8" a="1"/>
  <c r="NW13" i="8" s="1"/>
  <c r="NW46" i="8" a="1"/>
  <c r="NW46" i="8" s="1"/>
  <c r="NW40" i="8" a="1"/>
  <c r="NW40" i="8" s="1"/>
  <c r="NW32" i="8" a="1"/>
  <c r="NW32" i="8" s="1"/>
  <c r="NW41" i="8" a="1"/>
  <c r="NW41" i="8" s="1"/>
  <c r="NW52" i="8" a="1"/>
  <c r="NW52" i="8" s="1"/>
  <c r="NW16" i="8" a="1"/>
  <c r="NW16" i="8" s="1"/>
  <c r="NW51" i="8" a="1"/>
  <c r="NW51" i="8" s="1"/>
  <c r="NW17" i="8" a="1"/>
  <c r="NW17" i="8" s="1"/>
  <c r="NW29" i="8" a="1"/>
  <c r="NW29" i="8" s="1"/>
  <c r="NW11" i="8" a="1"/>
  <c r="NW11" i="8" s="1"/>
  <c r="NW27" i="8" a="1"/>
  <c r="NW27" i="8" s="1"/>
  <c r="NW59" i="8" a="1"/>
  <c r="NW59" i="8" s="1"/>
  <c r="NW56" i="8" a="1"/>
  <c r="NW56" i="8" s="1"/>
  <c r="NW19" i="8" a="1"/>
  <c r="NW19" i="8" s="1"/>
  <c r="NW33" i="8" a="1"/>
  <c r="NW33" i="8" s="1"/>
  <c r="NW14" i="8" a="1"/>
  <c r="NW14" i="8" s="1"/>
  <c r="NW53" i="8" a="1"/>
  <c r="NW53" i="8" s="1"/>
  <c r="NW31" i="8" a="1"/>
  <c r="NW31" i="8" s="1"/>
  <c r="NW42" i="8" a="1"/>
  <c r="NW42" i="8" s="1"/>
  <c r="NW57" i="8" a="1"/>
  <c r="NW57" i="8" s="1"/>
  <c r="NW37" i="8" a="1"/>
  <c r="NW37" i="8" s="1"/>
  <c r="NW35" i="8" a="1"/>
  <c r="NW35" i="8" s="1"/>
  <c r="NW49" i="8" a="1"/>
  <c r="NW49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0" i="8" a="1"/>
  <c r="NW60" i="8" s="1"/>
  <c r="NW25" i="8" a="1"/>
  <c r="NW25" i="8" s="1"/>
  <c r="NW30" i="8" a="1"/>
  <c r="NW30" i="8" s="1"/>
  <c r="NW45" i="8" a="1"/>
  <c r="NW45" i="8" s="1"/>
  <c r="NW44" i="8" a="1"/>
  <c r="NW44" i="8" s="1"/>
  <c r="NW47" i="8" a="1"/>
  <c r="NW47" i="8" s="1"/>
  <c r="NW61" i="8" a="1"/>
  <c r="NW61" i="8" s="1"/>
  <c r="NW43" i="8" a="1"/>
  <c r="NW43" i="8" s="1"/>
  <c r="NW26" i="8" a="1"/>
  <c r="NW26" i="8" s="1"/>
  <c r="NW54" i="8" a="1"/>
  <c r="NW54" i="8" s="1"/>
  <c r="NW10" i="8" a="1"/>
  <c r="NW10" i="8" s="1"/>
  <c r="NW58" i="8" a="1"/>
  <c r="NW58" i="8" s="1"/>
  <c r="NW39" i="8" a="1"/>
  <c r="NW39" i="8" s="1"/>
  <c r="NW34" i="8" a="1"/>
  <c r="NW34" i="8" s="1"/>
  <c r="NW62" i="8" a="1"/>
  <c r="NW62" i="8" s="1"/>
  <c r="NW63" i="8" a="1"/>
  <c r="NW63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58" i="10" a="1"/>
  <c r="R44" i="10" a="1"/>
  <c r="R55" i="10" a="1"/>
  <c r="R52" i="10" a="1"/>
  <c r="R16" i="10" a="1"/>
  <c r="R50" i="10" a="1"/>
  <c r="R57" i="10" a="1"/>
  <c r="R17" i="10" a="1"/>
  <c r="R24" i="10" a="1"/>
  <c r="R46" i="10" a="1"/>
  <c r="R22" i="10" a="1"/>
  <c r="R48" i="10" a="1"/>
  <c r="R26" i="10" a="1"/>
  <c r="R35" i="10" a="1"/>
  <c r="R38" i="10" a="1"/>
  <c r="R9" i="10" a="1"/>
  <c r="R6" i="10" a="1"/>
  <c r="R53" i="10" a="1"/>
  <c r="R14" i="10" a="1"/>
  <c r="R23" i="10" a="1"/>
  <c r="R34" i="10" a="1"/>
  <c r="R51" i="10" a="1"/>
  <c r="R45" i="10" a="1"/>
  <c r="R36" i="10" a="1"/>
  <c r="R32" i="10" a="1"/>
  <c r="R29" i="10" a="1"/>
  <c r="R2" i="10" a="1"/>
  <c r="R31" i="10" a="1"/>
  <c r="R49" i="10" a="1"/>
  <c r="R27" i="10" a="1"/>
  <c r="R56" i="10" a="1"/>
  <c r="R47" i="10" a="1"/>
  <c r="R42" i="10" a="1"/>
  <c r="R5" i="10" a="1"/>
  <c r="R15" i="10" a="1"/>
  <c r="R10" i="10" a="1"/>
  <c r="R30" i="10" a="1"/>
  <c r="R4" i="10" a="1"/>
  <c r="R18" i="10" a="1"/>
  <c r="R8" i="10" a="1"/>
  <c r="R19" i="10" a="1"/>
  <c r="R21" i="10" a="1"/>
  <c r="R20" i="10" a="1"/>
  <c r="R39" i="10" a="1"/>
  <c r="R37" i="10" a="1"/>
  <c r="R54" i="10" a="1"/>
  <c r="R40" i="10" a="1"/>
  <c r="R13" i="10" a="1"/>
  <c r="R25" i="10" a="1"/>
  <c r="R11" i="10" a="1"/>
  <c r="R41" i="10" a="1"/>
  <c r="R12" i="10" a="1"/>
  <c r="R28" i="10" a="1"/>
  <c r="R3" i="10" a="1"/>
  <c r="R43" i="10" a="1"/>
  <c r="R33" i="10" a="1"/>
  <c r="R7" i="10" a="1"/>
  <c r="R36" i="10" l="1"/>
  <c r="R25" i="10"/>
  <c r="R33" i="10"/>
  <c r="R30" i="10"/>
  <c r="R58" i="10"/>
  <c r="R45" i="10"/>
  <c r="R50" i="10"/>
  <c r="R27" i="10"/>
  <c r="R49" i="10"/>
  <c r="R41" i="10"/>
  <c r="R16" i="10"/>
  <c r="R37" i="10"/>
  <c r="R31" i="10"/>
  <c r="R46" i="10"/>
  <c r="R48" i="10"/>
  <c r="R3" i="10"/>
  <c r="R53" i="10"/>
  <c r="R24" i="10"/>
  <c r="R44" i="10"/>
  <c r="R28" i="10"/>
  <c r="R29" i="10"/>
  <c r="R8" i="10"/>
  <c r="R43" i="10"/>
  <c r="R12" i="10"/>
  <c r="R5" i="10"/>
  <c r="R57" i="10"/>
  <c r="R40" i="10"/>
  <c r="R52" i="10"/>
  <c r="R42" i="10"/>
  <c r="R9" i="10"/>
  <c r="R7" i="10"/>
  <c r="R56" i="10"/>
  <c r="R47" i="10"/>
  <c r="R38" i="10"/>
  <c r="R54" i="10"/>
  <c r="R10" i="10"/>
  <c r="R34" i="10"/>
  <c r="R35" i="10"/>
  <c r="R55" i="10"/>
  <c r="R2" i="10"/>
  <c r="R23" i="10"/>
  <c r="R19" i="10"/>
  <c r="R22" i="10"/>
  <c r="R15" i="10"/>
  <c r="R14" i="10"/>
  <c r="R26" i="10"/>
  <c r="R13" i="10"/>
  <c r="R39" i="10"/>
  <c r="R17" i="10"/>
  <c r="R11" i="10"/>
  <c r="R4" i="10"/>
  <c r="R20" i="10"/>
  <c r="R6" i="10"/>
  <c r="R18" i="10"/>
  <c r="R51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5" i="8" a="1"/>
  <c r="NX45" i="8" s="1"/>
  <c r="NX34" i="8" a="1"/>
  <c r="NX34" i="8" s="1"/>
  <c r="NX13" i="8" a="1"/>
  <c r="NX13" i="8" s="1"/>
  <c r="NX48" i="8" a="1"/>
  <c r="NX48" i="8" s="1"/>
  <c r="NX44" i="8" a="1"/>
  <c r="NX44" i="8" s="1"/>
  <c r="NX12" i="8" a="1"/>
  <c r="NX12" i="8" s="1"/>
  <c r="NX56" i="8" a="1"/>
  <c r="NX56" i="8" s="1"/>
  <c r="NX9" i="8" a="1"/>
  <c r="NX9" i="8" s="1"/>
  <c r="NX35" i="8" a="1"/>
  <c r="NX35" i="8" s="1"/>
  <c r="NX32" i="8" a="1"/>
  <c r="NX32" i="8" s="1"/>
  <c r="NX17" i="8" a="1"/>
  <c r="NX17" i="8" s="1"/>
  <c r="NX50" i="8" a="1"/>
  <c r="NX50" i="8" s="1"/>
  <c r="NX54" i="8" a="1"/>
  <c r="NX54" i="8" s="1"/>
  <c r="NX61" i="8" a="1"/>
  <c r="NX61" i="8" s="1"/>
  <c r="NX37" i="8" a="1"/>
  <c r="NX37" i="8" s="1"/>
  <c r="NX26" i="8" a="1"/>
  <c r="NX26" i="8" s="1"/>
  <c r="NX59" i="8" a="1"/>
  <c r="NX59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7" i="8" a="1"/>
  <c r="NX47" i="8" s="1"/>
  <c r="NX33" i="8" a="1"/>
  <c r="NX33" i="8" s="1"/>
  <c r="NX52" i="8" a="1"/>
  <c r="NX52" i="8" s="1"/>
  <c r="NX25" i="8" a="1"/>
  <c r="NX25" i="8" s="1"/>
  <c r="NX53" i="8" a="1"/>
  <c r="NX53" i="8" s="1"/>
  <c r="NX51" i="8" a="1"/>
  <c r="NX51" i="8" s="1"/>
  <c r="NX27" i="8" a="1"/>
  <c r="NX27" i="8" s="1"/>
  <c r="NX41" i="8" a="1"/>
  <c r="NX41" i="8" s="1"/>
  <c r="NX46" i="8" a="1"/>
  <c r="NX46" i="8" s="1"/>
  <c r="NX29" i="8" a="1"/>
  <c r="NX29" i="8" s="1"/>
  <c r="NX15" i="8" a="1"/>
  <c r="NX15" i="8" s="1"/>
  <c r="NX60" i="8" a="1"/>
  <c r="NX60" i="8" s="1"/>
  <c r="NX63" i="8" a="1"/>
  <c r="NX63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2" i="8" a="1"/>
  <c r="NX62" i="8" s="1"/>
  <c r="NX38" i="8" a="1"/>
  <c r="NX38" i="8" s="1"/>
  <c r="NX58" i="8" a="1"/>
  <c r="NX58" i="8" s="1"/>
  <c r="NX22" i="8" a="1"/>
  <c r="NX22" i="8" s="1"/>
  <c r="NX55" i="8" a="1"/>
  <c r="NX55" i="8" s="1"/>
  <c r="NX43" i="8" a="1"/>
  <c r="NX43" i="8" s="1"/>
  <c r="NX49" i="8" a="1"/>
  <c r="NX49" i="8" s="1"/>
  <c r="NX57" i="8" a="1"/>
  <c r="NX57" i="8" s="1"/>
  <c r="NX19" i="8" a="1"/>
  <c r="NX19" i="8" s="1"/>
  <c r="NX16" i="8" a="1"/>
  <c r="NX16" i="8" s="1"/>
  <c r="NX24" i="8" a="1"/>
  <c r="NX24" i="8" s="1"/>
  <c r="NX10" i="8" a="1"/>
  <c r="NX10" i="8" s="1"/>
  <c r="S48" i="10" a="1"/>
  <c r="S25" i="10" a="1"/>
  <c r="S37" i="10" a="1"/>
  <c r="S51" i="10" a="1"/>
  <c r="S47" i="10" a="1"/>
  <c r="S34" i="10" a="1"/>
  <c r="S26" i="10" a="1"/>
  <c r="S19" i="10" a="1"/>
  <c r="S38" i="10" a="1"/>
  <c r="S23" i="10" a="1"/>
  <c r="S15" i="10" a="1"/>
  <c r="S13" i="10" a="1"/>
  <c r="S9" i="10" a="1"/>
  <c r="S10" i="10" a="1"/>
  <c r="S6" i="10" a="1"/>
  <c r="S14" i="10" a="1"/>
  <c r="S33" i="10" a="1"/>
  <c r="S30" i="10" a="1"/>
  <c r="S2" i="10" a="1"/>
  <c r="S36" i="10" a="1"/>
  <c r="S49" i="10" a="1"/>
  <c r="S22" i="10" a="1"/>
  <c r="S11" i="10" a="1"/>
  <c r="S52" i="10" a="1"/>
  <c r="S31" i="10" a="1"/>
  <c r="S55" i="10" a="1"/>
  <c r="S29" i="10" a="1"/>
  <c r="S17" i="10" a="1"/>
  <c r="S7" i="10" a="1"/>
  <c r="S24" i="10" a="1"/>
  <c r="S56" i="10" a="1"/>
  <c r="S45" i="10" a="1"/>
  <c r="S32" i="10" a="1"/>
  <c r="S46" i="10" a="1"/>
  <c r="S40" i="10" a="1"/>
  <c r="S12" i="10" a="1"/>
  <c r="S44" i="10" a="1"/>
  <c r="S3" i="10" a="1"/>
  <c r="S35" i="10" a="1"/>
  <c r="S8" i="10" a="1"/>
  <c r="S42" i="10" a="1"/>
  <c r="S43" i="10" a="1"/>
  <c r="S27" i="10" a="1"/>
  <c r="S5" i="10" a="1"/>
  <c r="S53" i="10" a="1"/>
  <c r="S4" i="10" a="1"/>
  <c r="S28" i="10" a="1"/>
  <c r="S21" i="10" a="1"/>
  <c r="S41" i="10" a="1"/>
  <c r="S54" i="10" a="1"/>
  <c r="S20" i="10" a="1"/>
  <c r="S57" i="10" a="1"/>
  <c r="S50" i="10" a="1"/>
  <c r="S16" i="10" a="1"/>
  <c r="S18" i="10" a="1"/>
  <c r="S39" i="10" a="1"/>
  <c r="S58" i="10" a="1"/>
  <c r="S25" i="10" l="1"/>
  <c r="S15" i="10"/>
  <c r="S49" i="10"/>
  <c r="S10" i="10"/>
  <c r="S50" i="10"/>
  <c r="S39" i="10"/>
  <c r="S22" i="10"/>
  <c r="S35" i="10"/>
  <c r="S14" i="10"/>
  <c r="S40" i="10"/>
  <c r="S58" i="10"/>
  <c r="S55" i="10"/>
  <c r="S26" i="10"/>
  <c r="S54" i="10"/>
  <c r="S12" i="10"/>
  <c r="S33" i="10"/>
  <c r="S56" i="10"/>
  <c r="S8" i="10"/>
  <c r="S16" i="10"/>
  <c r="S3" i="10"/>
  <c r="S46" i="10"/>
  <c r="S27" i="10"/>
  <c r="S32" i="10"/>
  <c r="S11" i="10"/>
  <c r="S36" i="10"/>
  <c r="S9" i="10"/>
  <c r="S5" i="10"/>
  <c r="S31" i="10"/>
  <c r="S17" i="10"/>
  <c r="S13" i="10"/>
  <c r="S2" i="10"/>
  <c r="S23" i="10"/>
  <c r="S53" i="10"/>
  <c r="S43" i="10"/>
  <c r="S20" i="10"/>
  <c r="S45" i="10"/>
  <c r="S48" i="10"/>
  <c r="S29" i="10"/>
  <c r="S47" i="10"/>
  <c r="S30" i="10"/>
  <c r="S18" i="10"/>
  <c r="S19" i="10"/>
  <c r="S6" i="10"/>
  <c r="S34" i="10"/>
  <c r="S57" i="10"/>
  <c r="S42" i="10"/>
  <c r="S4" i="10"/>
  <c r="S37" i="10"/>
  <c r="S52" i="10"/>
  <c r="S38" i="10"/>
  <c r="S41" i="10"/>
  <c r="S28" i="10"/>
  <c r="S24" i="10"/>
  <c r="S51" i="10"/>
  <c r="S21" i="10"/>
  <c r="S44" i="10"/>
  <c r="S7" i="10"/>
  <c r="T15" i="5"/>
  <c r="U15" i="5"/>
  <c r="NY47" i="8" a="1"/>
  <c r="NY47" i="8" s="1"/>
  <c r="NY11" i="8" a="1"/>
  <c r="NY11" i="8" s="1"/>
  <c r="NY30" i="8" a="1"/>
  <c r="NY30" i="8" s="1"/>
  <c r="NY51" i="8" a="1"/>
  <c r="NY51" i="8" s="1"/>
  <c r="NY8" i="8" a="1"/>
  <c r="NY8" i="8" s="1"/>
  <c r="NY34" i="8" a="1"/>
  <c r="NY34" i="8" s="1"/>
  <c r="NY33" i="8" a="1"/>
  <c r="NY33" i="8" s="1"/>
  <c r="NY55" i="8" a="1"/>
  <c r="NY55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0" i="8" a="1"/>
  <c r="NY50" i="8" s="1"/>
  <c r="NY31" i="8" a="1"/>
  <c r="NY31" i="8" s="1"/>
  <c r="NY23" i="8" a="1"/>
  <c r="NY23" i="8" s="1"/>
  <c r="NY40" i="8" a="1"/>
  <c r="NY40" i="8" s="1"/>
  <c r="NY16" i="8" a="1"/>
  <c r="NY16" i="8" s="1"/>
  <c r="NY62" i="8" a="1"/>
  <c r="NY62" i="8" s="1"/>
  <c r="NY46" i="8" a="1"/>
  <c r="NY46" i="8" s="1"/>
  <c r="NY39" i="8" a="1"/>
  <c r="NY39" i="8" s="1"/>
  <c r="NY44" i="8" a="1"/>
  <c r="NY44" i="8" s="1"/>
  <c r="NY25" i="8" a="1"/>
  <c r="NY25" i="8" s="1"/>
  <c r="NY20" i="8" a="1"/>
  <c r="NY20" i="8" s="1"/>
  <c r="NY59" i="8" a="1"/>
  <c r="NY59" i="8" s="1"/>
  <c r="NY17" i="8" a="1"/>
  <c r="NY17" i="8" s="1"/>
  <c r="NY35" i="8" a="1"/>
  <c r="NY35" i="8" s="1"/>
  <c r="NY54" i="8" a="1"/>
  <c r="NY54" i="8" s="1"/>
  <c r="NY32" i="8" a="1"/>
  <c r="NY32" i="8" s="1"/>
  <c r="NY26" i="8" a="1"/>
  <c r="NY26" i="8" s="1"/>
  <c r="NY36" i="8" a="1"/>
  <c r="NY36" i="8" s="1"/>
  <c r="NY52" i="8" a="1"/>
  <c r="NY52" i="8" s="1"/>
  <c r="NY48" i="8" a="1"/>
  <c r="NY48" i="8" s="1"/>
  <c r="NY63" i="8" a="1"/>
  <c r="NY63" i="8" s="1"/>
  <c r="NY15" i="8" a="1"/>
  <c r="NY15" i="8" s="1"/>
  <c r="NY56" i="8" a="1"/>
  <c r="NY56" i="8" s="1"/>
  <c r="NY58" i="8" a="1"/>
  <c r="NY58" i="8" s="1"/>
  <c r="NY61" i="8" a="1"/>
  <c r="NY61" i="8" s="1"/>
  <c r="NY49" i="8" a="1"/>
  <c r="NY49" i="8" s="1"/>
  <c r="NY18" i="8" a="1"/>
  <c r="NY18" i="8" s="1"/>
  <c r="NY57" i="8" a="1"/>
  <c r="NY57" i="8" s="1"/>
  <c r="NY22" i="8" a="1"/>
  <c r="NY22" i="8" s="1"/>
  <c r="NY27" i="8" a="1"/>
  <c r="NY27" i="8" s="1"/>
  <c r="NY38" i="8" a="1"/>
  <c r="NY38" i="8" s="1"/>
  <c r="NY60" i="8" a="1"/>
  <c r="NY60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3" i="8" a="1"/>
  <c r="NY53" i="8" s="1"/>
  <c r="NY43" i="8" a="1"/>
  <c r="NY43" i="8" s="1"/>
  <c r="NY45" i="8" a="1"/>
  <c r="NY45" i="8" s="1"/>
  <c r="NY37" i="8" a="1"/>
  <c r="NY37" i="8" s="1"/>
  <c r="NY9" i="8" a="1"/>
  <c r="NY9" i="8" s="1"/>
  <c r="NY29" i="8" a="1"/>
  <c r="NY29" i="8" s="1"/>
  <c r="T16" i="5"/>
  <c r="U11" i="10" a="1"/>
  <c r="T29" i="10" a="1"/>
  <c r="U32" i="10" a="1"/>
  <c r="U23" i="10" a="1"/>
  <c r="U17" i="10" a="1"/>
  <c r="T5" i="10" a="1"/>
  <c r="U3" i="10" a="1"/>
  <c r="U34" i="10" a="1"/>
  <c r="T24" i="10" a="1"/>
  <c r="T40" i="10" a="1"/>
  <c r="T3" i="10" a="1"/>
  <c r="T50" i="10" a="1"/>
  <c r="U58" i="10" a="1"/>
  <c r="T19" i="10" a="1"/>
  <c r="U24" i="10" a="1"/>
  <c r="U41" i="10" a="1"/>
  <c r="T16" i="10" a="1"/>
  <c r="T55" i="10" a="1"/>
  <c r="U22" i="10" a="1"/>
  <c r="T20" i="10" a="1"/>
  <c r="U19" i="10" a="1"/>
  <c r="T58" i="10" a="1"/>
  <c r="U49" i="10" a="1"/>
  <c r="T21" i="10" a="1"/>
  <c r="U57" i="10" a="1"/>
  <c r="T46" i="10" a="1"/>
  <c r="U5" i="10" a="1"/>
  <c r="T39" i="10" a="1"/>
  <c r="T6" i="10" a="1"/>
  <c r="T53" i="10" a="1"/>
  <c r="U36" i="10" a="1"/>
  <c r="U18" i="10" a="1"/>
  <c r="T31" i="10" a="1"/>
  <c r="T45" i="10" a="1"/>
  <c r="U43" i="10" a="1"/>
  <c r="U51" i="10" a="1"/>
  <c r="U4" i="10" a="1"/>
  <c r="U33" i="10" a="1"/>
  <c r="T7" i="10" a="1"/>
  <c r="T2" i="10" a="1"/>
  <c r="U10" i="10" a="1"/>
  <c r="T23" i="10" a="1"/>
  <c r="U39" i="10" a="1"/>
  <c r="U2" i="10" a="1"/>
  <c r="T43" i="10" a="1"/>
  <c r="U13" i="10" a="1"/>
  <c r="T10" i="10" a="1"/>
  <c r="U16" i="10" a="1"/>
  <c r="T56" i="10" a="1"/>
  <c r="T33" i="10" a="1"/>
  <c r="U15" i="10" a="1"/>
  <c r="U42" i="10" a="1"/>
  <c r="T49" i="10" a="1"/>
  <c r="T44" i="10" a="1"/>
  <c r="U46" i="10" a="1"/>
  <c r="T48" i="10" a="1"/>
  <c r="T11" i="10" a="1"/>
  <c r="T57" i="10" a="1"/>
  <c r="U56" i="10" a="1"/>
  <c r="T36" i="10" a="1"/>
  <c r="T51" i="10" a="1"/>
  <c r="T8" i="10" a="1"/>
  <c r="T30" i="10" a="1"/>
  <c r="T15" i="10" a="1"/>
  <c r="T4" i="10" a="1"/>
  <c r="T17" i="10" a="1"/>
  <c r="U8" i="10" a="1"/>
  <c r="U31" i="10" a="1"/>
  <c r="U52" i="10" a="1"/>
  <c r="T18" i="10" a="1"/>
  <c r="T47" i="10" a="1"/>
  <c r="U28" i="10" a="1"/>
  <c r="U12" i="10" a="1"/>
  <c r="U47" i="10" a="1"/>
  <c r="T9" i="10" a="1"/>
  <c r="T27" i="10" a="1"/>
  <c r="T14" i="10" a="1"/>
  <c r="T42" i="10" a="1"/>
  <c r="U35" i="10" a="1"/>
  <c r="T13" i="10" a="1"/>
  <c r="U14" i="10" a="1"/>
  <c r="U53" i="10" a="1"/>
  <c r="U55" i="10" a="1"/>
  <c r="U50" i="10" a="1"/>
  <c r="T38" i="10" a="1"/>
  <c r="T28" i="10" a="1"/>
  <c r="T52" i="10" a="1"/>
  <c r="U27" i="10" a="1"/>
  <c r="T35" i="10" a="1"/>
  <c r="U48" i="10" a="1"/>
  <c r="U37" i="10" a="1"/>
  <c r="T12" i="10" a="1"/>
  <c r="U40" i="10" a="1"/>
  <c r="T26" i="10" a="1"/>
  <c r="T54" i="10" a="1"/>
  <c r="U25" i="10" a="1"/>
  <c r="U6" i="10" a="1"/>
  <c r="U54" i="10" a="1"/>
  <c r="U7" i="10" a="1"/>
  <c r="T25" i="10" a="1"/>
  <c r="U30" i="10" a="1"/>
  <c r="T32" i="10" a="1"/>
  <c r="U21" i="10" a="1"/>
  <c r="T22" i="10" a="1"/>
  <c r="U9" i="10" a="1"/>
  <c r="T34" i="10" a="1"/>
  <c r="T37" i="10" a="1"/>
  <c r="U29" i="10" a="1"/>
  <c r="U45" i="10" a="1"/>
  <c r="U38" i="10" a="1"/>
  <c r="U26" i="10" a="1"/>
  <c r="U20" i="10" a="1"/>
  <c r="U44" i="10" a="1"/>
  <c r="T41" i="10" a="1"/>
  <c r="U40" i="10" l="1"/>
  <c r="U10" i="10"/>
  <c r="U5" i="10"/>
  <c r="U21" i="10"/>
  <c r="U51" i="10"/>
  <c r="U44" i="10"/>
  <c r="U14" i="10"/>
  <c r="T28" i="10"/>
  <c r="T20" i="10"/>
  <c r="T48" i="10"/>
  <c r="T42" i="10"/>
  <c r="T45" i="10"/>
  <c r="T9" i="10"/>
  <c r="T54" i="10"/>
  <c r="T5" i="10"/>
  <c r="U57" i="10"/>
  <c r="U36" i="10"/>
  <c r="U33" i="10"/>
  <c r="U22" i="10"/>
  <c r="U55" i="10"/>
  <c r="U2" i="10"/>
  <c r="U3" i="10"/>
  <c r="T16" i="10"/>
  <c r="T21" i="10"/>
  <c r="T41" i="10"/>
  <c r="T27" i="10"/>
  <c r="T12" i="10"/>
  <c r="T17" i="10"/>
  <c r="T46" i="10"/>
  <c r="T31" i="10"/>
  <c r="T2" i="10"/>
  <c r="T15" i="10"/>
  <c r="T13" i="10"/>
  <c r="T38" i="10"/>
  <c r="T50" i="10"/>
  <c r="T51" i="10"/>
  <c r="U4" i="10"/>
  <c r="U54" i="10"/>
  <c r="U31" i="10"/>
  <c r="U12" i="10"/>
  <c r="U17" i="10"/>
  <c r="U58" i="10"/>
  <c r="U35" i="10"/>
  <c r="U7" i="10"/>
  <c r="U18" i="10"/>
  <c r="U53" i="10"/>
  <c r="U9" i="10"/>
  <c r="U39" i="10"/>
  <c r="U41" i="10"/>
  <c r="U49" i="10"/>
  <c r="U23" i="10"/>
  <c r="T18" i="10"/>
  <c r="T6" i="10"/>
  <c r="T34" i="10"/>
  <c r="T29" i="10"/>
  <c r="T24" i="10"/>
  <c r="T39" i="10"/>
  <c r="T30" i="10"/>
  <c r="T32" i="10"/>
  <c r="T33" i="10"/>
  <c r="T3" i="10"/>
  <c r="T55" i="10"/>
  <c r="T11" i="10"/>
  <c r="T56" i="10"/>
  <c r="U8" i="10"/>
  <c r="U28" i="10"/>
  <c r="U26" i="10"/>
  <c r="U27" i="10"/>
  <c r="U19" i="10"/>
  <c r="U24" i="10"/>
  <c r="T49" i="10"/>
  <c r="T36" i="10"/>
  <c r="T22" i="10"/>
  <c r="T26" i="10"/>
  <c r="T52" i="10"/>
  <c r="T53" i="10"/>
  <c r="T8" i="10"/>
  <c r="U52" i="10"/>
  <c r="U48" i="10"/>
  <c r="U50" i="10"/>
  <c r="U11" i="10"/>
  <c r="U34" i="10"/>
  <c r="U47" i="10"/>
  <c r="U46" i="10"/>
  <c r="T19" i="10"/>
  <c r="U37" i="10"/>
  <c r="U30" i="10"/>
  <c r="U29" i="10"/>
  <c r="U45" i="10"/>
  <c r="U16" i="10"/>
  <c r="U20" i="10"/>
  <c r="U15" i="10"/>
  <c r="U38" i="10"/>
  <c r="U32" i="10"/>
  <c r="U6" i="10"/>
  <c r="U43" i="10"/>
  <c r="U42" i="10"/>
  <c r="U56" i="10"/>
  <c r="U25" i="10"/>
  <c r="U13" i="10"/>
  <c r="T58" i="10"/>
  <c r="T47" i="10"/>
  <c r="T7" i="10"/>
  <c r="T43" i="10"/>
  <c r="T35" i="10"/>
  <c r="T23" i="10"/>
  <c r="T4" i="10"/>
  <c r="T57" i="10"/>
  <c r="T10" i="10"/>
  <c r="T44" i="10"/>
  <c r="T14" i="10"/>
  <c r="T40" i="10"/>
  <c r="T25" i="10"/>
  <c r="T37" i="10"/>
  <c r="NZ63" i="8" a="1"/>
  <c r="NZ63" i="8" s="1"/>
  <c r="NZ15" i="8" a="1"/>
  <c r="NZ15" i="8" s="1"/>
  <c r="NZ43" i="8" a="1"/>
  <c r="NZ43" i="8" s="1"/>
  <c r="NZ56" i="8" a="1"/>
  <c r="NZ56" i="8" s="1"/>
  <c r="NZ52" i="8" a="1"/>
  <c r="NZ52" i="8" s="1"/>
  <c r="NZ11" i="8" a="1"/>
  <c r="NZ11" i="8" s="1"/>
  <c r="NZ20" i="8" a="1"/>
  <c r="NZ20" i="8" s="1"/>
  <c r="NZ50" i="8" a="1"/>
  <c r="NZ50" i="8" s="1"/>
  <c r="NZ54" i="8" a="1"/>
  <c r="NZ54" i="8" s="1"/>
  <c r="NZ22" i="8" a="1"/>
  <c r="NZ22" i="8" s="1"/>
  <c r="NZ40" i="8" a="1"/>
  <c r="NZ40" i="8" s="1"/>
  <c r="NZ39" i="8" a="1"/>
  <c r="NZ39" i="8" s="1"/>
  <c r="NZ55" i="8" a="1"/>
  <c r="NZ55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1" i="8" a="1"/>
  <c r="NZ61" i="8" s="1"/>
  <c r="NZ53" i="8" a="1"/>
  <c r="NZ53" i="8" s="1"/>
  <c r="NZ58" i="8" a="1"/>
  <c r="NZ58" i="8" s="1"/>
  <c r="NZ38" i="8" a="1"/>
  <c r="NZ38" i="8" s="1"/>
  <c r="NZ28" i="8" a="1"/>
  <c r="NZ28" i="8" s="1"/>
  <c r="NZ45" i="8" a="1"/>
  <c r="NZ45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4" i="8" a="1"/>
  <c r="NZ44" i="8" s="1"/>
  <c r="NZ49" i="8" a="1"/>
  <c r="NZ49" i="8" s="1"/>
  <c r="NZ57" i="8" a="1"/>
  <c r="NZ57" i="8" s="1"/>
  <c r="NZ46" i="8" a="1"/>
  <c r="NZ46" i="8" s="1"/>
  <c r="NZ12" i="8" a="1"/>
  <c r="NZ12" i="8" s="1"/>
  <c r="NZ25" i="8" a="1"/>
  <c r="NZ25" i="8" s="1"/>
  <c r="NZ8" i="8" a="1"/>
  <c r="NZ8" i="8" s="1"/>
  <c r="NZ34" i="8" a="1"/>
  <c r="NZ34" i="8" s="1"/>
  <c r="NZ62" i="8" a="1"/>
  <c r="NZ62" i="8" s="1"/>
  <c r="NZ41" i="8" a="1"/>
  <c r="NZ41" i="8" s="1"/>
  <c r="NZ59" i="8" a="1"/>
  <c r="NZ59" i="8" s="1"/>
  <c r="NZ60" i="8" a="1"/>
  <c r="NZ60" i="8" s="1"/>
  <c r="NZ42" i="8" a="1"/>
  <c r="NZ42" i="8" s="1"/>
  <c r="NZ47" i="8" a="1"/>
  <c r="NZ47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8" i="8" a="1"/>
  <c r="NZ48" i="8" s="1"/>
  <c r="NZ36" i="8" a="1"/>
  <c r="NZ36" i="8" s="1"/>
  <c r="NZ26" i="8" a="1"/>
  <c r="NZ26" i="8" s="1"/>
  <c r="NZ51" i="8" a="1"/>
  <c r="NZ51" i="8" s="1"/>
  <c r="OA63" i="8" a="1"/>
  <c r="OA63" i="8" s="1"/>
  <c r="OA42" i="8" a="1"/>
  <c r="OA42" i="8" s="1"/>
  <c r="OA17" i="8" a="1"/>
  <c r="OA17" i="8" s="1"/>
  <c r="OA31" i="8" a="1"/>
  <c r="OA31" i="8" s="1"/>
  <c r="OA52" i="8" a="1"/>
  <c r="OA52" i="8" s="1"/>
  <c r="OA53" i="8" a="1"/>
  <c r="OA53" i="8" s="1"/>
  <c r="OA29" i="8" a="1"/>
  <c r="OA29" i="8" s="1"/>
  <c r="OA20" i="8" a="1"/>
  <c r="OA20" i="8" s="1"/>
  <c r="OA55" i="8" a="1"/>
  <c r="OA55" i="8" s="1"/>
  <c r="OA36" i="8" a="1"/>
  <c r="OA36" i="8" s="1"/>
  <c r="OA50" i="8" a="1"/>
  <c r="OA50" i="8" s="1"/>
  <c r="OA22" i="8" a="1"/>
  <c r="OA22" i="8" s="1"/>
  <c r="OA51" i="8" a="1"/>
  <c r="OA51" i="8" s="1"/>
  <c r="OA44" i="8" a="1"/>
  <c r="OA44" i="8" s="1"/>
  <c r="OA57" i="8" a="1"/>
  <c r="OA57" i="8" s="1"/>
  <c r="OA13" i="8" a="1"/>
  <c r="OA13" i="8" s="1"/>
  <c r="OA10" i="8" a="1"/>
  <c r="OA10" i="8" s="1"/>
  <c r="OA27" i="8" a="1"/>
  <c r="OA27" i="8" s="1"/>
  <c r="OA48" i="8" a="1"/>
  <c r="OA48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0" i="8" a="1"/>
  <c r="OA60" i="8" s="1"/>
  <c r="OA45" i="8" a="1"/>
  <c r="OA45" i="8" s="1"/>
  <c r="OA18" i="8" a="1"/>
  <c r="OA18" i="8" s="1"/>
  <c r="OA40" i="8" a="1"/>
  <c r="OA40" i="8" s="1"/>
  <c r="OA59" i="8" a="1"/>
  <c r="OA59" i="8" s="1"/>
  <c r="OA11" i="8" a="1"/>
  <c r="OA11" i="8" s="1"/>
  <c r="OA43" i="8" a="1"/>
  <c r="OA43" i="8" s="1"/>
  <c r="OA47" i="8" a="1"/>
  <c r="OA47" i="8" s="1"/>
  <c r="OA28" i="8" a="1"/>
  <c r="OA28" i="8" s="1"/>
  <c r="OA58" i="8" a="1"/>
  <c r="OA58" i="8" s="1"/>
  <c r="OA62" i="8" a="1"/>
  <c r="OA62" i="8" s="1"/>
  <c r="OA21" i="8" a="1"/>
  <c r="OA21" i="8" s="1"/>
  <c r="OA49" i="8" a="1"/>
  <c r="OA49" i="8" s="1"/>
  <c r="OA54" i="8" a="1"/>
  <c r="OA54" i="8" s="1"/>
  <c r="OA39" i="8" a="1"/>
  <c r="OA39" i="8" s="1"/>
  <c r="OA61" i="8" a="1"/>
  <c r="OA61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6" i="8" a="1"/>
  <c r="OA56" i="8" s="1"/>
  <c r="OA46" i="8" a="1"/>
  <c r="OA46" i="8" s="1"/>
  <c r="U14" i="11" l="1"/>
  <c r="U12" i="11"/>
</calcChain>
</file>

<file path=xl/sharedStrings.xml><?xml version="1.0" encoding="utf-8"?>
<sst xmlns="http://schemas.openxmlformats.org/spreadsheetml/2006/main" count="3415" uniqueCount="182">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</sst>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5"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135</xdr:col>
      <xdr:colOff>177053</xdr:colOff>
      <xdr:row>2</xdr:row>
      <xdr:rowOff>152401</xdr:rowOff>
    </xdr:from>
    <xdr:to>
      <xdr:col>145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August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145</xdr:col>
      <xdr:colOff>7937</xdr:colOff>
      <xdr:row>2</xdr:row>
      <xdr:rowOff>100013</xdr:rowOff>
    </xdr:from>
    <xdr:to>
      <xdr:col>146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134</xdr:col>
      <xdr:colOff>157162</xdr:colOff>
      <xdr:row>2</xdr:row>
      <xdr:rowOff>100013</xdr:rowOff>
    </xdr:from>
    <xdr:to>
      <xdr:col>136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Folomechine" refreshedDate="43298.931014236114" createdVersion="6" refreshedVersion="6" minRefreshableVersion="3" recordCount="57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33.600000000000009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4400000000000004"/>
    <n v="1.6000000000000003"/>
    <n v="0.80000000000000016"/>
    <n v="6.4000000000000012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4000000000000004"/>
    <n v="3.6"/>
    <n v="4"/>
    <n v="3.6"/>
    <n v="4"/>
    <n v="2"/>
    <n v="21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29.100000000000005"/>
  </r>
  <r>
    <s v="Fabio Gallo"/>
    <x v="0"/>
    <s v="Canada"/>
    <s v="Dev"/>
    <x v="2"/>
    <n v="0.5"/>
    <n v="2"/>
    <n v="4"/>
    <n v="3"/>
    <n v="2.6"/>
    <n v="3.6"/>
    <n v="3.2"/>
    <n v="3.6"/>
    <n v="2"/>
    <n v="3"/>
    <n v="3.6"/>
    <n v="4"/>
    <n v="3.6"/>
    <n v="4"/>
    <n v="2"/>
    <n v="20.6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28.500000000000004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1.0400000000000003"/>
    <n v="1.4400000000000004"/>
    <n v="1.6000000000000003"/>
    <n v="1.4400000000000004"/>
    <n v="1.6000000000000003"/>
    <n v="0.80000000000000016"/>
    <n v="7.9200000000000017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1000000000000005"/>
    <n v="5.4"/>
    <n v="6.0000000000000009"/>
    <n v="5.4"/>
    <n v="6.0000000000000009"/>
    <n v="3.0000000000000004"/>
    <n v="31.500000000000004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1000000000000005"/>
    <n v="5.4"/>
    <n v="4.8000000000000007"/>
    <n v="3.6000000000000005"/>
    <n v="6.0000000000000009"/>
    <n v="3.0000000000000004"/>
    <n v="28.500000000000004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1000000000000005"/>
    <n v="3.3000000000000007"/>
    <n v="3.0000000000000004"/>
    <n v="5.4"/>
    <n v="6.0000000000000009"/>
    <n v="3.0000000000000004"/>
    <n v="26.400000000000006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1000000000000005"/>
    <n v="1.2000000000000002"/>
    <n v="6.0000000000000009"/>
    <n v="5.4"/>
    <n v="6.0000000000000009"/>
    <n v="3.0000000000000004"/>
    <n v="27.300000000000004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1000000000000005"/>
    <n v="5.4"/>
    <n v="6.0000000000000009"/>
    <n v="5.4"/>
    <n v="6.0000000000000009"/>
    <n v="3.0000000000000004"/>
    <n v="31.500000000000004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1.08"/>
    <n v="1.2"/>
    <n v="1.08"/>
    <n v="1.2"/>
    <n v="0.6"/>
    <n v="6.3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1000000000000005"/>
    <n v="5.4"/>
    <n v="6.0000000000000009"/>
    <n v="5.4"/>
    <n v="6.0000000000000009"/>
    <n v="3.0000000000000004"/>
    <n v="30.900000000000006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3000000000000007"/>
    <n v="5.4"/>
    <n v="6.0000000000000009"/>
    <n v="5.4"/>
    <n v="6.0000000000000009"/>
    <n v="3.0000000000000004"/>
    <n v="29.100000000000005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5.1000000000000005"/>
    <n v="5.4"/>
    <n v="6.0000000000000009"/>
    <n v="5.4"/>
    <n v="6.0000000000000009"/>
    <n v="3.0000000000000004"/>
    <n v="31.500000000000004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1000000000000005"/>
    <n v="0"/>
    <n v="0"/>
    <n v="0"/>
    <n v="0"/>
    <n v="1.2000000000000002"/>
    <n v="6.9000000000000012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3.4000000000000004"/>
    <n v="3.6"/>
    <n v="4"/>
    <n v="3.6"/>
    <n v="4"/>
    <n v="2"/>
    <n v="21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9000000000000004"/>
    <n v="3.6000000000000005"/>
    <n v="6.0000000000000009"/>
    <n v="5.4"/>
    <n v="6.0000000000000009"/>
    <n v="3.0000000000000004"/>
    <n v="28.500000000000004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1000000000000005"/>
    <n v="5.4"/>
    <n v="6.0000000000000009"/>
    <n v="5.4"/>
    <n v="6.0000000000000009"/>
    <n v="3.0000000000000004"/>
    <n v="31.500000000000004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5000000000000009"/>
    <n v="5.4"/>
    <n v="6.0000000000000009"/>
    <n v="5.4"/>
    <n v="6.0000000000000009"/>
    <n v="3.0000000000000004"/>
    <n v="30.900000000000006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5500000000000003"/>
    <n v="2.7"/>
    <n v="3.0000000000000004"/>
    <n v="2.7"/>
    <n v="3.0000000000000004"/>
    <n v="1.5000000000000002"/>
    <n v="15.750000000000002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5500000000000003"/>
    <n v="2.7"/>
    <n v="3.0000000000000004"/>
    <n v="2.7"/>
    <n v="3.0000000000000004"/>
    <n v="1.5000000000000002"/>
    <n v="15.750000000000002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1000000000000005"/>
    <n v="5.4"/>
    <n v="6.0000000000000009"/>
    <n v="5.4"/>
    <n v="6.0000000000000009"/>
    <n v="3.0000000000000004"/>
    <n v="31.500000000000004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5.1000000000000005"/>
    <n v="1.8000000000000003"/>
    <n v="4.2000000000000011"/>
    <n v="5.4"/>
    <n v="6.0000000000000009"/>
    <n v="3.0000000000000004"/>
    <n v="26.100000000000005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7200000000000006"/>
    <n v="2.8800000000000008"/>
    <n v="2.5600000000000005"/>
    <n v="0"/>
    <n v="0"/>
    <n v="0"/>
    <n v="8.4800000000000022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7200000000000006"/>
    <n v="2.8800000000000008"/>
    <n v="3.2000000000000006"/>
    <n v="2.8800000000000008"/>
    <n v="3.2000000000000006"/>
    <n v="1.6000000000000003"/>
    <n v="16.800000000000004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6000000000000003"/>
    <n v="1.4400000000000004"/>
    <n v="1.6000000000000003"/>
    <n v="0.80000000000000016"/>
    <n v="8.240000000000002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26.8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26.400000000000006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22.08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27.600000000000005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22.08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22.08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27.000000000000004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3.600000000000009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32.400000000000006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3.600000000000009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27.000000000000004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28.200000000000003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28.200000000000003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3.600000000000009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5.52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3.600000000000009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33.6000000000000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HolidayList" displayName="HolidayList" ref="A1:B2" totalsRowShown="0" headerRowDxfId="57" headerRowBorderDxfId="56" tableBorderDxfId="55" totalsRowBorderDxfId="54">
  <autoFilter ref="A1:B2">
    <filterColumn colId="0" hiddenButton="1"/>
    <filterColumn colId="1" hiddenButton="1"/>
  </autoFilter>
  <tableColumns count="2">
    <tableColumn id="1" name="Holiday" dataDxfId="53"/>
    <tableColumn id="2" name="Date" dataDxfId="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E1:G2" headerRowCount="0" totalsRowShown="0" headerRowDxfId="51" tableBorderDxfId="50" totalsRowBorderDxfId="49">
  <tableColumns count="3">
    <tableColumn id="1" name="Column1" dataDxfId="48"/>
    <tableColumn id="2" name="Column2" dataDxfId="47"/>
    <tableColumn id="3" name="Column3" dataDxfId="46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anadaHolidays" displayName="CanadaHolidays" ref="A5:B14" totalsRowShown="0" headerRowDxfId="45" dataDxfId="43" headerRowBorderDxfId="44" tableBorderDxfId="42" totalsRowBorderDxfId="41">
  <autoFilter ref="A5:B14">
    <filterColumn colId="0" hiddenButton="1"/>
    <filterColumn colId="1" hiddenButton="1"/>
  </autoFilter>
  <tableColumns count="2">
    <tableColumn id="1" name="Canada Holiday" dataDxfId="40"/>
    <tableColumn id="2" name="Date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BelarusHolidays" displayName="BelarusHolidays" ref="A17:B26" totalsRowShown="0" headerRowDxfId="38" dataDxfId="36" headerRowBorderDxfId="37" tableBorderDxfId="35" totalsRowBorderDxfId="34">
  <autoFilter ref="A17:B26">
    <filterColumn colId="0" hiddenButton="1"/>
    <filterColumn colId="1" hiddenButton="1"/>
  </autoFilter>
  <tableColumns count="2">
    <tableColumn id="1" name="Belarus Holiday" dataDxfId="33"/>
    <tableColumn id="2" name="Date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dTeam" displayName="RdTeam" ref="A1:U58" totalsRowShown="0">
  <tableColumns count="21">
    <tableColumn id="1" name="Name"/>
    <tableColumn id="2" name="Team"/>
    <tableColumn id="3" name="Location"/>
    <tableColumn id="4" name="Role"/>
    <tableColumn id="11" name="Specialization"/>
    <tableColumn id="5" name="Utilization" dataDxfId="31"/>
    <tableColumn id="6" name="Q1" dataDxfId="30">
      <calculatedColumnFormula array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name="Q2" dataDxfId="29">
      <calculatedColumnFormula array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name="Q3" dataDxfId="28">
      <calculatedColumnFormula array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name="Q4" dataDxfId="27">
      <calculatedColumnFormula array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name="Q5" dataDxfId="26">
      <calculatedColumnFormula array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name="Q6" dataDxfId="25">
      <calculatedColumnFormula array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name="Q7" dataDxfId="24">
      <calculatedColumnFormula array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name="Q8" dataDxfId="23">
      <calculatedColumnFormula array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name="Q9" dataDxfId="22">
      <calculatedColumnFormula array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name="Q10" dataDxfId="21">
      <calculatedColumnFormula array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name="Q11" dataDxfId="20">
      <calculatedColumnFormula array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name="Q12" dataDxfId="19">
      <calculatedColumnFormula array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name="Q13" dataDxfId="18">
      <calculatedColumnFormula array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name="Q14" dataDxfId="17">
      <calculatedColumnFormula array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name="Remaining" dataDxfId="16">
      <calculatedColumnFormula array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12" name="Table12" displayName="Table12" ref="R2:AF8">
  <autoFilter ref="R2:AF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Team" totalsRowLabel="Total"/>
    <tableColumn id="2" name="Q1" totalsRowFunction="sum"/>
    <tableColumn id="3" name="Q2"/>
    <tableColumn id="4" name="Q3"/>
    <tableColumn id="5" name="Q4"/>
    <tableColumn id="6" name="Q5"/>
    <tableColumn id="7" name="Q6" dataDxfId="14">
      <calculatedColumnFormula>G2</calculatedColumnFormula>
    </tableColumn>
    <tableColumn id="8" name="Q7" dataDxfId="13">
      <calculatedColumnFormula>H2</calculatedColumnFormula>
    </tableColumn>
    <tableColumn id="9" name="Q9" dataDxfId="12">
      <calculatedColumnFormula>I2</calculatedColumnFormula>
    </tableColumn>
    <tableColumn id="10" name="Q10" dataDxfId="11">
      <calculatedColumnFormula>J2</calculatedColumnFormula>
    </tableColumn>
    <tableColumn id="11" name="Q11" dataDxfId="10">
      <calculatedColumnFormula>K2</calculatedColumnFormula>
    </tableColumn>
    <tableColumn id="12" name="Q12" dataDxfId="9">
      <calculatedColumnFormula>L2</calculatedColumnFormula>
    </tableColumn>
    <tableColumn id="13" name="Q13" dataDxfId="8">
      <calculatedColumnFormula>M2</calculatedColumnFormula>
    </tableColumn>
    <tableColumn id="14" name="Q14" dataDxfId="7">
      <calculatedColumnFormula>N2</calculatedColumnFormula>
    </tableColumn>
    <tableColumn id="15" name="Quasar" totalsRowFunction="count" dataDxfId="6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6" name="Teams" displayName="Teams" ref="I1:I6" totalsRowShown="0">
  <autoFilter ref="I1:I6">
    <filterColumn colId="0" hiddenButton="1"/>
  </autoFilter>
  <tableColumns count="1">
    <tableColumn id="1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7" name="Table7" displayName="Table7" ref="K1:K3" totalsRowShown="0">
  <autoFilter ref="K1:K3">
    <filterColumn colId="0" hiddenButton="1"/>
  </autoFilter>
  <tableColumns count="1">
    <tableColumn id="1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8" name="Table8" displayName="Table8" ref="M1:M11" totalsRowShown="0">
  <autoFilter ref="M1:M11">
    <filterColumn colId="0" hiddenButton="1"/>
  </autoFilter>
  <tableColumns count="1">
    <tableColumn id="1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id="9" name="Table9" displayName="Table9" ref="O1:O6" totalsRowShown="0">
  <autoFilter ref="O1:O6">
    <filterColumn colId="0" hiddenButton="1"/>
  </autoFilter>
  <tableColumns count="1">
    <tableColumn id="1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id="11" name="Sprints" displayName="Sprints" ref="Q1:U16" totalsRowShown="0">
  <autoFilter ref="Q1:U1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ev Sprint"/>
    <tableColumn id="2" name="Start Date" dataDxfId="5"/>
    <tableColumn id="3" name="End Date" dataDxfId="4"/>
    <tableColumn id="4" name="Days (with 31 Days per Month)" dataDxfId="3">
      <calculatedColumnFormula>DATEDIF(R2,S2,"d") + 1 + (DATEDIF(DATE(YEAR(R2),MONTH(R2),1),DATE(YEAR(S2),MONTH(S2),1),"m")*31 - DATEDIF(DATE(YEAR(R2),MONTH(R2),1),DATE(YEAR(S2),MONTH(S2),1),"d"))</calculatedColumnFormula>
    </tableColumn>
    <tableColumn id="5" name="Month Shift" dataDxfId="2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id="10" name="Table10" displayName="Table10" ref="W1:W2" totalsRowShown="0" dataDxfId="1">
  <autoFilter ref="W1:W2">
    <filterColumn colId="0" hiddenButton="1"/>
  </autoFilter>
  <tableColumns count="1">
    <tableColumn id="1" name="Capacity Buffer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veTracker"/>
  <dimension ref="A1:ACM65"/>
  <sheetViews>
    <sheetView showGridLines="0" showWhiteSpace="0" zoomScale="60" zoomScaleNormal="60" zoomScaleSheetLayoutView="100" workbookViewId="0">
      <pane xSplit="1" ySplit="7" topLeftCell="AG8" activePane="bottomRight" state="frozen"/>
      <selection pane="topRight" activeCell="B1" sqref="B1"/>
      <selection pane="bottomLeft" activeCell="A8" sqref="A8"/>
      <selection pane="bottomRight" activeCell="DJ39" sqref="DJ39"/>
    </sheetView>
  </sheetViews>
  <sheetFormatPr defaultColWidth="8.796875" defaultRowHeight="14.25" x14ac:dyDescent="0.45"/>
  <cols>
    <col min="1" max="1" width="19.59765625" customWidth="1"/>
    <col min="2" max="125" width="3.59765625" hidden="1" customWidth="1"/>
    <col min="126" max="156" width="3.59765625" customWidth="1"/>
    <col min="157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1</v>
      </c>
      <c r="DW4" s="15" t="b">
        <f>IFERROR(IF(AND(VLOOKUP(DW6,$OC$17:$OD$23,2,0)="Yes",NOT(ISNUMBER(VLOOKUP(DATE($A$2,$A$3+$A$1-1,DW5),HolidayList[Date],1,0)))),TRUE,FALSE),FALSE)</f>
        <v>1</v>
      </c>
      <c r="DX4" s="15" t="b">
        <f>IFERROR(IF(AND(VLOOKUP(DX6,$OC$17:$OD$23,2,0)="Yes",NOT(ISNUMBER(VLOOKUP(DATE($A$2,$A$3+$A$1-1,DX5),HolidayList[Date],1,0)))),TRUE,FALSE),FALSE)</f>
        <v>1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1</v>
      </c>
      <c r="EB4" s="15" t="b">
        <f>IFERROR(IF(AND(VLOOKUP(EB6,$OC$17:$OD$23,2,0)="Yes",NOT(ISNUMBER(VLOOKUP(DATE($A$2,$A$3+$A$1-1,EB5),HolidayList[Date],1,0)))),TRUE,FALSE),FALSE)</f>
        <v>1</v>
      </c>
      <c r="EC4" s="15" t="b">
        <f>IFERROR(IF(AND(VLOOKUP(EC6,$OC$17:$OD$23,2,0)="Yes",NOT(ISNUMBER(VLOOKUP(DATE($A$2,$A$3+$A$1-1,EC5),HolidayList[Date],1,0)))),TRUE,FALSE),FALSE)</f>
        <v>1</v>
      </c>
      <c r="ED4" s="15" t="b">
        <f>IFERROR(IF(AND(VLOOKUP(ED6,$OC$17:$OD$23,2,0)="Yes",NOT(ISNUMBER(VLOOKUP(DATE($A$2,$A$3+$A$1-1,ED5),HolidayList[Date],1,0)))),TRUE,FALSE),FALSE)</f>
        <v>1</v>
      </c>
      <c r="EE4" s="15" t="b">
        <f>IFERROR(IF(AND(VLOOKUP(EE6,$OC$17:$OD$23,2,0)="Yes",NOT(ISNUMBER(VLOOKUP(DATE($A$2,$A$3+$A$1-1,EE5),HolidayList[Date],1,0)))),TRUE,FALSE),FALSE)</f>
        <v>1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1</v>
      </c>
      <c r="EI4" s="15" t="b">
        <f>IFERROR(IF(AND(VLOOKUP(EI6,$OC$17:$OD$23,2,0)="Yes",NOT(ISNUMBER(VLOOKUP(DATE($A$2,$A$3+$A$1-1,EI5),HolidayList[Date],1,0)))),TRUE,FALSE),FALSE)</f>
        <v>1</v>
      </c>
      <c r="EJ4" s="15" t="b">
        <f>IFERROR(IF(AND(VLOOKUP(EJ6,$OC$17:$OD$23,2,0)="Yes",NOT(ISNUMBER(VLOOKUP(DATE($A$2,$A$3+$A$1-1,EJ5),HolidayList[Date],1,0)))),TRUE,FALSE),FALSE)</f>
        <v>1</v>
      </c>
      <c r="EK4" s="15" t="b">
        <f>IFERROR(IF(AND(VLOOKUP(EK6,$OC$17:$OD$23,2,0)="Yes",NOT(ISNUMBER(VLOOKUP(DATE($A$2,$A$3+$A$1-1,EK5),HolidayList[Date],1,0)))),TRUE,FALSE),FALSE)</f>
        <v>1</v>
      </c>
      <c r="EL4" s="15" t="b">
        <f>IFERROR(IF(AND(VLOOKUP(EL6,$OC$17:$OD$23,2,0)="Yes",NOT(ISNUMBER(VLOOKUP(DATE($A$2,$A$3+$A$1-1,EL5),HolidayList[Date],1,0)))),TRUE,FALSE),FALSE)</f>
        <v>1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1</v>
      </c>
      <c r="EP4" s="15" t="b">
        <f>IFERROR(IF(AND(VLOOKUP(EP6,$OC$17:$OD$23,2,0)="Yes",NOT(ISNUMBER(VLOOKUP(DATE($A$2,$A$3+$A$1-1,EP5),HolidayList[Date],1,0)))),TRUE,FALSE),FALSE)</f>
        <v>1</v>
      </c>
      <c r="EQ4" s="15" t="b">
        <f>IFERROR(IF(AND(VLOOKUP(EQ6,$OC$17:$OD$23,2,0)="Yes",NOT(ISNUMBER(VLOOKUP(DATE($A$2,$A$3+$A$1-1,EQ5),HolidayList[Date],1,0)))),TRUE,FALSE),FALSE)</f>
        <v>1</v>
      </c>
      <c r="ER4" s="15" t="b">
        <f>IFERROR(IF(AND(VLOOKUP(ER6,$OC$17:$OD$23,2,0)="Yes",NOT(ISNUMBER(VLOOKUP(DATE($A$2,$A$3+$A$1-1,ER5),HolidayList[Date],1,0)))),TRUE,FALSE),FALSE)</f>
        <v>1</v>
      </c>
      <c r="ES4" s="15" t="b">
        <f>IFERROR(IF(AND(VLOOKUP(ES6,$OC$17:$OD$23,2,0)="Yes",NOT(ISNUMBER(VLOOKUP(DATE($A$2,$A$3+$A$1-1,ES5),HolidayList[Date],1,0)))),TRUE,FALSE),FALSE)</f>
        <v>1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1</v>
      </c>
      <c r="EW4" s="15" t="b">
        <f>IFERROR(IF(AND(VLOOKUP(EW6,$OC$17:$OD$23,2,0)="Yes",NOT(ISNUMBER(VLOOKUP(DATE($A$2,$A$3+$A$1-1,EW5),HolidayList[Date],1,0)))),TRUE,FALSE),FALSE)</f>
        <v>1</v>
      </c>
      <c r="EX4" s="15" t="b">
        <f>IFERROR(IF(AND(VLOOKUP(EX6,$OC$17:$OD$23,2,0)="Yes",NOT(ISNUMBER(VLOOKUP(DATE($A$2,$A$3+$A$1-1,EX5),HolidayList[Date],1,0)))),TRUE,FALSE),FALSE)</f>
        <v>1</v>
      </c>
      <c r="EY4" s="15" t="b">
        <f>IFERROR(IF(AND(VLOOKUP(EY6,$OC$17:$OD$23,2,0)="Yes",NOT(ISNUMBER(VLOOKUP(DATE($A$2,$A$3+$A$1-1,EY5),HolidayList[Date],1,0)))),TRUE,FALSE),FALSE)</f>
        <v>1</v>
      </c>
      <c r="EZ4" s="15" t="b">
        <f>IFERROR(IF(AND(VLOOKUP(EZ6,$OC$17:$OD$23,2,0)="Yes",NOT(ISNUMBER(VLOOKUP(DATE($A$2,$A$3+$A$1-1,EZ5),HolidayList[Date],1,0)))),TRUE,FALSE),FALSE)</f>
        <v>1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>
        <f t="shared" si="1"/>
        <v>1</v>
      </c>
      <c r="DW5" s="7">
        <f t="shared" si="1"/>
        <v>2</v>
      </c>
      <c r="DX5" s="7">
        <f t="shared" si="1"/>
        <v>3</v>
      </c>
      <c r="DY5" s="7">
        <f t="shared" si="1"/>
        <v>4</v>
      </c>
      <c r="DZ5" s="7">
        <f t="shared" si="1"/>
        <v>5</v>
      </c>
      <c r="EA5" s="7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7">
        <f t="shared" si="2"/>
        <v>7</v>
      </c>
      <c r="EC5" s="7">
        <f t="shared" si="2"/>
        <v>8</v>
      </c>
      <c r="ED5" s="7">
        <f t="shared" si="2"/>
        <v>9</v>
      </c>
      <c r="EE5" s="7">
        <f t="shared" si="2"/>
        <v>10</v>
      </c>
      <c r="EF5" s="7">
        <f t="shared" si="2"/>
        <v>11</v>
      </c>
      <c r="EG5" s="7">
        <f t="shared" si="2"/>
        <v>12</v>
      </c>
      <c r="EH5" s="7">
        <f t="shared" si="2"/>
        <v>13</v>
      </c>
      <c r="EI5" s="7">
        <f t="shared" si="2"/>
        <v>14</v>
      </c>
      <c r="EJ5" s="7">
        <f t="shared" si="2"/>
        <v>15</v>
      </c>
      <c r="EK5" s="7">
        <f t="shared" si="2"/>
        <v>16</v>
      </c>
      <c r="EL5" s="7">
        <f t="shared" si="2"/>
        <v>17</v>
      </c>
      <c r="EM5" s="7">
        <f t="shared" si="2"/>
        <v>18</v>
      </c>
      <c r="EN5" s="7">
        <f t="shared" si="2"/>
        <v>19</v>
      </c>
      <c r="EO5" s="7">
        <f t="shared" si="2"/>
        <v>20</v>
      </c>
      <c r="EP5" s="7">
        <f t="shared" si="2"/>
        <v>21</v>
      </c>
      <c r="EQ5" s="7">
        <f t="shared" si="2"/>
        <v>22</v>
      </c>
      <c r="ER5" s="7">
        <f t="shared" si="2"/>
        <v>23</v>
      </c>
      <c r="ES5" s="7">
        <f t="shared" si="2"/>
        <v>24</v>
      </c>
      <c r="ET5" s="7">
        <f t="shared" si="2"/>
        <v>25</v>
      </c>
      <c r="EU5" s="7">
        <f t="shared" si="2"/>
        <v>26</v>
      </c>
      <c r="EV5" s="7">
        <f t="shared" si="2"/>
        <v>27</v>
      </c>
      <c r="EW5" s="7">
        <f t="shared" si="2"/>
        <v>28</v>
      </c>
      <c r="EX5" s="7">
        <f t="shared" si="2"/>
        <v>29</v>
      </c>
      <c r="EY5" s="7">
        <f t="shared" si="2"/>
        <v>30</v>
      </c>
      <c r="EZ5" s="7">
        <f t="shared" si="2"/>
        <v>31</v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Wed</v>
      </c>
      <c r="DW6" s="8" t="str">
        <f>IF(DW$5="","",VLOOKUP(WEEKDAY(DATE($A$2,$A$3+$A$1-1,DW5),2),Sheet3!$D$1:$E$7,2,0))</f>
        <v>Thu</v>
      </c>
      <c r="DX6" s="8" t="str">
        <f>IF(DX$5="","",VLOOKUP(WEEKDAY(DATE($A$2,$A$3+$A$1-1,DX5),2),Sheet3!$D$1:$E$7,2,0))</f>
        <v>Fri</v>
      </c>
      <c r="DY6" s="8" t="str">
        <f>IF(DY$5="","",VLOOKUP(WEEKDAY(DATE($A$2,$A$3+$A$1-1,DY5),2),Sheet3!$D$1:$E$7,2,0))</f>
        <v>Sat</v>
      </c>
      <c r="DZ6" s="8" t="str">
        <f>IF(DZ$5="","",VLOOKUP(WEEKDAY(DATE($A$2,$A$3+$A$1-1,DZ5),2),Sheet3!$D$1:$E$7,2,0))</f>
        <v>Sun</v>
      </c>
      <c r="EA6" s="8" t="str">
        <f>IF(EA$5="","",VLOOKUP(WEEKDAY(DATE($A$2,$A$3+$A$1-1,EA5),2),Sheet3!$D$1:$E$7,2,0))</f>
        <v>Mon</v>
      </c>
      <c r="EB6" s="8" t="str">
        <f>IF(EB$5="","",VLOOKUP(WEEKDAY(DATE($A$2,$A$3+$A$1-1,EB5),2),Sheet3!$D$1:$E$7,2,0))</f>
        <v>Tue</v>
      </c>
      <c r="EC6" s="8" t="str">
        <f>IF(EC$5="","",VLOOKUP(WEEKDAY(DATE($A$2,$A$3+$A$1-1,EC5),2),Sheet3!$D$1:$E$7,2,0))</f>
        <v>Wed</v>
      </c>
      <c r="ED6" s="8" t="str">
        <f>IF(ED$5="","",VLOOKUP(WEEKDAY(DATE($A$2,$A$3+$A$1-1,ED5),2),Sheet3!$D$1:$E$7,2,0))</f>
        <v>Thu</v>
      </c>
      <c r="EE6" s="8" t="str">
        <f>IF(EE$5="","",VLOOKUP(WEEKDAY(DATE($A$2,$A$3+$A$1-1,EE5),2),Sheet3!$D$1:$E$7,2,0))</f>
        <v>Fri</v>
      </c>
      <c r="EF6" s="8" t="str">
        <f>IF(EF$5="","",VLOOKUP(WEEKDAY(DATE($A$2,$A$3+$A$1-1,EF5),2),Sheet3!$D$1:$E$7,2,0))</f>
        <v>Sat</v>
      </c>
      <c r="EG6" s="8" t="str">
        <f>IF(EG$5="","",VLOOKUP(WEEKDAY(DATE($A$2,$A$3+$A$1-1,EG5),2),Sheet3!$D$1:$E$7,2,0))</f>
        <v>Sun</v>
      </c>
      <c r="EH6" s="8" t="str">
        <f>IF(EH$5="","",VLOOKUP(WEEKDAY(DATE($A$2,$A$3+$A$1-1,EH5),2),Sheet3!$D$1:$E$7,2,0))</f>
        <v>Mon</v>
      </c>
      <c r="EI6" s="8" t="str">
        <f>IF(EI$5="","",VLOOKUP(WEEKDAY(DATE($A$2,$A$3+$A$1-1,EI5),2),Sheet3!$D$1:$E$7,2,0))</f>
        <v>Tue</v>
      </c>
      <c r="EJ6" s="8" t="str">
        <f>IF(EJ$5="","",VLOOKUP(WEEKDAY(DATE($A$2,$A$3+$A$1-1,EJ5),2),Sheet3!$D$1:$E$7,2,0))</f>
        <v>Wed</v>
      </c>
      <c r="EK6" s="8" t="str">
        <f>IF(EK$5="","",VLOOKUP(WEEKDAY(DATE($A$2,$A$3+$A$1-1,EK5),2),Sheet3!$D$1:$E$7,2,0))</f>
        <v>Thu</v>
      </c>
      <c r="EL6" s="8" t="str">
        <f>IF(EL$5="","",VLOOKUP(WEEKDAY(DATE($A$2,$A$3+$A$1-1,EL5),2),Sheet3!$D$1:$E$7,2,0))</f>
        <v>Fri</v>
      </c>
      <c r="EM6" s="8" t="str">
        <f>IF(EM$5="","",VLOOKUP(WEEKDAY(DATE($A$2,$A$3+$A$1-1,EM5),2),Sheet3!$D$1:$E$7,2,0))</f>
        <v>Sat</v>
      </c>
      <c r="EN6" s="8" t="str">
        <f>IF(EN$5="","",VLOOKUP(WEEKDAY(DATE($A$2,$A$3+$A$1-1,EN5),2),Sheet3!$D$1:$E$7,2,0))</f>
        <v>Sun</v>
      </c>
      <c r="EO6" s="8" t="str">
        <f>IF(EO$5="","",VLOOKUP(WEEKDAY(DATE($A$2,$A$3+$A$1-1,EO5),2),Sheet3!$D$1:$E$7,2,0))</f>
        <v>Mon</v>
      </c>
      <c r="EP6" s="8" t="str">
        <f>IF(EP$5="","",VLOOKUP(WEEKDAY(DATE($A$2,$A$3+$A$1-1,EP5),2),Sheet3!$D$1:$E$7,2,0))</f>
        <v>Tue</v>
      </c>
      <c r="EQ6" s="8" t="str">
        <f>IF(EQ$5="","",VLOOKUP(WEEKDAY(DATE($A$2,$A$3+$A$1-1,EQ5),2),Sheet3!$D$1:$E$7,2,0))</f>
        <v>Wed</v>
      </c>
      <c r="ER6" s="8" t="str">
        <f>IF(ER$5="","",VLOOKUP(WEEKDAY(DATE($A$2,$A$3+$A$1-1,ER5),2),Sheet3!$D$1:$E$7,2,0))</f>
        <v>Thu</v>
      </c>
      <c r="ES6" s="8" t="str">
        <f>IF(ES$5="","",VLOOKUP(WEEKDAY(DATE($A$2,$A$3+$A$1-1,ES5),2),Sheet3!$D$1:$E$7,2,0))</f>
        <v>Fri</v>
      </c>
      <c r="ET6" s="8" t="str">
        <f>IF(ET$5="","",VLOOKUP(WEEKDAY(DATE($A$2,$A$3+$A$1-1,ET5),2),Sheet3!$D$1:$E$7,2,0))</f>
        <v>Sat</v>
      </c>
      <c r="EU6" s="8" t="str">
        <f>IF(EU$5="","",VLOOKUP(WEEKDAY(DATE($A$2,$A$3+$A$1-1,EU5),2),Sheet3!$D$1:$E$7,2,0))</f>
        <v>Sun</v>
      </c>
      <c r="EV6" s="8" t="str">
        <f>IF(EV$5="","",VLOOKUP(WEEKDAY(DATE($A$2,$A$3+$A$1-1,EV5),2),Sheet3!$D$1:$E$7,2,0))</f>
        <v>Mon</v>
      </c>
      <c r="EW6" s="8" t="str">
        <f>IF(EW$5="","",VLOOKUP(WEEKDAY(DATE($A$2,$A$3+$A$1-1,EW5),2),Sheet3!$D$1:$E$7,2,0))</f>
        <v>Tue</v>
      </c>
      <c r="EX6" s="8" t="str">
        <f>IF(EX$5="","",VLOOKUP(WEEKDAY(DATE($A$2,$A$3+$A$1-1,EX5),2),Sheet3!$D$1:$E$7,2,0))</f>
        <v>Wed</v>
      </c>
      <c r="EY6" s="8" t="str">
        <f>IF(EY$5="","",VLOOKUP(WEEKDAY(DATE($A$2,$A$3+$A$1-1,EY5),2),Sheet3!$D$1:$E$7,2,0))</f>
        <v>Thu</v>
      </c>
      <c r="EZ6" s="8" t="str">
        <f>IF(EZ$5="","",VLOOKUP(WEEKDAY(DATE($A$2,$A$3+$A$1-1,EZ5),2),Sheet3!$D$1:$E$7,2,0))</f>
        <v>Fri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/>
      <c r="DW8" s="2" t="s">
        <v>33</v>
      </c>
      <c r="DX8" s="2" t="s">
        <v>33</v>
      </c>
      <c r="DY8" s="2"/>
      <c r="DZ8" s="2"/>
      <c r="EA8" s="2" t="s">
        <v>35</v>
      </c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3</v>
      </c>
      <c r="NK8" s="20">
        <f t="array" aca="1" ref="NK8" ca="1">SUMPRODUCT((OFFSET($A8,0,1,1,372)&lt;&gt;"")*(IF(OFFSET($A8,0,1,1,372)=$OD$12,0.5,1)*(OFFSET($A$3,0,1,1,372))))</f>
        <v>24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19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5.5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4</v>
      </c>
      <c r="NK9" s="20">
        <f t="array" aca="1" ref="NK9" ca="1">SUMPRODUCT((OFFSET($A9,0,1,1,372)&lt;&gt;"")*(IF(OFFSET($A9,0,1,1,372)=$OD$12,0.5,1)*(OFFSET($A$3,0,1,1,372))))</f>
        <v>34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27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16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23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33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1</v>
      </c>
      <c r="NK11" s="20">
        <f t="array" aca="1" ref="NK11" ca="1">SUMPRODUCT((OFFSET($A11,0,1,1,372)&lt;&gt;"")*(IF(OFFSET($A11,0,1,1,372)=$OD$12,0.5,1)*(OFFSET($A$3,0,1,1,372))))</f>
        <v>23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17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7.5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33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1</v>
      </c>
      <c r="NK13" s="20">
        <f t="array" aca="1" ref="NK13" ca="1">SUMPRODUCT((OFFSET($A13,0,1,1,372)&lt;&gt;"")*(IF(OFFSET($A13,0,1,1,372)=$OD$12,0.5,1)*(OFFSET($A$3,0,1,1,372))))</f>
        <v>20.5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14.5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2.5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4.5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6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23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30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25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6.5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23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33</v>
      </c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 t="s">
        <v>35</v>
      </c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1</v>
      </c>
      <c r="NK18" s="20">
        <f t="array" aca="1" ref="NK18" ca="1">SUMPRODUCT((OFFSET($A18,0,1,1,372)&lt;&gt;"")*(IF(OFFSET($A18,0,1,1,372)=$OD$12,0.5,1)*(OFFSET($A$3,0,1,1,372))))</f>
        <v>23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18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33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6</v>
      </c>
      <c r="NK19" s="20">
        <f t="array" aca="1" ref="NK19" ca="1">SUMPRODUCT((OFFSET($A19,0,1,1,372)&lt;&gt;"")*(IF(OFFSET($A19,0,1,1,372)=$OD$12,0.5,1)*(OFFSET($A$3,0,1,1,372))))</f>
        <v>26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33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9.5</v>
      </c>
      <c r="NK20" s="20">
        <f t="array" aca="1" ref="NK20" ca="1">SUMPRODUCT((OFFSET($A20,0,1,1,372)&lt;&gt;"")*(IF(OFFSET($A20,0,1,1,372)=$OD$12,0.5,1)*(OFFSET($A$3,0,1,1,372))))</f>
        <v>25.5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20.5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33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8</v>
      </c>
      <c r="NK21" s="20">
        <f t="array" aca="1" ref="NK21" ca="1">SUMPRODUCT((OFFSET($A21,0,1,1,372)&lt;&gt;"")*(IF(OFFSET($A21,0,1,1,372)=$OD$12,0.5,1)*(OFFSET($A$3,0,1,1,372))))</f>
        <v>25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20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10.5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23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33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10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1</v>
      </c>
      <c r="NK24" s="20">
        <f t="array" aca="1" ref="NK24" ca="1">SUMPRODUCT((OFFSET($A24,0,1,1,372)&lt;&gt;"")*(IF(OFFSET($A24,0,1,1,372)=$OD$12,0.5,1)*(OFFSET($A$3,0,1,1,372))))</f>
        <v>14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9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33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26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21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4.5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33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29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24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7.5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33</v>
      </c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1</v>
      </c>
      <c r="NK27" s="20">
        <f t="array" aca="1" ref="NK27" ca="1">SUMPRODUCT((OFFSET($A27,0,1,1,372)&lt;&gt;"")*(IF(OFFSET($A27,0,1,1,372)=$OD$12,0.5,1)*(OFFSET($A$3,0,1,1,372))))</f>
        <v>16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10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33</v>
      </c>
      <c r="DO28" s="2"/>
      <c r="DP28" s="2"/>
      <c r="DQ28" s="2"/>
      <c r="DR28" s="2"/>
      <c r="DS28" s="2"/>
      <c r="DT28" s="2"/>
      <c r="DU28" s="2"/>
      <c r="DV28" s="2" t="s">
        <v>49</v>
      </c>
      <c r="DW28" s="2" t="s">
        <v>49</v>
      </c>
      <c r="DX28" s="2" t="s">
        <v>49</v>
      </c>
      <c r="DY28" s="2"/>
      <c r="DZ28" s="2"/>
      <c r="EA28" s="2" t="s">
        <v>35</v>
      </c>
      <c r="EB28" s="2" t="s">
        <v>49</v>
      </c>
      <c r="EC28" s="2" t="s">
        <v>49</v>
      </c>
      <c r="ED28" s="2" t="s">
        <v>49</v>
      </c>
      <c r="EE28" s="2" t="s">
        <v>49</v>
      </c>
      <c r="EF28" s="2"/>
      <c r="EG28" s="2"/>
      <c r="EH28" s="2" t="s">
        <v>49</v>
      </c>
      <c r="EI28" s="2" t="s">
        <v>49</v>
      </c>
      <c r="EJ28" s="2" t="s">
        <v>49</v>
      </c>
      <c r="EK28" s="2" t="s">
        <v>49</v>
      </c>
      <c r="EL28" s="2" t="s">
        <v>49</v>
      </c>
      <c r="EM28" s="2"/>
      <c r="EN28" s="2"/>
      <c r="EO28" s="2" t="s">
        <v>49</v>
      </c>
      <c r="EP28" s="2" t="s">
        <v>49</v>
      </c>
      <c r="EQ28" s="2" t="s">
        <v>49</v>
      </c>
      <c r="ER28" s="2" t="s">
        <v>49</v>
      </c>
      <c r="ES28" s="2" t="s">
        <v>49</v>
      </c>
      <c r="ET28" s="2"/>
      <c r="EU28" s="2"/>
      <c r="EV28" s="2" t="s">
        <v>49</v>
      </c>
      <c r="EW28" s="2" t="s">
        <v>49</v>
      </c>
      <c r="EX28" s="2" t="s">
        <v>49</v>
      </c>
      <c r="EY28" s="2" t="s">
        <v>49</v>
      </c>
      <c r="EZ28" s="2" t="s">
        <v>49</v>
      </c>
      <c r="FA28" s="2"/>
      <c r="FB28" s="2"/>
      <c r="FC28" s="2" t="s">
        <v>35</v>
      </c>
      <c r="FD28" s="2" t="s">
        <v>49</v>
      </c>
      <c r="FE28" s="2" t="s">
        <v>49</v>
      </c>
      <c r="FF28" s="2" t="s">
        <v>49</v>
      </c>
      <c r="FG28" s="2" t="s">
        <v>49</v>
      </c>
      <c r="FH28" s="2"/>
      <c r="FI28" s="2"/>
      <c r="FJ28" s="2" t="s">
        <v>49</v>
      </c>
      <c r="FK28" s="2" t="s">
        <v>49</v>
      </c>
      <c r="FL28" s="2" t="s">
        <v>49</v>
      </c>
      <c r="FM28" s="2" t="s">
        <v>49</v>
      </c>
      <c r="FN28" s="2" t="s">
        <v>49</v>
      </c>
      <c r="FO28" s="2"/>
      <c r="FP28" s="2"/>
      <c r="FQ28" s="2" t="s">
        <v>49</v>
      </c>
      <c r="FR28" s="2" t="s">
        <v>49</v>
      </c>
      <c r="FS28" s="2" t="s">
        <v>49</v>
      </c>
      <c r="FT28" s="2" t="s">
        <v>49</v>
      </c>
      <c r="FU28" s="2" t="s">
        <v>49</v>
      </c>
      <c r="FV28" s="2"/>
      <c r="FW28" s="2"/>
      <c r="FX28" s="2" t="s">
        <v>49</v>
      </c>
      <c r="FY28" s="2" t="s">
        <v>49</v>
      </c>
      <c r="FZ28" s="2" t="s">
        <v>49</v>
      </c>
      <c r="GA28" s="2" t="s">
        <v>49</v>
      </c>
      <c r="GB28" s="2" t="s">
        <v>49</v>
      </c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23</v>
      </c>
      <c r="NK28" s="20">
        <f t="array" aca="1" ref="NK28" ca="1">SUMPRODUCT((OFFSET($A28,0,1,1,372)&lt;&gt;"")*(IF(OFFSET($A28,0,1,1,372)=$OD$12,0.5,1)*(OFFSET($A$3,0,1,1,372))))</f>
        <v>57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52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3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44.5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23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23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23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23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1</v>
      </c>
      <c r="NK33" s="20">
        <f t="array" aca="1" ref="NK33" ca="1">SUMPRODUCT((OFFSET($A33,0,1,1,372)&lt;&gt;"")*(IF(OFFSET($A33,0,1,1,372)=$OD$12,0.5,1)*(OFFSET($A$3,0,1,1,372))))</f>
        <v>25.5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20.5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/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</v>
      </c>
      <c r="NK34" s="20">
        <f t="array" aca="1" ref="NK34" ca="1">SUMPRODUCT((OFFSET($A34,0,1,1,372)&lt;&gt;"")*(IF(OFFSET($A34,0,1,1,372)=$OD$12,0.5,1)*(OFFSET($A$3,0,1,1,372))))</f>
        <v>19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8.5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33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 t="s">
        <v>35</v>
      </c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1</v>
      </c>
      <c r="NK35" s="20">
        <f t="array" aca="1" ref="NK35" ca="1">SUMPRODUCT((OFFSET($A35,0,1,1,372)&lt;&gt;"")*(IF(OFFSET($A35,0,1,1,372)=$OD$12,0.5,1)*(OFFSET($A$3,0,1,1,372))))</f>
        <v>30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23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23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23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33</v>
      </c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 t="s">
        <v>35</v>
      </c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1</v>
      </c>
      <c r="NK38" s="20">
        <f t="array" aca="1" ref="NK38" ca="1">SUMPRODUCT((OFFSET($A38,0,1,1,372)&lt;&gt;"")*(IF(OFFSET($A38,0,1,1,372)=$OD$12,0.5,1)*(OFFSET($A$3,0,1,1,372))))</f>
        <v>17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11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2.5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4.5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33</v>
      </c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1</v>
      </c>
      <c r="NK39" s="20">
        <f t="array" aca="1" ref="NK39" ca="1">SUMPRODUCT((OFFSET($A39,0,1,1,372)&lt;&gt;"")*(IF(OFFSET($A39,0,1,1,372)=$OD$12,0.5,1)*(OFFSET($A$3,0,1,1,372))))</f>
        <v>22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33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1</v>
      </c>
      <c r="NK40" s="20">
        <f t="array" aca="1" ref="NK40" ca="1">SUMPRODUCT((OFFSET($A40,0,1,1,372)&lt;&gt;"")*(IF(OFFSET($A40,0,1,1,372)=$OD$12,0.5,1)*(OFFSET($A$3,0,1,1,372))))</f>
        <v>18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13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33</v>
      </c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10</v>
      </c>
      <c r="NK41" s="20">
        <f t="array" aca="1" ref="NK41" ca="1">SUMPRODUCT((OFFSET($A41,0,1,1,372)&lt;&gt;"")*(IF(OFFSET($A41,0,1,1,372)=$OD$12,0.5,1)*(OFFSET($A$3,0,1,1,372))))</f>
        <v>28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18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12.5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33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6</v>
      </c>
      <c r="NK42" s="73">
        <f t="array" aca="1" ref="NK42" ca="1">SUMPRODUCT((OFFSET($A42,0,1,1,372)&lt;&gt;"")*(IF(OFFSET($A42,0,1,1,372)=$OD$12,0.5,1)*(OFFSET($A$3,0,1,1,372))))</f>
        <v>87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59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29.5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33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/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1</v>
      </c>
      <c r="NK43" s="73">
        <f t="array" aca="1" ref="NK43" ca="1">SUMPRODUCT((OFFSET($A43,0,1,1,372)&lt;&gt;"")*(IF(OFFSET($A43,0,1,1,372)=$OD$12,0.5,1)*(OFFSET($A$3,0,1,1,372))))</f>
        <v>41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3.5</v>
      </c>
    </row>
    <row r="44" spans="1:391" ht="14.65" thickBot="1" x14ac:dyDescent="0.5">
      <c r="A44" s="41" t="s">
        <v>93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2" t="s">
        <v>33</v>
      </c>
      <c r="AX44" s="2" t="s">
        <v>33</v>
      </c>
      <c r="AY44" s="37"/>
      <c r="AZ44" s="37"/>
      <c r="BA44" s="2" t="s">
        <v>35</v>
      </c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 t="s">
        <v>31</v>
      </c>
      <c r="CD44" s="37"/>
      <c r="CE44" s="37" t="s">
        <v>33</v>
      </c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2" t="s">
        <v>35</v>
      </c>
      <c r="CS44" s="37"/>
      <c r="CT44" s="37"/>
      <c r="CU44" s="37"/>
      <c r="CV44" s="37"/>
      <c r="CW44" s="37"/>
      <c r="CX44" s="37"/>
      <c r="CY44" s="37"/>
      <c r="CZ44" s="37"/>
      <c r="DA44" s="37"/>
      <c r="DB44" s="37" t="s">
        <v>31</v>
      </c>
      <c r="DC44" s="37"/>
      <c r="DD44" s="37"/>
      <c r="DE44" s="37"/>
      <c r="DF44" s="37" t="s">
        <v>33</v>
      </c>
      <c r="DG44" s="37" t="s">
        <v>33</v>
      </c>
      <c r="DH44" s="37"/>
      <c r="DI44" s="37"/>
      <c r="DJ44" s="37"/>
      <c r="DK44" s="37"/>
      <c r="DL44" s="37"/>
      <c r="DM44" s="37" t="s">
        <v>31</v>
      </c>
      <c r="DN44" s="37" t="s">
        <v>33</v>
      </c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2" t="s">
        <v>35</v>
      </c>
      <c r="EB44" s="37"/>
      <c r="EC44" s="37"/>
      <c r="ED44" s="37"/>
      <c r="EE44" s="37"/>
      <c r="EF44" s="37"/>
      <c r="EG44" s="37"/>
      <c r="EH44" s="2"/>
      <c r="EI44" s="2"/>
      <c r="EJ44" s="2"/>
      <c r="EK44" s="2"/>
      <c r="EL44" s="2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2" t="s">
        <v>35</v>
      </c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2" t="s">
        <v>35</v>
      </c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2" t="s">
        <v>35</v>
      </c>
      <c r="JO44" s="2" t="s">
        <v>35</v>
      </c>
      <c r="JP44" s="37"/>
      <c r="JQ44" s="37"/>
      <c r="JR44" s="37"/>
      <c r="JS44" s="37"/>
      <c r="JT44" s="37"/>
      <c r="JU44" s="2" t="s">
        <v>35</v>
      </c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2" t="s">
        <v>35</v>
      </c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59">
        <f t="array" aca="1" ref="NJ44" ca="1">SUMPRODUCT((OFFSET($A44,0,31*($A$3-1)+1,1,31)&lt;&gt;"")*(IF(OFFSET($A44,0,31*($A$3-1)+1,1,31)=$OD$12,0.5,1)*(OFFSET($A$4,0,31*($A$3-1)+1,1,31))))</f>
        <v>1</v>
      </c>
      <c r="NK44" s="55">
        <f t="array" aca="1" ref="NK44" ca="1">SUMPRODUCT((OFFSET($A44,0,1,1,372)&lt;&gt;"")*(IF(OFFSET($A44,0,1,1,372)=$OD$12,0.5,1)*(OFFSET($A$3,0,1,1,372))))</f>
        <v>16.5</v>
      </c>
      <c r="NL44" s="43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11.5</v>
      </c>
      <c r="NM44" s="53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0</v>
      </c>
      <c r="NN44" s="53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0</v>
      </c>
      <c r="NO44" s="53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0</v>
      </c>
      <c r="NP44" s="53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4" s="53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4" s="53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4" s="53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4" s="53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4" s="53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4" s="53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4" s="53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3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4" s="53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3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4.5</v>
      </c>
    </row>
    <row r="45" spans="1:391" ht="14.65" thickTop="1" x14ac:dyDescent="0.45">
      <c r="A45" s="46" t="s">
        <v>94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 t="s">
        <v>35</v>
      </c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 t="s">
        <v>35</v>
      </c>
      <c r="AH45" s="36"/>
      <c r="AI45" s="36"/>
      <c r="AJ45" s="36"/>
      <c r="AK45" s="36"/>
      <c r="AL45" s="36"/>
      <c r="AM45" s="36" t="s">
        <v>33</v>
      </c>
      <c r="AN45" s="36" t="s">
        <v>33</v>
      </c>
      <c r="AO45" s="36" t="s">
        <v>35</v>
      </c>
      <c r="AP45" s="36" t="s">
        <v>33</v>
      </c>
      <c r="AQ45" s="36" t="s">
        <v>33</v>
      </c>
      <c r="AR45" s="36"/>
      <c r="AS45" s="36"/>
      <c r="AT45" s="36" t="s">
        <v>33</v>
      </c>
      <c r="AU45" s="36" t="s">
        <v>33</v>
      </c>
      <c r="AV45" s="36" t="s">
        <v>33</v>
      </c>
      <c r="AW45" s="36" t="s">
        <v>33</v>
      </c>
      <c r="AX45" s="36" t="s">
        <v>33</v>
      </c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2" t="s">
        <v>35</v>
      </c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2" t="s">
        <v>35</v>
      </c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2" t="s">
        <v>35</v>
      </c>
      <c r="JO45" s="36"/>
      <c r="JP45" s="36"/>
      <c r="JQ45" s="36"/>
      <c r="JR45" s="36"/>
      <c r="JS45" s="36"/>
      <c r="JT45" s="36"/>
      <c r="JU45" s="2" t="s">
        <v>35</v>
      </c>
      <c r="JV45" s="36"/>
      <c r="JW45" s="36"/>
      <c r="JX45" s="36"/>
      <c r="JY45" s="36"/>
      <c r="JZ45" s="36"/>
      <c r="KA45" s="2" t="s">
        <v>35</v>
      </c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2" t="s">
        <v>35</v>
      </c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58">
        <f t="array" aca="1" ref="NJ45" ca="1">SUMPRODUCT((OFFSET($A45,0,31*($A$3-1)+1,1,31)&lt;&gt;"")*(IF(OFFSET($A45,0,31*($A$3-1)+1,1,31)=$OD$12,0.5,1)*(OFFSET($A$4,0,31*($A$3-1)+1,1,31))))</f>
        <v>0</v>
      </c>
      <c r="NK45" s="56">
        <f t="array" aca="1" ref="NK45" ca="1">SUMPRODUCT((OFFSET($A45,0,1,1,372)&lt;&gt;"")*(IF(OFFSET($A45,0,1,1,372)=$OD$12,0.5,1)*(OFFSET($A$3,0,1,1,372))))</f>
        <v>18</v>
      </c>
      <c r="NL45" s="42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13</v>
      </c>
      <c r="NM45" s="54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1</v>
      </c>
      <c r="NN45" s="54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1</v>
      </c>
      <c r="NO45" s="54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4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4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4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5" s="54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4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5" s="54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5" s="54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5" s="54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5" s="54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5" s="54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4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6" spans="1:391" x14ac:dyDescent="0.45">
      <c r="A46" s="44" t="s">
        <v>95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 t="s">
        <v>35</v>
      </c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 t="s">
        <v>35</v>
      </c>
      <c r="AH46" s="2"/>
      <c r="AI46" s="2"/>
      <c r="AJ46" s="2"/>
      <c r="AK46" s="2"/>
      <c r="AL46" s="2"/>
      <c r="AM46" s="2"/>
      <c r="AN46" s="2"/>
      <c r="AO46" s="36" t="s">
        <v>35</v>
      </c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 t="s">
        <v>33</v>
      </c>
      <c r="BB46" s="2" t="s">
        <v>33</v>
      </c>
      <c r="BC46" s="2" t="s">
        <v>33</v>
      </c>
      <c r="BD46" s="2" t="s">
        <v>33</v>
      </c>
      <c r="BE46" s="2" t="s">
        <v>33</v>
      </c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 t="s">
        <v>49</v>
      </c>
      <c r="BY46" s="2" t="s">
        <v>49</v>
      </c>
      <c r="BZ46" s="2" t="s">
        <v>49</v>
      </c>
      <c r="CA46" s="2"/>
      <c r="CB46" s="2"/>
      <c r="CC46" s="2" t="s">
        <v>49</v>
      </c>
      <c r="CD46" s="2" t="s">
        <v>49</v>
      </c>
      <c r="CE46" s="2" t="s">
        <v>49</v>
      </c>
      <c r="CF46" s="2" t="s">
        <v>49</v>
      </c>
      <c r="CG46" s="2" t="s">
        <v>49</v>
      </c>
      <c r="CH46" s="2"/>
      <c r="CI46" s="2"/>
      <c r="CJ46" s="2" t="s">
        <v>49</v>
      </c>
      <c r="CK46" s="2" t="s">
        <v>49</v>
      </c>
      <c r="CL46" s="2" t="s">
        <v>49</v>
      </c>
      <c r="CM46" s="2" t="s">
        <v>49</v>
      </c>
      <c r="CN46" s="2" t="s">
        <v>49</v>
      </c>
      <c r="CO46" s="2"/>
      <c r="CP46" s="2"/>
      <c r="CQ46" s="2"/>
      <c r="CR46" s="2" t="s">
        <v>49</v>
      </c>
      <c r="CS46" s="2" t="s">
        <v>35</v>
      </c>
      <c r="CT46" s="2" t="s">
        <v>49</v>
      </c>
      <c r="CU46" s="2" t="s">
        <v>49</v>
      </c>
      <c r="CV46" s="2" t="s">
        <v>49</v>
      </c>
      <c r="CW46" s="2"/>
      <c r="CX46" s="2"/>
      <c r="CY46" s="2" t="s">
        <v>49</v>
      </c>
      <c r="CZ46" s="2" t="s">
        <v>49</v>
      </c>
      <c r="DA46" s="2" t="s">
        <v>49</v>
      </c>
      <c r="DB46" s="2" t="s">
        <v>49</v>
      </c>
      <c r="DC46" s="2" t="s">
        <v>49</v>
      </c>
      <c r="DD46" s="2"/>
      <c r="DE46" s="2"/>
      <c r="DF46" s="2" t="s">
        <v>49</v>
      </c>
      <c r="DG46" s="2" t="s">
        <v>49</v>
      </c>
      <c r="DH46" s="2" t="s">
        <v>49</v>
      </c>
      <c r="DI46" s="2" t="s">
        <v>49</v>
      </c>
      <c r="DJ46" s="2" t="s">
        <v>49</v>
      </c>
      <c r="DK46" s="2"/>
      <c r="DL46" s="2"/>
      <c r="DM46" s="2" t="s">
        <v>49</v>
      </c>
      <c r="DN46" s="2" t="s">
        <v>49</v>
      </c>
      <c r="DO46" s="2" t="s">
        <v>49</v>
      </c>
      <c r="DP46" s="2" t="s">
        <v>49</v>
      </c>
      <c r="DQ46" s="2" t="s">
        <v>49</v>
      </c>
      <c r="DR46" s="2"/>
      <c r="DS46" s="2"/>
      <c r="DT46" s="2" t="s">
        <v>49</v>
      </c>
      <c r="DU46" s="2" t="s">
        <v>49</v>
      </c>
      <c r="DV46" s="2" t="s">
        <v>49</v>
      </c>
      <c r="DW46" s="2" t="s">
        <v>49</v>
      </c>
      <c r="DX46" s="2" t="s">
        <v>49</v>
      </c>
      <c r="DY46" s="2"/>
      <c r="DZ46" s="2"/>
      <c r="EA46" s="2" t="s">
        <v>49</v>
      </c>
      <c r="EB46" s="2" t="s">
        <v>49</v>
      </c>
      <c r="EC46" s="2" t="s">
        <v>49</v>
      </c>
      <c r="ED46" s="2" t="s">
        <v>49</v>
      </c>
      <c r="EE46" s="2" t="s">
        <v>49</v>
      </c>
      <c r="EF46" s="2"/>
      <c r="EG46" s="2"/>
      <c r="EH46" s="2" t="s">
        <v>49</v>
      </c>
      <c r="EI46" s="2" t="s">
        <v>49</v>
      </c>
      <c r="EJ46" s="2" t="s">
        <v>49</v>
      </c>
      <c r="EK46" s="2" t="s">
        <v>49</v>
      </c>
      <c r="EL46" s="2" t="s">
        <v>49</v>
      </c>
      <c r="EM46" s="2"/>
      <c r="EN46" s="2"/>
      <c r="EO46" s="2" t="s">
        <v>49</v>
      </c>
      <c r="EP46" s="2" t="s">
        <v>49</v>
      </c>
      <c r="EQ46" s="2" t="s">
        <v>49</v>
      </c>
      <c r="ER46" s="2" t="s">
        <v>49</v>
      </c>
      <c r="ES46" s="2" t="s">
        <v>49</v>
      </c>
      <c r="ET46" s="2"/>
      <c r="EU46" s="2"/>
      <c r="EV46" s="2" t="s">
        <v>49</v>
      </c>
      <c r="EW46" s="2" t="s">
        <v>49</v>
      </c>
      <c r="EX46" s="2" t="s">
        <v>49</v>
      </c>
      <c r="EY46" s="2" t="s">
        <v>49</v>
      </c>
      <c r="EZ46" s="2" t="s">
        <v>49</v>
      </c>
      <c r="FA46" s="2"/>
      <c r="FB46" s="2"/>
      <c r="FC46" s="2" t="s">
        <v>49</v>
      </c>
      <c r="FD46" s="2" t="s">
        <v>49</v>
      </c>
      <c r="FE46" s="2" t="s">
        <v>49</v>
      </c>
      <c r="FF46" s="2" t="s">
        <v>49</v>
      </c>
      <c r="FG46" s="2" t="s">
        <v>49</v>
      </c>
      <c r="FH46" s="2"/>
      <c r="FI46" s="2"/>
      <c r="FJ46" s="2" t="s">
        <v>49</v>
      </c>
      <c r="FK46" s="2" t="s">
        <v>49</v>
      </c>
      <c r="FL46" s="2" t="s">
        <v>49</v>
      </c>
      <c r="FM46" s="2" t="s">
        <v>49</v>
      </c>
      <c r="FN46" s="2" t="s">
        <v>49</v>
      </c>
      <c r="FO46" s="2"/>
      <c r="FP46" s="2"/>
      <c r="FQ46" s="2" t="s">
        <v>49</v>
      </c>
      <c r="FR46" s="2" t="s">
        <v>49</v>
      </c>
      <c r="FS46" s="2" t="s">
        <v>49</v>
      </c>
      <c r="FT46" s="2" t="s">
        <v>49</v>
      </c>
      <c r="FU46" s="2" t="s">
        <v>49</v>
      </c>
      <c r="FV46" s="2"/>
      <c r="FW46" s="2"/>
      <c r="FX46" s="2" t="s">
        <v>49</v>
      </c>
      <c r="FY46" s="2" t="s">
        <v>49</v>
      </c>
      <c r="FZ46" s="2" t="s">
        <v>49</v>
      </c>
      <c r="GA46" s="2" t="s">
        <v>49</v>
      </c>
      <c r="GB46" s="2" t="s">
        <v>49</v>
      </c>
      <c r="GC46" s="2"/>
      <c r="GD46" s="2"/>
      <c r="GE46" s="2"/>
      <c r="GF46" s="2" t="s">
        <v>49</v>
      </c>
      <c r="GG46" s="2" t="s">
        <v>49</v>
      </c>
      <c r="GH46" s="2" t="s">
        <v>49</v>
      </c>
      <c r="GI46" s="2" t="s">
        <v>49</v>
      </c>
      <c r="GJ46" s="2" t="s">
        <v>49</v>
      </c>
      <c r="GK46" s="2"/>
      <c r="GL46" s="2"/>
      <c r="GM46" s="2" t="s">
        <v>49</v>
      </c>
      <c r="GN46" s="2" t="s">
        <v>49</v>
      </c>
      <c r="GO46" s="2" t="s">
        <v>49</v>
      </c>
      <c r="GP46" s="2" t="s">
        <v>49</v>
      </c>
      <c r="GQ46" s="2" t="s">
        <v>49</v>
      </c>
      <c r="GR46" s="2"/>
      <c r="GS46" s="2"/>
      <c r="GT46" s="2" t="s">
        <v>49</v>
      </c>
      <c r="GU46" s="2" t="s">
        <v>49</v>
      </c>
      <c r="GV46" s="2" t="s">
        <v>49</v>
      </c>
      <c r="GW46" s="2" t="s">
        <v>49</v>
      </c>
      <c r="GX46" s="2" t="s">
        <v>49</v>
      </c>
      <c r="GY46" s="2"/>
      <c r="GZ46" s="2"/>
      <c r="HA46" s="2" t="s">
        <v>49</v>
      </c>
      <c r="HB46" s="2" t="s">
        <v>49</v>
      </c>
      <c r="HC46" s="2" t="s">
        <v>49</v>
      </c>
      <c r="HD46" s="2" t="s">
        <v>49</v>
      </c>
      <c r="HE46" s="2" t="s">
        <v>49</v>
      </c>
      <c r="HF46" s="2"/>
      <c r="HG46" s="2"/>
      <c r="HH46" s="2" t="s">
        <v>49</v>
      </c>
      <c r="HI46" s="2" t="s">
        <v>49</v>
      </c>
      <c r="HJ46" s="2" t="s">
        <v>49</v>
      </c>
      <c r="HK46" s="2"/>
      <c r="HL46" s="2"/>
      <c r="HM46" s="2"/>
      <c r="HN46" s="2"/>
      <c r="HO46" s="2"/>
      <c r="HP46" s="2"/>
      <c r="HQ46" s="2" t="s">
        <v>35</v>
      </c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 t="s">
        <v>35</v>
      </c>
      <c r="JO46" s="2"/>
      <c r="JP46" s="2"/>
      <c r="JQ46" s="2"/>
      <c r="JR46" s="2"/>
      <c r="JS46" s="2"/>
      <c r="JT46" s="2"/>
      <c r="JU46" s="2" t="s">
        <v>35</v>
      </c>
      <c r="JV46" s="2"/>
      <c r="JW46" s="2"/>
      <c r="JX46" s="2"/>
      <c r="JY46" s="2"/>
      <c r="JZ46" s="2"/>
      <c r="KA46" s="2" t="s">
        <v>35</v>
      </c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 t="s">
        <v>35</v>
      </c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SUMPRODUCT((OFFSET($A46,0,31*($A$3-1)+1,1,31)&lt;&gt;"")*(IF(OFFSET($A46,0,31*($A$3-1)+1,1,31)=$OD$12,0.5,1)*(OFFSET($A$4,0,31*($A$3-1)+1,1,31))))</f>
        <v>23</v>
      </c>
      <c r="NK46" s="20">
        <f t="array" aca="1" ref="NK46" ca="1">SUMPRODUCT((OFFSET($A46,0,1,1,372)&lt;&gt;"")*(IF(OFFSET($A46,0,1,1,372)=$OD$12,0.5,1)*(OFFSET($A$3,0,1,1,372))))</f>
        <v>114</v>
      </c>
      <c r="NL46" s="28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88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2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6" s="52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6" s="52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6" s="52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6" s="52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6" s="52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47" spans="1:391" x14ac:dyDescent="0.45">
      <c r="A47" s="44" t="s">
        <v>96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 t="s">
        <v>35</v>
      </c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 t="s">
        <v>33</v>
      </c>
      <c r="FD47" s="2" t="s">
        <v>33</v>
      </c>
      <c r="FE47" s="2" t="s">
        <v>33</v>
      </c>
      <c r="FF47" s="2" t="s">
        <v>33</v>
      </c>
      <c r="FG47" s="2" t="s">
        <v>33</v>
      </c>
      <c r="FH47" s="2"/>
      <c r="FI47" s="2"/>
      <c r="FJ47" s="2" t="s">
        <v>33</v>
      </c>
      <c r="FK47" s="2" t="s">
        <v>33</v>
      </c>
      <c r="FL47" s="2" t="s">
        <v>33</v>
      </c>
      <c r="FM47" s="2" t="s">
        <v>33</v>
      </c>
      <c r="FN47" s="2" t="s">
        <v>33</v>
      </c>
      <c r="FO47" s="2"/>
      <c r="FP47" s="2"/>
      <c r="FQ47" s="2" t="s">
        <v>33</v>
      </c>
      <c r="FR47" s="2" t="s">
        <v>33</v>
      </c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0</v>
      </c>
      <c r="NK47" s="20">
        <f t="array" aca="1" ref="NK47" ca="1">SUMPRODUCT((OFFSET($A47,0,1,1,372)&lt;&gt;"")*(IF(OFFSET($A47,0,1,1,372)=$OD$12,0.5,1)*(OFFSET($A$3,0,1,1,372))))</f>
        <v>21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16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8" spans="1:391" x14ac:dyDescent="0.45">
      <c r="A48" s="44" t="s">
        <v>97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 t="s">
        <v>33</v>
      </c>
      <c r="EI48" s="2" t="s">
        <v>33</v>
      </c>
      <c r="EJ48" s="2" t="s">
        <v>33</v>
      </c>
      <c r="EK48" s="2" t="s">
        <v>33</v>
      </c>
      <c r="EL48" s="2" t="s">
        <v>33</v>
      </c>
      <c r="EM48" s="2"/>
      <c r="EN48" s="2"/>
      <c r="EO48" s="2" t="s">
        <v>33</v>
      </c>
      <c r="EP48" s="2" t="s">
        <v>33</v>
      </c>
      <c r="EQ48" s="2" t="s">
        <v>33</v>
      </c>
      <c r="ER48" s="2" t="s">
        <v>33</v>
      </c>
      <c r="ES48" s="2" t="s">
        <v>33</v>
      </c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10</v>
      </c>
      <c r="NK48" s="20">
        <f t="array" aca="1" ref="NK48" ca="1">SUMPRODUCT((OFFSET($A48,0,1,1,372)&lt;&gt;"")*(IF(OFFSET($A48,0,1,1,372)=$OD$12,0.5,1)*(OFFSET($A$3,0,1,1,372))))</f>
        <v>19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14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49" spans="1:391" x14ac:dyDescent="0.45">
      <c r="A49" s="44" t="s">
        <v>98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 t="s">
        <v>33</v>
      </c>
      <c r="DU49" s="2" t="s">
        <v>33</v>
      </c>
      <c r="DV49" s="2" t="s">
        <v>33</v>
      </c>
      <c r="DW49" s="2" t="s">
        <v>33</v>
      </c>
      <c r="DX49" s="2" t="s">
        <v>33</v>
      </c>
      <c r="DY49" s="2"/>
      <c r="DZ49" s="2"/>
      <c r="EA49" s="2" t="s">
        <v>33</v>
      </c>
      <c r="EB49" s="2" t="s">
        <v>33</v>
      </c>
      <c r="EC49" s="2" t="s">
        <v>33</v>
      </c>
      <c r="ED49" s="2" t="s">
        <v>33</v>
      </c>
      <c r="EE49" s="2" t="s">
        <v>33</v>
      </c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8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0" spans="1:391" x14ac:dyDescent="0.45">
      <c r="A50" s="44" t="s">
        <v>99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 t="s">
        <v>33</v>
      </c>
      <c r="AN50" s="2" t="s">
        <v>33</v>
      </c>
      <c r="AO50" s="36" t="s">
        <v>35</v>
      </c>
      <c r="AP50" s="2" t="s">
        <v>33</v>
      </c>
      <c r="AQ50" s="2" t="s">
        <v>33</v>
      </c>
      <c r="AR50" s="2"/>
      <c r="AS50" s="2"/>
      <c r="AT50" s="2" t="s">
        <v>33</v>
      </c>
      <c r="AU50" s="2" t="s">
        <v>33</v>
      </c>
      <c r="AV50" s="2" t="s">
        <v>33</v>
      </c>
      <c r="AW50" s="2" t="s">
        <v>33</v>
      </c>
      <c r="AX50" s="2" t="s">
        <v>33</v>
      </c>
      <c r="AY50" s="2"/>
      <c r="AZ50" s="2"/>
      <c r="BA50" s="2" t="s">
        <v>33</v>
      </c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 t="s">
        <v>33</v>
      </c>
      <c r="EI50" s="2" t="s">
        <v>33</v>
      </c>
      <c r="EJ50" s="2" t="s">
        <v>33</v>
      </c>
      <c r="EK50" s="2" t="s">
        <v>33</v>
      </c>
      <c r="EL50" s="2" t="s">
        <v>33</v>
      </c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10</v>
      </c>
      <c r="NK50" s="20">
        <f t="array" aca="1" ref="NK50" ca="1">SUMPRODUCT((OFFSET($A50,0,1,1,372)&lt;&gt;"")*(IF(OFFSET($A50,0,1,1,372)=$OD$12,0.5,1)*(OFFSET($A$3,0,1,1,372))))</f>
        <v>29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24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1" spans="1:391" x14ac:dyDescent="0.45">
      <c r="A51" s="44" t="s">
        <v>100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/>
      <c r="AN51" s="2"/>
      <c r="AO51" s="36" t="s">
        <v>35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 t="s">
        <v>33</v>
      </c>
      <c r="EP51" s="2" t="s">
        <v>33</v>
      </c>
      <c r="EQ51" s="2" t="s">
        <v>33</v>
      </c>
      <c r="ER51" s="2" t="s">
        <v>33</v>
      </c>
      <c r="ES51" s="2" t="s">
        <v>33</v>
      </c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10</v>
      </c>
      <c r="NK51" s="20">
        <f t="array" aca="1" ref="NK51" ca="1">SUMPRODUCT((OFFSET($A51,0,1,1,372)&lt;&gt;"")*(IF(OFFSET($A51,0,1,1,372)=$OD$12,0.5,1)*(OFFSET($A$3,0,1,1,372))))</f>
        <v>19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14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52" spans="1:391" x14ac:dyDescent="0.45">
      <c r="A52" s="44" t="s">
        <v>101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 t="s">
        <v>49</v>
      </c>
      <c r="BY52" s="2" t="s">
        <v>49</v>
      </c>
      <c r="BZ52" s="2" t="s">
        <v>49</v>
      </c>
      <c r="CA52" s="2"/>
      <c r="CB52" s="2"/>
      <c r="CC52" s="2" t="s">
        <v>49</v>
      </c>
      <c r="CD52" s="2" t="s">
        <v>49</v>
      </c>
      <c r="CE52" s="2" t="s">
        <v>49</v>
      </c>
      <c r="CF52" s="2" t="s">
        <v>49</v>
      </c>
      <c r="CG52" s="2" t="s">
        <v>49</v>
      </c>
      <c r="CH52" s="2"/>
      <c r="CI52" s="2"/>
      <c r="CJ52" s="2" t="s">
        <v>49</v>
      </c>
      <c r="CK52" s="2" t="s">
        <v>49</v>
      </c>
      <c r="CL52" s="2" t="s">
        <v>49</v>
      </c>
      <c r="CM52" s="2" t="s">
        <v>49</v>
      </c>
      <c r="CN52" s="2" t="s">
        <v>49</v>
      </c>
      <c r="CO52" s="2"/>
      <c r="CP52" s="2"/>
      <c r="CQ52" s="2"/>
      <c r="CR52" s="2" t="s">
        <v>49</v>
      </c>
      <c r="CS52" s="2" t="s">
        <v>35</v>
      </c>
      <c r="CT52" s="2" t="s">
        <v>49</v>
      </c>
      <c r="CU52" s="2" t="s">
        <v>49</v>
      </c>
      <c r="CV52" s="2" t="s">
        <v>49</v>
      </c>
      <c r="CW52" s="2"/>
      <c r="CX52" s="2"/>
      <c r="CY52" s="2" t="s">
        <v>49</v>
      </c>
      <c r="CZ52" s="2" t="s">
        <v>49</v>
      </c>
      <c r="DA52" s="2" t="s">
        <v>49</v>
      </c>
      <c r="DB52" s="2" t="s">
        <v>49</v>
      </c>
      <c r="DC52" s="2" t="s">
        <v>49</v>
      </c>
      <c r="DD52" s="2"/>
      <c r="DE52" s="2"/>
      <c r="DF52" s="2" t="s">
        <v>49</v>
      </c>
      <c r="DG52" s="2" t="s">
        <v>49</v>
      </c>
      <c r="DH52" s="2" t="s">
        <v>49</v>
      </c>
      <c r="DI52" s="2" t="s">
        <v>49</v>
      </c>
      <c r="DJ52" s="2" t="s">
        <v>49</v>
      </c>
      <c r="DK52" s="2"/>
      <c r="DL52" s="2"/>
      <c r="DM52" s="2" t="s">
        <v>49</v>
      </c>
      <c r="DN52" s="2" t="s">
        <v>49</v>
      </c>
      <c r="DO52" s="2" t="s">
        <v>49</v>
      </c>
      <c r="DP52" s="2" t="s">
        <v>49</v>
      </c>
      <c r="DQ52" s="2" t="s">
        <v>49</v>
      </c>
      <c r="DR52" s="2"/>
      <c r="DS52" s="2"/>
      <c r="DT52" s="2" t="s">
        <v>49</v>
      </c>
      <c r="DU52" s="2" t="s">
        <v>49</v>
      </c>
      <c r="DV52" s="2" t="s">
        <v>49</v>
      </c>
      <c r="DW52" s="2" t="s">
        <v>49</v>
      </c>
      <c r="DX52" s="2" t="s">
        <v>49</v>
      </c>
      <c r="DY52" s="2"/>
      <c r="DZ52" s="2"/>
      <c r="EA52" s="2" t="s">
        <v>49</v>
      </c>
      <c r="EB52" s="2" t="s">
        <v>49</v>
      </c>
      <c r="EC52" s="2" t="s">
        <v>49</v>
      </c>
      <c r="ED52" s="2" t="s">
        <v>49</v>
      </c>
      <c r="EE52" s="2" t="s">
        <v>49</v>
      </c>
      <c r="EF52" s="2"/>
      <c r="EG52" s="2"/>
      <c r="EH52" s="2" t="s">
        <v>49</v>
      </c>
      <c r="EI52" s="2" t="s">
        <v>49</v>
      </c>
      <c r="EJ52" s="2" t="s">
        <v>49</v>
      </c>
      <c r="EK52" s="2" t="s">
        <v>49</v>
      </c>
      <c r="EL52" s="2" t="s">
        <v>49</v>
      </c>
      <c r="EM52" s="2"/>
      <c r="EN52" s="2"/>
      <c r="EO52" s="2" t="s">
        <v>49</v>
      </c>
      <c r="EP52" s="2" t="s">
        <v>49</v>
      </c>
      <c r="EQ52" s="2" t="s">
        <v>49</v>
      </c>
      <c r="ER52" s="2" t="s">
        <v>49</v>
      </c>
      <c r="ES52" s="2" t="s">
        <v>49</v>
      </c>
      <c r="ET52" s="2"/>
      <c r="EU52" s="2"/>
      <c r="EV52" s="2" t="s">
        <v>49</v>
      </c>
      <c r="EW52" s="2" t="s">
        <v>49</v>
      </c>
      <c r="EX52" s="2" t="s">
        <v>49</v>
      </c>
      <c r="EY52" s="2" t="s">
        <v>49</v>
      </c>
      <c r="EZ52" s="2" t="s">
        <v>49</v>
      </c>
      <c r="FA52" s="2"/>
      <c r="FB52" s="2"/>
      <c r="FC52" s="2" t="s">
        <v>49</v>
      </c>
      <c r="FD52" s="2" t="s">
        <v>49</v>
      </c>
      <c r="FE52" s="2" t="s">
        <v>49</v>
      </c>
      <c r="FF52" s="2" t="s">
        <v>49</v>
      </c>
      <c r="FG52" s="2" t="s">
        <v>49</v>
      </c>
      <c r="FH52" s="2"/>
      <c r="FI52" s="2"/>
      <c r="FJ52" s="2" t="s">
        <v>49</v>
      </c>
      <c r="FK52" s="2" t="s">
        <v>49</v>
      </c>
      <c r="FL52" s="2" t="s">
        <v>49</v>
      </c>
      <c r="FM52" s="2" t="s">
        <v>49</v>
      </c>
      <c r="FN52" s="2" t="s">
        <v>49</v>
      </c>
      <c r="FO52" s="2"/>
      <c r="FP52" s="2"/>
      <c r="FQ52" s="2" t="s">
        <v>49</v>
      </c>
      <c r="FR52" s="2" t="s">
        <v>49</v>
      </c>
      <c r="FS52" s="2" t="s">
        <v>49</v>
      </c>
      <c r="FT52" s="2" t="s">
        <v>49</v>
      </c>
      <c r="FU52" s="2" t="s">
        <v>49</v>
      </c>
      <c r="FV52" s="2"/>
      <c r="FW52" s="2"/>
      <c r="FX52" s="2" t="s">
        <v>49</v>
      </c>
      <c r="FY52" s="2" t="s">
        <v>49</v>
      </c>
      <c r="FZ52" s="2" t="s">
        <v>49</v>
      </c>
      <c r="GA52" s="2" t="s">
        <v>49</v>
      </c>
      <c r="GB52" s="2" t="s">
        <v>49</v>
      </c>
      <c r="GC52" s="2"/>
      <c r="GD52" s="2"/>
      <c r="GE52" s="2"/>
      <c r="GF52" s="2" t="s">
        <v>49</v>
      </c>
      <c r="GG52" s="2" t="s">
        <v>49</v>
      </c>
      <c r="GH52" s="2" t="s">
        <v>49</v>
      </c>
      <c r="GI52" s="2" t="s">
        <v>49</v>
      </c>
      <c r="GJ52" s="2" t="s">
        <v>49</v>
      </c>
      <c r="GK52" s="2"/>
      <c r="GL52" s="2"/>
      <c r="GM52" s="2" t="s">
        <v>49</v>
      </c>
      <c r="GN52" s="2" t="s">
        <v>49</v>
      </c>
      <c r="GO52" s="2" t="s">
        <v>49</v>
      </c>
      <c r="GP52" s="2" t="s">
        <v>49</v>
      </c>
      <c r="GQ52" s="2" t="s">
        <v>49</v>
      </c>
      <c r="GR52" s="2"/>
      <c r="GS52" s="2"/>
      <c r="GT52" s="2" t="s">
        <v>49</v>
      </c>
      <c r="GU52" s="2" t="s">
        <v>49</v>
      </c>
      <c r="GV52" s="2" t="s">
        <v>49</v>
      </c>
      <c r="GW52" s="2" t="s">
        <v>49</v>
      </c>
      <c r="GX52" s="2" t="s">
        <v>49</v>
      </c>
      <c r="GY52" s="2"/>
      <c r="GZ52" s="2"/>
      <c r="HA52" s="2" t="s">
        <v>49</v>
      </c>
      <c r="HB52" s="2" t="s">
        <v>49</v>
      </c>
      <c r="HC52" s="2" t="s">
        <v>49</v>
      </c>
      <c r="HD52" s="2" t="s">
        <v>49</v>
      </c>
      <c r="HE52" s="2" t="s">
        <v>49</v>
      </c>
      <c r="HF52" s="2"/>
      <c r="HG52" s="2"/>
      <c r="HH52" s="2" t="s">
        <v>49</v>
      </c>
      <c r="HI52" s="2" t="s">
        <v>49</v>
      </c>
      <c r="HJ52" s="2" t="s">
        <v>49</v>
      </c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23</v>
      </c>
      <c r="NK52" s="20">
        <f t="array" aca="1" ref="NK52" ca="1">SUMPRODUCT((OFFSET($A52,0,1,1,372)&lt;&gt;"")*(IF(OFFSET($A52,0,1,1,372)=$OD$12,0.5,1)*(OFFSET($A$3,0,1,1,372))))</f>
        <v>109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83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56</v>
      </c>
    </row>
    <row r="53" spans="1:391" x14ac:dyDescent="0.45">
      <c r="A53" s="1" t="s">
        <v>102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 t="s">
        <v>35</v>
      </c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 t="s">
        <v>33</v>
      </c>
      <c r="DR53" s="2"/>
      <c r="DS53" s="2"/>
      <c r="DT53" s="2" t="s">
        <v>33</v>
      </c>
      <c r="DU53" s="2" t="s">
        <v>33</v>
      </c>
      <c r="DV53" s="2" t="s">
        <v>33</v>
      </c>
      <c r="DW53" s="2" t="s">
        <v>33</v>
      </c>
      <c r="DX53" s="2" t="s">
        <v>33</v>
      </c>
      <c r="DY53" s="2"/>
      <c r="DZ53" s="2"/>
      <c r="EA53" s="2" t="s">
        <v>33</v>
      </c>
      <c r="EB53" s="2" t="s">
        <v>33</v>
      </c>
      <c r="EC53" s="2" t="s">
        <v>33</v>
      </c>
      <c r="ED53" s="2" t="s">
        <v>33</v>
      </c>
      <c r="EE53" s="2" t="s">
        <v>33</v>
      </c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8</v>
      </c>
      <c r="NK53" s="20">
        <f t="array" aca="1" ref="NK53" ca="1">SUMPRODUCT((OFFSET($A53,0,1,1,372)&lt;&gt;"")*(IF(OFFSET($A53,0,1,1,372)=$OD$12,0.5,1)*(OFFSET($A$3,0,1,1,372))))</f>
        <v>20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15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4" spans="1:391" x14ac:dyDescent="0.45">
      <c r="A54" s="44" t="s">
        <v>103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 t="s">
        <v>33</v>
      </c>
      <c r="BI54" s="2" t="s">
        <v>33</v>
      </c>
      <c r="BJ54" s="2" t="s">
        <v>33</v>
      </c>
      <c r="BK54" s="2" t="s">
        <v>33</v>
      </c>
      <c r="BL54" s="2" t="s">
        <v>33</v>
      </c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0</v>
      </c>
      <c r="NK54" s="20">
        <f t="array" aca="1" ref="NK54" ca="1">SUMPRODUCT((OFFSET($A54,0,1,1,372)&lt;&gt;"")*(IF(OFFSET($A54,0,1,1,372)=$OD$12,0.5,1)*(OFFSET($A$3,0,1,1,372))))</f>
        <v>14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9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 t="s">
        <v>33</v>
      </c>
      <c r="CV55" s="2" t="s">
        <v>33</v>
      </c>
      <c r="CW55" s="2"/>
      <c r="CX55" s="2"/>
      <c r="CY55" s="2" t="s">
        <v>33</v>
      </c>
      <c r="CZ55" s="2" t="s">
        <v>33</v>
      </c>
      <c r="DA55" s="2" t="s">
        <v>33</v>
      </c>
      <c r="DB55" s="2" t="s">
        <v>33</v>
      </c>
      <c r="DC55" s="2" t="s">
        <v>33</v>
      </c>
      <c r="DD55" s="2"/>
      <c r="DE55" s="2"/>
      <c r="DF55" s="2" t="s">
        <v>33</v>
      </c>
      <c r="DG55" s="2" t="s">
        <v>33</v>
      </c>
      <c r="DH55" s="2" t="s">
        <v>33</v>
      </c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19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14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56" spans="1:391" x14ac:dyDescent="0.45">
      <c r="A56" s="44" t="s">
        <v>105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106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 t="s">
        <v>33</v>
      </c>
      <c r="FH57" s="2"/>
      <c r="FI57" s="2"/>
      <c r="FJ57" s="2" t="s">
        <v>33</v>
      </c>
      <c r="FK57" s="2" t="s">
        <v>33</v>
      </c>
      <c r="FL57" s="2" t="s">
        <v>33</v>
      </c>
      <c r="FM57" s="2" t="s">
        <v>33</v>
      </c>
      <c r="FN57" s="2" t="s">
        <v>33</v>
      </c>
      <c r="FO57" s="2"/>
      <c r="FP57" s="2"/>
      <c r="FQ57" s="2" t="s">
        <v>33</v>
      </c>
      <c r="FR57" s="2" t="s">
        <v>33</v>
      </c>
      <c r="FS57" s="2" t="s">
        <v>33</v>
      </c>
      <c r="FT57" s="2" t="s">
        <v>33</v>
      </c>
      <c r="FU57" s="2" t="s">
        <v>33</v>
      </c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20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15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8" spans="1:391" x14ac:dyDescent="0.45">
      <c r="A58" s="44" t="s">
        <v>107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 t="s">
        <v>33</v>
      </c>
      <c r="DG58" s="2" t="s">
        <v>33</v>
      </c>
      <c r="DH58" s="2" t="s">
        <v>33</v>
      </c>
      <c r="DI58" s="2" t="s">
        <v>33</v>
      </c>
      <c r="DJ58" s="2" t="s">
        <v>33</v>
      </c>
      <c r="DK58" s="2"/>
      <c r="DL58" s="2"/>
      <c r="DM58" s="2" t="s">
        <v>33</v>
      </c>
      <c r="DN58" s="2" t="s">
        <v>33</v>
      </c>
      <c r="DO58" s="2" t="s">
        <v>33</v>
      </c>
      <c r="DP58" s="2" t="s">
        <v>33</v>
      </c>
      <c r="DQ58" s="2" t="s">
        <v>33</v>
      </c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19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14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9" spans="1:391" x14ac:dyDescent="0.45">
      <c r="A59" s="44" t="s">
        <v>108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 t="s">
        <v>33</v>
      </c>
      <c r="DB59" s="2" t="s">
        <v>33</v>
      </c>
      <c r="DC59" s="2" t="s">
        <v>33</v>
      </c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22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17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60" spans="1:391" x14ac:dyDescent="0.45">
      <c r="A60" s="44" t="s">
        <v>109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9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4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s="45" customFormat="1" x14ac:dyDescent="0.45">
      <c r="A61" s="44" t="s">
        <v>179</v>
      </c>
      <c r="B61" s="2"/>
      <c r="C61" s="2" t="s">
        <v>49</v>
      </c>
      <c r="D61" s="2" t="s">
        <v>49</v>
      </c>
      <c r="E61" s="2" t="s">
        <v>49</v>
      </c>
      <c r="F61" s="2" t="s">
        <v>49</v>
      </c>
      <c r="G61" s="2" t="s">
        <v>49</v>
      </c>
      <c r="H61" s="2"/>
      <c r="I61" s="2"/>
      <c r="J61" s="2" t="s">
        <v>49</v>
      </c>
      <c r="K61" s="2" t="s">
        <v>49</v>
      </c>
      <c r="L61" s="2" t="s">
        <v>49</v>
      </c>
      <c r="M61" s="2" t="s">
        <v>49</v>
      </c>
      <c r="N61" s="2" t="s">
        <v>49</v>
      </c>
      <c r="O61" s="2"/>
      <c r="P61" s="2"/>
      <c r="Q61" s="2" t="s">
        <v>49</v>
      </c>
      <c r="R61" s="36" t="s">
        <v>35</v>
      </c>
      <c r="S61" s="2" t="s">
        <v>49</v>
      </c>
      <c r="T61" s="2" t="s">
        <v>49</v>
      </c>
      <c r="U61" s="2" t="s">
        <v>49</v>
      </c>
      <c r="V61" s="2"/>
      <c r="W61" s="2"/>
      <c r="X61" s="2" t="s">
        <v>49</v>
      </c>
      <c r="Y61" s="2" t="s">
        <v>49</v>
      </c>
      <c r="Z61" s="2" t="s">
        <v>49</v>
      </c>
      <c r="AA61" s="2" t="s">
        <v>49</v>
      </c>
      <c r="AB61" s="2" t="s">
        <v>49</v>
      </c>
      <c r="AC61" s="2"/>
      <c r="AD61" s="2"/>
      <c r="AE61" s="2" t="s">
        <v>49</v>
      </c>
      <c r="AF61" s="2"/>
      <c r="AG61" s="36" t="s">
        <v>35</v>
      </c>
      <c r="AH61" s="2" t="s">
        <v>49</v>
      </c>
      <c r="AI61" s="2" t="s">
        <v>49</v>
      </c>
      <c r="AJ61" s="2" t="s">
        <v>49</v>
      </c>
      <c r="AK61" s="2"/>
      <c r="AL61" s="2"/>
      <c r="AM61" s="2" t="s">
        <v>49</v>
      </c>
      <c r="AN61" s="2" t="s">
        <v>49</v>
      </c>
      <c r="AO61" s="36" t="s">
        <v>35</v>
      </c>
      <c r="AP61" s="2" t="s">
        <v>49</v>
      </c>
      <c r="AQ61" s="2" t="s">
        <v>49</v>
      </c>
      <c r="AR61" s="2"/>
      <c r="AS61" s="2"/>
      <c r="AT61" s="2" t="s">
        <v>49</v>
      </c>
      <c r="AU61" s="2" t="s">
        <v>49</v>
      </c>
      <c r="AV61" s="2" t="s">
        <v>49</v>
      </c>
      <c r="AW61" s="2" t="s">
        <v>49</v>
      </c>
      <c r="AX61" s="2" t="s">
        <v>49</v>
      </c>
      <c r="AY61" s="2"/>
      <c r="AZ61" s="2"/>
      <c r="BA61" s="2" t="s">
        <v>49</v>
      </c>
      <c r="BB61" s="2" t="s">
        <v>49</v>
      </c>
      <c r="BC61" s="2" t="s">
        <v>49</v>
      </c>
      <c r="BD61" s="2" t="s">
        <v>49</v>
      </c>
      <c r="BE61" s="2" t="s">
        <v>49</v>
      </c>
      <c r="BF61" s="2"/>
      <c r="BG61" s="2"/>
      <c r="BH61" s="2" t="s">
        <v>49</v>
      </c>
      <c r="BI61" s="2" t="s">
        <v>49</v>
      </c>
      <c r="BJ61" s="2" t="s">
        <v>49</v>
      </c>
      <c r="BK61" s="2" t="s">
        <v>49</v>
      </c>
      <c r="BL61" s="2" t="s">
        <v>49</v>
      </c>
      <c r="BM61" s="2"/>
      <c r="BN61" s="2"/>
      <c r="BO61" s="2" t="s">
        <v>49</v>
      </c>
      <c r="BP61" s="2" t="s">
        <v>49</v>
      </c>
      <c r="BQ61" s="2" t="s">
        <v>49</v>
      </c>
      <c r="BR61" s="2" t="s">
        <v>49</v>
      </c>
      <c r="BS61" s="2" t="s">
        <v>49</v>
      </c>
      <c r="BT61" s="2"/>
      <c r="BU61" s="2"/>
      <c r="BV61" s="2" t="s">
        <v>49</v>
      </c>
      <c r="BW61" s="2" t="s">
        <v>49</v>
      </c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 t="s">
        <v>33</v>
      </c>
      <c r="DN61" s="2" t="s">
        <v>33</v>
      </c>
      <c r="DO61" s="2" t="s">
        <v>33</v>
      </c>
      <c r="DP61" s="2" t="s">
        <v>33</v>
      </c>
      <c r="DQ61" s="2" t="s">
        <v>33</v>
      </c>
      <c r="DR61" s="2"/>
      <c r="DS61" s="2"/>
      <c r="DT61" s="2" t="s">
        <v>33</v>
      </c>
      <c r="DU61" s="2" t="s">
        <v>33</v>
      </c>
      <c r="DV61" s="2" t="s">
        <v>33</v>
      </c>
      <c r="DW61" s="2" t="s">
        <v>33</v>
      </c>
      <c r="DX61" s="2" t="s">
        <v>33</v>
      </c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3</v>
      </c>
      <c r="NK61" s="20">
        <f t="array" aca="1" ref="NK61" ca="1">SUMPRODUCT((OFFSET($A61,0,1,1,372)&lt;&gt;"")*(IF(OFFSET($A61,0,1,1,372)=$OD$12,0.5,1)*(OFFSET($A$3,0,1,1,372))))</f>
        <v>68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56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5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10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10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10</v>
      </c>
    </row>
    <row r="62" spans="1:391" s="45" customFormat="1" x14ac:dyDescent="0.45">
      <c r="A62" s="44" t="s">
        <v>180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0</v>
      </c>
      <c r="NK62" s="20">
        <f t="array" aca="1" ref="NK62" ca="1">SUMPRODUCT((OFFSET($A62,0,1,1,372)&lt;&gt;"")*(IF(OFFSET($A62,0,1,1,372)=$OD$12,0.5,1)*(OFFSET($A$3,0,1,1,372))))</f>
        <v>58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46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181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5" spans="358:358" x14ac:dyDescent="0.45">
      <c r="MT65">
        <f>COUNTBLANK(CQ5:JU5)</f>
        <v>156</v>
      </c>
    </row>
  </sheetData>
  <mergeCells count="18">
    <mergeCell ref="NV5:NV6"/>
    <mergeCell ref="NW5:NW6"/>
    <mergeCell ref="NX5:NX6"/>
    <mergeCell ref="NY5:NY6"/>
    <mergeCell ref="OA5:OA6"/>
    <mergeCell ref="NZ5:NZ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D17:OD23">
    <cfRule type="expression" dxfId="124" priority="1301">
      <formula>OD17="No"</formula>
    </cfRule>
  </conditionalFormatting>
  <conditionalFormatting sqref="B6:NI6">
    <cfRule type="expression" dxfId="123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1:JM13 DO14:EU14 AY18:DL18 AY20:DL21 DO18:NI21 CO28:DL28 DO23:NI28 DO33:NI35 AY11:DM11 AY12:DL12 AY15:NI17 B36:NI63">
    <cfRule type="expression" dxfId="122" priority="1346" stopIfTrue="1">
      <formula>AND(B$5&lt;&gt;"",VLOOKUP(B$6,$OC$17:$OD$23,2,0)&lt;&gt;"Yes")</formula>
    </cfRule>
    <cfRule type="expression" dxfId="121" priority="1347" stopIfTrue="1">
      <formula>ISNUMBER(MATCH(DATE($A$2,$A$1+$A$3-1,B$5),HolidayListNamedRange,0))</formula>
    </cfRule>
    <cfRule type="expression" dxfId="120" priority="1348">
      <formula>OR(B8=$OD$11)</formula>
    </cfRule>
    <cfRule type="expression" dxfId="119" priority="1349">
      <formula>OR(B8=$OD$8,B8=$OD$9,B8=$OD$10)</formula>
    </cfRule>
    <cfRule type="expression" dxfId="118" priority="1350">
      <formula>OR(B8=$OD$12)</formula>
    </cfRule>
  </conditionalFormatting>
  <conditionalFormatting sqref="CG13 CD19:CG19 CF8:CG8 CE28:CG28 CC33:CG33">
    <cfRule type="expression" dxfId="117" priority="1576" stopIfTrue="1">
      <formula>AND(CJ$5&lt;&gt;"",VLOOKUP(CJ$6,$OC$17:$OD$23,2,0)&lt;&gt;"Yes")</formula>
    </cfRule>
    <cfRule type="expression" dxfId="116" priority="1577" stopIfTrue="1">
      <formula>ISNUMBER(MATCH(DATE($A$2,$A$1+$A$3-1,CJ$5),HolidayListNamedRange,0))</formula>
    </cfRule>
    <cfRule type="expression" dxfId="115" priority="1578">
      <formula>OR(CC8=$OD$11)</formula>
    </cfRule>
    <cfRule type="expression" dxfId="114" priority="1579">
      <formula>OR(CC8=$OD$8,CC8=$OD$9,CC8=$OD$10)</formula>
    </cfRule>
    <cfRule type="expression" dxfId="113" priority="1580">
      <formula>OR(CC8=$OD$12)</formula>
    </cfRule>
  </conditionalFormatting>
  <conditionalFormatting sqref="CJ26:CN26 CJ25">
    <cfRule type="expression" dxfId="112" priority="2141" stopIfTrue="1">
      <formula>AND(CC$5&lt;&gt;"",VLOOKUP(CC$6,$OC$17:$OD$23,2,0)&lt;&gt;"Yes")</formula>
    </cfRule>
    <cfRule type="expression" dxfId="111" priority="2142" stopIfTrue="1">
      <formula>ISNUMBER(MATCH(DATE($A$2,$A$1+$A$3-1,CC$5),HolidayListNamedRange,0))</formula>
    </cfRule>
    <cfRule type="expression" dxfId="110" priority="2143">
      <formula>OR(CJ25=$OD$11)</formula>
    </cfRule>
    <cfRule type="expression" dxfId="109" priority="2144">
      <formula>OR(CJ25=$OD$8,CJ25=$OD$9,CJ25=$OD$10)</formula>
    </cfRule>
    <cfRule type="expression" dxfId="108" priority="2145">
      <formula>OR(CJ25=$OD$12)</formula>
    </cfRule>
  </conditionalFormatting>
  <conditionalFormatting sqref="BV25:BZ25 CC25:CG25 CC26">
    <cfRule type="expression" dxfId="107" priority="2146" stopIfTrue="1">
      <formula>AND(CJ$5&lt;&gt;"",VLOOKUP(CJ$6,$OC$17:$OD$23,2,0)&lt;&gt;"Yes")</formula>
    </cfRule>
    <cfRule type="expression" dxfId="106" priority="2147" stopIfTrue="1">
      <formula>ISNUMBER(MATCH(DATE($A$2,$A$1+$A$3-1,CJ$5),HolidayListNamedRange,0))</formula>
    </cfRule>
    <cfRule type="expression" dxfId="105" priority="2148">
      <formula>OR(BV25=$OD$11)</formula>
    </cfRule>
    <cfRule type="expression" dxfId="104" priority="2149">
      <formula>OR(BV25=$OD$8,BV25=$OD$9,BV25=$OD$10)</formula>
    </cfRule>
    <cfRule type="expression" dxfId="103" priority="2150">
      <formula>OR(BV25=$OD$12)</formula>
    </cfRule>
  </conditionalFormatting>
  <conditionalFormatting sqref="EV14:EZ14">
    <cfRule type="expression" dxfId="102" priority="41" stopIfTrue="1">
      <formula>AND(EV$5&lt;&gt;"",VLOOKUP(EV$6,$OC$17:$OD$23,2,0)&lt;&gt;"Yes")</formula>
    </cfRule>
    <cfRule type="expression" dxfId="101" priority="42" stopIfTrue="1">
      <formula>ISNUMBER(MATCH(DATE($A$2,$A$1+$A$3-1,EV$5),HolidayListNamedRange,0))</formula>
    </cfRule>
    <cfRule type="expression" dxfId="100" priority="43">
      <formula>OR(EV14=$OD$11)</formula>
    </cfRule>
    <cfRule type="expression" dxfId="99" priority="44">
      <formula>OR(EV14=$OD$8,EV14=$OD$9,EV14=$OD$10)</formula>
    </cfRule>
    <cfRule type="expression" dxfId="98" priority="45">
      <formula>OR(EV14=$OD$12)</formula>
    </cfRule>
  </conditionalFormatting>
  <conditionalFormatting sqref="DN11:DN14">
    <cfRule type="expression" dxfId="97" priority="36" stopIfTrue="1">
      <formula>AND(DN$5&lt;&gt;"",VLOOKUP(DN$6,$OC$17:$OD$23,2,0)&lt;&gt;"Yes")</formula>
    </cfRule>
    <cfRule type="expression" dxfId="96" priority="37" stopIfTrue="1">
      <formula>ISNUMBER(MATCH(DATE($A$2,$A$1+$A$3-1,DN$5),HolidayListNamedRange,0))</formula>
    </cfRule>
    <cfRule type="expression" dxfId="95" priority="38">
      <formula>OR(DN11=$OD$11)</formula>
    </cfRule>
    <cfRule type="expression" dxfId="94" priority="39">
      <formula>OR(DN11=$OD$8,DN11=$OD$9,DN11=$OD$10)</formula>
    </cfRule>
    <cfRule type="expression" dxfId="93" priority="40">
      <formula>OR(DN11=$OD$12)</formula>
    </cfRule>
  </conditionalFormatting>
  <conditionalFormatting sqref="DN18:DN21">
    <cfRule type="expression" dxfId="92" priority="31" stopIfTrue="1">
      <formula>AND(DN$5&lt;&gt;"",VLOOKUP(DN$6,$OC$17:$OD$23,2,0)&lt;&gt;"Yes")</formula>
    </cfRule>
    <cfRule type="expression" dxfId="91" priority="32" stopIfTrue="1">
      <formula>ISNUMBER(MATCH(DATE($A$2,$A$1+$A$3-1,DN$5),HolidayListNamedRange,0))</formula>
    </cfRule>
    <cfRule type="expression" dxfId="90" priority="33">
      <formula>OR(DN18=$OD$11)</formula>
    </cfRule>
    <cfRule type="expression" dxfId="89" priority="34">
      <formula>OR(DN18=$OD$8,DN18=$OD$9,DN18=$OD$10)</formula>
    </cfRule>
    <cfRule type="expression" dxfId="88" priority="35">
      <formula>OR(DN18=$OD$12)</formula>
    </cfRule>
  </conditionalFormatting>
  <conditionalFormatting sqref="DN23:DN28">
    <cfRule type="expression" dxfId="87" priority="26" stopIfTrue="1">
      <formula>AND(DN$5&lt;&gt;"",VLOOKUP(DN$6,$OC$17:$OD$23,2,0)&lt;&gt;"Yes")</formula>
    </cfRule>
    <cfRule type="expression" dxfId="86" priority="27" stopIfTrue="1">
      <formula>ISNUMBER(MATCH(DATE($A$2,$A$1+$A$3-1,DN$5),HolidayListNamedRange,0))</formula>
    </cfRule>
    <cfRule type="expression" dxfId="85" priority="28">
      <formula>OR(DN23=$OD$11)</formula>
    </cfRule>
    <cfRule type="expression" dxfId="84" priority="29">
      <formula>OR(DN23=$OD$8,DN23=$OD$9,DN23=$OD$10)</formula>
    </cfRule>
    <cfRule type="expression" dxfId="83" priority="30">
      <formula>OR(DN23=$OD$12)</formula>
    </cfRule>
  </conditionalFormatting>
  <conditionalFormatting sqref="DN33:DN35">
    <cfRule type="expression" dxfId="82" priority="21" stopIfTrue="1">
      <formula>AND(DN$5&lt;&gt;"",VLOOKUP(DN$6,$OC$17:$OD$23,2,0)&lt;&gt;"Yes")</formula>
    </cfRule>
    <cfRule type="expression" dxfId="81" priority="22" stopIfTrue="1">
      <formula>ISNUMBER(MATCH(DATE($A$2,$A$1+$A$3-1,DN$5),HolidayListNamedRange,0))</formula>
    </cfRule>
    <cfRule type="expression" dxfId="80" priority="23">
      <formula>OR(DN33=$OD$11)</formula>
    </cfRule>
    <cfRule type="expression" dxfId="79" priority="24">
      <formula>OR(DN33=$OD$8,DN33=$OD$9,DN33=$OD$10)</formula>
    </cfRule>
    <cfRule type="expression" dxfId="78" priority="25">
      <formula>OR(DN33=$OD$12)</formula>
    </cfRule>
  </conditionalFormatting>
  <conditionalFormatting sqref="DM12:DM14">
    <cfRule type="expression" dxfId="77" priority="16" stopIfTrue="1">
      <formula>AND(DM$5&lt;&gt;"",VLOOKUP(DM$6,$OC$17:$OD$23,2,0)&lt;&gt;"Yes")</formula>
    </cfRule>
    <cfRule type="expression" dxfId="76" priority="17" stopIfTrue="1">
      <formula>ISNUMBER(MATCH(DATE($A$2,$A$1+$A$3-1,DM$5),HolidayListNamedRange,0))</formula>
    </cfRule>
    <cfRule type="expression" dxfId="75" priority="18">
      <formula>OR(DM12=$OD$11)</formula>
    </cfRule>
    <cfRule type="expression" dxfId="74" priority="19">
      <formula>OR(DM12=$OD$8,DM12=$OD$9,DM12=$OD$10)</formula>
    </cfRule>
    <cfRule type="expression" dxfId="73" priority="20">
      <formula>OR(DM12=$OD$12)</formula>
    </cfRule>
  </conditionalFormatting>
  <conditionalFormatting sqref="DM18:DM21">
    <cfRule type="expression" dxfId="72" priority="11" stopIfTrue="1">
      <formula>AND(DM$5&lt;&gt;"",VLOOKUP(DM$6,$OC$17:$OD$23,2,0)&lt;&gt;"Yes")</formula>
    </cfRule>
    <cfRule type="expression" dxfId="71" priority="12" stopIfTrue="1">
      <formula>ISNUMBER(MATCH(DATE($A$2,$A$1+$A$3-1,DM$5),HolidayListNamedRange,0))</formula>
    </cfRule>
    <cfRule type="expression" dxfId="70" priority="13">
      <formula>OR(DM18=$OD$11)</formula>
    </cfRule>
    <cfRule type="expression" dxfId="69" priority="14">
      <formula>OR(DM18=$OD$8,DM18=$OD$9,DM18=$OD$10)</formula>
    </cfRule>
    <cfRule type="expression" dxfId="68" priority="15">
      <formula>OR(DM18=$OD$12)</formula>
    </cfRule>
  </conditionalFormatting>
  <conditionalFormatting sqref="DM23:DM28">
    <cfRule type="expression" dxfId="67" priority="6" stopIfTrue="1">
      <formula>AND(DM$5&lt;&gt;"",VLOOKUP(DM$6,$OC$17:$OD$23,2,0)&lt;&gt;"Yes")</formula>
    </cfRule>
    <cfRule type="expression" dxfId="66" priority="7" stopIfTrue="1">
      <formula>ISNUMBER(MATCH(DATE($A$2,$A$1+$A$3-1,DM$5),HolidayListNamedRange,0))</formula>
    </cfRule>
    <cfRule type="expression" dxfId="65" priority="8">
      <formula>OR(DM23=$OD$11)</formula>
    </cfRule>
    <cfRule type="expression" dxfId="64" priority="9">
      <formula>OR(DM23=$OD$8,DM23=$OD$9,DM23=$OD$10)</formula>
    </cfRule>
    <cfRule type="expression" dxfId="63" priority="10">
      <formula>OR(DM23=$OD$12)</formula>
    </cfRule>
  </conditionalFormatting>
  <conditionalFormatting sqref="DM33:DM35">
    <cfRule type="expression" dxfId="62" priority="1" stopIfTrue="1">
      <formula>AND(DM$5&lt;&gt;"",VLOOKUP(DM$6,$OC$17:$OD$23,2,0)&lt;&gt;"Yes")</formula>
    </cfRule>
    <cfRule type="expression" dxfId="61" priority="2" stopIfTrue="1">
      <formula>ISNUMBER(MATCH(DATE($A$2,$A$1+$A$3-1,DM$5),HolidayListNamedRange,0))</formula>
    </cfRule>
    <cfRule type="expression" dxfId="60" priority="3">
      <formula>OR(DM33=$OD$11)</formula>
    </cfRule>
    <cfRule type="expression" dxfId="59" priority="4">
      <formula>OR(DM33=$OD$8,DM33=$OD$9,DM33=$OD$10)</formula>
    </cfRule>
    <cfRule type="expression" dxfId="58" priority="5">
      <formula>OR(DM33=$OD$12)</formula>
    </cfRule>
  </conditionalFormatting>
  <dataValidations count="6">
    <dataValidation type="list" allowBlank="1" showInputMessage="1" showErrorMessage="1" sqref="OD17:OD23">
      <formula1>"Yes, No"</formula1>
    </dataValidation>
    <dataValidation type="list" allowBlank="1" showInputMessage="1" showErrorMessage="1" sqref="A1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DM9:NI31 B9:DL12 CO13:DL13 B14:DL18 B20:DL24 B27:DL27 CS28:DL31 B34:NI34 CF35:NI35 B36:NI63">
      <formula1>B$6&lt;&gt;""</formula1>
    </dataValidation>
    <dataValidation type="custom" allowBlank="1" showErrorMessage="1" errorTitle="Not a Valid Date" error="This isn't a valid Date" sqref="CF8:CG8 CG13 CD19:CG19 CE28:CG28 CC33:CG33">
      <formula1>CJ$6&lt;&gt;""</formula1>
    </dataValidation>
    <dataValidation type="custom" allowBlank="1" showErrorMessage="1" errorTitle="Not a Valid Date" error="This isn't a valid Date" sqref="CJ26:CN26 CJ25">
      <formula1>CC$6&lt;&gt;""</formula1>
    </dataValidation>
    <dataValidation type="custom" allowBlank="1" showErrorMessage="1" errorTitle="Not a Valid Date" error="This isn't a valid Date" sqref="BV25:BZ25 CC25:CG25 CC26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1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Tracker'!$A$8:$A$105,MATCH($A2,'Leave Tracker'!$A$8:$A$105,0)))),0,31*(VLOOKUP(G$1,Sprints[],5,FALSE))+DAY(VLOOKUP(G$1,Sprints[],2,FALSE)),1,VLOOKUP(G$1,Sprints[],4,FALSE))&lt;&gt;"")*(IF(OFFSET(INDIRECT(CELL("address",INDEX('Leave Tracker'!$A$8:$A$105,MATCH($A2,'Leave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Tracker'!$A$8:$A$105,MATCH($A2,'Leave Tracker'!$A$8:$A$105,0)))),0,31*(VLOOKUP(H$1,Sprints[],5,FALSE))+DAY(VLOOKUP(H$1,Sprints[],2,FALSE)),1,VLOOKUP(H$1,Sprints[],4,FALSE))&lt;&gt;"")*(IF(OFFSET(INDIRECT(CELL("address",INDEX('Leave Tracker'!$A$8:$A$105,MATCH($A2,'Leave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Tracker'!$A$8:$A$105,MATCH($A2,'Leave Tracker'!$A$8:$A$105,0)))),0,31*(VLOOKUP(I$1,Sprints[],5,FALSE))+DAY(VLOOKUP(I$1,Sprints[],2,FALSE)),1,VLOOKUP(I$1,Sprints[],4,FALSE))&lt;&gt;"")*(IF(OFFSET(INDIRECT(CELL("address",INDEX('Leave Tracker'!$A$8:$A$105,MATCH($A2,'Leave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Tracker'!$A$8:$A$105,MATCH($A2,'Leave Tracker'!$A$8:$A$105,0)))),0,31*(VLOOKUP(J$1,Sprints[],5,FALSE))+DAY(VLOOKUP(J$1,Sprints[],2,FALSE)),1,VLOOKUP(J$1,Sprints[],4,FALSE))&lt;&gt;"")*(IF(OFFSET(INDIRECT(CELL("address",INDEX('Leave Tracker'!$A$8:$A$105,MATCH($A2,'Leave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Tracker'!$A$8:$A$105,MATCH($A2,'Leave Tracker'!$A$8:$A$105,0)))),0,31*(VLOOKUP(K$1,Sprints[],5,FALSE))+DAY(VLOOKUP(K$1,Sprints[],2,FALSE)),1,VLOOKUP(K$1,Sprints[],4,FALSE))&lt;&gt;"")*(IF(OFFSET(INDIRECT(CELL("address",INDEX('Leave Tracker'!$A$8:$A$105,MATCH($A2,'Leave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Tracker'!$A$8:$A$105,MATCH($A2,'Leave Tracker'!$A$8:$A$105,0)))),0,31*(VLOOKUP(L$1,Sprints[],5,FALSE))+DAY(VLOOKUP(L$1,Sprints[],2,FALSE)),1,VLOOKUP(L$1,Sprints[],4,FALSE))&lt;&gt;"")*(IF(OFFSET(INDIRECT(CELL("address",INDEX('Leave Tracker'!$A$8:$A$105,MATCH($A2,'Leave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Tracker'!$A$8:$A$105,MATCH($A2,'Leave Tracker'!$A$8:$A$105,0)))),0,31*(VLOOKUP(M$1,Sprints[],5,FALSE))+DAY(VLOOKUP(M$1,Sprints[],2,FALSE)),1,VLOOKUP(M$1,Sprints[],4,FALSE))&lt;&gt;"")*(IF(OFFSET(INDIRECT(CELL("address",INDEX('Leave Tracker'!$A$8:$A$105,MATCH($A2,'Leave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Tracker'!$A$8:$A$105,MATCH($A2,'Leave Tracker'!$A$8:$A$105,0)))),0,31*(VLOOKUP(N$1,Sprints[],5,FALSE))+DAY(VLOOKUP(N$1,Sprints[],2,FALSE)),1,VLOOKUP(N$1,Sprints[],4,FALSE))&lt;&gt;"")*(IF(OFFSET(INDIRECT(CELL("address",INDEX('Leave Tracker'!$A$8:$A$105,MATCH($A2,'Leave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Tracker'!$A$8:$A$105,MATCH($A2,'Leave Tracker'!$A$8:$A$105,0)))),0,31*(VLOOKUP(O$1,Sprints[],5,FALSE))+DAY(VLOOKUP(O$1,Sprints[],2,FALSE)),1,VLOOKUP(O$1,Sprints[],4,FALSE))&lt;&gt;"")*(IF(OFFSET(INDIRECT(CELL("address",INDEX('Leave Tracker'!$A$8:$A$105,MATCH($A2,'Leave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Tracker'!$A$8:$A$105,MATCH($A2,'Leave Tracker'!$A$8:$A$105,0)))),0,31*(VLOOKUP(P$1,Sprints[],5,FALSE))+DAY(VLOOKUP(P$1,Sprints[],2,FALSE)),1,VLOOKUP(P$1,Sprints[],4,FALSE))&lt;&gt;"")*(IF(OFFSET(INDIRECT(CELL("address",INDEX('Leave Tracker'!$A$8:$A$105,MATCH($A2,'Leave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Tracker'!$A$8:$A$105,MATCH($A2,'Leave Tracker'!$A$8:$A$105,0)))),0,31*(VLOOKUP(Q$1,Sprints[],5,FALSE))+DAY(VLOOKUP(Q$1,Sprints[],2,FALSE)),1,VLOOKUP(Q$1,Sprints[],4,FALSE))&lt;&gt;"")*(IF(OFFSET(INDIRECT(CELL("address",INDEX('Leave Tracker'!$A$8:$A$105,MATCH($A2,'Leave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Tracker'!$A$8:$A$105,MATCH($A2,'Leave Tracker'!$A$8:$A$105,0)))),0,31*(VLOOKUP(R$1,Sprints[],5,FALSE))+DAY(VLOOKUP(R$1,Sprints[],2,FALSE)),1,VLOOKUP(R$1,Sprints[],4,FALSE))&lt;&gt;"")*(IF(OFFSET(INDIRECT(CELL("address",INDEX('Leave Tracker'!$A$8:$A$105,MATCH($A2,'Leave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Tracker'!$A$8:$A$105,MATCH($A2,'Leave Tracker'!$A$8:$A$105,0)))),0,31*(VLOOKUP(S$1,Sprints[],5,FALSE))+DAY(VLOOKUP(S$1,Sprints[],2,FALSE)),1,VLOOKUP(S$1,Sprints[],4,FALSE))&lt;&gt;"")*(IF(OFFSET(INDIRECT(CELL("address",INDEX('Leave Tracker'!$A$8:$A$105,MATCH($A2,'Leave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Tracker'!$A$8:$A$105,MATCH($A2,'Leave Tracker'!$A$8:$A$105,0)))),0,31*(VLOOKUP(T$1,Sprints[],5,FALSE))+DAY(VLOOKUP(T$1,Sprints[],2,FALSE)),1,VLOOKUP(T$1,Sprints[],4,FALSE))&lt;&gt;"")*(IF(OFFSET(INDIRECT(CELL("address",INDEX('Leave Tracker'!$A$8:$A$105,MATCH($A2,'Leave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Tracker'!$A$8:$A$105,MATCH($A2,'Leave Tracker'!$A$8:$A$105,0)))),0,31*(VLOOKUP(U$1,Sprints[],5,FALSE))+DAY(VLOOKUP(U$1,Sprints[],2,FALSE)),1,VLOOKUP(U$1,Sprints[],4,FALSE))&lt;&gt;"")*(IF(OFFSET(INDIRECT(CELL("address",INDEX('Leave Tracker'!$A$8:$A$105,MATCH($A2,'Leave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Tracker'!$A$8:$A$105,MATCH($A3,'Leave Tracker'!$A$8:$A$105,0)))),0,31*(VLOOKUP(G$1,Sprints[],5,FALSE))+DAY(VLOOKUP(G$1,Sprints[],2,FALSE)),1,VLOOKUP(G$1,Sprints[],4,FALSE))&lt;&gt;"")*(IF(OFFSET(INDIRECT(CELL("address",INDEX('Leave Tracker'!$A$8:$A$105,MATCH($A3,'Leave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Tracker'!$A$8:$A$105,MATCH($A3,'Leave Tracker'!$A$8:$A$105,0)))),0,31*(VLOOKUP(H$1,Sprints[],5,FALSE))+DAY(VLOOKUP(H$1,Sprints[],2,FALSE)),1,VLOOKUP(H$1,Sprints[],4,FALSE))&lt;&gt;"")*(IF(OFFSET(INDIRECT(CELL("address",INDEX('Leave Tracker'!$A$8:$A$105,MATCH($A3,'Leave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Tracker'!$A$8:$A$105,MATCH($A3,'Leave Tracker'!$A$8:$A$105,0)))),0,31*(VLOOKUP(I$1,Sprints[],5,FALSE))+DAY(VLOOKUP(I$1,Sprints[],2,FALSE)),1,VLOOKUP(I$1,Sprints[],4,FALSE))&lt;&gt;"")*(IF(OFFSET(INDIRECT(CELL("address",INDEX('Leave Tracker'!$A$8:$A$105,MATCH($A3,'Leave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Tracker'!$A$8:$A$105,MATCH($A3,'Leave Tracker'!$A$8:$A$105,0)))),0,31*(VLOOKUP(J$1,Sprints[],5,FALSE))+DAY(VLOOKUP(J$1,Sprints[],2,FALSE)),1,VLOOKUP(J$1,Sprints[],4,FALSE))&lt;&gt;"")*(IF(OFFSET(INDIRECT(CELL("address",INDEX('Leave Tracker'!$A$8:$A$105,MATCH($A3,'Leave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Tracker'!$A$8:$A$105,MATCH($A3,'Leave Tracker'!$A$8:$A$105,0)))),0,31*(VLOOKUP(K$1,Sprints[],5,FALSE))+DAY(VLOOKUP(K$1,Sprints[],2,FALSE)),1,VLOOKUP(K$1,Sprints[],4,FALSE))&lt;&gt;"")*(IF(OFFSET(INDIRECT(CELL("address",INDEX('Leave Tracker'!$A$8:$A$105,MATCH($A3,'Leave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Tracker'!$A$8:$A$105,MATCH($A3,'Leave Tracker'!$A$8:$A$105,0)))),0,31*(VLOOKUP(L$1,Sprints[],5,FALSE))+DAY(VLOOKUP(L$1,Sprints[],2,FALSE)),1,VLOOKUP(L$1,Sprints[],4,FALSE))&lt;&gt;"")*(IF(OFFSET(INDIRECT(CELL("address",INDEX('Leave Tracker'!$A$8:$A$105,MATCH($A3,'Leave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Tracker'!$A$8:$A$105,MATCH($A3,'Leave Tracker'!$A$8:$A$105,0)))),0,31*(VLOOKUP(M$1,Sprints[],5,FALSE))+DAY(VLOOKUP(M$1,Sprints[],2,FALSE)),1,VLOOKUP(M$1,Sprints[],4,FALSE))&lt;&gt;"")*(IF(OFFSET(INDIRECT(CELL("address",INDEX('Leave Tracker'!$A$8:$A$105,MATCH($A3,'Leave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Tracker'!$A$8:$A$105,MATCH($A3,'Leave Tracker'!$A$8:$A$105,0)))),0,31*(VLOOKUP(N$1,Sprints[],5,FALSE))+DAY(VLOOKUP(N$1,Sprints[],2,FALSE)),1,VLOOKUP(N$1,Sprints[],4,FALSE))&lt;&gt;"")*(IF(OFFSET(INDIRECT(CELL("address",INDEX('Leave Tracker'!$A$8:$A$105,MATCH($A3,'Leave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Tracker'!$A$8:$A$105,MATCH($A3,'Leave Tracker'!$A$8:$A$105,0)))),0,31*(VLOOKUP(O$1,Sprints[],5,FALSE))+DAY(VLOOKUP(O$1,Sprints[],2,FALSE)),1,VLOOKUP(O$1,Sprints[],4,FALSE))&lt;&gt;"")*(IF(OFFSET(INDIRECT(CELL("address",INDEX('Leave Tracker'!$A$8:$A$105,MATCH($A3,'Leave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Tracker'!$A$8:$A$105,MATCH($A3,'Leave Tracker'!$A$8:$A$105,0)))),0,31*(VLOOKUP(P$1,Sprints[],5,FALSE))+DAY(VLOOKUP(P$1,Sprints[],2,FALSE)),1,VLOOKUP(P$1,Sprints[],4,FALSE))&lt;&gt;"")*(IF(OFFSET(INDIRECT(CELL("address",INDEX('Leave Tracker'!$A$8:$A$105,MATCH($A3,'Leave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Tracker'!$A$8:$A$105,MATCH($A3,'Leave Tracker'!$A$8:$A$105,0)))),0,31*(VLOOKUP(Q$1,Sprints[],5,FALSE))+DAY(VLOOKUP(Q$1,Sprints[],2,FALSE)),1,VLOOKUP(Q$1,Sprints[],4,FALSE))&lt;&gt;"")*(IF(OFFSET(INDIRECT(CELL("address",INDEX('Leave Tracker'!$A$8:$A$105,MATCH($A3,'Leave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Tracker'!$A$8:$A$105,MATCH($A3,'Leave Tracker'!$A$8:$A$105,0)))),0,31*(VLOOKUP(R$1,Sprints[],5,FALSE))+DAY(VLOOKUP(R$1,Sprints[],2,FALSE)),1,VLOOKUP(R$1,Sprints[],4,FALSE))&lt;&gt;"")*(IF(OFFSET(INDIRECT(CELL("address",INDEX('Leave Tracker'!$A$8:$A$105,MATCH($A3,'Leave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" s="31">
        <f t="array" aca="1" ref="S3" ca="1">Sheet3!$W$2*$F3*(NETWORKDAYS(VLOOKUP(S$1,Sprints[],2,FALSE), VLOOKUP(S$1,Sprints[],3,FALSE))-SUMPRODUCT((OFFSET(INDIRECT(CELL("address",INDEX('Leave Tracker'!$A$8:$A$105,MATCH($A3,'Leave Tracker'!$A$8:$A$105,0)))),0,31*(VLOOKUP(S$1,Sprints[],5,FALSE))+DAY(VLOOKUP(S$1,Sprints[],2,FALSE)),1,VLOOKUP(S$1,Sprints[],4,FALSE))&lt;&gt;"")*(IF(OFFSET(INDIRECT(CELL("address",INDEX('Leave Tracker'!$A$8:$A$105,MATCH($A3,'Leave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Tracker'!$A$8:$A$105,MATCH($A3,'Leave Tracker'!$A$8:$A$105,0)))),0,31*(VLOOKUP(T$1,Sprints[],5,FALSE))+DAY(VLOOKUP(T$1,Sprints[],2,FALSE)),1,VLOOKUP(T$1,Sprints[],4,FALSE))&lt;&gt;"")*(IF(OFFSET(INDIRECT(CELL("address",INDEX('Leave Tracker'!$A$8:$A$105,MATCH($A3,'Leave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Tracker'!$A$8:$A$105,MATCH($A3,'Leave Tracker'!$A$8:$A$105,0)))),0,31*(VLOOKUP(U$1,Sprints[],5,FALSE))+DAY(VLOOKUP(U$1,Sprints[],2,FALSE)),1,VLOOKUP(U$1,Sprints[],4,FALSE))&lt;&gt;"")*(IF(OFFSET(INDIRECT(CELL("address",INDEX('Leave Tracker'!$A$8:$A$105,MATCH($A3,'Leave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6.4000000000000012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Tracker'!$A$8:$A$105,MATCH($A4,'Leave Tracker'!$A$8:$A$105,0)))),0,31*(VLOOKUP(G$1,Sprints[],5,FALSE))+DAY(VLOOKUP(G$1,Sprints[],2,FALSE)),1,VLOOKUP(G$1,Sprints[],4,FALSE))&lt;&gt;"")*(IF(OFFSET(INDIRECT(CELL("address",INDEX('Leave Tracker'!$A$8:$A$105,MATCH($A4,'Leave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Tracker'!$A$8:$A$105,MATCH($A4,'Leave Tracker'!$A$8:$A$105,0)))),0,31*(VLOOKUP(H$1,Sprints[],5,FALSE))+DAY(VLOOKUP(H$1,Sprints[],2,FALSE)),1,VLOOKUP(H$1,Sprints[],4,FALSE))&lt;&gt;"")*(IF(OFFSET(INDIRECT(CELL("address",INDEX('Leave Tracker'!$A$8:$A$105,MATCH($A4,'Leave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Tracker'!$A$8:$A$105,MATCH($A4,'Leave Tracker'!$A$8:$A$105,0)))),0,31*(VLOOKUP(I$1,Sprints[],5,FALSE))+DAY(VLOOKUP(I$1,Sprints[],2,FALSE)),1,VLOOKUP(I$1,Sprints[],4,FALSE))&lt;&gt;"")*(IF(OFFSET(INDIRECT(CELL("address",INDEX('Leave Tracker'!$A$8:$A$105,MATCH($A4,'Leave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Tracker'!$A$8:$A$105,MATCH($A4,'Leave Tracker'!$A$8:$A$105,0)))),0,31*(VLOOKUP(J$1,Sprints[],5,FALSE))+DAY(VLOOKUP(J$1,Sprints[],2,FALSE)),1,VLOOKUP(J$1,Sprints[],4,FALSE))&lt;&gt;"")*(IF(OFFSET(INDIRECT(CELL("address",INDEX('Leave Tracker'!$A$8:$A$105,MATCH($A4,'Leave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Tracker'!$A$8:$A$105,MATCH($A4,'Leave Tracker'!$A$8:$A$105,0)))),0,31*(VLOOKUP(K$1,Sprints[],5,FALSE))+DAY(VLOOKUP(K$1,Sprints[],2,FALSE)),1,VLOOKUP(K$1,Sprints[],4,FALSE))&lt;&gt;"")*(IF(OFFSET(INDIRECT(CELL("address",INDEX('Leave Tracker'!$A$8:$A$105,MATCH($A4,'Leave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Tracker'!$A$8:$A$105,MATCH($A4,'Leave Tracker'!$A$8:$A$105,0)))),0,31*(VLOOKUP(L$1,Sprints[],5,FALSE))+DAY(VLOOKUP(L$1,Sprints[],2,FALSE)),1,VLOOKUP(L$1,Sprints[],4,FALSE))&lt;&gt;"")*(IF(OFFSET(INDIRECT(CELL("address",INDEX('Leave Tracker'!$A$8:$A$105,MATCH($A4,'Leave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Tracker'!$A$8:$A$105,MATCH($A4,'Leave Tracker'!$A$8:$A$105,0)))),0,31*(VLOOKUP(M$1,Sprints[],5,FALSE))+DAY(VLOOKUP(M$1,Sprints[],2,FALSE)),1,VLOOKUP(M$1,Sprints[],4,FALSE))&lt;&gt;"")*(IF(OFFSET(INDIRECT(CELL("address",INDEX('Leave Tracker'!$A$8:$A$105,MATCH($A4,'Leave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Tracker'!$A$8:$A$105,MATCH($A4,'Leave Tracker'!$A$8:$A$105,0)))),0,31*(VLOOKUP(N$1,Sprints[],5,FALSE))+DAY(VLOOKUP(N$1,Sprints[],2,FALSE)),1,VLOOKUP(N$1,Sprints[],4,FALSE))&lt;&gt;"")*(IF(OFFSET(INDIRECT(CELL("address",INDEX('Leave Tracker'!$A$8:$A$105,MATCH($A4,'Leave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Tracker'!$A$8:$A$105,MATCH($A4,'Leave Tracker'!$A$8:$A$105,0)))),0,31*(VLOOKUP(O$1,Sprints[],5,FALSE))+DAY(VLOOKUP(O$1,Sprints[],2,FALSE)),1,VLOOKUP(O$1,Sprints[],4,FALSE))&lt;&gt;"")*(IF(OFFSET(INDIRECT(CELL("address",INDEX('Leave Tracker'!$A$8:$A$105,MATCH($A4,'Leave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Tracker'!$A$8:$A$105,MATCH($A4,'Leave Tracker'!$A$8:$A$105,0)))),0,31*(VLOOKUP(P$1,Sprints[],5,FALSE))+DAY(VLOOKUP(P$1,Sprints[],2,FALSE)),1,VLOOKUP(P$1,Sprints[],4,FALSE))&lt;&gt;"")*(IF(OFFSET(INDIRECT(CELL("address",INDEX('Leave Tracker'!$A$8:$A$105,MATCH($A4,'Leave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Tracker'!$A$8:$A$105,MATCH($A4,'Leave Tracker'!$A$8:$A$105,0)))),0,31*(VLOOKUP(Q$1,Sprints[],5,FALSE))+DAY(VLOOKUP(Q$1,Sprints[],2,FALSE)),1,VLOOKUP(Q$1,Sprints[],4,FALSE))&lt;&gt;"")*(IF(OFFSET(INDIRECT(CELL("address",INDEX('Leave Tracker'!$A$8:$A$105,MATCH($A4,'Leave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Tracker'!$A$8:$A$105,MATCH($A4,'Leave Tracker'!$A$8:$A$105,0)))),0,31*(VLOOKUP(R$1,Sprints[],5,FALSE))+DAY(VLOOKUP(R$1,Sprints[],2,FALSE)),1,VLOOKUP(R$1,Sprints[],4,FALSE))&lt;&gt;"")*(IF(OFFSET(INDIRECT(CELL("address",INDEX('Leave Tracker'!$A$8:$A$105,MATCH($A4,'Leave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Tracker'!$A$8:$A$105,MATCH($A4,'Leave Tracker'!$A$8:$A$105,0)))),0,31*(VLOOKUP(S$1,Sprints[],5,FALSE))+DAY(VLOOKUP(S$1,Sprints[],2,FALSE)),1,VLOOKUP(S$1,Sprints[],4,FALSE))&lt;&gt;"")*(IF(OFFSET(INDIRECT(CELL("address",INDEX('Leave Tracker'!$A$8:$A$105,MATCH($A4,'Leave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Tracker'!$A$8:$A$105,MATCH($A4,'Leave Tracker'!$A$8:$A$105,0)))),0,31*(VLOOKUP(T$1,Sprints[],5,FALSE))+DAY(VLOOKUP(T$1,Sprints[],2,FALSE)),1,VLOOKUP(T$1,Sprints[],4,FALSE))&lt;&gt;"")*(IF(OFFSET(INDIRECT(CELL("address",INDEX('Leave Tracker'!$A$8:$A$105,MATCH($A4,'Leave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Tracker'!$A$8:$A$105,MATCH($A4,'Leave Tracker'!$A$8:$A$105,0)))),0,31*(VLOOKUP(U$1,Sprints[],5,FALSE))+DAY(VLOOKUP(U$1,Sprints[],2,FALSE)),1,VLOOKUP(U$1,Sprints[],4,FALSE))&lt;&gt;"")*(IF(OFFSET(INDIRECT(CELL("address",INDEX('Leave Tracker'!$A$8:$A$105,MATCH($A4,'Leave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Tracker'!$A$8:$A$105,MATCH($A5,'Leave Tracker'!$A$8:$A$105,0)))),0,31*(VLOOKUP(G$1,Sprints[],5,FALSE))+DAY(VLOOKUP(G$1,Sprints[],2,FALSE)),1,VLOOKUP(G$1,Sprints[],4,FALSE))&lt;&gt;"")*(IF(OFFSET(INDIRECT(CELL("address",INDEX('Leave Tracker'!$A$8:$A$105,MATCH($A5,'Leave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Tracker'!$A$8:$A$105,MATCH($A5,'Leave Tracker'!$A$8:$A$105,0)))),0,31*(VLOOKUP(H$1,Sprints[],5,FALSE))+DAY(VLOOKUP(H$1,Sprints[],2,FALSE)),1,VLOOKUP(H$1,Sprints[],4,FALSE))&lt;&gt;"")*(IF(OFFSET(INDIRECT(CELL("address",INDEX('Leave Tracker'!$A$8:$A$105,MATCH($A5,'Leave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Tracker'!$A$8:$A$105,MATCH($A5,'Leave Tracker'!$A$8:$A$105,0)))),0,31*(VLOOKUP(I$1,Sprints[],5,FALSE))+DAY(VLOOKUP(I$1,Sprints[],2,FALSE)),1,VLOOKUP(I$1,Sprints[],4,FALSE))&lt;&gt;"")*(IF(OFFSET(INDIRECT(CELL("address",INDEX('Leave Tracker'!$A$8:$A$105,MATCH($A5,'Leave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Tracker'!$A$8:$A$105,MATCH($A5,'Leave Tracker'!$A$8:$A$105,0)))),0,31*(VLOOKUP(J$1,Sprints[],5,FALSE))+DAY(VLOOKUP(J$1,Sprints[],2,FALSE)),1,VLOOKUP(J$1,Sprints[],4,FALSE))&lt;&gt;"")*(IF(OFFSET(INDIRECT(CELL("address",INDEX('Leave Tracker'!$A$8:$A$105,MATCH($A5,'Leave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Tracker'!$A$8:$A$105,MATCH($A5,'Leave Tracker'!$A$8:$A$105,0)))),0,31*(VLOOKUP(K$1,Sprints[],5,FALSE))+DAY(VLOOKUP(K$1,Sprints[],2,FALSE)),1,VLOOKUP(K$1,Sprints[],4,FALSE))&lt;&gt;"")*(IF(OFFSET(INDIRECT(CELL("address",INDEX('Leave Tracker'!$A$8:$A$105,MATCH($A5,'Leave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Tracker'!$A$8:$A$105,MATCH($A5,'Leave Tracker'!$A$8:$A$105,0)))),0,31*(VLOOKUP(L$1,Sprints[],5,FALSE))+DAY(VLOOKUP(L$1,Sprints[],2,FALSE)),1,VLOOKUP(L$1,Sprints[],4,FALSE))&lt;&gt;"")*(IF(OFFSET(INDIRECT(CELL("address",INDEX('Leave Tracker'!$A$8:$A$105,MATCH($A5,'Leave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Tracker'!$A$8:$A$105,MATCH($A5,'Leave Tracker'!$A$8:$A$105,0)))),0,31*(VLOOKUP(M$1,Sprints[],5,FALSE))+DAY(VLOOKUP(M$1,Sprints[],2,FALSE)),1,VLOOKUP(M$1,Sprints[],4,FALSE))&lt;&gt;"")*(IF(OFFSET(INDIRECT(CELL("address",INDEX('Leave Tracker'!$A$8:$A$105,MATCH($A5,'Leave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Tracker'!$A$8:$A$105,MATCH($A5,'Leave Tracker'!$A$8:$A$105,0)))),0,31*(VLOOKUP(N$1,Sprints[],5,FALSE))+DAY(VLOOKUP(N$1,Sprints[],2,FALSE)),1,VLOOKUP(N$1,Sprints[],4,FALSE))&lt;&gt;"")*(IF(OFFSET(INDIRECT(CELL("address",INDEX('Leave Tracker'!$A$8:$A$105,MATCH($A5,'Leave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Tracker'!$A$8:$A$105,MATCH($A5,'Leave Tracker'!$A$8:$A$105,0)))),0,31*(VLOOKUP(O$1,Sprints[],5,FALSE))+DAY(VLOOKUP(O$1,Sprints[],2,FALSE)),1,VLOOKUP(O$1,Sprints[],4,FALSE))&lt;&gt;"")*(IF(OFFSET(INDIRECT(CELL("address",INDEX('Leave Tracker'!$A$8:$A$105,MATCH($A5,'Leave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3.4000000000000004</v>
      </c>
      <c r="P5">
        <f t="array" aca="1" ref="P5" ca="1">Sheet3!$W$2*$F5*(NETWORKDAYS(VLOOKUP(P$1,Sprints[],2,FALSE), VLOOKUP(P$1,Sprints[],3,FALSE))-SUMPRODUCT((OFFSET(INDIRECT(CELL("address",INDEX('Leave Tracker'!$A$8:$A$105,MATCH($A5,'Leave Tracker'!$A$8:$A$105,0)))),0,31*(VLOOKUP(P$1,Sprints[],5,FALSE))+DAY(VLOOKUP(P$1,Sprints[],2,FALSE)),1,VLOOKUP(P$1,Sprints[],4,FALSE))&lt;&gt;"")*(IF(OFFSET(INDIRECT(CELL("address",INDEX('Leave Tracker'!$A$8:$A$105,MATCH($A5,'Leave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Tracker'!$A$8:$A$105,MATCH($A5,'Leave Tracker'!$A$8:$A$105,0)))),0,31*(VLOOKUP(Q$1,Sprints[],5,FALSE))+DAY(VLOOKUP(Q$1,Sprints[],2,FALSE)),1,VLOOKUP(Q$1,Sprints[],4,FALSE))&lt;&gt;"")*(IF(OFFSET(INDIRECT(CELL("address",INDEX('Leave Tracker'!$A$8:$A$105,MATCH($A5,'Leave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5">
        <f t="array" aca="1" ref="R5" ca="1">Sheet3!$W$2*$F5*(NETWORKDAYS(VLOOKUP(R$1,Sprints[],2,FALSE), VLOOKUP(R$1,Sprints[],3,FALSE))-SUMPRODUCT((OFFSET(INDIRECT(CELL("address",INDEX('Leave Tracker'!$A$8:$A$105,MATCH($A5,'Leave Tracker'!$A$8:$A$105,0)))),0,31*(VLOOKUP(R$1,Sprints[],5,FALSE))+DAY(VLOOKUP(R$1,Sprints[],2,FALSE)),1,VLOOKUP(R$1,Sprints[],4,FALSE))&lt;&gt;"")*(IF(OFFSET(INDIRECT(CELL("address",INDEX('Leave Tracker'!$A$8:$A$105,MATCH($A5,'Leave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Tracker'!$A$8:$A$105,MATCH($A5,'Leave Tracker'!$A$8:$A$105,0)))),0,31*(VLOOKUP(S$1,Sprints[],5,FALSE))+DAY(VLOOKUP(S$1,Sprints[],2,FALSE)),1,VLOOKUP(S$1,Sprints[],4,FALSE))&lt;&gt;"")*(IF(OFFSET(INDIRECT(CELL("address",INDEX('Leave Tracker'!$A$8:$A$105,MATCH($A5,'Leave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5" s="31">
        <f t="array" aca="1" ref="T5" ca="1">Sheet3!$W$2*$F5*(NETWORKDAYS(VLOOKUP(T$1,Sprints[],2,FALSE), VLOOKUP(T$1,Sprints[],3,FALSE))-SUMPRODUCT((OFFSET(INDIRECT(CELL("address",INDEX('Leave Tracker'!$A$8:$A$105,MATCH($A5,'Leave Tracker'!$A$8:$A$105,0)))),0,31*(VLOOKUP(T$1,Sprints[],5,FALSE))+DAY(VLOOKUP(T$1,Sprints[],2,FALSE)),1,VLOOKUP(T$1,Sprints[],4,FALSE))&lt;&gt;"")*(IF(OFFSET(INDIRECT(CELL("address",INDEX('Leave Tracker'!$A$8:$A$105,MATCH($A5,'Leave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Tracker'!$A$8:$A$105,MATCH($A5,'Leave Tracker'!$A$8:$A$105,0)))),0,31*(VLOOKUP(U$1,Sprints[],5,FALSE))+DAY(VLOOKUP(U$1,Sprints[],2,FALSE)),1,VLOOKUP(U$1,Sprints[],4,FALSE))&lt;&gt;"")*(IF(OFFSET(INDIRECT(CELL("address",INDEX('Leave Tracker'!$A$8:$A$105,MATCH($A5,'Leave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Tracker'!$A$8:$A$105,MATCH($A6,'Leave Tracker'!$A$8:$A$105,0)))),0,31*(VLOOKUP(G$1,Sprints[],5,FALSE))+DAY(VLOOKUP(G$1,Sprints[],2,FALSE)),1,VLOOKUP(G$1,Sprints[],4,FALSE))&lt;&gt;"")*(IF(OFFSET(INDIRECT(CELL("address",INDEX('Leave Tracker'!$A$8:$A$105,MATCH($A6,'Leave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Tracker'!$A$8:$A$105,MATCH($A6,'Leave Tracker'!$A$8:$A$105,0)))),0,31*(VLOOKUP(H$1,Sprints[],5,FALSE))+DAY(VLOOKUP(H$1,Sprints[],2,FALSE)),1,VLOOKUP(H$1,Sprints[],4,FALSE))&lt;&gt;"")*(IF(OFFSET(INDIRECT(CELL("address",INDEX('Leave Tracker'!$A$8:$A$105,MATCH($A6,'Leave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Tracker'!$A$8:$A$105,MATCH($A6,'Leave Tracker'!$A$8:$A$105,0)))),0,31*(VLOOKUP(I$1,Sprints[],5,FALSE))+DAY(VLOOKUP(I$1,Sprints[],2,FALSE)),1,VLOOKUP(I$1,Sprints[],4,FALSE))&lt;&gt;"")*(IF(OFFSET(INDIRECT(CELL("address",INDEX('Leave Tracker'!$A$8:$A$105,MATCH($A6,'Leave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Tracker'!$A$8:$A$105,MATCH($A6,'Leave Tracker'!$A$8:$A$105,0)))),0,31*(VLOOKUP(J$1,Sprints[],5,FALSE))+DAY(VLOOKUP(J$1,Sprints[],2,FALSE)),1,VLOOKUP(J$1,Sprints[],4,FALSE))&lt;&gt;"")*(IF(OFFSET(INDIRECT(CELL("address",INDEX('Leave Tracker'!$A$8:$A$105,MATCH($A6,'Leave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Tracker'!$A$8:$A$105,MATCH($A6,'Leave Tracker'!$A$8:$A$105,0)))),0,31*(VLOOKUP(K$1,Sprints[],5,FALSE))+DAY(VLOOKUP(K$1,Sprints[],2,FALSE)),1,VLOOKUP(K$1,Sprints[],4,FALSE))&lt;&gt;"")*(IF(OFFSET(INDIRECT(CELL("address",INDEX('Leave Tracker'!$A$8:$A$105,MATCH($A6,'Leave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Tracker'!$A$8:$A$105,MATCH($A6,'Leave Tracker'!$A$8:$A$105,0)))),0,31*(VLOOKUP(L$1,Sprints[],5,FALSE))+DAY(VLOOKUP(L$1,Sprints[],2,FALSE)),1,VLOOKUP(L$1,Sprints[],4,FALSE))&lt;&gt;"")*(IF(OFFSET(INDIRECT(CELL("address",INDEX('Leave Tracker'!$A$8:$A$105,MATCH($A6,'Leave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Tracker'!$A$8:$A$105,MATCH($A6,'Leave Tracker'!$A$8:$A$105,0)))),0,31*(VLOOKUP(M$1,Sprints[],5,FALSE))+DAY(VLOOKUP(M$1,Sprints[],2,FALSE)),1,VLOOKUP(M$1,Sprints[],4,FALSE))&lt;&gt;"")*(IF(OFFSET(INDIRECT(CELL("address",INDEX('Leave Tracker'!$A$8:$A$105,MATCH($A6,'Leave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Tracker'!$A$8:$A$105,MATCH($A6,'Leave Tracker'!$A$8:$A$105,0)))),0,31*(VLOOKUP(N$1,Sprints[],5,FALSE))+DAY(VLOOKUP(N$1,Sprints[],2,FALSE)),1,VLOOKUP(N$1,Sprints[],4,FALSE))&lt;&gt;"")*(IF(OFFSET(INDIRECT(CELL("address",INDEX('Leave Tracker'!$A$8:$A$105,MATCH($A6,'Leave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Tracker'!$A$8:$A$105,MATCH($A6,'Leave Tracker'!$A$8:$A$105,0)))),0,31*(VLOOKUP(O$1,Sprints[],5,FALSE))+DAY(VLOOKUP(O$1,Sprints[],2,FALSE)),1,VLOOKUP(O$1,Sprints[],4,FALSE))&lt;&gt;"")*(IF(OFFSET(INDIRECT(CELL("address",INDEX('Leave Tracker'!$A$8:$A$105,MATCH($A6,'Leave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Tracker'!$A$8:$A$105,MATCH($A6,'Leave Tracker'!$A$8:$A$105,0)))),0,31*(VLOOKUP(P$1,Sprints[],5,FALSE))+DAY(VLOOKUP(P$1,Sprints[],2,FALSE)),1,VLOOKUP(P$1,Sprints[],4,FALSE))&lt;&gt;"")*(IF(OFFSET(INDIRECT(CELL("address",INDEX('Leave Tracker'!$A$8:$A$105,MATCH($A6,'Leave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Tracker'!$A$8:$A$105,MATCH($A6,'Leave Tracker'!$A$8:$A$105,0)))),0,31*(VLOOKUP(Q$1,Sprints[],5,FALSE))+DAY(VLOOKUP(Q$1,Sprints[],2,FALSE)),1,VLOOKUP(Q$1,Sprints[],4,FALSE))&lt;&gt;"")*(IF(OFFSET(INDIRECT(CELL("address",INDEX('Leave Tracker'!$A$8:$A$105,MATCH($A6,'Leave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Tracker'!$A$8:$A$105,MATCH($A6,'Leave Tracker'!$A$8:$A$105,0)))),0,31*(VLOOKUP(R$1,Sprints[],5,FALSE))+DAY(VLOOKUP(R$1,Sprints[],2,FALSE)),1,VLOOKUP(R$1,Sprints[],4,FALSE))&lt;&gt;"")*(IF(OFFSET(INDIRECT(CELL("address",INDEX('Leave Tracker'!$A$8:$A$105,MATCH($A6,'Leave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Tracker'!$A$8:$A$105,MATCH($A6,'Leave Tracker'!$A$8:$A$105,0)))),0,31*(VLOOKUP(S$1,Sprints[],5,FALSE))+DAY(VLOOKUP(S$1,Sprints[],2,FALSE)),1,VLOOKUP(S$1,Sprints[],4,FALSE))&lt;&gt;"")*(IF(OFFSET(INDIRECT(CELL("address",INDEX('Leave Tracker'!$A$8:$A$105,MATCH($A6,'Leave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Tracker'!$A$8:$A$105,MATCH($A6,'Leave Tracker'!$A$8:$A$105,0)))),0,31*(VLOOKUP(T$1,Sprints[],5,FALSE))+DAY(VLOOKUP(T$1,Sprints[],2,FALSE)),1,VLOOKUP(T$1,Sprints[],4,FALSE))&lt;&gt;"")*(IF(OFFSET(INDIRECT(CELL("address",INDEX('Leave Tracker'!$A$8:$A$105,MATCH($A6,'Leave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Tracker'!$A$8:$A$105,MATCH($A6,'Leave Tracker'!$A$8:$A$105,0)))),0,31*(VLOOKUP(U$1,Sprints[],5,FALSE))+DAY(VLOOKUP(U$1,Sprints[],2,FALSE)),1,VLOOKUP(U$1,Sprints[],4,FALSE))&lt;&gt;"")*(IF(OFFSET(INDIRECT(CELL("address",INDEX('Leave Tracker'!$A$8:$A$105,MATCH($A6,'Leave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29.100000000000005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Tracker'!$A$8:$A$105,MATCH($A7,'Leave Tracker'!$A$8:$A$105,0)))),0,31*(VLOOKUP(G$1,Sprints[],5,FALSE))+DAY(VLOOKUP(G$1,Sprints[],2,FALSE)),1,VLOOKUP(G$1,Sprints[],4,FALSE))&lt;&gt;"")*(IF(OFFSET(INDIRECT(CELL("address",INDEX('Leave Tracker'!$A$8:$A$105,MATCH($A7,'Leave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Tracker'!$A$8:$A$105,MATCH($A7,'Leave Tracker'!$A$8:$A$105,0)))),0,31*(VLOOKUP(H$1,Sprints[],5,FALSE))+DAY(VLOOKUP(H$1,Sprints[],2,FALSE)),1,VLOOKUP(H$1,Sprints[],4,FALSE))&lt;&gt;"")*(IF(OFFSET(INDIRECT(CELL("address",INDEX('Leave Tracker'!$A$8:$A$105,MATCH($A7,'Leave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Tracker'!$A$8:$A$105,MATCH($A7,'Leave Tracker'!$A$8:$A$105,0)))),0,31*(VLOOKUP(I$1,Sprints[],5,FALSE))+DAY(VLOOKUP(I$1,Sprints[],2,FALSE)),1,VLOOKUP(I$1,Sprints[],4,FALSE))&lt;&gt;"")*(IF(OFFSET(INDIRECT(CELL("address",INDEX('Leave Tracker'!$A$8:$A$105,MATCH($A7,'Leave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Tracker'!$A$8:$A$105,MATCH($A7,'Leave Tracker'!$A$8:$A$105,0)))),0,31*(VLOOKUP(J$1,Sprints[],5,FALSE))+DAY(VLOOKUP(J$1,Sprints[],2,FALSE)),1,VLOOKUP(J$1,Sprints[],4,FALSE))&lt;&gt;"")*(IF(OFFSET(INDIRECT(CELL("address",INDEX('Leave Tracker'!$A$8:$A$105,MATCH($A7,'Leave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Tracker'!$A$8:$A$105,MATCH($A7,'Leave Tracker'!$A$8:$A$105,0)))),0,31*(VLOOKUP(K$1,Sprints[],5,FALSE))+DAY(VLOOKUP(K$1,Sprints[],2,FALSE)),1,VLOOKUP(K$1,Sprints[],4,FALSE))&lt;&gt;"")*(IF(OFFSET(INDIRECT(CELL("address",INDEX('Leave Tracker'!$A$8:$A$105,MATCH($A7,'Leave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Tracker'!$A$8:$A$105,MATCH($A7,'Leave Tracker'!$A$8:$A$105,0)))),0,31*(VLOOKUP(L$1,Sprints[],5,FALSE))+DAY(VLOOKUP(L$1,Sprints[],2,FALSE)),1,VLOOKUP(L$1,Sprints[],4,FALSE))&lt;&gt;"")*(IF(OFFSET(INDIRECT(CELL("address",INDEX('Leave Tracker'!$A$8:$A$105,MATCH($A7,'Leave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Tracker'!$A$8:$A$105,MATCH($A7,'Leave Tracker'!$A$8:$A$105,0)))),0,31*(VLOOKUP(M$1,Sprints[],5,FALSE))+DAY(VLOOKUP(M$1,Sprints[],2,FALSE)),1,VLOOKUP(M$1,Sprints[],4,FALSE))&lt;&gt;"")*(IF(OFFSET(INDIRECT(CELL("address",INDEX('Leave Tracker'!$A$8:$A$105,MATCH($A7,'Leave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Tracker'!$A$8:$A$105,MATCH($A7,'Leave Tracker'!$A$8:$A$105,0)))),0,31*(VLOOKUP(N$1,Sprints[],5,FALSE))+DAY(VLOOKUP(N$1,Sprints[],2,FALSE)),1,VLOOKUP(N$1,Sprints[],4,FALSE))&lt;&gt;"")*(IF(OFFSET(INDIRECT(CELL("address",INDEX('Leave Tracker'!$A$8:$A$105,MATCH($A7,'Leave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Tracker'!$A$8:$A$105,MATCH($A7,'Leave Tracker'!$A$8:$A$105,0)))),0,31*(VLOOKUP(O$1,Sprints[],5,FALSE))+DAY(VLOOKUP(O$1,Sprints[],2,FALSE)),1,VLOOKUP(O$1,Sprints[],4,FALSE))&lt;&gt;"")*(IF(OFFSET(INDIRECT(CELL("address",INDEX('Leave Tracker'!$A$8:$A$105,MATCH($A7,'Leave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</v>
      </c>
      <c r="P7" s="31">
        <f t="array" aca="1" ref="P7" ca="1">Sheet3!$W$2*$F7*(NETWORKDAYS(VLOOKUP(P$1,Sprints[],2,FALSE), VLOOKUP(P$1,Sprints[],3,FALSE))-SUMPRODUCT((OFFSET(INDIRECT(CELL("address",INDEX('Leave Tracker'!$A$8:$A$105,MATCH($A7,'Leave Tracker'!$A$8:$A$105,0)))),0,31*(VLOOKUP(P$1,Sprints[],5,FALSE))+DAY(VLOOKUP(P$1,Sprints[],2,FALSE)),1,VLOOKUP(P$1,Sprints[],4,FALSE))&lt;&gt;"")*(IF(OFFSET(INDIRECT(CELL("address",INDEX('Leave Tracker'!$A$8:$A$105,MATCH($A7,'Leave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7" s="31">
        <f t="array" aca="1" ref="Q7" ca="1">Sheet3!$W$2*$F7*(NETWORKDAYS(VLOOKUP(Q$1,Sprints[],2,FALSE), VLOOKUP(Q$1,Sprints[],3,FALSE))-SUMPRODUCT((OFFSET(INDIRECT(CELL("address",INDEX('Leave Tracker'!$A$8:$A$105,MATCH($A7,'Leave Tracker'!$A$8:$A$105,0)))),0,31*(VLOOKUP(Q$1,Sprints[],5,FALSE))+DAY(VLOOKUP(Q$1,Sprints[],2,FALSE)),1,VLOOKUP(Q$1,Sprints[],4,FALSE))&lt;&gt;"")*(IF(OFFSET(INDIRECT(CELL("address",INDEX('Leave Tracker'!$A$8:$A$105,MATCH($A7,'Leave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Tracker'!$A$8:$A$105,MATCH($A7,'Leave Tracker'!$A$8:$A$105,0)))),0,31*(VLOOKUP(R$1,Sprints[],5,FALSE))+DAY(VLOOKUP(R$1,Sprints[],2,FALSE)),1,VLOOKUP(R$1,Sprints[],4,FALSE))&lt;&gt;"")*(IF(OFFSET(INDIRECT(CELL("address",INDEX('Leave Tracker'!$A$8:$A$105,MATCH($A7,'Leave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7" s="31">
        <f t="array" aca="1" ref="S7" ca="1">Sheet3!$W$2*$F7*(NETWORKDAYS(VLOOKUP(S$1,Sprints[],2,FALSE), VLOOKUP(S$1,Sprints[],3,FALSE))-SUMPRODUCT((OFFSET(INDIRECT(CELL("address",INDEX('Leave Tracker'!$A$8:$A$105,MATCH($A7,'Leave Tracker'!$A$8:$A$105,0)))),0,31*(VLOOKUP(S$1,Sprints[],5,FALSE))+DAY(VLOOKUP(S$1,Sprints[],2,FALSE)),1,VLOOKUP(S$1,Sprints[],4,FALSE))&lt;&gt;"")*(IF(OFFSET(INDIRECT(CELL("address",INDEX('Leave Tracker'!$A$8:$A$105,MATCH($A7,'Leave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Tracker'!$A$8:$A$105,MATCH($A7,'Leave Tracker'!$A$8:$A$105,0)))),0,31*(VLOOKUP(T$1,Sprints[],5,FALSE))+DAY(VLOOKUP(T$1,Sprints[],2,FALSE)),1,VLOOKUP(T$1,Sprints[],4,FALSE))&lt;&gt;"")*(IF(OFFSET(INDIRECT(CELL("address",INDEX('Leave Tracker'!$A$8:$A$105,MATCH($A7,'Leave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Tracker'!$A$8:$A$105,MATCH($A7,'Leave Tracker'!$A$8:$A$105,0)))),0,31*(VLOOKUP(U$1,Sprints[],5,FALSE))+DAY(VLOOKUP(U$1,Sprints[],2,FALSE)),1,VLOOKUP(U$1,Sprints[],4,FALSE))&lt;&gt;"")*(IF(OFFSET(INDIRECT(CELL("address",INDEX('Leave Tracker'!$A$8:$A$105,MATCH($A7,'Leave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20.6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Tracker'!$A$8:$A$105,MATCH($A8,'Leave Tracker'!$A$8:$A$105,0)))),0,31*(VLOOKUP(G$1,Sprints[],5,FALSE))+DAY(VLOOKUP(G$1,Sprints[],2,FALSE)),1,VLOOKUP(G$1,Sprints[],4,FALSE))&lt;&gt;"")*(IF(OFFSET(INDIRECT(CELL("address",INDEX('Leave Tracker'!$A$8:$A$105,MATCH($A8,'Leave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Tracker'!$A$8:$A$105,MATCH($A8,'Leave Tracker'!$A$8:$A$105,0)))),0,31*(VLOOKUP(H$1,Sprints[],5,FALSE))+DAY(VLOOKUP(H$1,Sprints[],2,FALSE)),1,VLOOKUP(H$1,Sprints[],4,FALSE))&lt;&gt;"")*(IF(OFFSET(INDIRECT(CELL("address",INDEX('Leave Tracker'!$A$8:$A$105,MATCH($A8,'Leave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Tracker'!$A$8:$A$105,MATCH($A8,'Leave Tracker'!$A$8:$A$105,0)))),0,31*(VLOOKUP(I$1,Sprints[],5,FALSE))+DAY(VLOOKUP(I$1,Sprints[],2,FALSE)),1,VLOOKUP(I$1,Sprints[],4,FALSE))&lt;&gt;"")*(IF(OFFSET(INDIRECT(CELL("address",INDEX('Leave Tracker'!$A$8:$A$105,MATCH($A8,'Leave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Tracker'!$A$8:$A$105,MATCH($A8,'Leave Tracker'!$A$8:$A$105,0)))),0,31*(VLOOKUP(J$1,Sprints[],5,FALSE))+DAY(VLOOKUP(J$1,Sprints[],2,FALSE)),1,VLOOKUP(J$1,Sprints[],4,FALSE))&lt;&gt;"")*(IF(OFFSET(INDIRECT(CELL("address",INDEX('Leave Tracker'!$A$8:$A$105,MATCH($A8,'Leave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Tracker'!$A$8:$A$105,MATCH($A8,'Leave Tracker'!$A$8:$A$105,0)))),0,31*(VLOOKUP(K$1,Sprints[],5,FALSE))+DAY(VLOOKUP(K$1,Sprints[],2,FALSE)),1,VLOOKUP(K$1,Sprints[],4,FALSE))&lt;&gt;"")*(IF(OFFSET(INDIRECT(CELL("address",INDEX('Leave Tracker'!$A$8:$A$105,MATCH($A8,'Leave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Tracker'!$A$8:$A$105,MATCH($A8,'Leave Tracker'!$A$8:$A$105,0)))),0,31*(VLOOKUP(L$1,Sprints[],5,FALSE))+DAY(VLOOKUP(L$1,Sprints[],2,FALSE)),1,VLOOKUP(L$1,Sprints[],4,FALSE))&lt;&gt;"")*(IF(OFFSET(INDIRECT(CELL("address",INDEX('Leave Tracker'!$A$8:$A$105,MATCH($A8,'Leave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Tracker'!$A$8:$A$105,MATCH($A8,'Leave Tracker'!$A$8:$A$105,0)))),0,31*(VLOOKUP(M$1,Sprints[],5,FALSE))+DAY(VLOOKUP(M$1,Sprints[],2,FALSE)),1,VLOOKUP(M$1,Sprints[],4,FALSE))&lt;&gt;"")*(IF(OFFSET(INDIRECT(CELL("address",INDEX('Leave Tracker'!$A$8:$A$105,MATCH($A8,'Leave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Tracker'!$A$8:$A$105,MATCH($A8,'Leave Tracker'!$A$8:$A$105,0)))),0,31*(VLOOKUP(N$1,Sprints[],5,FALSE))+DAY(VLOOKUP(N$1,Sprints[],2,FALSE)),1,VLOOKUP(N$1,Sprints[],4,FALSE))&lt;&gt;"")*(IF(OFFSET(INDIRECT(CELL("address",INDEX('Leave Tracker'!$A$8:$A$105,MATCH($A8,'Leave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Tracker'!$A$8:$A$105,MATCH($A8,'Leave Tracker'!$A$8:$A$105,0)))),0,31*(VLOOKUP(O$1,Sprints[],5,FALSE))+DAY(VLOOKUP(O$1,Sprints[],2,FALSE)),1,VLOOKUP(O$1,Sprints[],4,FALSE))&lt;&gt;"")*(IF(OFFSET(INDIRECT(CELL("address",INDEX('Leave Tracker'!$A$8:$A$105,MATCH($A8,'Leave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Tracker'!$A$8:$A$105,MATCH($A8,'Leave Tracker'!$A$8:$A$105,0)))),0,31*(VLOOKUP(P$1,Sprints[],5,FALSE))+DAY(VLOOKUP(P$1,Sprints[],2,FALSE)),1,VLOOKUP(P$1,Sprints[],4,FALSE))&lt;&gt;"")*(IF(OFFSET(INDIRECT(CELL("address",INDEX('Leave Tracker'!$A$8:$A$105,MATCH($A8,'Leave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Tracker'!$A$8:$A$105,MATCH($A8,'Leave Tracker'!$A$8:$A$105,0)))),0,31*(VLOOKUP(Q$1,Sprints[],5,FALSE))+DAY(VLOOKUP(Q$1,Sprints[],2,FALSE)),1,VLOOKUP(Q$1,Sprints[],4,FALSE))&lt;&gt;"")*(IF(OFFSET(INDIRECT(CELL("address",INDEX('Leave Tracker'!$A$8:$A$105,MATCH($A8,'Leave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Tracker'!$A$8:$A$105,MATCH($A8,'Leave Tracker'!$A$8:$A$105,0)))),0,31*(VLOOKUP(R$1,Sprints[],5,FALSE))+DAY(VLOOKUP(R$1,Sprints[],2,FALSE)),1,VLOOKUP(R$1,Sprints[],4,FALSE))&lt;&gt;"")*(IF(OFFSET(INDIRECT(CELL("address",INDEX('Leave Tracker'!$A$8:$A$105,MATCH($A8,'Leave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Tracker'!$A$8:$A$105,MATCH($A8,'Leave Tracker'!$A$8:$A$105,0)))),0,31*(VLOOKUP(S$1,Sprints[],5,FALSE))+DAY(VLOOKUP(S$1,Sprints[],2,FALSE)),1,VLOOKUP(S$1,Sprints[],4,FALSE))&lt;&gt;"")*(IF(OFFSET(INDIRECT(CELL("address",INDEX('Leave Tracker'!$A$8:$A$105,MATCH($A8,'Leave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Tracker'!$A$8:$A$105,MATCH($A8,'Leave Tracker'!$A$8:$A$105,0)))),0,31*(VLOOKUP(T$1,Sprints[],5,FALSE))+DAY(VLOOKUP(T$1,Sprints[],2,FALSE)),1,VLOOKUP(T$1,Sprints[],4,FALSE))&lt;&gt;"")*(IF(OFFSET(INDIRECT(CELL("address",INDEX('Leave Tracker'!$A$8:$A$105,MATCH($A8,'Leave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Tracker'!$A$8:$A$105,MATCH($A8,'Leave Tracker'!$A$8:$A$105,0)))),0,31*(VLOOKUP(U$1,Sprints[],5,FALSE))+DAY(VLOOKUP(U$1,Sprints[],2,FALSE)),1,VLOOKUP(U$1,Sprints[],4,FALSE))&lt;&gt;"")*(IF(OFFSET(INDIRECT(CELL("address",INDEX('Leave Tracker'!$A$8:$A$105,MATCH($A8,'Leave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28.500000000000004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Tracker'!$A$8:$A$105,MATCH($A9,'Leave Tracker'!$A$8:$A$105,0)))),0,31*(VLOOKUP(G$1,Sprints[],5,FALSE))+DAY(VLOOKUP(G$1,Sprints[],2,FALSE)),1,VLOOKUP(G$1,Sprints[],4,FALSE))&lt;&gt;"")*(IF(OFFSET(INDIRECT(CELL("address",INDEX('Leave Tracker'!$A$8:$A$105,MATCH($A9,'Leave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Tracker'!$A$8:$A$105,MATCH($A9,'Leave Tracker'!$A$8:$A$105,0)))),0,31*(VLOOKUP(H$1,Sprints[],5,FALSE))+DAY(VLOOKUP(H$1,Sprints[],2,FALSE)),1,VLOOKUP(H$1,Sprints[],4,FALSE))&lt;&gt;"")*(IF(OFFSET(INDIRECT(CELL("address",INDEX('Leave Tracker'!$A$8:$A$105,MATCH($A9,'Leave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Tracker'!$A$8:$A$105,MATCH($A9,'Leave Tracker'!$A$8:$A$105,0)))),0,31*(VLOOKUP(I$1,Sprints[],5,FALSE))+DAY(VLOOKUP(I$1,Sprints[],2,FALSE)),1,VLOOKUP(I$1,Sprints[],4,FALSE))&lt;&gt;"")*(IF(OFFSET(INDIRECT(CELL("address",INDEX('Leave Tracker'!$A$8:$A$105,MATCH($A9,'Leave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Tracker'!$A$8:$A$105,MATCH($A9,'Leave Tracker'!$A$8:$A$105,0)))),0,31*(VLOOKUP(J$1,Sprints[],5,FALSE))+DAY(VLOOKUP(J$1,Sprints[],2,FALSE)),1,VLOOKUP(J$1,Sprints[],4,FALSE))&lt;&gt;"")*(IF(OFFSET(INDIRECT(CELL("address",INDEX('Leave Tracker'!$A$8:$A$105,MATCH($A9,'Leave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Tracker'!$A$8:$A$105,MATCH($A9,'Leave Tracker'!$A$8:$A$105,0)))),0,31*(VLOOKUP(K$1,Sprints[],5,FALSE))+DAY(VLOOKUP(K$1,Sprints[],2,FALSE)),1,VLOOKUP(K$1,Sprints[],4,FALSE))&lt;&gt;"")*(IF(OFFSET(INDIRECT(CELL("address",INDEX('Leave Tracker'!$A$8:$A$105,MATCH($A9,'Leave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Tracker'!$A$8:$A$105,MATCH($A9,'Leave Tracker'!$A$8:$A$105,0)))),0,31*(VLOOKUP(L$1,Sprints[],5,FALSE))+DAY(VLOOKUP(L$1,Sprints[],2,FALSE)),1,VLOOKUP(L$1,Sprints[],4,FALSE))&lt;&gt;"")*(IF(OFFSET(INDIRECT(CELL("address",INDEX('Leave Tracker'!$A$8:$A$105,MATCH($A9,'Leave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Tracker'!$A$8:$A$105,MATCH($A9,'Leave Tracker'!$A$8:$A$105,0)))),0,31*(VLOOKUP(M$1,Sprints[],5,FALSE))+DAY(VLOOKUP(M$1,Sprints[],2,FALSE)),1,VLOOKUP(M$1,Sprints[],4,FALSE))&lt;&gt;"")*(IF(OFFSET(INDIRECT(CELL("address",INDEX('Leave Tracker'!$A$8:$A$105,MATCH($A9,'Leave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Tracker'!$A$8:$A$105,MATCH($A9,'Leave Tracker'!$A$8:$A$105,0)))),0,31*(VLOOKUP(N$1,Sprints[],5,FALSE))+DAY(VLOOKUP(N$1,Sprints[],2,FALSE)),1,VLOOKUP(N$1,Sprints[],4,FALSE))&lt;&gt;"")*(IF(OFFSET(INDIRECT(CELL("address",INDEX('Leave Tracker'!$A$8:$A$105,MATCH($A9,'Leave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Tracker'!$A$8:$A$105,MATCH($A9,'Leave Tracker'!$A$8:$A$105,0)))),0,31*(VLOOKUP(O$1,Sprints[],5,FALSE))+DAY(VLOOKUP(O$1,Sprints[],2,FALSE)),1,VLOOKUP(O$1,Sprints[],4,FALSE))&lt;&gt;"")*(IF(OFFSET(INDIRECT(CELL("address",INDEX('Leave Tracker'!$A$8:$A$105,MATCH($A9,'Leave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Tracker'!$A$8:$A$105,MATCH($A9,'Leave Tracker'!$A$8:$A$105,0)))),0,31*(VLOOKUP(P$1,Sprints[],5,FALSE))+DAY(VLOOKUP(P$1,Sprints[],2,FALSE)),1,VLOOKUP(P$1,Sprints[],4,FALSE))&lt;&gt;"")*(IF(OFFSET(INDIRECT(CELL("address",INDEX('Leave Tracker'!$A$8:$A$105,MATCH($A9,'Leave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Tracker'!$A$8:$A$105,MATCH($A9,'Leave Tracker'!$A$8:$A$105,0)))),0,31*(VLOOKUP(Q$1,Sprints[],5,FALSE))+DAY(VLOOKUP(Q$1,Sprints[],2,FALSE)),1,VLOOKUP(Q$1,Sprints[],4,FALSE))&lt;&gt;"")*(IF(OFFSET(INDIRECT(CELL("address",INDEX('Leave Tracker'!$A$8:$A$105,MATCH($A9,'Leave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Tracker'!$A$8:$A$105,MATCH($A9,'Leave Tracker'!$A$8:$A$105,0)))),0,31*(VLOOKUP(R$1,Sprints[],5,FALSE))+DAY(VLOOKUP(R$1,Sprints[],2,FALSE)),1,VLOOKUP(R$1,Sprints[],4,FALSE))&lt;&gt;"")*(IF(OFFSET(INDIRECT(CELL("address",INDEX('Leave Tracker'!$A$8:$A$105,MATCH($A9,'Leave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Tracker'!$A$8:$A$105,MATCH($A9,'Leave Tracker'!$A$8:$A$105,0)))),0,31*(VLOOKUP(S$1,Sprints[],5,FALSE))+DAY(VLOOKUP(S$1,Sprints[],2,FALSE)),1,VLOOKUP(S$1,Sprints[],4,FALSE))&lt;&gt;"")*(IF(OFFSET(INDIRECT(CELL("address",INDEX('Leave Tracker'!$A$8:$A$105,MATCH($A9,'Leave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Tracker'!$A$8:$A$105,MATCH($A9,'Leave Tracker'!$A$8:$A$105,0)))),0,31*(VLOOKUP(T$1,Sprints[],5,FALSE))+DAY(VLOOKUP(T$1,Sprints[],2,FALSE)),1,VLOOKUP(T$1,Sprints[],4,FALSE))&lt;&gt;"")*(IF(OFFSET(INDIRECT(CELL("address",INDEX('Leave Tracker'!$A$8:$A$105,MATCH($A9,'Leave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Tracker'!$A$8:$A$105,MATCH($A9,'Leave Tracker'!$A$8:$A$105,0)))),0,31*(VLOOKUP(U$1,Sprints[],5,FALSE))+DAY(VLOOKUP(U$1,Sprints[],2,FALSE)),1,VLOOKUP(U$1,Sprints[],4,FALSE))&lt;&gt;"")*(IF(OFFSET(INDIRECT(CELL("address",INDEX('Leave Tracker'!$A$8:$A$105,MATCH($A9,'Leave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Tracker'!$A$8:$A$105,MATCH($A10,'Leave Tracker'!$A$8:$A$105,0)))),0,31*(VLOOKUP(G$1,Sprints[],5,FALSE))+DAY(VLOOKUP(G$1,Sprints[],2,FALSE)),1,VLOOKUP(G$1,Sprints[],4,FALSE))&lt;&gt;"")*(IF(OFFSET(INDIRECT(CELL("address",INDEX('Leave Tracker'!$A$8:$A$105,MATCH($A10,'Leave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Tracker'!$A$8:$A$105,MATCH($A10,'Leave Tracker'!$A$8:$A$105,0)))),0,31*(VLOOKUP(H$1,Sprints[],5,FALSE))+DAY(VLOOKUP(H$1,Sprints[],2,FALSE)),1,VLOOKUP(H$1,Sprints[],4,FALSE))&lt;&gt;"")*(IF(OFFSET(INDIRECT(CELL("address",INDEX('Leave Tracker'!$A$8:$A$105,MATCH($A10,'Leave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Tracker'!$A$8:$A$105,MATCH($A10,'Leave Tracker'!$A$8:$A$105,0)))),0,31*(VLOOKUP(I$1,Sprints[],5,FALSE))+DAY(VLOOKUP(I$1,Sprints[],2,FALSE)),1,VLOOKUP(I$1,Sprints[],4,FALSE))&lt;&gt;"")*(IF(OFFSET(INDIRECT(CELL("address",INDEX('Leave Tracker'!$A$8:$A$105,MATCH($A10,'Leave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Tracker'!$A$8:$A$105,MATCH($A10,'Leave Tracker'!$A$8:$A$105,0)))),0,31*(VLOOKUP(J$1,Sprints[],5,FALSE))+DAY(VLOOKUP(J$1,Sprints[],2,FALSE)),1,VLOOKUP(J$1,Sprints[],4,FALSE))&lt;&gt;"")*(IF(OFFSET(INDIRECT(CELL("address",INDEX('Leave Tracker'!$A$8:$A$105,MATCH($A10,'Leave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Tracker'!$A$8:$A$105,MATCH($A10,'Leave Tracker'!$A$8:$A$105,0)))),0,31*(VLOOKUP(K$1,Sprints[],5,FALSE))+DAY(VLOOKUP(K$1,Sprints[],2,FALSE)),1,VLOOKUP(K$1,Sprints[],4,FALSE))&lt;&gt;"")*(IF(OFFSET(INDIRECT(CELL("address",INDEX('Leave Tracker'!$A$8:$A$105,MATCH($A10,'Leave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Tracker'!$A$8:$A$105,MATCH($A10,'Leave Tracker'!$A$8:$A$105,0)))),0,31*(VLOOKUP(L$1,Sprints[],5,FALSE))+DAY(VLOOKUP(L$1,Sprints[],2,FALSE)),1,VLOOKUP(L$1,Sprints[],4,FALSE))&lt;&gt;"")*(IF(OFFSET(INDIRECT(CELL("address",INDEX('Leave Tracker'!$A$8:$A$105,MATCH($A10,'Leave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Tracker'!$A$8:$A$105,MATCH($A10,'Leave Tracker'!$A$8:$A$105,0)))),0,31*(VLOOKUP(M$1,Sprints[],5,FALSE))+DAY(VLOOKUP(M$1,Sprints[],2,FALSE)),1,VLOOKUP(M$1,Sprints[],4,FALSE))&lt;&gt;"")*(IF(OFFSET(INDIRECT(CELL("address",INDEX('Leave Tracker'!$A$8:$A$105,MATCH($A10,'Leave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Tracker'!$A$8:$A$105,MATCH($A10,'Leave Tracker'!$A$8:$A$105,0)))),0,31*(VLOOKUP(N$1,Sprints[],5,FALSE))+DAY(VLOOKUP(N$1,Sprints[],2,FALSE)),1,VLOOKUP(N$1,Sprints[],4,FALSE))&lt;&gt;"")*(IF(OFFSET(INDIRECT(CELL("address",INDEX('Leave Tracker'!$A$8:$A$105,MATCH($A10,'Leave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Tracker'!$A$8:$A$105,MATCH($A10,'Leave Tracker'!$A$8:$A$105,0)))),0,31*(VLOOKUP(O$1,Sprints[],5,FALSE))+DAY(VLOOKUP(O$1,Sprints[],2,FALSE)),1,VLOOKUP(O$1,Sprints[],4,FALSE))&lt;&gt;"")*(IF(OFFSET(INDIRECT(CELL("address",INDEX('Leave Tracker'!$A$8:$A$105,MATCH($A10,'Leave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1.0400000000000003</v>
      </c>
      <c r="P10" s="45">
        <f t="array" aca="1" ref="P10" ca="1">Sheet3!$W$2*$F10*(NETWORKDAYS(VLOOKUP(P$1,Sprints[],2,FALSE), VLOOKUP(P$1,Sprints[],3,FALSE))-SUMPRODUCT((OFFSET(INDIRECT(CELL("address",INDEX('Leave Tracker'!$A$8:$A$105,MATCH($A10,'Leave Tracker'!$A$8:$A$105,0)))),0,31*(VLOOKUP(P$1,Sprints[],5,FALSE))+DAY(VLOOKUP(P$1,Sprints[],2,FALSE)),1,VLOOKUP(P$1,Sprints[],4,FALSE))&lt;&gt;"")*(IF(OFFSET(INDIRECT(CELL("address",INDEX('Leave Tracker'!$A$8:$A$105,MATCH($A10,'Leave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Tracker'!$A$8:$A$105,MATCH($A10,'Leave Tracker'!$A$8:$A$105,0)))),0,31*(VLOOKUP(Q$1,Sprints[],5,FALSE))+DAY(VLOOKUP(Q$1,Sprints[],2,FALSE)),1,VLOOKUP(Q$1,Sprints[],4,FALSE))&lt;&gt;"")*(IF(OFFSET(INDIRECT(CELL("address",INDEX('Leave Tracker'!$A$8:$A$105,MATCH($A10,'Leave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Tracker'!$A$8:$A$105,MATCH($A10,'Leave Tracker'!$A$8:$A$105,0)))),0,31*(VLOOKUP(R$1,Sprints[],5,FALSE))+DAY(VLOOKUP(R$1,Sprints[],2,FALSE)),1,VLOOKUP(R$1,Sprints[],4,FALSE))&lt;&gt;"")*(IF(OFFSET(INDIRECT(CELL("address",INDEX('Leave Tracker'!$A$8:$A$105,MATCH($A10,'Leave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Tracker'!$A$8:$A$105,MATCH($A10,'Leave Tracker'!$A$8:$A$105,0)))),0,31*(VLOOKUP(S$1,Sprints[],5,FALSE))+DAY(VLOOKUP(S$1,Sprints[],2,FALSE)),1,VLOOKUP(S$1,Sprints[],4,FALSE))&lt;&gt;"")*(IF(OFFSET(INDIRECT(CELL("address",INDEX('Leave Tracker'!$A$8:$A$105,MATCH($A10,'Leave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Tracker'!$A$8:$A$105,MATCH($A10,'Leave Tracker'!$A$8:$A$105,0)))),0,31*(VLOOKUP(T$1,Sprints[],5,FALSE))+DAY(VLOOKUP(T$1,Sprints[],2,FALSE)),1,VLOOKUP(T$1,Sprints[],4,FALSE))&lt;&gt;"")*(IF(OFFSET(INDIRECT(CELL("address",INDEX('Leave Tracker'!$A$8:$A$105,MATCH($A10,'Leave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Tracker'!$A$8:$A$105,MATCH($A10,'Leave Tracker'!$A$8:$A$105,0)))),0,31*(VLOOKUP(U$1,Sprints[],5,FALSE))+DAY(VLOOKUP(U$1,Sprints[],2,FALSE)),1,VLOOKUP(U$1,Sprints[],4,FALSE))&lt;&gt;"")*(IF(OFFSET(INDIRECT(CELL("address",INDEX('Leave Tracker'!$A$8:$A$105,MATCH($A10,'Leave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7.9200000000000017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Tracker'!$A$8:$A$105,MATCH($A11,'Leave Tracker'!$A$8:$A$105,0)))),0,31*(VLOOKUP(G$1,Sprints[],5,FALSE))+DAY(VLOOKUP(G$1,Sprints[],2,FALSE)),1,VLOOKUP(G$1,Sprints[],4,FALSE))&lt;&gt;"")*(IF(OFFSET(INDIRECT(CELL("address",INDEX('Leave Tracker'!$A$8:$A$105,MATCH($A11,'Leave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Tracker'!$A$8:$A$105,MATCH($A11,'Leave Tracker'!$A$8:$A$105,0)))),0,31*(VLOOKUP(H$1,Sprints[],5,FALSE))+DAY(VLOOKUP(H$1,Sprints[],2,FALSE)),1,VLOOKUP(H$1,Sprints[],4,FALSE))&lt;&gt;"")*(IF(OFFSET(INDIRECT(CELL("address",INDEX('Leave Tracker'!$A$8:$A$105,MATCH($A11,'Leave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Tracker'!$A$8:$A$105,MATCH($A11,'Leave Tracker'!$A$8:$A$105,0)))),0,31*(VLOOKUP(I$1,Sprints[],5,FALSE))+DAY(VLOOKUP(I$1,Sprints[],2,FALSE)),1,VLOOKUP(I$1,Sprints[],4,FALSE))&lt;&gt;"")*(IF(OFFSET(INDIRECT(CELL("address",INDEX('Leave Tracker'!$A$8:$A$105,MATCH($A11,'Leave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Tracker'!$A$8:$A$105,MATCH($A11,'Leave Tracker'!$A$8:$A$105,0)))),0,31*(VLOOKUP(J$1,Sprints[],5,FALSE))+DAY(VLOOKUP(J$1,Sprints[],2,FALSE)),1,VLOOKUP(J$1,Sprints[],4,FALSE))&lt;&gt;"")*(IF(OFFSET(INDIRECT(CELL("address",INDEX('Leave Tracker'!$A$8:$A$105,MATCH($A11,'Leave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Tracker'!$A$8:$A$105,MATCH($A11,'Leave Tracker'!$A$8:$A$105,0)))),0,31*(VLOOKUP(K$1,Sprints[],5,FALSE))+DAY(VLOOKUP(K$1,Sprints[],2,FALSE)),1,VLOOKUP(K$1,Sprints[],4,FALSE))&lt;&gt;"")*(IF(OFFSET(INDIRECT(CELL("address",INDEX('Leave Tracker'!$A$8:$A$105,MATCH($A11,'Leave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Tracker'!$A$8:$A$105,MATCH($A11,'Leave Tracker'!$A$8:$A$105,0)))),0,31*(VLOOKUP(L$1,Sprints[],5,FALSE))+DAY(VLOOKUP(L$1,Sprints[],2,FALSE)),1,VLOOKUP(L$1,Sprints[],4,FALSE))&lt;&gt;"")*(IF(OFFSET(INDIRECT(CELL("address",INDEX('Leave Tracker'!$A$8:$A$105,MATCH($A11,'Leave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Tracker'!$A$8:$A$105,MATCH($A11,'Leave Tracker'!$A$8:$A$105,0)))),0,31*(VLOOKUP(M$1,Sprints[],5,FALSE))+DAY(VLOOKUP(M$1,Sprints[],2,FALSE)),1,VLOOKUP(M$1,Sprints[],4,FALSE))&lt;&gt;"")*(IF(OFFSET(INDIRECT(CELL("address",INDEX('Leave Tracker'!$A$8:$A$105,MATCH($A11,'Leave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Tracker'!$A$8:$A$105,MATCH($A11,'Leave Tracker'!$A$8:$A$105,0)))),0,31*(VLOOKUP(N$1,Sprints[],5,FALSE))+DAY(VLOOKUP(N$1,Sprints[],2,FALSE)),1,VLOOKUP(N$1,Sprints[],4,FALSE))&lt;&gt;"")*(IF(OFFSET(INDIRECT(CELL("address",INDEX('Leave Tracker'!$A$8:$A$105,MATCH($A11,'Leave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Tracker'!$A$8:$A$105,MATCH($A11,'Leave Tracker'!$A$8:$A$105,0)))),0,31*(VLOOKUP(O$1,Sprints[],5,FALSE))+DAY(VLOOKUP(O$1,Sprints[],2,FALSE)),1,VLOOKUP(O$1,Sprints[],4,FALSE))&lt;&gt;"")*(IF(OFFSET(INDIRECT(CELL("address",INDEX('Leave Tracker'!$A$8:$A$105,MATCH($A11,'Leave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Tracker'!$A$8:$A$105,MATCH($A11,'Leave Tracker'!$A$8:$A$105,0)))),0,31*(VLOOKUP(P$1,Sprints[],5,FALSE))+DAY(VLOOKUP(P$1,Sprints[],2,FALSE)),1,VLOOKUP(P$1,Sprints[],4,FALSE))&lt;&gt;"")*(IF(OFFSET(INDIRECT(CELL("address",INDEX('Leave Tracker'!$A$8:$A$105,MATCH($A11,'Leave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Tracker'!$A$8:$A$105,MATCH($A11,'Leave Tracker'!$A$8:$A$105,0)))),0,31*(VLOOKUP(Q$1,Sprints[],5,FALSE))+DAY(VLOOKUP(Q$1,Sprints[],2,FALSE)),1,VLOOKUP(Q$1,Sprints[],4,FALSE))&lt;&gt;"")*(IF(OFFSET(INDIRECT(CELL("address",INDEX('Leave Tracker'!$A$8:$A$105,MATCH($A11,'Leave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Tracker'!$A$8:$A$105,MATCH($A11,'Leave Tracker'!$A$8:$A$105,0)))),0,31*(VLOOKUP(R$1,Sprints[],5,FALSE))+DAY(VLOOKUP(R$1,Sprints[],2,FALSE)),1,VLOOKUP(R$1,Sprints[],4,FALSE))&lt;&gt;"")*(IF(OFFSET(INDIRECT(CELL("address",INDEX('Leave Tracker'!$A$8:$A$105,MATCH($A11,'Leave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Tracker'!$A$8:$A$105,MATCH($A11,'Leave Tracker'!$A$8:$A$105,0)))),0,31*(VLOOKUP(S$1,Sprints[],5,FALSE))+DAY(VLOOKUP(S$1,Sprints[],2,FALSE)),1,VLOOKUP(S$1,Sprints[],4,FALSE))&lt;&gt;"")*(IF(OFFSET(INDIRECT(CELL("address",INDEX('Leave Tracker'!$A$8:$A$105,MATCH($A11,'Leave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Tracker'!$A$8:$A$105,MATCH($A11,'Leave Tracker'!$A$8:$A$105,0)))),0,31*(VLOOKUP(T$1,Sprints[],5,FALSE))+DAY(VLOOKUP(T$1,Sprints[],2,FALSE)),1,VLOOKUP(T$1,Sprints[],4,FALSE))&lt;&gt;"")*(IF(OFFSET(INDIRECT(CELL("address",INDEX('Leave Tracker'!$A$8:$A$105,MATCH($A11,'Leave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Tracker'!$A$8:$A$105,MATCH($A11,'Leave Tracker'!$A$8:$A$105,0)))),0,31*(VLOOKUP(U$1,Sprints[],5,FALSE))+DAY(VLOOKUP(U$1,Sprints[],2,FALSE)),1,VLOOKUP(U$1,Sprints[],4,FALSE))&lt;&gt;"")*(IF(OFFSET(INDIRECT(CELL("address",INDEX('Leave Tracker'!$A$8:$A$105,MATCH($A11,'Leave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Tracker'!$A$8:$A$105,MATCH($A12,'Leave Tracker'!$A$8:$A$105,0)))),0,31*(VLOOKUP(G$1,Sprints[],5,FALSE))+DAY(VLOOKUP(G$1,Sprints[],2,FALSE)),1,VLOOKUP(G$1,Sprints[],4,FALSE))&lt;&gt;"")*(IF(OFFSET(INDIRECT(CELL("address",INDEX('Leave Tracker'!$A$8:$A$105,MATCH($A12,'Leave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Tracker'!$A$8:$A$105,MATCH($A12,'Leave Tracker'!$A$8:$A$105,0)))),0,31*(VLOOKUP(H$1,Sprints[],5,FALSE))+DAY(VLOOKUP(H$1,Sprints[],2,FALSE)),1,VLOOKUP(H$1,Sprints[],4,FALSE))&lt;&gt;"")*(IF(OFFSET(INDIRECT(CELL("address",INDEX('Leave Tracker'!$A$8:$A$105,MATCH($A12,'Leave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Tracker'!$A$8:$A$105,MATCH($A12,'Leave Tracker'!$A$8:$A$105,0)))),0,31*(VLOOKUP(I$1,Sprints[],5,FALSE))+DAY(VLOOKUP(I$1,Sprints[],2,FALSE)),1,VLOOKUP(I$1,Sprints[],4,FALSE))&lt;&gt;"")*(IF(OFFSET(INDIRECT(CELL("address",INDEX('Leave Tracker'!$A$8:$A$105,MATCH($A12,'Leave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Tracker'!$A$8:$A$105,MATCH($A12,'Leave Tracker'!$A$8:$A$105,0)))),0,31*(VLOOKUP(J$1,Sprints[],5,FALSE))+DAY(VLOOKUP(J$1,Sprints[],2,FALSE)),1,VLOOKUP(J$1,Sprints[],4,FALSE))&lt;&gt;"")*(IF(OFFSET(INDIRECT(CELL("address",INDEX('Leave Tracker'!$A$8:$A$105,MATCH($A12,'Leave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Tracker'!$A$8:$A$105,MATCH($A12,'Leave Tracker'!$A$8:$A$105,0)))),0,31*(VLOOKUP(K$1,Sprints[],5,FALSE))+DAY(VLOOKUP(K$1,Sprints[],2,FALSE)),1,VLOOKUP(K$1,Sprints[],4,FALSE))&lt;&gt;"")*(IF(OFFSET(INDIRECT(CELL("address",INDEX('Leave Tracker'!$A$8:$A$105,MATCH($A12,'Leave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Tracker'!$A$8:$A$105,MATCH($A12,'Leave Tracker'!$A$8:$A$105,0)))),0,31*(VLOOKUP(L$1,Sprints[],5,FALSE))+DAY(VLOOKUP(L$1,Sprints[],2,FALSE)),1,VLOOKUP(L$1,Sprints[],4,FALSE))&lt;&gt;"")*(IF(OFFSET(INDIRECT(CELL("address",INDEX('Leave Tracker'!$A$8:$A$105,MATCH($A12,'Leave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Tracker'!$A$8:$A$105,MATCH($A12,'Leave Tracker'!$A$8:$A$105,0)))),0,31*(VLOOKUP(M$1,Sprints[],5,FALSE))+DAY(VLOOKUP(M$1,Sprints[],2,FALSE)),1,VLOOKUP(M$1,Sprints[],4,FALSE))&lt;&gt;"")*(IF(OFFSET(INDIRECT(CELL("address",INDEX('Leave Tracker'!$A$8:$A$105,MATCH($A12,'Leave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Tracker'!$A$8:$A$105,MATCH($A12,'Leave Tracker'!$A$8:$A$105,0)))),0,31*(VLOOKUP(N$1,Sprints[],5,FALSE))+DAY(VLOOKUP(N$1,Sprints[],2,FALSE)),1,VLOOKUP(N$1,Sprints[],4,FALSE))&lt;&gt;"")*(IF(OFFSET(INDIRECT(CELL("address",INDEX('Leave Tracker'!$A$8:$A$105,MATCH($A12,'Leave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Tracker'!$A$8:$A$105,MATCH($A12,'Leave Tracker'!$A$8:$A$105,0)))),0,31*(VLOOKUP(O$1,Sprints[],5,FALSE))+DAY(VLOOKUP(O$1,Sprints[],2,FALSE)),1,VLOOKUP(O$1,Sprints[],4,FALSE))&lt;&gt;"")*(IF(OFFSET(INDIRECT(CELL("address",INDEX('Leave Tracker'!$A$8:$A$105,MATCH($A12,'Leave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2">
        <f t="array" aca="1" ref="P12" ca="1">Sheet3!$W$2*$F12*(NETWORKDAYS(VLOOKUP(P$1,Sprints[],2,FALSE), VLOOKUP(P$1,Sprints[],3,FALSE))-SUMPRODUCT((OFFSET(INDIRECT(CELL("address",INDEX('Leave Tracker'!$A$8:$A$105,MATCH($A12,'Leave Tracker'!$A$8:$A$105,0)))),0,31*(VLOOKUP(P$1,Sprints[],5,FALSE))+DAY(VLOOKUP(P$1,Sprints[],2,FALSE)),1,VLOOKUP(P$1,Sprints[],4,FALSE))&lt;&gt;"")*(IF(OFFSET(INDIRECT(CELL("address",INDEX('Leave Tracker'!$A$8:$A$105,MATCH($A12,'Leave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2">
        <f t="array" aca="1" ref="Q12" ca="1">Sheet3!$W$2*$F12*(NETWORKDAYS(VLOOKUP(Q$1,Sprints[],2,FALSE), VLOOKUP(Q$1,Sprints[],3,FALSE))-SUMPRODUCT((OFFSET(INDIRECT(CELL("address",INDEX('Leave Tracker'!$A$8:$A$105,MATCH($A12,'Leave Tracker'!$A$8:$A$105,0)))),0,31*(VLOOKUP(Q$1,Sprints[],5,FALSE))+DAY(VLOOKUP(Q$1,Sprints[],2,FALSE)),1,VLOOKUP(Q$1,Sprints[],4,FALSE))&lt;&gt;"")*(IF(OFFSET(INDIRECT(CELL("address",INDEX('Leave Tracker'!$A$8:$A$105,MATCH($A12,'Leave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Tracker'!$A$8:$A$105,MATCH($A12,'Leave Tracker'!$A$8:$A$105,0)))),0,31*(VLOOKUP(R$1,Sprints[],5,FALSE))+DAY(VLOOKUP(R$1,Sprints[],2,FALSE)),1,VLOOKUP(R$1,Sprints[],4,FALSE))&lt;&gt;"")*(IF(OFFSET(INDIRECT(CELL("address",INDEX('Leave Tracker'!$A$8:$A$105,MATCH($A12,'Leave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Tracker'!$A$8:$A$105,MATCH($A12,'Leave Tracker'!$A$8:$A$105,0)))),0,31*(VLOOKUP(S$1,Sprints[],5,FALSE))+DAY(VLOOKUP(S$1,Sprints[],2,FALSE)),1,VLOOKUP(S$1,Sprints[],4,FALSE))&lt;&gt;"")*(IF(OFFSET(INDIRECT(CELL("address",INDEX('Leave Tracker'!$A$8:$A$105,MATCH($A12,'Leave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Tracker'!$A$8:$A$105,MATCH($A12,'Leave Tracker'!$A$8:$A$105,0)))),0,31*(VLOOKUP(T$1,Sprints[],5,FALSE))+DAY(VLOOKUP(T$1,Sprints[],2,FALSE)),1,VLOOKUP(T$1,Sprints[],4,FALSE))&lt;&gt;"")*(IF(OFFSET(INDIRECT(CELL("address",INDEX('Leave Tracker'!$A$8:$A$105,MATCH($A12,'Leave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Tracker'!$A$8:$A$105,MATCH($A12,'Leave Tracker'!$A$8:$A$105,0)))),0,31*(VLOOKUP(U$1,Sprints[],5,FALSE))+DAY(VLOOKUP(U$1,Sprints[],2,FALSE)),1,VLOOKUP(U$1,Sprints[],4,FALSE))&lt;&gt;"")*(IF(OFFSET(INDIRECT(CELL("address",INDEX('Leave Tracker'!$A$8:$A$105,MATCH($A12,'Leave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31.500000000000004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Tracker'!$A$8:$A$105,MATCH($A13,'Leave Tracker'!$A$8:$A$105,0)))),0,31*(VLOOKUP(G$1,Sprints[],5,FALSE))+DAY(VLOOKUP(G$1,Sprints[],2,FALSE)),1,VLOOKUP(G$1,Sprints[],4,FALSE))&lt;&gt;"")*(IF(OFFSET(INDIRECT(CELL("address",INDEX('Leave Tracker'!$A$8:$A$105,MATCH($A13,'Leave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Tracker'!$A$8:$A$105,MATCH($A13,'Leave Tracker'!$A$8:$A$105,0)))),0,31*(VLOOKUP(H$1,Sprints[],5,FALSE))+DAY(VLOOKUP(H$1,Sprints[],2,FALSE)),1,VLOOKUP(H$1,Sprints[],4,FALSE))&lt;&gt;"")*(IF(OFFSET(INDIRECT(CELL("address",INDEX('Leave Tracker'!$A$8:$A$105,MATCH($A13,'Leave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Tracker'!$A$8:$A$105,MATCH($A13,'Leave Tracker'!$A$8:$A$105,0)))),0,31*(VLOOKUP(I$1,Sprints[],5,FALSE))+DAY(VLOOKUP(I$1,Sprints[],2,FALSE)),1,VLOOKUP(I$1,Sprints[],4,FALSE))&lt;&gt;"")*(IF(OFFSET(INDIRECT(CELL("address",INDEX('Leave Tracker'!$A$8:$A$105,MATCH($A13,'Leave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Tracker'!$A$8:$A$105,MATCH($A13,'Leave Tracker'!$A$8:$A$105,0)))),0,31*(VLOOKUP(J$1,Sprints[],5,FALSE))+DAY(VLOOKUP(J$1,Sprints[],2,FALSE)),1,VLOOKUP(J$1,Sprints[],4,FALSE))&lt;&gt;"")*(IF(OFFSET(INDIRECT(CELL("address",INDEX('Leave Tracker'!$A$8:$A$105,MATCH($A13,'Leave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Tracker'!$A$8:$A$105,MATCH($A13,'Leave Tracker'!$A$8:$A$105,0)))),0,31*(VLOOKUP(K$1,Sprints[],5,FALSE))+DAY(VLOOKUP(K$1,Sprints[],2,FALSE)),1,VLOOKUP(K$1,Sprints[],4,FALSE))&lt;&gt;"")*(IF(OFFSET(INDIRECT(CELL("address",INDEX('Leave Tracker'!$A$8:$A$105,MATCH($A13,'Leave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Tracker'!$A$8:$A$105,MATCH($A13,'Leave Tracker'!$A$8:$A$105,0)))),0,31*(VLOOKUP(L$1,Sprints[],5,FALSE))+DAY(VLOOKUP(L$1,Sprints[],2,FALSE)),1,VLOOKUP(L$1,Sprints[],4,FALSE))&lt;&gt;"")*(IF(OFFSET(INDIRECT(CELL("address",INDEX('Leave Tracker'!$A$8:$A$105,MATCH($A13,'Leave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Tracker'!$A$8:$A$105,MATCH($A13,'Leave Tracker'!$A$8:$A$105,0)))),0,31*(VLOOKUP(M$1,Sprints[],5,FALSE))+DAY(VLOOKUP(M$1,Sprints[],2,FALSE)),1,VLOOKUP(M$1,Sprints[],4,FALSE))&lt;&gt;"")*(IF(OFFSET(INDIRECT(CELL("address",INDEX('Leave Tracker'!$A$8:$A$105,MATCH($A13,'Leave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Tracker'!$A$8:$A$105,MATCH($A13,'Leave Tracker'!$A$8:$A$105,0)))),0,31*(VLOOKUP(N$1,Sprints[],5,FALSE))+DAY(VLOOKUP(N$1,Sprints[],2,FALSE)),1,VLOOKUP(N$1,Sprints[],4,FALSE))&lt;&gt;"")*(IF(OFFSET(INDIRECT(CELL("address",INDEX('Leave Tracker'!$A$8:$A$105,MATCH($A13,'Leave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Tracker'!$A$8:$A$105,MATCH($A13,'Leave Tracker'!$A$8:$A$105,0)))),0,31*(VLOOKUP(O$1,Sprints[],5,FALSE))+DAY(VLOOKUP(O$1,Sprints[],2,FALSE)),1,VLOOKUP(O$1,Sprints[],4,FALSE))&lt;&gt;"")*(IF(OFFSET(INDIRECT(CELL("address",INDEX('Leave Tracker'!$A$8:$A$105,MATCH($A13,'Leave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3">
        <f t="array" aca="1" ref="P13" ca="1">Sheet3!$W$2*$F13*(NETWORKDAYS(VLOOKUP(P$1,Sprints[],2,FALSE), VLOOKUP(P$1,Sprints[],3,FALSE))-SUMPRODUCT((OFFSET(INDIRECT(CELL("address",INDEX('Leave Tracker'!$A$8:$A$105,MATCH($A13,'Leave Tracker'!$A$8:$A$105,0)))),0,31*(VLOOKUP(P$1,Sprints[],5,FALSE))+DAY(VLOOKUP(P$1,Sprints[],2,FALSE)),1,VLOOKUP(P$1,Sprints[],4,FALSE))&lt;&gt;"")*(IF(OFFSET(INDIRECT(CELL("address",INDEX('Leave Tracker'!$A$8:$A$105,MATCH($A13,'Leave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Tracker'!$A$8:$A$105,MATCH($A13,'Leave Tracker'!$A$8:$A$105,0)))),0,31*(VLOOKUP(Q$1,Sprints[],5,FALSE))+DAY(VLOOKUP(Q$1,Sprints[],2,FALSE)),1,VLOOKUP(Q$1,Sprints[],4,FALSE))&lt;&gt;"")*(IF(OFFSET(INDIRECT(CELL("address",INDEX('Leave Tracker'!$A$8:$A$105,MATCH($A13,'Leave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13">
        <f t="array" aca="1" ref="R13" ca="1">Sheet3!$W$2*$F13*(NETWORKDAYS(VLOOKUP(R$1,Sprints[],2,FALSE), VLOOKUP(R$1,Sprints[],3,FALSE))-SUMPRODUCT((OFFSET(INDIRECT(CELL("address",INDEX('Leave Tracker'!$A$8:$A$105,MATCH($A13,'Leave Tracker'!$A$8:$A$105,0)))),0,31*(VLOOKUP(R$1,Sprints[],5,FALSE))+DAY(VLOOKUP(R$1,Sprints[],2,FALSE)),1,VLOOKUP(R$1,Sprints[],4,FALSE))&lt;&gt;"")*(IF(OFFSET(INDIRECT(CELL("address",INDEX('Leave Tracker'!$A$8:$A$105,MATCH($A13,'Leave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Tracker'!$A$8:$A$105,MATCH($A13,'Leave Tracker'!$A$8:$A$105,0)))),0,31*(VLOOKUP(S$1,Sprints[],5,FALSE))+DAY(VLOOKUP(S$1,Sprints[],2,FALSE)),1,VLOOKUP(S$1,Sprints[],4,FALSE))&lt;&gt;"")*(IF(OFFSET(INDIRECT(CELL("address",INDEX('Leave Tracker'!$A$8:$A$105,MATCH($A13,'Leave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Tracker'!$A$8:$A$105,MATCH($A13,'Leave Tracker'!$A$8:$A$105,0)))),0,31*(VLOOKUP(T$1,Sprints[],5,FALSE))+DAY(VLOOKUP(T$1,Sprints[],2,FALSE)),1,VLOOKUP(T$1,Sprints[],4,FALSE))&lt;&gt;"")*(IF(OFFSET(INDIRECT(CELL("address",INDEX('Leave Tracker'!$A$8:$A$105,MATCH($A13,'Leave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Tracker'!$A$8:$A$105,MATCH($A13,'Leave Tracker'!$A$8:$A$105,0)))),0,31*(VLOOKUP(U$1,Sprints[],5,FALSE))+DAY(VLOOKUP(U$1,Sprints[],2,FALSE)),1,VLOOKUP(U$1,Sprints[],4,FALSE))&lt;&gt;"")*(IF(OFFSET(INDIRECT(CELL("address",INDEX('Leave Tracker'!$A$8:$A$105,MATCH($A13,'Leave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28.500000000000004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Tracker'!$A$8:$A$105,MATCH($A14,'Leave Tracker'!$A$8:$A$105,0)))),0,31*(VLOOKUP(G$1,Sprints[],5,FALSE))+DAY(VLOOKUP(G$1,Sprints[],2,FALSE)),1,VLOOKUP(G$1,Sprints[],4,FALSE))&lt;&gt;"")*(IF(OFFSET(INDIRECT(CELL("address",INDEX('Leave Tracker'!$A$8:$A$105,MATCH($A14,'Leave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Tracker'!$A$8:$A$105,MATCH($A14,'Leave Tracker'!$A$8:$A$105,0)))),0,31*(VLOOKUP(H$1,Sprints[],5,FALSE))+DAY(VLOOKUP(H$1,Sprints[],2,FALSE)),1,VLOOKUP(H$1,Sprints[],4,FALSE))&lt;&gt;"")*(IF(OFFSET(INDIRECT(CELL("address",INDEX('Leave Tracker'!$A$8:$A$105,MATCH($A14,'Leave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Tracker'!$A$8:$A$105,MATCH($A14,'Leave Tracker'!$A$8:$A$105,0)))),0,31*(VLOOKUP(I$1,Sprints[],5,FALSE))+DAY(VLOOKUP(I$1,Sprints[],2,FALSE)),1,VLOOKUP(I$1,Sprints[],4,FALSE))&lt;&gt;"")*(IF(OFFSET(INDIRECT(CELL("address",INDEX('Leave Tracker'!$A$8:$A$105,MATCH($A14,'Leave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Tracker'!$A$8:$A$105,MATCH($A14,'Leave Tracker'!$A$8:$A$105,0)))),0,31*(VLOOKUP(J$1,Sprints[],5,FALSE))+DAY(VLOOKUP(J$1,Sprints[],2,FALSE)),1,VLOOKUP(J$1,Sprints[],4,FALSE))&lt;&gt;"")*(IF(OFFSET(INDIRECT(CELL("address",INDEX('Leave Tracker'!$A$8:$A$105,MATCH($A14,'Leave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Tracker'!$A$8:$A$105,MATCH($A14,'Leave Tracker'!$A$8:$A$105,0)))),0,31*(VLOOKUP(K$1,Sprints[],5,FALSE))+DAY(VLOOKUP(K$1,Sprints[],2,FALSE)),1,VLOOKUP(K$1,Sprints[],4,FALSE))&lt;&gt;"")*(IF(OFFSET(INDIRECT(CELL("address",INDEX('Leave Tracker'!$A$8:$A$105,MATCH($A14,'Leave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Tracker'!$A$8:$A$105,MATCH($A14,'Leave Tracker'!$A$8:$A$105,0)))),0,31*(VLOOKUP(L$1,Sprints[],5,FALSE))+DAY(VLOOKUP(L$1,Sprints[],2,FALSE)),1,VLOOKUP(L$1,Sprints[],4,FALSE))&lt;&gt;"")*(IF(OFFSET(INDIRECT(CELL("address",INDEX('Leave Tracker'!$A$8:$A$105,MATCH($A14,'Leave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Tracker'!$A$8:$A$105,MATCH($A14,'Leave Tracker'!$A$8:$A$105,0)))),0,31*(VLOOKUP(M$1,Sprints[],5,FALSE))+DAY(VLOOKUP(M$1,Sprints[],2,FALSE)),1,VLOOKUP(M$1,Sprints[],4,FALSE))&lt;&gt;"")*(IF(OFFSET(INDIRECT(CELL("address",INDEX('Leave Tracker'!$A$8:$A$105,MATCH($A14,'Leave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Tracker'!$A$8:$A$105,MATCH($A14,'Leave Tracker'!$A$8:$A$105,0)))),0,31*(VLOOKUP(N$1,Sprints[],5,FALSE))+DAY(VLOOKUP(N$1,Sprints[],2,FALSE)),1,VLOOKUP(N$1,Sprints[],4,FALSE))&lt;&gt;"")*(IF(OFFSET(INDIRECT(CELL("address",INDEX('Leave Tracker'!$A$8:$A$105,MATCH($A14,'Leave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Tracker'!$A$8:$A$105,MATCH($A14,'Leave Tracker'!$A$8:$A$105,0)))),0,31*(VLOOKUP(O$1,Sprints[],5,FALSE))+DAY(VLOOKUP(O$1,Sprints[],2,FALSE)),1,VLOOKUP(O$1,Sprints[],4,FALSE))&lt;&gt;"")*(IF(OFFSET(INDIRECT(CELL("address",INDEX('Leave Tracker'!$A$8:$A$105,MATCH($A14,'Leave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4">
        <f t="array" aca="1" ref="P14" ca="1">Sheet3!$W$2*$F14*(NETWORKDAYS(VLOOKUP(P$1,Sprints[],2,FALSE), VLOOKUP(P$1,Sprints[],3,FALSE))-SUMPRODUCT((OFFSET(INDIRECT(CELL("address",INDEX('Leave Tracker'!$A$8:$A$105,MATCH($A14,'Leave Tracker'!$A$8:$A$105,0)))),0,31*(VLOOKUP(P$1,Sprints[],5,FALSE))+DAY(VLOOKUP(P$1,Sprints[],2,FALSE)),1,VLOOKUP(P$1,Sprints[],4,FALSE))&lt;&gt;"")*(IF(OFFSET(INDIRECT(CELL("address",INDEX('Leave Tracker'!$A$8:$A$105,MATCH($A14,'Leave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Tracker'!$A$8:$A$105,MATCH($A14,'Leave Tracker'!$A$8:$A$105,0)))),0,31*(VLOOKUP(Q$1,Sprints[],5,FALSE))+DAY(VLOOKUP(Q$1,Sprints[],2,FALSE)),1,VLOOKUP(Q$1,Sprints[],4,FALSE))&lt;&gt;"")*(IF(OFFSET(INDIRECT(CELL("address",INDEX('Leave Tracker'!$A$8:$A$105,MATCH($A14,'Leave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Tracker'!$A$8:$A$105,MATCH($A14,'Leave Tracker'!$A$8:$A$105,0)))),0,31*(VLOOKUP(R$1,Sprints[],5,FALSE))+DAY(VLOOKUP(R$1,Sprints[],2,FALSE)),1,VLOOKUP(R$1,Sprints[],4,FALSE))&lt;&gt;"")*(IF(OFFSET(INDIRECT(CELL("address",INDEX('Leave Tracker'!$A$8:$A$105,MATCH($A14,'Leave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Tracker'!$A$8:$A$105,MATCH($A14,'Leave Tracker'!$A$8:$A$105,0)))),0,31*(VLOOKUP(S$1,Sprints[],5,FALSE))+DAY(VLOOKUP(S$1,Sprints[],2,FALSE)),1,VLOOKUP(S$1,Sprints[],4,FALSE))&lt;&gt;"")*(IF(OFFSET(INDIRECT(CELL("address",INDEX('Leave Tracker'!$A$8:$A$105,MATCH($A14,'Leave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Tracker'!$A$8:$A$105,MATCH($A14,'Leave Tracker'!$A$8:$A$105,0)))),0,31*(VLOOKUP(T$1,Sprints[],5,FALSE))+DAY(VLOOKUP(T$1,Sprints[],2,FALSE)),1,VLOOKUP(T$1,Sprints[],4,FALSE))&lt;&gt;"")*(IF(OFFSET(INDIRECT(CELL("address",INDEX('Leave Tracker'!$A$8:$A$105,MATCH($A14,'Leave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Tracker'!$A$8:$A$105,MATCH($A14,'Leave Tracker'!$A$8:$A$105,0)))),0,31*(VLOOKUP(U$1,Sprints[],5,FALSE))+DAY(VLOOKUP(U$1,Sprints[],2,FALSE)),1,VLOOKUP(U$1,Sprints[],4,FALSE))&lt;&gt;"")*(IF(OFFSET(INDIRECT(CELL("address",INDEX('Leave Tracker'!$A$8:$A$105,MATCH($A14,'Leave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Tracker'!$A$8:$A$105,MATCH($A15,'Leave Tracker'!$A$8:$A$105,0)))),0,31*(VLOOKUP(G$1,Sprints[],5,FALSE))+DAY(VLOOKUP(G$1,Sprints[],2,FALSE)),1,VLOOKUP(G$1,Sprints[],4,FALSE))&lt;&gt;"")*(IF(OFFSET(INDIRECT(CELL("address",INDEX('Leave Tracker'!$A$8:$A$105,MATCH($A15,'Leave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Tracker'!$A$8:$A$105,MATCH($A15,'Leave Tracker'!$A$8:$A$105,0)))),0,31*(VLOOKUP(H$1,Sprints[],5,FALSE))+DAY(VLOOKUP(H$1,Sprints[],2,FALSE)),1,VLOOKUP(H$1,Sprints[],4,FALSE))&lt;&gt;"")*(IF(OFFSET(INDIRECT(CELL("address",INDEX('Leave Tracker'!$A$8:$A$105,MATCH($A15,'Leave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Tracker'!$A$8:$A$105,MATCH($A15,'Leave Tracker'!$A$8:$A$105,0)))),0,31*(VLOOKUP(I$1,Sprints[],5,FALSE))+DAY(VLOOKUP(I$1,Sprints[],2,FALSE)),1,VLOOKUP(I$1,Sprints[],4,FALSE))&lt;&gt;"")*(IF(OFFSET(INDIRECT(CELL("address",INDEX('Leave Tracker'!$A$8:$A$105,MATCH($A15,'Leave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Tracker'!$A$8:$A$105,MATCH($A15,'Leave Tracker'!$A$8:$A$105,0)))),0,31*(VLOOKUP(J$1,Sprints[],5,FALSE))+DAY(VLOOKUP(J$1,Sprints[],2,FALSE)),1,VLOOKUP(J$1,Sprints[],4,FALSE))&lt;&gt;"")*(IF(OFFSET(INDIRECT(CELL("address",INDEX('Leave Tracker'!$A$8:$A$105,MATCH($A15,'Leave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Tracker'!$A$8:$A$105,MATCH($A15,'Leave Tracker'!$A$8:$A$105,0)))),0,31*(VLOOKUP(K$1,Sprints[],5,FALSE))+DAY(VLOOKUP(K$1,Sprints[],2,FALSE)),1,VLOOKUP(K$1,Sprints[],4,FALSE))&lt;&gt;"")*(IF(OFFSET(INDIRECT(CELL("address",INDEX('Leave Tracker'!$A$8:$A$105,MATCH($A15,'Leave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Tracker'!$A$8:$A$105,MATCH($A15,'Leave Tracker'!$A$8:$A$105,0)))),0,31*(VLOOKUP(L$1,Sprints[],5,FALSE))+DAY(VLOOKUP(L$1,Sprints[],2,FALSE)),1,VLOOKUP(L$1,Sprints[],4,FALSE))&lt;&gt;"")*(IF(OFFSET(INDIRECT(CELL("address",INDEX('Leave Tracker'!$A$8:$A$105,MATCH($A15,'Leave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Tracker'!$A$8:$A$105,MATCH($A15,'Leave Tracker'!$A$8:$A$105,0)))),0,31*(VLOOKUP(M$1,Sprints[],5,FALSE))+DAY(VLOOKUP(M$1,Sprints[],2,FALSE)),1,VLOOKUP(M$1,Sprints[],4,FALSE))&lt;&gt;"")*(IF(OFFSET(INDIRECT(CELL("address",INDEX('Leave Tracker'!$A$8:$A$105,MATCH($A15,'Leave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Tracker'!$A$8:$A$105,MATCH($A15,'Leave Tracker'!$A$8:$A$105,0)))),0,31*(VLOOKUP(N$1,Sprints[],5,FALSE))+DAY(VLOOKUP(N$1,Sprints[],2,FALSE)),1,VLOOKUP(N$1,Sprints[],4,FALSE))&lt;&gt;"")*(IF(OFFSET(INDIRECT(CELL("address",INDEX('Leave Tracker'!$A$8:$A$105,MATCH($A15,'Leave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Tracker'!$A$8:$A$105,MATCH($A15,'Leave Tracker'!$A$8:$A$105,0)))),0,31*(VLOOKUP(O$1,Sprints[],5,FALSE))+DAY(VLOOKUP(O$1,Sprints[],2,FALSE)),1,VLOOKUP(O$1,Sprints[],4,FALSE))&lt;&gt;"")*(IF(OFFSET(INDIRECT(CELL("address",INDEX('Leave Tracker'!$A$8:$A$105,MATCH($A15,'Leave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5">
        <f t="array" aca="1" ref="P15" ca="1">Sheet3!$W$2*$F15*(NETWORKDAYS(VLOOKUP(P$1,Sprints[],2,FALSE), VLOOKUP(P$1,Sprints[],3,FALSE))-SUMPRODUCT((OFFSET(INDIRECT(CELL("address",INDEX('Leave Tracker'!$A$8:$A$105,MATCH($A15,'Leave Tracker'!$A$8:$A$105,0)))),0,31*(VLOOKUP(P$1,Sprints[],5,FALSE))+DAY(VLOOKUP(P$1,Sprints[],2,FALSE)),1,VLOOKUP(P$1,Sprints[],4,FALSE))&lt;&gt;"")*(IF(OFFSET(INDIRECT(CELL("address",INDEX('Leave Tracker'!$A$8:$A$105,MATCH($A15,'Leave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Tracker'!$A$8:$A$105,MATCH($A15,'Leave Tracker'!$A$8:$A$105,0)))),0,31*(VLOOKUP(Q$1,Sprints[],5,FALSE))+DAY(VLOOKUP(Q$1,Sprints[],2,FALSE)),1,VLOOKUP(Q$1,Sprints[],4,FALSE))&lt;&gt;"")*(IF(OFFSET(INDIRECT(CELL("address",INDEX('Leave Tracker'!$A$8:$A$105,MATCH($A15,'Leave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Tracker'!$A$8:$A$105,MATCH($A15,'Leave Tracker'!$A$8:$A$105,0)))),0,31*(VLOOKUP(R$1,Sprints[],5,FALSE))+DAY(VLOOKUP(R$1,Sprints[],2,FALSE)),1,VLOOKUP(R$1,Sprints[],4,FALSE))&lt;&gt;"")*(IF(OFFSET(INDIRECT(CELL("address",INDEX('Leave Tracker'!$A$8:$A$105,MATCH($A15,'Leave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Tracker'!$A$8:$A$105,MATCH($A15,'Leave Tracker'!$A$8:$A$105,0)))),0,31*(VLOOKUP(S$1,Sprints[],5,FALSE))+DAY(VLOOKUP(S$1,Sprints[],2,FALSE)),1,VLOOKUP(S$1,Sprints[],4,FALSE))&lt;&gt;"")*(IF(OFFSET(INDIRECT(CELL("address",INDEX('Leave Tracker'!$A$8:$A$105,MATCH($A15,'Leave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Tracker'!$A$8:$A$105,MATCH($A15,'Leave Tracker'!$A$8:$A$105,0)))),0,31*(VLOOKUP(T$1,Sprints[],5,FALSE))+DAY(VLOOKUP(T$1,Sprints[],2,FALSE)),1,VLOOKUP(T$1,Sprints[],4,FALSE))&lt;&gt;"")*(IF(OFFSET(INDIRECT(CELL("address",INDEX('Leave Tracker'!$A$8:$A$105,MATCH($A15,'Leave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Tracker'!$A$8:$A$105,MATCH($A15,'Leave Tracker'!$A$8:$A$105,0)))),0,31*(VLOOKUP(U$1,Sprints[],5,FALSE))+DAY(VLOOKUP(U$1,Sprints[],2,FALSE)),1,VLOOKUP(U$1,Sprints[],4,FALSE))&lt;&gt;"")*(IF(OFFSET(INDIRECT(CELL("address",INDEX('Leave Tracker'!$A$8:$A$105,MATCH($A15,'Leave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27.300000000000004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Tracker'!$A$8:$A$105,MATCH($A16,'Leave Tracker'!$A$8:$A$105,0)))),0,31*(VLOOKUP(G$1,Sprints[],5,FALSE))+DAY(VLOOKUP(G$1,Sprints[],2,FALSE)),1,VLOOKUP(G$1,Sprints[],4,FALSE))&lt;&gt;"")*(IF(OFFSET(INDIRECT(CELL("address",INDEX('Leave Tracker'!$A$8:$A$105,MATCH($A16,'Leave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Tracker'!$A$8:$A$105,MATCH($A16,'Leave Tracker'!$A$8:$A$105,0)))),0,31*(VLOOKUP(H$1,Sprints[],5,FALSE))+DAY(VLOOKUP(H$1,Sprints[],2,FALSE)),1,VLOOKUP(H$1,Sprints[],4,FALSE))&lt;&gt;"")*(IF(OFFSET(INDIRECT(CELL("address",INDEX('Leave Tracker'!$A$8:$A$105,MATCH($A16,'Leave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Tracker'!$A$8:$A$105,MATCH($A16,'Leave Tracker'!$A$8:$A$105,0)))),0,31*(VLOOKUP(I$1,Sprints[],5,FALSE))+DAY(VLOOKUP(I$1,Sprints[],2,FALSE)),1,VLOOKUP(I$1,Sprints[],4,FALSE))&lt;&gt;"")*(IF(OFFSET(INDIRECT(CELL("address",INDEX('Leave Tracker'!$A$8:$A$105,MATCH($A16,'Leave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Tracker'!$A$8:$A$105,MATCH($A16,'Leave Tracker'!$A$8:$A$105,0)))),0,31*(VLOOKUP(J$1,Sprints[],5,FALSE))+DAY(VLOOKUP(J$1,Sprints[],2,FALSE)),1,VLOOKUP(J$1,Sprints[],4,FALSE))&lt;&gt;"")*(IF(OFFSET(INDIRECT(CELL("address",INDEX('Leave Tracker'!$A$8:$A$105,MATCH($A16,'Leave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Tracker'!$A$8:$A$105,MATCH($A16,'Leave Tracker'!$A$8:$A$105,0)))),0,31*(VLOOKUP(K$1,Sprints[],5,FALSE))+DAY(VLOOKUP(K$1,Sprints[],2,FALSE)),1,VLOOKUP(K$1,Sprints[],4,FALSE))&lt;&gt;"")*(IF(OFFSET(INDIRECT(CELL("address",INDEX('Leave Tracker'!$A$8:$A$105,MATCH($A16,'Leave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Tracker'!$A$8:$A$105,MATCH($A16,'Leave Tracker'!$A$8:$A$105,0)))),0,31*(VLOOKUP(L$1,Sprints[],5,FALSE))+DAY(VLOOKUP(L$1,Sprints[],2,FALSE)),1,VLOOKUP(L$1,Sprints[],4,FALSE))&lt;&gt;"")*(IF(OFFSET(INDIRECT(CELL("address",INDEX('Leave Tracker'!$A$8:$A$105,MATCH($A16,'Leave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Tracker'!$A$8:$A$105,MATCH($A16,'Leave Tracker'!$A$8:$A$105,0)))),0,31*(VLOOKUP(M$1,Sprints[],5,FALSE))+DAY(VLOOKUP(M$1,Sprints[],2,FALSE)),1,VLOOKUP(M$1,Sprints[],4,FALSE))&lt;&gt;"")*(IF(OFFSET(INDIRECT(CELL("address",INDEX('Leave Tracker'!$A$8:$A$105,MATCH($A16,'Leave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Tracker'!$A$8:$A$105,MATCH($A16,'Leave Tracker'!$A$8:$A$105,0)))),0,31*(VLOOKUP(N$1,Sprints[],5,FALSE))+DAY(VLOOKUP(N$1,Sprints[],2,FALSE)),1,VLOOKUP(N$1,Sprints[],4,FALSE))&lt;&gt;"")*(IF(OFFSET(INDIRECT(CELL("address",INDEX('Leave Tracker'!$A$8:$A$105,MATCH($A16,'Leave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Tracker'!$A$8:$A$105,MATCH($A16,'Leave Tracker'!$A$8:$A$105,0)))),0,31*(VLOOKUP(O$1,Sprints[],5,FALSE))+DAY(VLOOKUP(O$1,Sprints[],2,FALSE)),1,VLOOKUP(O$1,Sprints[],4,FALSE))&lt;&gt;"")*(IF(OFFSET(INDIRECT(CELL("address",INDEX('Leave Tracker'!$A$8:$A$105,MATCH($A16,'Leave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Tracker'!$A$8:$A$105,MATCH($A16,'Leave Tracker'!$A$8:$A$105,0)))),0,31*(VLOOKUP(P$1,Sprints[],5,FALSE))+DAY(VLOOKUP(P$1,Sprints[],2,FALSE)),1,VLOOKUP(P$1,Sprints[],4,FALSE))&lt;&gt;"")*(IF(OFFSET(INDIRECT(CELL("address",INDEX('Leave Tracker'!$A$8:$A$105,MATCH($A16,'Leave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Tracker'!$A$8:$A$105,MATCH($A16,'Leave Tracker'!$A$8:$A$105,0)))),0,31*(VLOOKUP(Q$1,Sprints[],5,FALSE))+DAY(VLOOKUP(Q$1,Sprints[],2,FALSE)),1,VLOOKUP(Q$1,Sprints[],4,FALSE))&lt;&gt;"")*(IF(OFFSET(INDIRECT(CELL("address",INDEX('Leave Tracker'!$A$8:$A$105,MATCH($A16,'Leave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Tracker'!$A$8:$A$105,MATCH($A16,'Leave Tracker'!$A$8:$A$105,0)))),0,31*(VLOOKUP(R$1,Sprints[],5,FALSE))+DAY(VLOOKUP(R$1,Sprints[],2,FALSE)),1,VLOOKUP(R$1,Sprints[],4,FALSE))&lt;&gt;"")*(IF(OFFSET(INDIRECT(CELL("address",INDEX('Leave Tracker'!$A$8:$A$105,MATCH($A16,'Leave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Tracker'!$A$8:$A$105,MATCH($A16,'Leave Tracker'!$A$8:$A$105,0)))),0,31*(VLOOKUP(S$1,Sprints[],5,FALSE))+DAY(VLOOKUP(S$1,Sprints[],2,FALSE)),1,VLOOKUP(S$1,Sprints[],4,FALSE))&lt;&gt;"")*(IF(OFFSET(INDIRECT(CELL("address",INDEX('Leave Tracker'!$A$8:$A$105,MATCH($A16,'Leave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Tracker'!$A$8:$A$105,MATCH($A16,'Leave Tracker'!$A$8:$A$105,0)))),0,31*(VLOOKUP(T$1,Sprints[],5,FALSE))+DAY(VLOOKUP(T$1,Sprints[],2,FALSE)),1,VLOOKUP(T$1,Sprints[],4,FALSE))&lt;&gt;"")*(IF(OFFSET(INDIRECT(CELL("address",INDEX('Leave Tracker'!$A$8:$A$105,MATCH($A16,'Leave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Tracker'!$A$8:$A$105,MATCH($A16,'Leave Tracker'!$A$8:$A$105,0)))),0,31*(VLOOKUP(U$1,Sprints[],5,FALSE))+DAY(VLOOKUP(U$1,Sprints[],2,FALSE)),1,VLOOKUP(U$1,Sprints[],4,FALSE))&lt;&gt;"")*(IF(OFFSET(INDIRECT(CELL("address",INDEX('Leave Tracker'!$A$8:$A$105,MATCH($A16,'Leave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Tracker'!$A$8:$A$105,MATCH($A17,'Leave Tracker'!$A$8:$A$105,0)))),0,31*(VLOOKUP(G$1,Sprints[],5,FALSE))+DAY(VLOOKUP(G$1,Sprints[],2,FALSE)),1,VLOOKUP(G$1,Sprints[],4,FALSE))&lt;&gt;"")*(IF(OFFSET(INDIRECT(CELL("address",INDEX('Leave Tracker'!$A$8:$A$105,MATCH($A17,'Leave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Tracker'!$A$8:$A$105,MATCH($A17,'Leave Tracker'!$A$8:$A$105,0)))),0,31*(VLOOKUP(H$1,Sprints[],5,FALSE))+DAY(VLOOKUP(H$1,Sprints[],2,FALSE)),1,VLOOKUP(H$1,Sprints[],4,FALSE))&lt;&gt;"")*(IF(OFFSET(INDIRECT(CELL("address",INDEX('Leave Tracker'!$A$8:$A$105,MATCH($A17,'Leave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Tracker'!$A$8:$A$105,MATCH($A17,'Leave Tracker'!$A$8:$A$105,0)))),0,31*(VLOOKUP(I$1,Sprints[],5,FALSE))+DAY(VLOOKUP(I$1,Sprints[],2,FALSE)),1,VLOOKUP(I$1,Sprints[],4,FALSE))&lt;&gt;"")*(IF(OFFSET(INDIRECT(CELL("address",INDEX('Leave Tracker'!$A$8:$A$105,MATCH($A17,'Leave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Tracker'!$A$8:$A$105,MATCH($A17,'Leave Tracker'!$A$8:$A$105,0)))),0,31*(VLOOKUP(J$1,Sprints[],5,FALSE))+DAY(VLOOKUP(J$1,Sprints[],2,FALSE)),1,VLOOKUP(J$1,Sprints[],4,FALSE))&lt;&gt;"")*(IF(OFFSET(INDIRECT(CELL("address",INDEX('Leave Tracker'!$A$8:$A$105,MATCH($A17,'Leave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Tracker'!$A$8:$A$105,MATCH($A17,'Leave Tracker'!$A$8:$A$105,0)))),0,31*(VLOOKUP(K$1,Sprints[],5,FALSE))+DAY(VLOOKUP(K$1,Sprints[],2,FALSE)),1,VLOOKUP(K$1,Sprints[],4,FALSE))&lt;&gt;"")*(IF(OFFSET(INDIRECT(CELL("address",INDEX('Leave Tracker'!$A$8:$A$105,MATCH($A17,'Leave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Tracker'!$A$8:$A$105,MATCH($A17,'Leave Tracker'!$A$8:$A$105,0)))),0,31*(VLOOKUP(L$1,Sprints[],5,FALSE))+DAY(VLOOKUP(L$1,Sprints[],2,FALSE)),1,VLOOKUP(L$1,Sprints[],4,FALSE))&lt;&gt;"")*(IF(OFFSET(INDIRECT(CELL("address",INDEX('Leave Tracker'!$A$8:$A$105,MATCH($A17,'Leave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Tracker'!$A$8:$A$105,MATCH($A17,'Leave Tracker'!$A$8:$A$105,0)))),0,31*(VLOOKUP(M$1,Sprints[],5,FALSE))+DAY(VLOOKUP(M$1,Sprints[],2,FALSE)),1,VLOOKUP(M$1,Sprints[],4,FALSE))&lt;&gt;"")*(IF(OFFSET(INDIRECT(CELL("address",INDEX('Leave Tracker'!$A$8:$A$105,MATCH($A17,'Leave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Tracker'!$A$8:$A$105,MATCH($A17,'Leave Tracker'!$A$8:$A$105,0)))),0,31*(VLOOKUP(N$1,Sprints[],5,FALSE))+DAY(VLOOKUP(N$1,Sprints[],2,FALSE)),1,VLOOKUP(N$1,Sprints[],4,FALSE))&lt;&gt;"")*(IF(OFFSET(INDIRECT(CELL("address",INDEX('Leave Tracker'!$A$8:$A$105,MATCH($A17,'Leave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Tracker'!$A$8:$A$105,MATCH($A17,'Leave Tracker'!$A$8:$A$105,0)))),0,31*(VLOOKUP(O$1,Sprints[],5,FALSE))+DAY(VLOOKUP(O$1,Sprints[],2,FALSE)),1,VLOOKUP(O$1,Sprints[],4,FALSE))&lt;&gt;"")*(IF(OFFSET(INDIRECT(CELL("address",INDEX('Leave Tracker'!$A$8:$A$105,MATCH($A17,'Leave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7">
        <f t="array" aca="1" ref="P17" ca="1">Sheet3!$W$2*$F17*(NETWORKDAYS(VLOOKUP(P$1,Sprints[],2,FALSE), VLOOKUP(P$1,Sprints[],3,FALSE))-SUMPRODUCT((OFFSET(INDIRECT(CELL("address",INDEX('Leave Tracker'!$A$8:$A$105,MATCH($A17,'Leave Tracker'!$A$8:$A$105,0)))),0,31*(VLOOKUP(P$1,Sprints[],5,FALSE))+DAY(VLOOKUP(P$1,Sprints[],2,FALSE)),1,VLOOKUP(P$1,Sprints[],4,FALSE))&lt;&gt;"")*(IF(OFFSET(INDIRECT(CELL("address",INDEX('Leave Tracker'!$A$8:$A$105,MATCH($A17,'Leave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Tracker'!$A$8:$A$105,MATCH($A17,'Leave Tracker'!$A$8:$A$105,0)))),0,31*(VLOOKUP(Q$1,Sprints[],5,FALSE))+DAY(VLOOKUP(Q$1,Sprints[],2,FALSE)),1,VLOOKUP(Q$1,Sprints[],4,FALSE))&lt;&gt;"")*(IF(OFFSET(INDIRECT(CELL("address",INDEX('Leave Tracker'!$A$8:$A$105,MATCH($A17,'Leave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Tracker'!$A$8:$A$105,MATCH($A17,'Leave Tracker'!$A$8:$A$105,0)))),0,31*(VLOOKUP(R$1,Sprints[],5,FALSE))+DAY(VLOOKUP(R$1,Sprints[],2,FALSE)),1,VLOOKUP(R$1,Sprints[],4,FALSE))&lt;&gt;"")*(IF(OFFSET(INDIRECT(CELL("address",INDEX('Leave Tracker'!$A$8:$A$105,MATCH($A17,'Leave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Tracker'!$A$8:$A$105,MATCH($A17,'Leave Tracker'!$A$8:$A$105,0)))),0,31*(VLOOKUP(S$1,Sprints[],5,FALSE))+DAY(VLOOKUP(S$1,Sprints[],2,FALSE)),1,VLOOKUP(S$1,Sprints[],4,FALSE))&lt;&gt;"")*(IF(OFFSET(INDIRECT(CELL("address",INDEX('Leave Tracker'!$A$8:$A$105,MATCH($A17,'Leave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Tracker'!$A$8:$A$105,MATCH($A17,'Leave Tracker'!$A$8:$A$105,0)))),0,31*(VLOOKUP(T$1,Sprints[],5,FALSE))+DAY(VLOOKUP(T$1,Sprints[],2,FALSE)),1,VLOOKUP(T$1,Sprints[],4,FALSE))&lt;&gt;"")*(IF(OFFSET(INDIRECT(CELL("address",INDEX('Leave Tracker'!$A$8:$A$105,MATCH($A17,'Leave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Tracker'!$A$8:$A$105,MATCH($A17,'Leave Tracker'!$A$8:$A$105,0)))),0,31*(VLOOKUP(U$1,Sprints[],5,FALSE))+DAY(VLOOKUP(U$1,Sprints[],2,FALSE)),1,VLOOKUP(U$1,Sprints[],4,FALSE))&lt;&gt;"")*(IF(OFFSET(INDIRECT(CELL("address",INDEX('Leave Tracker'!$A$8:$A$105,MATCH($A17,'Leave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31.500000000000004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Tracker'!$A$8:$A$105,MATCH($A18,'Leave Tracker'!$A$8:$A$105,0)))),0,31*(VLOOKUP(G$1,Sprints[],5,FALSE))+DAY(VLOOKUP(G$1,Sprints[],2,FALSE)),1,VLOOKUP(G$1,Sprints[],4,FALSE))&lt;&gt;"")*(IF(OFFSET(INDIRECT(CELL("address",INDEX('Leave Tracker'!$A$8:$A$105,MATCH($A18,'Leave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Tracker'!$A$8:$A$105,MATCH($A18,'Leave Tracker'!$A$8:$A$105,0)))),0,31*(VLOOKUP(H$1,Sprints[],5,FALSE))+DAY(VLOOKUP(H$1,Sprints[],2,FALSE)),1,VLOOKUP(H$1,Sprints[],4,FALSE))&lt;&gt;"")*(IF(OFFSET(INDIRECT(CELL("address",INDEX('Leave Tracker'!$A$8:$A$105,MATCH($A18,'Leave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Tracker'!$A$8:$A$105,MATCH($A18,'Leave Tracker'!$A$8:$A$105,0)))),0,31*(VLOOKUP(I$1,Sprints[],5,FALSE))+DAY(VLOOKUP(I$1,Sprints[],2,FALSE)),1,VLOOKUP(I$1,Sprints[],4,FALSE))&lt;&gt;"")*(IF(OFFSET(INDIRECT(CELL("address",INDEX('Leave Tracker'!$A$8:$A$105,MATCH($A18,'Leave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Tracker'!$A$8:$A$105,MATCH($A18,'Leave Tracker'!$A$8:$A$105,0)))),0,31*(VLOOKUP(J$1,Sprints[],5,FALSE))+DAY(VLOOKUP(J$1,Sprints[],2,FALSE)),1,VLOOKUP(J$1,Sprints[],4,FALSE))&lt;&gt;"")*(IF(OFFSET(INDIRECT(CELL("address",INDEX('Leave Tracker'!$A$8:$A$105,MATCH($A18,'Leave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Tracker'!$A$8:$A$105,MATCH($A18,'Leave Tracker'!$A$8:$A$105,0)))),0,31*(VLOOKUP(K$1,Sprints[],5,FALSE))+DAY(VLOOKUP(K$1,Sprints[],2,FALSE)),1,VLOOKUP(K$1,Sprints[],4,FALSE))&lt;&gt;"")*(IF(OFFSET(INDIRECT(CELL("address",INDEX('Leave Tracker'!$A$8:$A$105,MATCH($A18,'Leave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Tracker'!$A$8:$A$105,MATCH($A18,'Leave Tracker'!$A$8:$A$105,0)))),0,31*(VLOOKUP(L$1,Sprints[],5,FALSE))+DAY(VLOOKUP(L$1,Sprints[],2,FALSE)),1,VLOOKUP(L$1,Sprints[],4,FALSE))&lt;&gt;"")*(IF(OFFSET(INDIRECT(CELL("address",INDEX('Leave Tracker'!$A$8:$A$105,MATCH($A18,'Leave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Tracker'!$A$8:$A$105,MATCH($A18,'Leave Tracker'!$A$8:$A$105,0)))),0,31*(VLOOKUP(M$1,Sprints[],5,FALSE))+DAY(VLOOKUP(M$1,Sprints[],2,FALSE)),1,VLOOKUP(M$1,Sprints[],4,FALSE))&lt;&gt;"")*(IF(OFFSET(INDIRECT(CELL("address",INDEX('Leave Tracker'!$A$8:$A$105,MATCH($A18,'Leave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Tracker'!$A$8:$A$105,MATCH($A18,'Leave Tracker'!$A$8:$A$105,0)))),0,31*(VLOOKUP(N$1,Sprints[],5,FALSE))+DAY(VLOOKUP(N$1,Sprints[],2,FALSE)),1,VLOOKUP(N$1,Sprints[],4,FALSE))&lt;&gt;"")*(IF(OFFSET(INDIRECT(CELL("address",INDEX('Leave Tracker'!$A$8:$A$105,MATCH($A18,'Leave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Tracker'!$A$8:$A$105,MATCH($A18,'Leave Tracker'!$A$8:$A$105,0)))),0,31*(VLOOKUP(O$1,Sprints[],5,FALSE))+DAY(VLOOKUP(O$1,Sprints[],2,FALSE)),1,VLOOKUP(O$1,Sprints[],4,FALSE))&lt;&gt;"")*(IF(OFFSET(INDIRECT(CELL("address",INDEX('Leave Tracker'!$A$8:$A$105,MATCH($A18,'Leave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Tracker'!$A$8:$A$105,MATCH($A18,'Leave Tracker'!$A$8:$A$105,0)))),0,31*(VLOOKUP(P$1,Sprints[],5,FALSE))+DAY(VLOOKUP(P$1,Sprints[],2,FALSE)),1,VLOOKUP(P$1,Sprints[],4,FALSE))&lt;&gt;"")*(IF(OFFSET(INDIRECT(CELL("address",INDEX('Leave Tracker'!$A$8:$A$105,MATCH($A18,'Leave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1.08</v>
      </c>
      <c r="Q18">
        <f t="array" aca="1" ref="Q18" ca="1">Sheet3!$W$2*$F18*(NETWORKDAYS(VLOOKUP(Q$1,Sprints[],2,FALSE), VLOOKUP(Q$1,Sprints[],3,FALSE))-SUMPRODUCT((OFFSET(INDIRECT(CELL("address",INDEX('Leave Tracker'!$A$8:$A$105,MATCH($A18,'Leave Tracker'!$A$8:$A$105,0)))),0,31*(VLOOKUP(Q$1,Sprints[],5,FALSE))+DAY(VLOOKUP(Q$1,Sprints[],2,FALSE)),1,VLOOKUP(Q$1,Sprints[],4,FALSE))&lt;&gt;"")*(IF(OFFSET(INDIRECT(CELL("address",INDEX('Leave Tracker'!$A$8:$A$105,MATCH($A18,'Leave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18">
        <f t="array" aca="1" ref="R18" ca="1">Sheet3!$W$2*$F18*(NETWORKDAYS(VLOOKUP(R$1,Sprints[],2,FALSE), VLOOKUP(R$1,Sprints[],3,FALSE))-SUMPRODUCT((OFFSET(INDIRECT(CELL("address",INDEX('Leave Tracker'!$A$8:$A$105,MATCH($A18,'Leave Tracker'!$A$8:$A$105,0)))),0,31*(VLOOKUP(R$1,Sprints[],5,FALSE))+DAY(VLOOKUP(R$1,Sprints[],2,FALSE)),1,VLOOKUP(R$1,Sprints[],4,FALSE))&lt;&gt;"")*(IF(OFFSET(INDIRECT(CELL("address",INDEX('Leave Tracker'!$A$8:$A$105,MATCH($A18,'Leave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Tracker'!$A$8:$A$105,MATCH($A18,'Leave Tracker'!$A$8:$A$105,0)))),0,31*(VLOOKUP(S$1,Sprints[],5,FALSE))+DAY(VLOOKUP(S$1,Sprints[],2,FALSE)),1,VLOOKUP(S$1,Sprints[],4,FALSE))&lt;&gt;"")*(IF(OFFSET(INDIRECT(CELL("address",INDEX('Leave Tracker'!$A$8:$A$105,MATCH($A18,'Leave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Tracker'!$A$8:$A$105,MATCH($A18,'Leave Tracker'!$A$8:$A$105,0)))),0,31*(VLOOKUP(T$1,Sprints[],5,FALSE))+DAY(VLOOKUP(T$1,Sprints[],2,FALSE)),1,VLOOKUP(T$1,Sprints[],4,FALSE))&lt;&gt;"")*(IF(OFFSET(INDIRECT(CELL("address",INDEX('Leave Tracker'!$A$8:$A$105,MATCH($A18,'Leave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Tracker'!$A$8:$A$105,MATCH($A18,'Leave Tracker'!$A$8:$A$105,0)))),0,31*(VLOOKUP(U$1,Sprints[],5,FALSE))+DAY(VLOOKUP(U$1,Sprints[],2,FALSE)),1,VLOOKUP(U$1,Sprints[],4,FALSE))&lt;&gt;"")*(IF(OFFSET(INDIRECT(CELL("address",INDEX('Leave Tracker'!$A$8:$A$105,MATCH($A18,'Leave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6.3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Tracker'!$A$8:$A$105,MATCH($A19,'Leave Tracker'!$A$8:$A$105,0)))),0,31*(VLOOKUP(G$1,Sprints[],5,FALSE))+DAY(VLOOKUP(G$1,Sprints[],2,FALSE)),1,VLOOKUP(G$1,Sprints[],4,FALSE))&lt;&gt;"")*(IF(OFFSET(INDIRECT(CELL("address",INDEX('Leave Tracker'!$A$8:$A$105,MATCH($A19,'Leave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Tracker'!$A$8:$A$105,MATCH($A19,'Leave Tracker'!$A$8:$A$105,0)))),0,31*(VLOOKUP(H$1,Sprints[],5,FALSE))+DAY(VLOOKUP(H$1,Sprints[],2,FALSE)),1,VLOOKUP(H$1,Sprints[],4,FALSE))&lt;&gt;"")*(IF(OFFSET(INDIRECT(CELL("address",INDEX('Leave Tracker'!$A$8:$A$105,MATCH($A19,'Leave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Tracker'!$A$8:$A$105,MATCH($A19,'Leave Tracker'!$A$8:$A$105,0)))),0,31*(VLOOKUP(I$1,Sprints[],5,FALSE))+DAY(VLOOKUP(I$1,Sprints[],2,FALSE)),1,VLOOKUP(I$1,Sprints[],4,FALSE))&lt;&gt;"")*(IF(OFFSET(INDIRECT(CELL("address",INDEX('Leave Tracker'!$A$8:$A$105,MATCH($A19,'Leave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Tracker'!$A$8:$A$105,MATCH($A19,'Leave Tracker'!$A$8:$A$105,0)))),0,31*(VLOOKUP(J$1,Sprints[],5,FALSE))+DAY(VLOOKUP(J$1,Sprints[],2,FALSE)),1,VLOOKUP(J$1,Sprints[],4,FALSE))&lt;&gt;"")*(IF(OFFSET(INDIRECT(CELL("address",INDEX('Leave Tracker'!$A$8:$A$105,MATCH($A19,'Leave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Tracker'!$A$8:$A$105,MATCH($A19,'Leave Tracker'!$A$8:$A$105,0)))),0,31*(VLOOKUP(K$1,Sprints[],5,FALSE))+DAY(VLOOKUP(K$1,Sprints[],2,FALSE)),1,VLOOKUP(K$1,Sprints[],4,FALSE))&lt;&gt;"")*(IF(OFFSET(INDIRECT(CELL("address",INDEX('Leave Tracker'!$A$8:$A$105,MATCH($A19,'Leave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Tracker'!$A$8:$A$105,MATCH($A19,'Leave Tracker'!$A$8:$A$105,0)))),0,31*(VLOOKUP(L$1,Sprints[],5,FALSE))+DAY(VLOOKUP(L$1,Sprints[],2,FALSE)),1,VLOOKUP(L$1,Sprints[],4,FALSE))&lt;&gt;"")*(IF(OFFSET(INDIRECT(CELL("address",INDEX('Leave Tracker'!$A$8:$A$105,MATCH($A19,'Leave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Tracker'!$A$8:$A$105,MATCH($A19,'Leave Tracker'!$A$8:$A$105,0)))),0,31*(VLOOKUP(M$1,Sprints[],5,FALSE))+DAY(VLOOKUP(M$1,Sprints[],2,FALSE)),1,VLOOKUP(M$1,Sprints[],4,FALSE))&lt;&gt;"")*(IF(OFFSET(INDIRECT(CELL("address",INDEX('Leave Tracker'!$A$8:$A$105,MATCH($A19,'Leave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Tracker'!$A$8:$A$105,MATCH($A19,'Leave Tracker'!$A$8:$A$105,0)))),0,31*(VLOOKUP(N$1,Sprints[],5,FALSE))+DAY(VLOOKUP(N$1,Sprints[],2,FALSE)),1,VLOOKUP(N$1,Sprints[],4,FALSE))&lt;&gt;"")*(IF(OFFSET(INDIRECT(CELL("address",INDEX('Leave Tracker'!$A$8:$A$105,MATCH($A19,'Leave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Tracker'!$A$8:$A$105,MATCH($A19,'Leave Tracker'!$A$8:$A$105,0)))),0,31*(VLOOKUP(O$1,Sprints[],5,FALSE))+DAY(VLOOKUP(O$1,Sprints[],2,FALSE)),1,VLOOKUP(O$1,Sprints[],4,FALSE))&lt;&gt;"")*(IF(OFFSET(INDIRECT(CELL("address",INDEX('Leave Tracker'!$A$8:$A$105,MATCH($A19,'Leave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19">
        <f t="array" aca="1" ref="P19" ca="1">Sheet3!$W$2*$F19*(NETWORKDAYS(VLOOKUP(P$1,Sprints[],2,FALSE), VLOOKUP(P$1,Sprints[],3,FALSE))-SUMPRODUCT((OFFSET(INDIRECT(CELL("address",INDEX('Leave Tracker'!$A$8:$A$105,MATCH($A19,'Leave Tracker'!$A$8:$A$105,0)))),0,31*(VLOOKUP(P$1,Sprints[],5,FALSE))+DAY(VLOOKUP(P$1,Sprints[],2,FALSE)),1,VLOOKUP(P$1,Sprints[],4,FALSE))&lt;&gt;"")*(IF(OFFSET(INDIRECT(CELL("address",INDEX('Leave Tracker'!$A$8:$A$105,MATCH($A19,'Leave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Tracker'!$A$8:$A$105,MATCH($A19,'Leave Tracker'!$A$8:$A$105,0)))),0,31*(VLOOKUP(Q$1,Sprints[],5,FALSE))+DAY(VLOOKUP(Q$1,Sprints[],2,FALSE)),1,VLOOKUP(Q$1,Sprints[],4,FALSE))&lt;&gt;"")*(IF(OFFSET(INDIRECT(CELL("address",INDEX('Leave Tracker'!$A$8:$A$105,MATCH($A19,'Leave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Tracker'!$A$8:$A$105,MATCH($A19,'Leave Tracker'!$A$8:$A$105,0)))),0,31*(VLOOKUP(R$1,Sprints[],5,FALSE))+DAY(VLOOKUP(R$1,Sprints[],2,FALSE)),1,VLOOKUP(R$1,Sprints[],4,FALSE))&lt;&gt;"")*(IF(OFFSET(INDIRECT(CELL("address",INDEX('Leave Tracker'!$A$8:$A$105,MATCH($A19,'Leave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Tracker'!$A$8:$A$105,MATCH($A19,'Leave Tracker'!$A$8:$A$105,0)))),0,31*(VLOOKUP(S$1,Sprints[],5,FALSE))+DAY(VLOOKUP(S$1,Sprints[],2,FALSE)),1,VLOOKUP(S$1,Sprints[],4,FALSE))&lt;&gt;"")*(IF(OFFSET(INDIRECT(CELL("address",INDEX('Leave Tracker'!$A$8:$A$105,MATCH($A19,'Leave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Tracker'!$A$8:$A$105,MATCH($A19,'Leave Tracker'!$A$8:$A$105,0)))),0,31*(VLOOKUP(T$1,Sprints[],5,FALSE))+DAY(VLOOKUP(T$1,Sprints[],2,FALSE)),1,VLOOKUP(T$1,Sprints[],4,FALSE))&lt;&gt;"")*(IF(OFFSET(INDIRECT(CELL("address",INDEX('Leave Tracker'!$A$8:$A$105,MATCH($A19,'Leave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Tracker'!$A$8:$A$105,MATCH($A19,'Leave Tracker'!$A$8:$A$105,0)))),0,31*(VLOOKUP(U$1,Sprints[],5,FALSE))+DAY(VLOOKUP(U$1,Sprints[],2,FALSE)),1,VLOOKUP(U$1,Sprints[],4,FALSE))&lt;&gt;"")*(IF(OFFSET(INDIRECT(CELL("address",INDEX('Leave Tracker'!$A$8:$A$105,MATCH($A19,'Leave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30.900000000000006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Tracker'!$A$8:$A$105,MATCH($A20,'Leave Tracker'!$A$8:$A$105,0)))),0,31*(VLOOKUP(G$1,Sprints[],5,FALSE))+DAY(VLOOKUP(G$1,Sprints[],2,FALSE)),1,VLOOKUP(G$1,Sprints[],4,FALSE))&lt;&gt;"")*(IF(OFFSET(INDIRECT(CELL("address",INDEX('Leave Tracker'!$A$8:$A$105,MATCH($A20,'Leave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Tracker'!$A$8:$A$105,MATCH($A20,'Leave Tracker'!$A$8:$A$105,0)))),0,31*(VLOOKUP(H$1,Sprints[],5,FALSE))+DAY(VLOOKUP(H$1,Sprints[],2,FALSE)),1,VLOOKUP(H$1,Sprints[],4,FALSE))&lt;&gt;"")*(IF(OFFSET(INDIRECT(CELL("address",INDEX('Leave Tracker'!$A$8:$A$105,MATCH($A20,'Leave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Tracker'!$A$8:$A$105,MATCH($A20,'Leave Tracker'!$A$8:$A$105,0)))),0,31*(VLOOKUP(I$1,Sprints[],5,FALSE))+DAY(VLOOKUP(I$1,Sprints[],2,FALSE)),1,VLOOKUP(I$1,Sprints[],4,FALSE))&lt;&gt;"")*(IF(OFFSET(INDIRECT(CELL("address",INDEX('Leave Tracker'!$A$8:$A$105,MATCH($A20,'Leave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Tracker'!$A$8:$A$105,MATCH($A20,'Leave Tracker'!$A$8:$A$105,0)))),0,31*(VLOOKUP(J$1,Sprints[],5,FALSE))+DAY(VLOOKUP(J$1,Sprints[],2,FALSE)),1,VLOOKUP(J$1,Sprints[],4,FALSE))&lt;&gt;"")*(IF(OFFSET(INDIRECT(CELL("address",INDEX('Leave Tracker'!$A$8:$A$105,MATCH($A20,'Leave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Tracker'!$A$8:$A$105,MATCH($A20,'Leave Tracker'!$A$8:$A$105,0)))),0,31*(VLOOKUP(K$1,Sprints[],5,FALSE))+DAY(VLOOKUP(K$1,Sprints[],2,FALSE)),1,VLOOKUP(K$1,Sprints[],4,FALSE))&lt;&gt;"")*(IF(OFFSET(INDIRECT(CELL("address",INDEX('Leave Tracker'!$A$8:$A$105,MATCH($A20,'Leave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Tracker'!$A$8:$A$105,MATCH($A20,'Leave Tracker'!$A$8:$A$105,0)))),0,31*(VLOOKUP(L$1,Sprints[],5,FALSE))+DAY(VLOOKUP(L$1,Sprints[],2,FALSE)),1,VLOOKUP(L$1,Sprints[],4,FALSE))&lt;&gt;"")*(IF(OFFSET(INDIRECT(CELL("address",INDEX('Leave Tracker'!$A$8:$A$105,MATCH($A20,'Leave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Tracker'!$A$8:$A$105,MATCH($A20,'Leave Tracker'!$A$8:$A$105,0)))),0,31*(VLOOKUP(M$1,Sprints[],5,FALSE))+DAY(VLOOKUP(M$1,Sprints[],2,FALSE)),1,VLOOKUP(M$1,Sprints[],4,FALSE))&lt;&gt;"")*(IF(OFFSET(INDIRECT(CELL("address",INDEX('Leave Tracker'!$A$8:$A$105,MATCH($A20,'Leave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Tracker'!$A$8:$A$105,MATCH($A20,'Leave Tracker'!$A$8:$A$105,0)))),0,31*(VLOOKUP(N$1,Sprints[],5,FALSE))+DAY(VLOOKUP(N$1,Sprints[],2,FALSE)),1,VLOOKUP(N$1,Sprints[],4,FALSE))&lt;&gt;"")*(IF(OFFSET(INDIRECT(CELL("address",INDEX('Leave Tracker'!$A$8:$A$105,MATCH($A20,'Leave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Tracker'!$A$8:$A$105,MATCH($A20,'Leave Tracker'!$A$8:$A$105,0)))),0,31*(VLOOKUP(O$1,Sprints[],5,FALSE))+DAY(VLOOKUP(O$1,Sprints[],2,FALSE)),1,VLOOKUP(O$1,Sprints[],4,FALSE))&lt;&gt;"")*(IF(OFFSET(INDIRECT(CELL("address",INDEX('Leave Tracker'!$A$8:$A$105,MATCH($A20,'Leave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20">
        <f t="array" aca="1" ref="P20" ca="1">Sheet3!$W$2*$F20*(NETWORKDAYS(VLOOKUP(P$1,Sprints[],2,FALSE), VLOOKUP(P$1,Sprints[],3,FALSE))-SUMPRODUCT((OFFSET(INDIRECT(CELL("address",INDEX('Leave Tracker'!$A$8:$A$105,MATCH($A20,'Leave Tracker'!$A$8:$A$105,0)))),0,31*(VLOOKUP(P$1,Sprints[],5,FALSE))+DAY(VLOOKUP(P$1,Sprints[],2,FALSE)),1,VLOOKUP(P$1,Sprints[],4,FALSE))&lt;&gt;"")*(IF(OFFSET(INDIRECT(CELL("address",INDEX('Leave Tracker'!$A$8:$A$105,MATCH($A20,'Leave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Tracker'!$A$8:$A$105,MATCH($A20,'Leave Tracker'!$A$8:$A$105,0)))),0,31*(VLOOKUP(Q$1,Sprints[],5,FALSE))+DAY(VLOOKUP(Q$1,Sprints[],2,FALSE)),1,VLOOKUP(Q$1,Sprints[],4,FALSE))&lt;&gt;"")*(IF(OFFSET(INDIRECT(CELL("address",INDEX('Leave Tracker'!$A$8:$A$105,MATCH($A20,'Leave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Tracker'!$A$8:$A$105,MATCH($A20,'Leave Tracker'!$A$8:$A$105,0)))),0,31*(VLOOKUP(R$1,Sprints[],5,FALSE))+DAY(VLOOKUP(R$1,Sprints[],2,FALSE)),1,VLOOKUP(R$1,Sprints[],4,FALSE))&lt;&gt;"")*(IF(OFFSET(INDIRECT(CELL("address",INDEX('Leave Tracker'!$A$8:$A$105,MATCH($A20,'Leave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Tracker'!$A$8:$A$105,MATCH($A20,'Leave Tracker'!$A$8:$A$105,0)))),0,31*(VLOOKUP(S$1,Sprints[],5,FALSE))+DAY(VLOOKUP(S$1,Sprints[],2,FALSE)),1,VLOOKUP(S$1,Sprints[],4,FALSE))&lt;&gt;"")*(IF(OFFSET(INDIRECT(CELL("address",INDEX('Leave Tracker'!$A$8:$A$105,MATCH($A20,'Leave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Tracker'!$A$8:$A$105,MATCH($A20,'Leave Tracker'!$A$8:$A$105,0)))),0,31*(VLOOKUP(T$1,Sprints[],5,FALSE))+DAY(VLOOKUP(T$1,Sprints[],2,FALSE)),1,VLOOKUP(T$1,Sprints[],4,FALSE))&lt;&gt;"")*(IF(OFFSET(INDIRECT(CELL("address",INDEX('Leave Tracker'!$A$8:$A$105,MATCH($A20,'Leave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Tracker'!$A$8:$A$105,MATCH($A20,'Leave Tracker'!$A$8:$A$105,0)))),0,31*(VLOOKUP(U$1,Sprints[],5,FALSE))+DAY(VLOOKUP(U$1,Sprints[],2,FALSE)),1,VLOOKUP(U$1,Sprints[],4,FALSE))&lt;&gt;"")*(IF(OFFSET(INDIRECT(CELL("address",INDEX('Leave Tracker'!$A$8:$A$105,MATCH($A20,'Leave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29.100000000000005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Tracker'!$A$8:$A$105,MATCH($A21,'Leave Tracker'!$A$8:$A$105,0)))),0,31*(VLOOKUP(G$1,Sprints[],5,FALSE))+DAY(VLOOKUP(G$1,Sprints[],2,FALSE)),1,VLOOKUP(G$1,Sprints[],4,FALSE))&lt;&gt;"")*(IF(OFFSET(INDIRECT(CELL("address",INDEX('Leave Tracker'!$A$8:$A$105,MATCH($A21,'Leave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Tracker'!$A$8:$A$105,MATCH($A21,'Leave Tracker'!$A$8:$A$105,0)))),0,31*(VLOOKUP(H$1,Sprints[],5,FALSE))+DAY(VLOOKUP(H$1,Sprints[],2,FALSE)),1,VLOOKUP(H$1,Sprints[],4,FALSE))&lt;&gt;"")*(IF(OFFSET(INDIRECT(CELL("address",INDEX('Leave Tracker'!$A$8:$A$105,MATCH($A21,'Leave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Tracker'!$A$8:$A$105,MATCH($A21,'Leave Tracker'!$A$8:$A$105,0)))),0,31*(VLOOKUP(I$1,Sprints[],5,FALSE))+DAY(VLOOKUP(I$1,Sprints[],2,FALSE)),1,VLOOKUP(I$1,Sprints[],4,FALSE))&lt;&gt;"")*(IF(OFFSET(INDIRECT(CELL("address",INDEX('Leave Tracker'!$A$8:$A$105,MATCH($A21,'Leave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Tracker'!$A$8:$A$105,MATCH($A21,'Leave Tracker'!$A$8:$A$105,0)))),0,31*(VLOOKUP(J$1,Sprints[],5,FALSE))+DAY(VLOOKUP(J$1,Sprints[],2,FALSE)),1,VLOOKUP(J$1,Sprints[],4,FALSE))&lt;&gt;"")*(IF(OFFSET(INDIRECT(CELL("address",INDEX('Leave Tracker'!$A$8:$A$105,MATCH($A21,'Leave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Tracker'!$A$8:$A$105,MATCH($A21,'Leave Tracker'!$A$8:$A$105,0)))),0,31*(VLOOKUP(K$1,Sprints[],5,FALSE))+DAY(VLOOKUP(K$1,Sprints[],2,FALSE)),1,VLOOKUP(K$1,Sprints[],4,FALSE))&lt;&gt;"")*(IF(OFFSET(INDIRECT(CELL("address",INDEX('Leave Tracker'!$A$8:$A$105,MATCH($A21,'Leave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Tracker'!$A$8:$A$105,MATCH($A21,'Leave Tracker'!$A$8:$A$105,0)))),0,31*(VLOOKUP(L$1,Sprints[],5,FALSE))+DAY(VLOOKUP(L$1,Sprints[],2,FALSE)),1,VLOOKUP(L$1,Sprints[],4,FALSE))&lt;&gt;"")*(IF(OFFSET(INDIRECT(CELL("address",INDEX('Leave Tracker'!$A$8:$A$105,MATCH($A21,'Leave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Tracker'!$A$8:$A$105,MATCH($A21,'Leave Tracker'!$A$8:$A$105,0)))),0,31*(VLOOKUP(M$1,Sprints[],5,FALSE))+DAY(VLOOKUP(M$1,Sprints[],2,FALSE)),1,VLOOKUP(M$1,Sprints[],4,FALSE))&lt;&gt;"")*(IF(OFFSET(INDIRECT(CELL("address",INDEX('Leave Tracker'!$A$8:$A$105,MATCH($A21,'Leave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Tracker'!$A$8:$A$105,MATCH($A21,'Leave Tracker'!$A$8:$A$105,0)))),0,31*(VLOOKUP(N$1,Sprints[],5,FALSE))+DAY(VLOOKUP(N$1,Sprints[],2,FALSE)),1,VLOOKUP(N$1,Sprints[],4,FALSE))&lt;&gt;"")*(IF(OFFSET(INDIRECT(CELL("address",INDEX('Leave Tracker'!$A$8:$A$105,MATCH($A21,'Leave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Tracker'!$A$8:$A$105,MATCH($A21,'Leave Tracker'!$A$8:$A$105,0)))),0,31*(VLOOKUP(O$1,Sprints[],5,FALSE))+DAY(VLOOKUP(O$1,Sprints[],2,FALSE)),1,VLOOKUP(O$1,Sprints[],4,FALSE))&lt;&gt;"")*(IF(OFFSET(INDIRECT(CELL("address",INDEX('Leave Tracker'!$A$8:$A$105,MATCH($A21,'Leave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1">
        <f t="array" aca="1" ref="P21" ca="1">Sheet3!$W$2*$F21*(NETWORKDAYS(VLOOKUP(P$1,Sprints[],2,FALSE), VLOOKUP(P$1,Sprints[],3,FALSE))-SUMPRODUCT((OFFSET(INDIRECT(CELL("address",INDEX('Leave Tracker'!$A$8:$A$105,MATCH($A21,'Leave Tracker'!$A$8:$A$105,0)))),0,31*(VLOOKUP(P$1,Sprints[],5,FALSE))+DAY(VLOOKUP(P$1,Sprints[],2,FALSE)),1,VLOOKUP(P$1,Sprints[],4,FALSE))&lt;&gt;"")*(IF(OFFSET(INDIRECT(CELL("address",INDEX('Leave Tracker'!$A$8:$A$105,MATCH($A21,'Leave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Tracker'!$A$8:$A$105,MATCH($A21,'Leave Tracker'!$A$8:$A$105,0)))),0,31*(VLOOKUP(Q$1,Sprints[],5,FALSE))+DAY(VLOOKUP(Q$1,Sprints[],2,FALSE)),1,VLOOKUP(Q$1,Sprints[],4,FALSE))&lt;&gt;"")*(IF(OFFSET(INDIRECT(CELL("address",INDEX('Leave Tracker'!$A$8:$A$105,MATCH($A21,'Leave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Tracker'!$A$8:$A$105,MATCH($A21,'Leave Tracker'!$A$8:$A$105,0)))),0,31*(VLOOKUP(R$1,Sprints[],5,FALSE))+DAY(VLOOKUP(R$1,Sprints[],2,FALSE)),1,VLOOKUP(R$1,Sprints[],4,FALSE))&lt;&gt;"")*(IF(OFFSET(INDIRECT(CELL("address",INDEX('Leave Tracker'!$A$8:$A$105,MATCH($A21,'Leave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1" s="31">
        <f t="array" aca="1" ref="S21" ca="1">Sheet3!$W$2*$F21*(NETWORKDAYS(VLOOKUP(S$1,Sprints[],2,FALSE), VLOOKUP(S$1,Sprints[],3,FALSE))-SUMPRODUCT((OFFSET(INDIRECT(CELL("address",INDEX('Leave Tracker'!$A$8:$A$105,MATCH($A21,'Leave Tracker'!$A$8:$A$105,0)))),0,31*(VLOOKUP(S$1,Sprints[],5,FALSE))+DAY(VLOOKUP(S$1,Sprints[],2,FALSE)),1,VLOOKUP(S$1,Sprints[],4,FALSE))&lt;&gt;"")*(IF(OFFSET(INDIRECT(CELL("address",INDEX('Leave Tracker'!$A$8:$A$105,MATCH($A21,'Leave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Tracker'!$A$8:$A$105,MATCH($A21,'Leave Tracker'!$A$8:$A$105,0)))),0,31*(VLOOKUP(T$1,Sprints[],5,FALSE))+DAY(VLOOKUP(T$1,Sprints[],2,FALSE)),1,VLOOKUP(T$1,Sprints[],4,FALSE))&lt;&gt;"")*(IF(OFFSET(INDIRECT(CELL("address",INDEX('Leave Tracker'!$A$8:$A$105,MATCH($A21,'Leave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Tracker'!$A$8:$A$105,MATCH($A21,'Leave Tracker'!$A$8:$A$105,0)))),0,31*(VLOOKUP(U$1,Sprints[],5,FALSE))+DAY(VLOOKUP(U$1,Sprints[],2,FALSE)),1,VLOOKUP(U$1,Sprints[],4,FALSE))&lt;&gt;"")*(IF(OFFSET(INDIRECT(CELL("address",INDEX('Leave Tracker'!$A$8:$A$105,MATCH($A21,'Leave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31.500000000000004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Tracker'!$A$8:$A$105,MATCH($A22,'Leave Tracker'!$A$8:$A$105,0)))),0,31*(VLOOKUP(G$1,Sprints[],5,FALSE))+DAY(VLOOKUP(G$1,Sprints[],2,FALSE)),1,VLOOKUP(G$1,Sprints[],4,FALSE))&lt;&gt;"")*(IF(OFFSET(INDIRECT(CELL("address",INDEX('Leave Tracker'!$A$8:$A$105,MATCH($A22,'Leave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Tracker'!$A$8:$A$105,MATCH($A22,'Leave Tracker'!$A$8:$A$105,0)))),0,31*(VLOOKUP(H$1,Sprints[],5,FALSE))+DAY(VLOOKUP(H$1,Sprints[],2,FALSE)),1,VLOOKUP(H$1,Sprints[],4,FALSE))&lt;&gt;"")*(IF(OFFSET(INDIRECT(CELL("address",INDEX('Leave Tracker'!$A$8:$A$105,MATCH($A22,'Leave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Tracker'!$A$8:$A$105,MATCH($A22,'Leave Tracker'!$A$8:$A$105,0)))),0,31*(VLOOKUP(I$1,Sprints[],5,FALSE))+DAY(VLOOKUP(I$1,Sprints[],2,FALSE)),1,VLOOKUP(I$1,Sprints[],4,FALSE))&lt;&gt;"")*(IF(OFFSET(INDIRECT(CELL("address",INDEX('Leave Tracker'!$A$8:$A$105,MATCH($A22,'Leave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Tracker'!$A$8:$A$105,MATCH($A22,'Leave Tracker'!$A$8:$A$105,0)))),0,31*(VLOOKUP(J$1,Sprints[],5,FALSE))+DAY(VLOOKUP(J$1,Sprints[],2,FALSE)),1,VLOOKUP(J$1,Sprints[],4,FALSE))&lt;&gt;"")*(IF(OFFSET(INDIRECT(CELL("address",INDEX('Leave Tracker'!$A$8:$A$105,MATCH($A22,'Leave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Tracker'!$A$8:$A$105,MATCH($A22,'Leave Tracker'!$A$8:$A$105,0)))),0,31*(VLOOKUP(K$1,Sprints[],5,FALSE))+DAY(VLOOKUP(K$1,Sprints[],2,FALSE)),1,VLOOKUP(K$1,Sprints[],4,FALSE))&lt;&gt;"")*(IF(OFFSET(INDIRECT(CELL("address",INDEX('Leave Tracker'!$A$8:$A$105,MATCH($A22,'Leave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Tracker'!$A$8:$A$105,MATCH($A22,'Leave Tracker'!$A$8:$A$105,0)))),0,31*(VLOOKUP(L$1,Sprints[],5,FALSE))+DAY(VLOOKUP(L$1,Sprints[],2,FALSE)),1,VLOOKUP(L$1,Sprints[],4,FALSE))&lt;&gt;"")*(IF(OFFSET(INDIRECT(CELL("address",INDEX('Leave Tracker'!$A$8:$A$105,MATCH($A22,'Leave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Tracker'!$A$8:$A$105,MATCH($A22,'Leave Tracker'!$A$8:$A$105,0)))),0,31*(VLOOKUP(M$1,Sprints[],5,FALSE))+DAY(VLOOKUP(M$1,Sprints[],2,FALSE)),1,VLOOKUP(M$1,Sprints[],4,FALSE))&lt;&gt;"")*(IF(OFFSET(INDIRECT(CELL("address",INDEX('Leave Tracker'!$A$8:$A$105,MATCH($A22,'Leave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Tracker'!$A$8:$A$105,MATCH($A22,'Leave Tracker'!$A$8:$A$105,0)))),0,31*(VLOOKUP(N$1,Sprints[],5,FALSE))+DAY(VLOOKUP(N$1,Sprints[],2,FALSE)),1,VLOOKUP(N$1,Sprints[],4,FALSE))&lt;&gt;"")*(IF(OFFSET(INDIRECT(CELL("address",INDEX('Leave Tracker'!$A$8:$A$105,MATCH($A22,'Leave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Tracker'!$A$8:$A$105,MATCH($A22,'Leave Tracker'!$A$8:$A$105,0)))),0,31*(VLOOKUP(O$1,Sprints[],5,FALSE))+DAY(VLOOKUP(O$1,Sprints[],2,FALSE)),1,VLOOKUP(O$1,Sprints[],4,FALSE))&lt;&gt;"")*(IF(OFFSET(INDIRECT(CELL("address",INDEX('Leave Tracker'!$A$8:$A$105,MATCH($A22,'Leave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2">
        <f t="array" aca="1" ref="P22" ca="1">Sheet3!$W$2*$F22*(NETWORKDAYS(VLOOKUP(P$1,Sprints[],2,FALSE), VLOOKUP(P$1,Sprints[],3,FALSE))-SUMPRODUCT((OFFSET(INDIRECT(CELL("address",INDEX('Leave Tracker'!$A$8:$A$105,MATCH($A22,'Leave Tracker'!$A$8:$A$105,0)))),0,31*(VLOOKUP(P$1,Sprints[],5,FALSE))+DAY(VLOOKUP(P$1,Sprints[],2,FALSE)),1,VLOOKUP(P$1,Sprints[],4,FALSE))&lt;&gt;"")*(IF(OFFSET(INDIRECT(CELL("address",INDEX('Leave Tracker'!$A$8:$A$105,MATCH($A22,'Leave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2">
        <f t="array" aca="1" ref="Q22" ca="1">Sheet3!$W$2*$F22*(NETWORKDAYS(VLOOKUP(Q$1,Sprints[],2,FALSE), VLOOKUP(Q$1,Sprints[],3,FALSE))-SUMPRODUCT((OFFSET(INDIRECT(CELL("address",INDEX('Leave Tracker'!$A$8:$A$105,MATCH($A22,'Leave Tracker'!$A$8:$A$105,0)))),0,31*(VLOOKUP(Q$1,Sprints[],5,FALSE))+DAY(VLOOKUP(Q$1,Sprints[],2,FALSE)),1,VLOOKUP(Q$1,Sprints[],4,FALSE))&lt;&gt;"")*(IF(OFFSET(INDIRECT(CELL("address",INDEX('Leave Tracker'!$A$8:$A$105,MATCH($A22,'Leave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2">
        <f t="array" aca="1" ref="R22" ca="1">Sheet3!$W$2*$F22*(NETWORKDAYS(VLOOKUP(R$1,Sprints[],2,FALSE), VLOOKUP(R$1,Sprints[],3,FALSE))-SUMPRODUCT((OFFSET(INDIRECT(CELL("address",INDEX('Leave Tracker'!$A$8:$A$105,MATCH($A22,'Leave Tracker'!$A$8:$A$105,0)))),0,31*(VLOOKUP(R$1,Sprints[],5,FALSE))+DAY(VLOOKUP(R$1,Sprints[],2,FALSE)),1,VLOOKUP(R$1,Sprints[],4,FALSE))&lt;&gt;"")*(IF(OFFSET(INDIRECT(CELL("address",INDEX('Leave Tracker'!$A$8:$A$105,MATCH($A22,'Leave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2" s="31">
        <f t="array" aca="1" ref="S22" ca="1">Sheet3!$W$2*$F22*(NETWORKDAYS(VLOOKUP(S$1,Sprints[],2,FALSE), VLOOKUP(S$1,Sprints[],3,FALSE))-SUMPRODUCT((OFFSET(INDIRECT(CELL("address",INDEX('Leave Tracker'!$A$8:$A$105,MATCH($A22,'Leave Tracker'!$A$8:$A$105,0)))),0,31*(VLOOKUP(S$1,Sprints[],5,FALSE))+DAY(VLOOKUP(S$1,Sprints[],2,FALSE)),1,VLOOKUP(S$1,Sprints[],4,FALSE))&lt;&gt;"")*(IF(OFFSET(INDIRECT(CELL("address",INDEX('Leave Tracker'!$A$8:$A$105,MATCH($A22,'Leave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2" s="31">
        <f t="array" aca="1" ref="T22" ca="1">Sheet3!$W$2*$F22*(NETWORKDAYS(VLOOKUP(T$1,Sprints[],2,FALSE), VLOOKUP(T$1,Sprints[],3,FALSE))-SUMPRODUCT((OFFSET(INDIRECT(CELL("address",INDEX('Leave Tracker'!$A$8:$A$105,MATCH($A22,'Leave Tracker'!$A$8:$A$105,0)))),0,31*(VLOOKUP(T$1,Sprints[],5,FALSE))+DAY(VLOOKUP(T$1,Sprints[],2,FALSE)),1,VLOOKUP(T$1,Sprints[],4,FALSE))&lt;&gt;"")*(IF(OFFSET(INDIRECT(CELL("address",INDEX('Leave Tracker'!$A$8:$A$105,MATCH($A22,'Leave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1.2000000000000002</v>
      </c>
      <c r="U22" s="78">
        <f t="array" aca="1" ref="U22" ca="1">Sheet3!$W$2*$F22*(NETWORKDAYS(VLOOKUP(U$1,Sprints[],2,FALSE), VLOOKUP(U$1,Sprints[],3,FALSE))-SUMPRODUCT((OFFSET(INDIRECT(CELL("address",INDEX('Leave Tracker'!$A$8:$A$105,MATCH($A22,'Leave Tracker'!$A$8:$A$105,0)))),0,31*(VLOOKUP(U$1,Sprints[],5,FALSE))+DAY(VLOOKUP(U$1,Sprints[],2,FALSE)),1,VLOOKUP(U$1,Sprints[],4,FALSE))&lt;&gt;"")*(IF(OFFSET(INDIRECT(CELL("address",INDEX('Leave Tracker'!$A$8:$A$105,MATCH($A22,'Leave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6.9000000000000012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Tracker'!$A$8:$A$105,MATCH($A23,'Leave Tracker'!$A$8:$A$105,0)))),0,31*(VLOOKUP(G$1,Sprints[],5,FALSE))+DAY(VLOOKUP(G$1,Sprints[],2,FALSE)),1,VLOOKUP(G$1,Sprints[],4,FALSE))&lt;&gt;"")*(IF(OFFSET(INDIRECT(CELL("address",INDEX('Leave Tracker'!$A$8:$A$105,MATCH($A23,'Leave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Tracker'!$A$8:$A$105,MATCH($A23,'Leave Tracker'!$A$8:$A$105,0)))),0,31*(VLOOKUP(H$1,Sprints[],5,FALSE))+DAY(VLOOKUP(H$1,Sprints[],2,FALSE)),1,VLOOKUP(H$1,Sprints[],4,FALSE))&lt;&gt;"")*(IF(OFFSET(INDIRECT(CELL("address",INDEX('Leave Tracker'!$A$8:$A$105,MATCH($A23,'Leave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Tracker'!$A$8:$A$105,MATCH($A23,'Leave Tracker'!$A$8:$A$105,0)))),0,31*(VLOOKUP(I$1,Sprints[],5,FALSE))+DAY(VLOOKUP(I$1,Sprints[],2,FALSE)),1,VLOOKUP(I$1,Sprints[],4,FALSE))&lt;&gt;"")*(IF(OFFSET(INDIRECT(CELL("address",INDEX('Leave Tracker'!$A$8:$A$105,MATCH($A23,'Leave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Tracker'!$A$8:$A$105,MATCH($A23,'Leave Tracker'!$A$8:$A$105,0)))),0,31*(VLOOKUP(J$1,Sprints[],5,FALSE))+DAY(VLOOKUP(J$1,Sprints[],2,FALSE)),1,VLOOKUP(J$1,Sprints[],4,FALSE))&lt;&gt;"")*(IF(OFFSET(INDIRECT(CELL("address",INDEX('Leave Tracker'!$A$8:$A$105,MATCH($A23,'Leave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Tracker'!$A$8:$A$105,MATCH($A23,'Leave Tracker'!$A$8:$A$105,0)))),0,31*(VLOOKUP(K$1,Sprints[],5,FALSE))+DAY(VLOOKUP(K$1,Sprints[],2,FALSE)),1,VLOOKUP(K$1,Sprints[],4,FALSE))&lt;&gt;"")*(IF(OFFSET(INDIRECT(CELL("address",INDEX('Leave Tracker'!$A$8:$A$105,MATCH($A23,'Leave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Tracker'!$A$8:$A$105,MATCH($A23,'Leave Tracker'!$A$8:$A$105,0)))),0,31*(VLOOKUP(L$1,Sprints[],5,FALSE))+DAY(VLOOKUP(L$1,Sprints[],2,FALSE)),1,VLOOKUP(L$1,Sprints[],4,FALSE))&lt;&gt;"")*(IF(OFFSET(INDIRECT(CELL("address",INDEX('Leave Tracker'!$A$8:$A$105,MATCH($A23,'Leave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Tracker'!$A$8:$A$105,MATCH($A23,'Leave Tracker'!$A$8:$A$105,0)))),0,31*(VLOOKUP(M$1,Sprints[],5,FALSE))+DAY(VLOOKUP(M$1,Sprints[],2,FALSE)),1,VLOOKUP(M$1,Sprints[],4,FALSE))&lt;&gt;"")*(IF(OFFSET(INDIRECT(CELL("address",INDEX('Leave Tracker'!$A$8:$A$105,MATCH($A23,'Leave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Tracker'!$A$8:$A$105,MATCH($A23,'Leave Tracker'!$A$8:$A$105,0)))),0,31*(VLOOKUP(N$1,Sprints[],5,FALSE))+DAY(VLOOKUP(N$1,Sprints[],2,FALSE)),1,VLOOKUP(N$1,Sprints[],4,FALSE))&lt;&gt;"")*(IF(OFFSET(INDIRECT(CELL("address",INDEX('Leave Tracker'!$A$8:$A$105,MATCH($A23,'Leave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Tracker'!$A$8:$A$105,MATCH($A23,'Leave Tracker'!$A$8:$A$105,0)))),0,31*(VLOOKUP(O$1,Sprints[],5,FALSE))+DAY(VLOOKUP(O$1,Sprints[],2,FALSE)),1,VLOOKUP(O$1,Sprints[],4,FALSE))&lt;&gt;"")*(IF(OFFSET(INDIRECT(CELL("address",INDEX('Leave Tracker'!$A$8:$A$105,MATCH($A23,'Leave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Tracker'!$A$8:$A$105,MATCH($A23,'Leave Tracker'!$A$8:$A$105,0)))),0,31*(VLOOKUP(P$1,Sprints[],5,FALSE))+DAY(VLOOKUP(P$1,Sprints[],2,FALSE)),1,VLOOKUP(P$1,Sprints[],4,FALSE))&lt;&gt;"")*(IF(OFFSET(INDIRECT(CELL("address",INDEX('Leave Tracker'!$A$8:$A$105,MATCH($A23,'Leave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Tracker'!$A$8:$A$105,MATCH($A23,'Leave Tracker'!$A$8:$A$105,0)))),0,31*(VLOOKUP(Q$1,Sprints[],5,FALSE))+DAY(VLOOKUP(Q$1,Sprints[],2,FALSE)),1,VLOOKUP(Q$1,Sprints[],4,FALSE))&lt;&gt;"")*(IF(OFFSET(INDIRECT(CELL("address",INDEX('Leave Tracker'!$A$8:$A$105,MATCH($A23,'Leave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Tracker'!$A$8:$A$105,MATCH($A23,'Leave Tracker'!$A$8:$A$105,0)))),0,31*(VLOOKUP(R$1,Sprints[],5,FALSE))+DAY(VLOOKUP(R$1,Sprints[],2,FALSE)),1,VLOOKUP(R$1,Sprints[],4,FALSE))&lt;&gt;"")*(IF(OFFSET(INDIRECT(CELL("address",INDEX('Leave Tracker'!$A$8:$A$105,MATCH($A23,'Leave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Tracker'!$A$8:$A$105,MATCH($A23,'Leave Tracker'!$A$8:$A$105,0)))),0,31*(VLOOKUP(S$1,Sprints[],5,FALSE))+DAY(VLOOKUP(S$1,Sprints[],2,FALSE)),1,VLOOKUP(S$1,Sprints[],4,FALSE))&lt;&gt;"")*(IF(OFFSET(INDIRECT(CELL("address",INDEX('Leave Tracker'!$A$8:$A$105,MATCH($A23,'Leave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Tracker'!$A$8:$A$105,MATCH($A23,'Leave Tracker'!$A$8:$A$105,0)))),0,31*(VLOOKUP(T$1,Sprints[],5,FALSE))+DAY(VLOOKUP(T$1,Sprints[],2,FALSE)),1,VLOOKUP(T$1,Sprints[],4,FALSE))&lt;&gt;"")*(IF(OFFSET(INDIRECT(CELL("address",INDEX('Leave Tracker'!$A$8:$A$105,MATCH($A23,'Leave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Tracker'!$A$8:$A$105,MATCH($A23,'Leave Tracker'!$A$8:$A$105,0)))),0,31*(VLOOKUP(U$1,Sprints[],5,FALSE))+DAY(VLOOKUP(U$1,Sprints[],2,FALSE)),1,VLOOKUP(U$1,Sprints[],4,FALSE))&lt;&gt;"")*(IF(OFFSET(INDIRECT(CELL("address",INDEX('Leave Tracker'!$A$8:$A$105,MATCH($A23,'Leave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Tracker'!$A$8:$A$105,MATCH($A24,'Leave Tracker'!$A$8:$A$105,0)))),0,31*(VLOOKUP(G$1,Sprints[],5,FALSE))+DAY(VLOOKUP(G$1,Sprints[],2,FALSE)),1,VLOOKUP(G$1,Sprints[],4,FALSE))&lt;&gt;"")*(IF(OFFSET(INDIRECT(CELL("address",INDEX('Leave Tracker'!$A$8:$A$105,MATCH($A24,'Leave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Tracker'!$A$8:$A$105,MATCH($A24,'Leave Tracker'!$A$8:$A$105,0)))),0,31*(VLOOKUP(H$1,Sprints[],5,FALSE))+DAY(VLOOKUP(H$1,Sprints[],2,FALSE)),1,VLOOKUP(H$1,Sprints[],4,FALSE))&lt;&gt;"")*(IF(OFFSET(INDIRECT(CELL("address",INDEX('Leave Tracker'!$A$8:$A$105,MATCH($A24,'Leave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Tracker'!$A$8:$A$105,MATCH($A24,'Leave Tracker'!$A$8:$A$105,0)))),0,31*(VLOOKUP(I$1,Sprints[],5,FALSE))+DAY(VLOOKUP(I$1,Sprints[],2,FALSE)),1,VLOOKUP(I$1,Sprints[],4,FALSE))&lt;&gt;"")*(IF(OFFSET(INDIRECT(CELL("address",INDEX('Leave Tracker'!$A$8:$A$105,MATCH($A24,'Leave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Tracker'!$A$8:$A$105,MATCH($A24,'Leave Tracker'!$A$8:$A$105,0)))),0,31*(VLOOKUP(J$1,Sprints[],5,FALSE))+DAY(VLOOKUP(J$1,Sprints[],2,FALSE)),1,VLOOKUP(J$1,Sprints[],4,FALSE))&lt;&gt;"")*(IF(OFFSET(INDIRECT(CELL("address",INDEX('Leave Tracker'!$A$8:$A$105,MATCH($A24,'Leave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Tracker'!$A$8:$A$105,MATCH($A24,'Leave Tracker'!$A$8:$A$105,0)))),0,31*(VLOOKUP(K$1,Sprints[],5,FALSE))+DAY(VLOOKUP(K$1,Sprints[],2,FALSE)),1,VLOOKUP(K$1,Sprints[],4,FALSE))&lt;&gt;"")*(IF(OFFSET(INDIRECT(CELL("address",INDEX('Leave Tracker'!$A$8:$A$105,MATCH($A24,'Leave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Tracker'!$A$8:$A$105,MATCH($A24,'Leave Tracker'!$A$8:$A$105,0)))),0,31*(VLOOKUP(L$1,Sprints[],5,FALSE))+DAY(VLOOKUP(L$1,Sprints[],2,FALSE)),1,VLOOKUP(L$1,Sprints[],4,FALSE))&lt;&gt;"")*(IF(OFFSET(INDIRECT(CELL("address",INDEX('Leave Tracker'!$A$8:$A$105,MATCH($A24,'Leave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Tracker'!$A$8:$A$105,MATCH($A24,'Leave Tracker'!$A$8:$A$105,0)))),0,31*(VLOOKUP(M$1,Sprints[],5,FALSE))+DAY(VLOOKUP(M$1,Sprints[],2,FALSE)),1,VLOOKUP(M$1,Sprints[],4,FALSE))&lt;&gt;"")*(IF(OFFSET(INDIRECT(CELL("address",INDEX('Leave Tracker'!$A$8:$A$105,MATCH($A24,'Leave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Tracker'!$A$8:$A$105,MATCH($A24,'Leave Tracker'!$A$8:$A$105,0)))),0,31*(VLOOKUP(N$1,Sprints[],5,FALSE))+DAY(VLOOKUP(N$1,Sprints[],2,FALSE)),1,VLOOKUP(N$1,Sprints[],4,FALSE))&lt;&gt;"")*(IF(OFFSET(INDIRECT(CELL("address",INDEX('Leave Tracker'!$A$8:$A$105,MATCH($A24,'Leave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Tracker'!$A$8:$A$105,MATCH($A24,'Leave Tracker'!$A$8:$A$105,0)))),0,31*(VLOOKUP(O$1,Sprints[],5,FALSE))+DAY(VLOOKUP(O$1,Sprints[],2,FALSE)),1,VLOOKUP(O$1,Sprints[],4,FALSE))&lt;&gt;"")*(IF(OFFSET(INDIRECT(CELL("address",INDEX('Leave Tracker'!$A$8:$A$105,MATCH($A24,'Leave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Tracker'!$A$8:$A$105,MATCH($A24,'Leave Tracker'!$A$8:$A$105,0)))),0,31*(VLOOKUP(P$1,Sprints[],5,FALSE))+DAY(VLOOKUP(P$1,Sprints[],2,FALSE)),1,VLOOKUP(P$1,Sprints[],4,FALSE))&lt;&gt;"")*(IF(OFFSET(INDIRECT(CELL("address",INDEX('Leave Tracker'!$A$8:$A$105,MATCH($A24,'Leave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Tracker'!$A$8:$A$105,MATCH($A24,'Leave Tracker'!$A$8:$A$105,0)))),0,31*(VLOOKUP(Q$1,Sprints[],5,FALSE))+DAY(VLOOKUP(Q$1,Sprints[],2,FALSE)),1,VLOOKUP(Q$1,Sprints[],4,FALSE))&lt;&gt;"")*(IF(OFFSET(INDIRECT(CELL("address",INDEX('Leave Tracker'!$A$8:$A$105,MATCH($A24,'Leave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Tracker'!$A$8:$A$105,MATCH($A24,'Leave Tracker'!$A$8:$A$105,0)))),0,31*(VLOOKUP(R$1,Sprints[],5,FALSE))+DAY(VLOOKUP(R$1,Sprints[],2,FALSE)),1,VLOOKUP(R$1,Sprints[],4,FALSE))&lt;&gt;"")*(IF(OFFSET(INDIRECT(CELL("address",INDEX('Leave Tracker'!$A$8:$A$105,MATCH($A24,'Leave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Tracker'!$A$8:$A$105,MATCH($A24,'Leave Tracker'!$A$8:$A$105,0)))),0,31*(VLOOKUP(S$1,Sprints[],5,FALSE))+DAY(VLOOKUP(S$1,Sprints[],2,FALSE)),1,VLOOKUP(S$1,Sprints[],4,FALSE))&lt;&gt;"")*(IF(OFFSET(INDIRECT(CELL("address",INDEX('Leave Tracker'!$A$8:$A$105,MATCH($A24,'Leave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Tracker'!$A$8:$A$105,MATCH($A24,'Leave Tracker'!$A$8:$A$105,0)))),0,31*(VLOOKUP(T$1,Sprints[],5,FALSE))+DAY(VLOOKUP(T$1,Sprints[],2,FALSE)),1,VLOOKUP(T$1,Sprints[],4,FALSE))&lt;&gt;"")*(IF(OFFSET(INDIRECT(CELL("address",INDEX('Leave Tracker'!$A$8:$A$105,MATCH($A24,'Leave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Tracker'!$A$8:$A$105,MATCH($A24,'Leave Tracker'!$A$8:$A$105,0)))),0,31*(VLOOKUP(U$1,Sprints[],5,FALSE))+DAY(VLOOKUP(U$1,Sprints[],2,FALSE)),1,VLOOKUP(U$1,Sprints[],4,FALSE))&lt;&gt;"")*(IF(OFFSET(INDIRECT(CELL("address",INDEX('Leave Tracker'!$A$8:$A$105,MATCH($A24,'Leave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Tracker'!$A$8:$A$105,MATCH($A25,'Leave Tracker'!$A$8:$A$105,0)))),0,31*(VLOOKUP(G$1,Sprints[],5,FALSE))+DAY(VLOOKUP(G$1,Sprints[],2,FALSE)),1,VLOOKUP(G$1,Sprints[],4,FALSE))&lt;&gt;"")*(IF(OFFSET(INDIRECT(CELL("address",INDEX('Leave Tracker'!$A$8:$A$105,MATCH($A25,'Leave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Tracker'!$A$8:$A$105,MATCH($A25,'Leave Tracker'!$A$8:$A$105,0)))),0,31*(VLOOKUP(H$1,Sprints[],5,FALSE))+DAY(VLOOKUP(H$1,Sprints[],2,FALSE)),1,VLOOKUP(H$1,Sprints[],4,FALSE))&lt;&gt;"")*(IF(OFFSET(INDIRECT(CELL("address",INDEX('Leave Tracker'!$A$8:$A$105,MATCH($A25,'Leave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Tracker'!$A$8:$A$105,MATCH($A25,'Leave Tracker'!$A$8:$A$105,0)))),0,31*(VLOOKUP(I$1,Sprints[],5,FALSE))+DAY(VLOOKUP(I$1,Sprints[],2,FALSE)),1,VLOOKUP(I$1,Sprints[],4,FALSE))&lt;&gt;"")*(IF(OFFSET(INDIRECT(CELL("address",INDEX('Leave Tracker'!$A$8:$A$105,MATCH($A25,'Leave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Tracker'!$A$8:$A$105,MATCH($A25,'Leave Tracker'!$A$8:$A$105,0)))),0,31*(VLOOKUP(J$1,Sprints[],5,FALSE))+DAY(VLOOKUP(J$1,Sprints[],2,FALSE)),1,VLOOKUP(J$1,Sprints[],4,FALSE))&lt;&gt;"")*(IF(OFFSET(INDIRECT(CELL("address",INDEX('Leave Tracker'!$A$8:$A$105,MATCH($A25,'Leave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Tracker'!$A$8:$A$105,MATCH($A25,'Leave Tracker'!$A$8:$A$105,0)))),0,31*(VLOOKUP(K$1,Sprints[],5,FALSE))+DAY(VLOOKUP(K$1,Sprints[],2,FALSE)),1,VLOOKUP(K$1,Sprints[],4,FALSE))&lt;&gt;"")*(IF(OFFSET(INDIRECT(CELL("address",INDEX('Leave Tracker'!$A$8:$A$105,MATCH($A25,'Leave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Tracker'!$A$8:$A$105,MATCH($A25,'Leave Tracker'!$A$8:$A$105,0)))),0,31*(VLOOKUP(L$1,Sprints[],5,FALSE))+DAY(VLOOKUP(L$1,Sprints[],2,FALSE)),1,VLOOKUP(L$1,Sprints[],4,FALSE))&lt;&gt;"")*(IF(OFFSET(INDIRECT(CELL("address",INDEX('Leave Tracker'!$A$8:$A$105,MATCH($A25,'Leave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Tracker'!$A$8:$A$105,MATCH($A25,'Leave Tracker'!$A$8:$A$105,0)))),0,31*(VLOOKUP(M$1,Sprints[],5,FALSE))+DAY(VLOOKUP(M$1,Sprints[],2,FALSE)),1,VLOOKUP(M$1,Sprints[],4,FALSE))&lt;&gt;"")*(IF(OFFSET(INDIRECT(CELL("address",INDEX('Leave Tracker'!$A$8:$A$105,MATCH($A25,'Leave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Tracker'!$A$8:$A$105,MATCH($A25,'Leave Tracker'!$A$8:$A$105,0)))),0,31*(VLOOKUP(N$1,Sprints[],5,FALSE))+DAY(VLOOKUP(N$1,Sprints[],2,FALSE)),1,VLOOKUP(N$1,Sprints[],4,FALSE))&lt;&gt;"")*(IF(OFFSET(INDIRECT(CELL("address",INDEX('Leave Tracker'!$A$8:$A$105,MATCH($A25,'Leave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Tracker'!$A$8:$A$105,MATCH($A25,'Leave Tracker'!$A$8:$A$105,0)))),0,31*(VLOOKUP(O$1,Sprints[],5,FALSE))+DAY(VLOOKUP(O$1,Sprints[],2,FALSE)),1,VLOOKUP(O$1,Sprints[],4,FALSE))&lt;&gt;"")*(IF(OFFSET(INDIRECT(CELL("address",INDEX('Leave Tracker'!$A$8:$A$105,MATCH($A25,'Leave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Tracker'!$A$8:$A$105,MATCH($A25,'Leave Tracker'!$A$8:$A$105,0)))),0,31*(VLOOKUP(P$1,Sprints[],5,FALSE))+DAY(VLOOKUP(P$1,Sprints[],2,FALSE)),1,VLOOKUP(P$1,Sprints[],4,FALSE))&lt;&gt;"")*(IF(OFFSET(INDIRECT(CELL("address",INDEX('Leave Tracker'!$A$8:$A$105,MATCH($A25,'Leave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Tracker'!$A$8:$A$105,MATCH($A25,'Leave Tracker'!$A$8:$A$105,0)))),0,31*(VLOOKUP(Q$1,Sprints[],5,FALSE))+DAY(VLOOKUP(Q$1,Sprints[],2,FALSE)),1,VLOOKUP(Q$1,Sprints[],4,FALSE))&lt;&gt;"")*(IF(OFFSET(INDIRECT(CELL("address",INDEX('Leave Tracker'!$A$8:$A$105,MATCH($A25,'Leave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Tracker'!$A$8:$A$105,MATCH($A25,'Leave Tracker'!$A$8:$A$105,0)))),0,31*(VLOOKUP(R$1,Sprints[],5,FALSE))+DAY(VLOOKUP(R$1,Sprints[],2,FALSE)),1,VLOOKUP(R$1,Sprints[],4,FALSE))&lt;&gt;"")*(IF(OFFSET(INDIRECT(CELL("address",INDEX('Leave Tracker'!$A$8:$A$105,MATCH($A25,'Leave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Tracker'!$A$8:$A$105,MATCH($A25,'Leave Tracker'!$A$8:$A$105,0)))),0,31*(VLOOKUP(S$1,Sprints[],5,FALSE))+DAY(VLOOKUP(S$1,Sprints[],2,FALSE)),1,VLOOKUP(S$1,Sprints[],4,FALSE))&lt;&gt;"")*(IF(OFFSET(INDIRECT(CELL("address",INDEX('Leave Tracker'!$A$8:$A$105,MATCH($A25,'Leave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Tracker'!$A$8:$A$105,MATCH($A25,'Leave Tracker'!$A$8:$A$105,0)))),0,31*(VLOOKUP(T$1,Sprints[],5,FALSE))+DAY(VLOOKUP(T$1,Sprints[],2,FALSE)),1,VLOOKUP(T$1,Sprints[],4,FALSE))&lt;&gt;"")*(IF(OFFSET(INDIRECT(CELL("address",INDEX('Leave Tracker'!$A$8:$A$105,MATCH($A25,'Leave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Tracker'!$A$8:$A$105,MATCH($A25,'Leave Tracker'!$A$8:$A$105,0)))),0,31*(VLOOKUP(U$1,Sprints[],5,FALSE))+DAY(VLOOKUP(U$1,Sprints[],2,FALSE)),1,VLOOKUP(U$1,Sprints[],4,FALSE))&lt;&gt;"")*(IF(OFFSET(INDIRECT(CELL("address",INDEX('Leave Tracker'!$A$8:$A$105,MATCH($A25,'Leave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Tracker'!$A$8:$A$105,MATCH($A26,'Leave Tracker'!$A$8:$A$105,0)))),0,31*(VLOOKUP(G$1,Sprints[],5,FALSE))+DAY(VLOOKUP(G$1,Sprints[],2,FALSE)),1,VLOOKUP(G$1,Sprints[],4,FALSE))&lt;&gt;"")*(IF(OFFSET(INDIRECT(CELL("address",INDEX('Leave Tracker'!$A$8:$A$105,MATCH($A26,'Leave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Tracker'!$A$8:$A$105,MATCH($A26,'Leave Tracker'!$A$8:$A$105,0)))),0,31*(VLOOKUP(H$1,Sprints[],5,FALSE))+DAY(VLOOKUP(H$1,Sprints[],2,FALSE)),1,VLOOKUP(H$1,Sprints[],4,FALSE))&lt;&gt;"")*(IF(OFFSET(INDIRECT(CELL("address",INDEX('Leave Tracker'!$A$8:$A$105,MATCH($A26,'Leave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Tracker'!$A$8:$A$105,MATCH($A26,'Leave Tracker'!$A$8:$A$105,0)))),0,31*(VLOOKUP(I$1,Sprints[],5,FALSE))+DAY(VLOOKUP(I$1,Sprints[],2,FALSE)),1,VLOOKUP(I$1,Sprints[],4,FALSE))&lt;&gt;"")*(IF(OFFSET(INDIRECT(CELL("address",INDEX('Leave Tracker'!$A$8:$A$105,MATCH($A26,'Leave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Tracker'!$A$8:$A$105,MATCH($A26,'Leave Tracker'!$A$8:$A$105,0)))),0,31*(VLOOKUP(J$1,Sprints[],5,FALSE))+DAY(VLOOKUP(J$1,Sprints[],2,FALSE)),1,VLOOKUP(J$1,Sprints[],4,FALSE))&lt;&gt;"")*(IF(OFFSET(INDIRECT(CELL("address",INDEX('Leave Tracker'!$A$8:$A$105,MATCH($A26,'Leave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Tracker'!$A$8:$A$105,MATCH($A26,'Leave Tracker'!$A$8:$A$105,0)))),0,31*(VLOOKUP(K$1,Sprints[],5,FALSE))+DAY(VLOOKUP(K$1,Sprints[],2,FALSE)),1,VLOOKUP(K$1,Sprints[],4,FALSE))&lt;&gt;"")*(IF(OFFSET(INDIRECT(CELL("address",INDEX('Leave Tracker'!$A$8:$A$105,MATCH($A26,'Leave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Tracker'!$A$8:$A$105,MATCH($A26,'Leave Tracker'!$A$8:$A$105,0)))),0,31*(VLOOKUP(L$1,Sprints[],5,FALSE))+DAY(VLOOKUP(L$1,Sprints[],2,FALSE)),1,VLOOKUP(L$1,Sprints[],4,FALSE))&lt;&gt;"")*(IF(OFFSET(INDIRECT(CELL("address",INDEX('Leave Tracker'!$A$8:$A$105,MATCH($A26,'Leave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Tracker'!$A$8:$A$105,MATCH($A26,'Leave Tracker'!$A$8:$A$105,0)))),0,31*(VLOOKUP(M$1,Sprints[],5,FALSE))+DAY(VLOOKUP(M$1,Sprints[],2,FALSE)),1,VLOOKUP(M$1,Sprints[],4,FALSE))&lt;&gt;"")*(IF(OFFSET(INDIRECT(CELL("address",INDEX('Leave Tracker'!$A$8:$A$105,MATCH($A26,'Leave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Tracker'!$A$8:$A$105,MATCH($A26,'Leave Tracker'!$A$8:$A$105,0)))),0,31*(VLOOKUP(N$1,Sprints[],5,FALSE))+DAY(VLOOKUP(N$1,Sprints[],2,FALSE)),1,VLOOKUP(N$1,Sprints[],4,FALSE))&lt;&gt;"")*(IF(OFFSET(INDIRECT(CELL("address",INDEX('Leave Tracker'!$A$8:$A$105,MATCH($A26,'Leave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Tracker'!$A$8:$A$105,MATCH($A26,'Leave Tracker'!$A$8:$A$105,0)))),0,31*(VLOOKUP(O$1,Sprints[],5,FALSE))+DAY(VLOOKUP(O$1,Sprints[],2,FALSE)),1,VLOOKUP(O$1,Sprints[],4,FALSE))&lt;&gt;"")*(IF(OFFSET(INDIRECT(CELL("address",INDEX('Leave Tracker'!$A$8:$A$105,MATCH($A26,'Leave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Tracker'!$A$8:$A$105,MATCH($A26,'Leave Tracker'!$A$8:$A$105,0)))),0,31*(VLOOKUP(P$1,Sprints[],5,FALSE))+DAY(VLOOKUP(P$1,Sprints[],2,FALSE)),1,VLOOKUP(P$1,Sprints[],4,FALSE))&lt;&gt;"")*(IF(OFFSET(INDIRECT(CELL("address",INDEX('Leave Tracker'!$A$8:$A$105,MATCH($A26,'Leave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Tracker'!$A$8:$A$105,MATCH($A26,'Leave Tracker'!$A$8:$A$105,0)))),0,31*(VLOOKUP(Q$1,Sprints[],5,FALSE))+DAY(VLOOKUP(Q$1,Sprints[],2,FALSE)),1,VLOOKUP(Q$1,Sprints[],4,FALSE))&lt;&gt;"")*(IF(OFFSET(INDIRECT(CELL("address",INDEX('Leave Tracker'!$A$8:$A$105,MATCH($A26,'Leave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Tracker'!$A$8:$A$105,MATCH($A26,'Leave Tracker'!$A$8:$A$105,0)))),0,31*(VLOOKUP(R$1,Sprints[],5,FALSE))+DAY(VLOOKUP(R$1,Sprints[],2,FALSE)),1,VLOOKUP(R$1,Sprints[],4,FALSE))&lt;&gt;"")*(IF(OFFSET(INDIRECT(CELL("address",INDEX('Leave Tracker'!$A$8:$A$105,MATCH($A26,'Leave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Tracker'!$A$8:$A$105,MATCH($A26,'Leave Tracker'!$A$8:$A$105,0)))),0,31*(VLOOKUP(S$1,Sprints[],5,FALSE))+DAY(VLOOKUP(S$1,Sprints[],2,FALSE)),1,VLOOKUP(S$1,Sprints[],4,FALSE))&lt;&gt;"")*(IF(OFFSET(INDIRECT(CELL("address",INDEX('Leave Tracker'!$A$8:$A$105,MATCH($A26,'Leave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Tracker'!$A$8:$A$105,MATCH($A26,'Leave Tracker'!$A$8:$A$105,0)))),0,31*(VLOOKUP(T$1,Sprints[],5,FALSE))+DAY(VLOOKUP(T$1,Sprints[],2,FALSE)),1,VLOOKUP(T$1,Sprints[],4,FALSE))&lt;&gt;"")*(IF(OFFSET(INDIRECT(CELL("address",INDEX('Leave Tracker'!$A$8:$A$105,MATCH($A26,'Leave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Tracker'!$A$8:$A$105,MATCH($A26,'Leave Tracker'!$A$8:$A$105,0)))),0,31*(VLOOKUP(U$1,Sprints[],5,FALSE))+DAY(VLOOKUP(U$1,Sprints[],2,FALSE)),1,VLOOKUP(U$1,Sprints[],4,FALSE))&lt;&gt;"")*(IF(OFFSET(INDIRECT(CELL("address",INDEX('Leave Tracker'!$A$8:$A$105,MATCH($A26,'Leave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Tracker'!$A$8:$A$105,MATCH($A27,'Leave Tracker'!$A$8:$A$105,0)))),0,31*(VLOOKUP(G$1,Sprints[],5,FALSE))+DAY(VLOOKUP(G$1,Sprints[],2,FALSE)),1,VLOOKUP(G$1,Sprints[],4,FALSE))&lt;&gt;"")*(IF(OFFSET(INDIRECT(CELL("address",INDEX('Leave Tracker'!$A$8:$A$105,MATCH($A27,'Leave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Tracker'!$A$8:$A$105,MATCH($A27,'Leave Tracker'!$A$8:$A$105,0)))),0,31*(VLOOKUP(H$1,Sprints[],5,FALSE))+DAY(VLOOKUP(H$1,Sprints[],2,FALSE)),1,VLOOKUP(H$1,Sprints[],4,FALSE))&lt;&gt;"")*(IF(OFFSET(INDIRECT(CELL("address",INDEX('Leave Tracker'!$A$8:$A$105,MATCH($A27,'Leave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Tracker'!$A$8:$A$105,MATCH($A27,'Leave Tracker'!$A$8:$A$105,0)))),0,31*(VLOOKUP(I$1,Sprints[],5,FALSE))+DAY(VLOOKUP(I$1,Sprints[],2,FALSE)),1,VLOOKUP(I$1,Sprints[],4,FALSE))&lt;&gt;"")*(IF(OFFSET(INDIRECT(CELL("address",INDEX('Leave Tracker'!$A$8:$A$105,MATCH($A27,'Leave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Tracker'!$A$8:$A$105,MATCH($A27,'Leave Tracker'!$A$8:$A$105,0)))),0,31*(VLOOKUP(J$1,Sprints[],5,FALSE))+DAY(VLOOKUP(J$1,Sprints[],2,FALSE)),1,VLOOKUP(J$1,Sprints[],4,FALSE))&lt;&gt;"")*(IF(OFFSET(INDIRECT(CELL("address",INDEX('Leave Tracker'!$A$8:$A$105,MATCH($A27,'Leave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Tracker'!$A$8:$A$105,MATCH($A27,'Leave Tracker'!$A$8:$A$105,0)))),0,31*(VLOOKUP(K$1,Sprints[],5,FALSE))+DAY(VLOOKUP(K$1,Sprints[],2,FALSE)),1,VLOOKUP(K$1,Sprints[],4,FALSE))&lt;&gt;"")*(IF(OFFSET(INDIRECT(CELL("address",INDEX('Leave Tracker'!$A$8:$A$105,MATCH($A27,'Leave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Tracker'!$A$8:$A$105,MATCH($A27,'Leave Tracker'!$A$8:$A$105,0)))),0,31*(VLOOKUP(L$1,Sprints[],5,FALSE))+DAY(VLOOKUP(L$1,Sprints[],2,FALSE)),1,VLOOKUP(L$1,Sprints[],4,FALSE))&lt;&gt;"")*(IF(OFFSET(INDIRECT(CELL("address",INDEX('Leave Tracker'!$A$8:$A$105,MATCH($A27,'Leave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Tracker'!$A$8:$A$105,MATCH($A27,'Leave Tracker'!$A$8:$A$105,0)))),0,31*(VLOOKUP(M$1,Sprints[],5,FALSE))+DAY(VLOOKUP(M$1,Sprints[],2,FALSE)),1,VLOOKUP(M$1,Sprints[],4,FALSE))&lt;&gt;"")*(IF(OFFSET(INDIRECT(CELL("address",INDEX('Leave Tracker'!$A$8:$A$105,MATCH($A27,'Leave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Tracker'!$A$8:$A$105,MATCH($A27,'Leave Tracker'!$A$8:$A$105,0)))),0,31*(VLOOKUP(N$1,Sprints[],5,FALSE))+DAY(VLOOKUP(N$1,Sprints[],2,FALSE)),1,VLOOKUP(N$1,Sprints[],4,FALSE))&lt;&gt;"")*(IF(OFFSET(INDIRECT(CELL("address",INDEX('Leave Tracker'!$A$8:$A$105,MATCH($A27,'Leave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Tracker'!$A$8:$A$105,MATCH($A27,'Leave Tracker'!$A$8:$A$105,0)))),0,31*(VLOOKUP(O$1,Sprints[],5,FALSE))+DAY(VLOOKUP(O$1,Sprints[],2,FALSE)),1,VLOOKUP(O$1,Sprints[],4,FALSE))&lt;&gt;"")*(IF(OFFSET(INDIRECT(CELL("address",INDEX('Leave Tracker'!$A$8:$A$105,MATCH($A27,'Leave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3.4000000000000004</v>
      </c>
      <c r="P27">
        <f t="array" aca="1" ref="P27" ca="1">Sheet3!$W$2*$F27*(NETWORKDAYS(VLOOKUP(P$1,Sprints[],2,FALSE), VLOOKUP(P$1,Sprints[],3,FALSE))-SUMPRODUCT((OFFSET(INDIRECT(CELL("address",INDEX('Leave Tracker'!$A$8:$A$105,MATCH($A27,'Leave Tracker'!$A$8:$A$105,0)))),0,31*(VLOOKUP(P$1,Sprints[],5,FALSE))+DAY(VLOOKUP(P$1,Sprints[],2,FALSE)),1,VLOOKUP(P$1,Sprints[],4,FALSE))&lt;&gt;"")*(IF(OFFSET(INDIRECT(CELL("address",INDEX('Leave Tracker'!$A$8:$A$105,MATCH($A27,'Leave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Tracker'!$A$8:$A$105,MATCH($A27,'Leave Tracker'!$A$8:$A$105,0)))),0,31*(VLOOKUP(Q$1,Sprints[],5,FALSE))+DAY(VLOOKUP(Q$1,Sprints[],2,FALSE)),1,VLOOKUP(Q$1,Sprints[],4,FALSE))&lt;&gt;"")*(IF(OFFSET(INDIRECT(CELL("address",INDEX('Leave Tracker'!$A$8:$A$105,MATCH($A27,'Leave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Tracker'!$A$8:$A$105,MATCH($A27,'Leave Tracker'!$A$8:$A$105,0)))),0,31*(VLOOKUP(R$1,Sprints[],5,FALSE))+DAY(VLOOKUP(R$1,Sprints[],2,FALSE)),1,VLOOKUP(R$1,Sprints[],4,FALSE))&lt;&gt;"")*(IF(OFFSET(INDIRECT(CELL("address",INDEX('Leave Tracker'!$A$8:$A$105,MATCH($A27,'Leave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27" s="31">
        <f t="array" aca="1" ref="S27" ca="1">Sheet3!$W$2*$F27*(NETWORKDAYS(VLOOKUP(S$1,Sprints[],2,FALSE), VLOOKUP(S$1,Sprints[],3,FALSE))-SUMPRODUCT((OFFSET(INDIRECT(CELL("address",INDEX('Leave Tracker'!$A$8:$A$105,MATCH($A27,'Leave Tracker'!$A$8:$A$105,0)))),0,31*(VLOOKUP(S$1,Sprints[],5,FALSE))+DAY(VLOOKUP(S$1,Sprints[],2,FALSE)),1,VLOOKUP(S$1,Sprints[],4,FALSE))&lt;&gt;"")*(IF(OFFSET(INDIRECT(CELL("address",INDEX('Leave Tracker'!$A$8:$A$105,MATCH($A27,'Leave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Tracker'!$A$8:$A$105,MATCH($A27,'Leave Tracker'!$A$8:$A$105,0)))),0,31*(VLOOKUP(T$1,Sprints[],5,FALSE))+DAY(VLOOKUP(T$1,Sprints[],2,FALSE)),1,VLOOKUP(T$1,Sprints[],4,FALSE))&lt;&gt;"")*(IF(OFFSET(INDIRECT(CELL("address",INDEX('Leave Tracker'!$A$8:$A$105,MATCH($A27,'Leave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Tracker'!$A$8:$A$105,MATCH($A27,'Leave Tracker'!$A$8:$A$105,0)))),0,31*(VLOOKUP(U$1,Sprints[],5,FALSE))+DAY(VLOOKUP(U$1,Sprints[],2,FALSE)),1,VLOOKUP(U$1,Sprints[],4,FALSE))&lt;&gt;"")*(IF(OFFSET(INDIRECT(CELL("address",INDEX('Leave Tracker'!$A$8:$A$105,MATCH($A27,'Leave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21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Tracker'!$A$8:$A$105,MATCH($A28,'Leave Tracker'!$A$8:$A$105,0)))),0,31*(VLOOKUP(G$1,Sprints[],5,FALSE))+DAY(VLOOKUP(G$1,Sprints[],2,FALSE)),1,VLOOKUP(G$1,Sprints[],4,FALSE))&lt;&gt;"")*(IF(OFFSET(INDIRECT(CELL("address",INDEX('Leave Tracker'!$A$8:$A$105,MATCH($A28,'Leave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Tracker'!$A$8:$A$105,MATCH($A28,'Leave Tracker'!$A$8:$A$105,0)))),0,31*(VLOOKUP(H$1,Sprints[],5,FALSE))+DAY(VLOOKUP(H$1,Sprints[],2,FALSE)),1,VLOOKUP(H$1,Sprints[],4,FALSE))&lt;&gt;"")*(IF(OFFSET(INDIRECT(CELL("address",INDEX('Leave Tracker'!$A$8:$A$105,MATCH($A28,'Leave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Tracker'!$A$8:$A$105,MATCH($A28,'Leave Tracker'!$A$8:$A$105,0)))),0,31*(VLOOKUP(I$1,Sprints[],5,FALSE))+DAY(VLOOKUP(I$1,Sprints[],2,FALSE)),1,VLOOKUP(I$1,Sprints[],4,FALSE))&lt;&gt;"")*(IF(OFFSET(INDIRECT(CELL("address",INDEX('Leave Tracker'!$A$8:$A$105,MATCH($A28,'Leave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Tracker'!$A$8:$A$105,MATCH($A28,'Leave Tracker'!$A$8:$A$105,0)))),0,31*(VLOOKUP(J$1,Sprints[],5,FALSE))+DAY(VLOOKUP(J$1,Sprints[],2,FALSE)),1,VLOOKUP(J$1,Sprints[],4,FALSE))&lt;&gt;"")*(IF(OFFSET(INDIRECT(CELL("address",INDEX('Leave Tracker'!$A$8:$A$105,MATCH($A28,'Leave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Tracker'!$A$8:$A$105,MATCH($A28,'Leave Tracker'!$A$8:$A$105,0)))),0,31*(VLOOKUP(K$1,Sprints[],5,FALSE))+DAY(VLOOKUP(K$1,Sprints[],2,FALSE)),1,VLOOKUP(K$1,Sprints[],4,FALSE))&lt;&gt;"")*(IF(OFFSET(INDIRECT(CELL("address",INDEX('Leave Tracker'!$A$8:$A$105,MATCH($A28,'Leave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Tracker'!$A$8:$A$105,MATCH($A28,'Leave Tracker'!$A$8:$A$105,0)))),0,31*(VLOOKUP(L$1,Sprints[],5,FALSE))+DAY(VLOOKUP(L$1,Sprints[],2,FALSE)),1,VLOOKUP(L$1,Sprints[],4,FALSE))&lt;&gt;"")*(IF(OFFSET(INDIRECT(CELL("address",INDEX('Leave Tracker'!$A$8:$A$105,MATCH($A28,'Leave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Tracker'!$A$8:$A$105,MATCH($A28,'Leave Tracker'!$A$8:$A$105,0)))),0,31*(VLOOKUP(M$1,Sprints[],5,FALSE))+DAY(VLOOKUP(M$1,Sprints[],2,FALSE)),1,VLOOKUP(M$1,Sprints[],4,FALSE))&lt;&gt;"")*(IF(OFFSET(INDIRECT(CELL("address",INDEX('Leave Tracker'!$A$8:$A$105,MATCH($A28,'Leave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Tracker'!$A$8:$A$105,MATCH($A28,'Leave Tracker'!$A$8:$A$105,0)))),0,31*(VLOOKUP(N$1,Sprints[],5,FALSE))+DAY(VLOOKUP(N$1,Sprints[],2,FALSE)),1,VLOOKUP(N$1,Sprints[],4,FALSE))&lt;&gt;"")*(IF(OFFSET(INDIRECT(CELL("address",INDEX('Leave Tracker'!$A$8:$A$105,MATCH($A28,'Leave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Tracker'!$A$8:$A$105,MATCH($A28,'Leave Tracker'!$A$8:$A$105,0)))),0,31*(VLOOKUP(O$1,Sprints[],5,FALSE))+DAY(VLOOKUP(O$1,Sprints[],2,FALSE)),1,VLOOKUP(O$1,Sprints[],4,FALSE))&lt;&gt;"")*(IF(OFFSET(INDIRECT(CELL("address",INDEX('Leave Tracker'!$A$8:$A$105,MATCH($A28,'Leave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3.9000000000000004</v>
      </c>
      <c r="P28">
        <f t="array" aca="1" ref="P28" ca="1">Sheet3!$W$2*$F28*(NETWORKDAYS(VLOOKUP(P$1,Sprints[],2,FALSE), VLOOKUP(P$1,Sprints[],3,FALSE))-SUMPRODUCT((OFFSET(INDIRECT(CELL("address",INDEX('Leave Tracker'!$A$8:$A$105,MATCH($A28,'Leave Tracker'!$A$8:$A$105,0)))),0,31*(VLOOKUP(P$1,Sprints[],5,FALSE))+DAY(VLOOKUP(P$1,Sprints[],2,FALSE)),1,VLOOKUP(P$1,Sprints[],4,FALSE))&lt;&gt;"")*(IF(OFFSET(INDIRECT(CELL("address",INDEX('Leave Tracker'!$A$8:$A$105,MATCH($A28,'Leave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Tracker'!$A$8:$A$105,MATCH($A28,'Leave Tracker'!$A$8:$A$105,0)))),0,31*(VLOOKUP(Q$1,Sprints[],5,FALSE))+DAY(VLOOKUP(Q$1,Sprints[],2,FALSE)),1,VLOOKUP(Q$1,Sprints[],4,FALSE))&lt;&gt;"")*(IF(OFFSET(INDIRECT(CELL("address",INDEX('Leave Tracker'!$A$8:$A$105,MATCH($A28,'Leave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Tracker'!$A$8:$A$105,MATCH($A28,'Leave Tracker'!$A$8:$A$105,0)))),0,31*(VLOOKUP(R$1,Sprints[],5,FALSE))+DAY(VLOOKUP(R$1,Sprints[],2,FALSE)),1,VLOOKUP(R$1,Sprints[],4,FALSE))&lt;&gt;"")*(IF(OFFSET(INDIRECT(CELL("address",INDEX('Leave Tracker'!$A$8:$A$105,MATCH($A28,'Leave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Tracker'!$A$8:$A$105,MATCH($A28,'Leave Tracker'!$A$8:$A$105,0)))),0,31*(VLOOKUP(S$1,Sprints[],5,FALSE))+DAY(VLOOKUP(S$1,Sprints[],2,FALSE)),1,VLOOKUP(S$1,Sprints[],4,FALSE))&lt;&gt;"")*(IF(OFFSET(INDIRECT(CELL("address",INDEX('Leave Tracker'!$A$8:$A$105,MATCH($A28,'Leave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Tracker'!$A$8:$A$105,MATCH($A28,'Leave Tracker'!$A$8:$A$105,0)))),0,31*(VLOOKUP(T$1,Sprints[],5,FALSE))+DAY(VLOOKUP(T$1,Sprints[],2,FALSE)),1,VLOOKUP(T$1,Sprints[],4,FALSE))&lt;&gt;"")*(IF(OFFSET(INDIRECT(CELL("address",INDEX('Leave Tracker'!$A$8:$A$105,MATCH($A28,'Leave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Tracker'!$A$8:$A$105,MATCH($A28,'Leave Tracker'!$A$8:$A$105,0)))),0,31*(VLOOKUP(U$1,Sprints[],5,FALSE))+DAY(VLOOKUP(U$1,Sprints[],2,FALSE)),1,VLOOKUP(U$1,Sprints[],4,FALSE))&lt;&gt;"")*(IF(OFFSET(INDIRECT(CELL("address",INDEX('Leave Tracker'!$A$8:$A$105,MATCH($A28,'Leave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28.500000000000004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Tracker'!$A$8:$A$105,MATCH($A29,'Leave Tracker'!$A$8:$A$105,0)))),0,31*(VLOOKUP(G$1,Sprints[],5,FALSE))+DAY(VLOOKUP(G$1,Sprints[],2,FALSE)),1,VLOOKUP(G$1,Sprints[],4,FALSE))&lt;&gt;"")*(IF(OFFSET(INDIRECT(CELL("address",INDEX('Leave Tracker'!$A$8:$A$105,MATCH($A29,'Leave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Tracker'!$A$8:$A$105,MATCH($A29,'Leave Tracker'!$A$8:$A$105,0)))),0,31*(VLOOKUP(H$1,Sprints[],5,FALSE))+DAY(VLOOKUP(H$1,Sprints[],2,FALSE)),1,VLOOKUP(H$1,Sprints[],4,FALSE))&lt;&gt;"")*(IF(OFFSET(INDIRECT(CELL("address",INDEX('Leave Tracker'!$A$8:$A$105,MATCH($A29,'Leave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Tracker'!$A$8:$A$105,MATCH($A29,'Leave Tracker'!$A$8:$A$105,0)))),0,31*(VLOOKUP(I$1,Sprints[],5,FALSE))+DAY(VLOOKUP(I$1,Sprints[],2,FALSE)),1,VLOOKUP(I$1,Sprints[],4,FALSE))&lt;&gt;"")*(IF(OFFSET(INDIRECT(CELL("address",INDEX('Leave Tracker'!$A$8:$A$105,MATCH($A29,'Leave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Tracker'!$A$8:$A$105,MATCH($A29,'Leave Tracker'!$A$8:$A$105,0)))),0,31*(VLOOKUP(J$1,Sprints[],5,FALSE))+DAY(VLOOKUP(J$1,Sprints[],2,FALSE)),1,VLOOKUP(J$1,Sprints[],4,FALSE))&lt;&gt;"")*(IF(OFFSET(INDIRECT(CELL("address",INDEX('Leave Tracker'!$A$8:$A$105,MATCH($A29,'Leave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Tracker'!$A$8:$A$105,MATCH($A29,'Leave Tracker'!$A$8:$A$105,0)))),0,31*(VLOOKUP(K$1,Sprints[],5,FALSE))+DAY(VLOOKUP(K$1,Sprints[],2,FALSE)),1,VLOOKUP(K$1,Sprints[],4,FALSE))&lt;&gt;"")*(IF(OFFSET(INDIRECT(CELL("address",INDEX('Leave Tracker'!$A$8:$A$105,MATCH($A29,'Leave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Tracker'!$A$8:$A$105,MATCH($A29,'Leave Tracker'!$A$8:$A$105,0)))),0,31*(VLOOKUP(L$1,Sprints[],5,FALSE))+DAY(VLOOKUP(L$1,Sprints[],2,FALSE)),1,VLOOKUP(L$1,Sprints[],4,FALSE))&lt;&gt;"")*(IF(OFFSET(INDIRECT(CELL("address",INDEX('Leave Tracker'!$A$8:$A$105,MATCH($A29,'Leave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Tracker'!$A$8:$A$105,MATCH($A29,'Leave Tracker'!$A$8:$A$105,0)))),0,31*(VLOOKUP(M$1,Sprints[],5,FALSE))+DAY(VLOOKUP(M$1,Sprints[],2,FALSE)),1,VLOOKUP(M$1,Sprints[],4,FALSE))&lt;&gt;"")*(IF(OFFSET(INDIRECT(CELL("address",INDEX('Leave Tracker'!$A$8:$A$105,MATCH($A29,'Leave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Tracker'!$A$8:$A$105,MATCH($A29,'Leave Tracker'!$A$8:$A$105,0)))),0,31*(VLOOKUP(N$1,Sprints[],5,FALSE))+DAY(VLOOKUP(N$1,Sprints[],2,FALSE)),1,VLOOKUP(N$1,Sprints[],4,FALSE))&lt;&gt;"")*(IF(OFFSET(INDIRECT(CELL("address",INDEX('Leave Tracker'!$A$8:$A$105,MATCH($A29,'Leave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Tracker'!$A$8:$A$105,MATCH($A29,'Leave Tracker'!$A$8:$A$105,0)))),0,31*(VLOOKUP(O$1,Sprints[],5,FALSE))+DAY(VLOOKUP(O$1,Sprints[],2,FALSE)),1,VLOOKUP(O$1,Sprints[],4,FALSE))&lt;&gt;"")*(IF(OFFSET(INDIRECT(CELL("address",INDEX('Leave Tracker'!$A$8:$A$105,MATCH($A29,'Leave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29">
        <f t="array" aca="1" ref="P29" ca="1">Sheet3!$W$2*$F29*(NETWORKDAYS(VLOOKUP(P$1,Sprints[],2,FALSE), VLOOKUP(P$1,Sprints[],3,FALSE))-SUMPRODUCT((OFFSET(INDIRECT(CELL("address",INDEX('Leave Tracker'!$A$8:$A$105,MATCH($A29,'Leave Tracker'!$A$8:$A$105,0)))),0,31*(VLOOKUP(P$1,Sprints[],5,FALSE))+DAY(VLOOKUP(P$1,Sprints[],2,FALSE)),1,VLOOKUP(P$1,Sprints[],4,FALSE))&lt;&gt;"")*(IF(OFFSET(INDIRECT(CELL("address",INDEX('Leave Tracker'!$A$8:$A$105,MATCH($A29,'Leave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Tracker'!$A$8:$A$105,MATCH($A29,'Leave Tracker'!$A$8:$A$105,0)))),0,31*(VLOOKUP(Q$1,Sprints[],5,FALSE))+DAY(VLOOKUP(Q$1,Sprints[],2,FALSE)),1,VLOOKUP(Q$1,Sprints[],4,FALSE))&lt;&gt;"")*(IF(OFFSET(INDIRECT(CELL("address",INDEX('Leave Tracker'!$A$8:$A$105,MATCH($A29,'Leave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Tracker'!$A$8:$A$105,MATCH($A29,'Leave Tracker'!$A$8:$A$105,0)))),0,31*(VLOOKUP(R$1,Sprints[],5,FALSE))+DAY(VLOOKUP(R$1,Sprints[],2,FALSE)),1,VLOOKUP(R$1,Sprints[],4,FALSE))&lt;&gt;"")*(IF(OFFSET(INDIRECT(CELL("address",INDEX('Leave Tracker'!$A$8:$A$105,MATCH($A29,'Leave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9" s="31">
        <f t="array" aca="1" ref="S29" ca="1">Sheet3!$W$2*$F29*(NETWORKDAYS(VLOOKUP(S$1,Sprints[],2,FALSE), VLOOKUP(S$1,Sprints[],3,FALSE))-SUMPRODUCT((OFFSET(INDIRECT(CELL("address",INDEX('Leave Tracker'!$A$8:$A$105,MATCH($A29,'Leave Tracker'!$A$8:$A$105,0)))),0,31*(VLOOKUP(S$1,Sprints[],5,FALSE))+DAY(VLOOKUP(S$1,Sprints[],2,FALSE)),1,VLOOKUP(S$1,Sprints[],4,FALSE))&lt;&gt;"")*(IF(OFFSET(INDIRECT(CELL("address",INDEX('Leave Tracker'!$A$8:$A$105,MATCH($A29,'Leave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9" s="31">
        <f t="array" aca="1" ref="T29" ca="1">Sheet3!$W$2*$F29*(NETWORKDAYS(VLOOKUP(T$1,Sprints[],2,FALSE), VLOOKUP(T$1,Sprints[],3,FALSE))-SUMPRODUCT((OFFSET(INDIRECT(CELL("address",INDEX('Leave Tracker'!$A$8:$A$105,MATCH($A29,'Leave Tracker'!$A$8:$A$105,0)))),0,31*(VLOOKUP(T$1,Sprints[],5,FALSE))+DAY(VLOOKUP(T$1,Sprints[],2,FALSE)),1,VLOOKUP(T$1,Sprints[],4,FALSE))&lt;&gt;"")*(IF(OFFSET(INDIRECT(CELL("address",INDEX('Leave Tracker'!$A$8:$A$105,MATCH($A29,'Leave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Tracker'!$A$8:$A$105,MATCH($A29,'Leave Tracker'!$A$8:$A$105,0)))),0,31*(VLOOKUP(U$1,Sprints[],5,FALSE))+DAY(VLOOKUP(U$1,Sprints[],2,FALSE)),1,VLOOKUP(U$1,Sprints[],4,FALSE))&lt;&gt;"")*(IF(OFFSET(INDIRECT(CELL("address",INDEX('Leave Tracker'!$A$8:$A$105,MATCH($A29,'Leave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31.500000000000004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Tracker'!$A$8:$A$105,MATCH($A30,'Leave Tracker'!$A$8:$A$105,0)))),0,31*(VLOOKUP(G$1,Sprints[],5,FALSE))+DAY(VLOOKUP(G$1,Sprints[],2,FALSE)),1,VLOOKUP(G$1,Sprints[],4,FALSE))&lt;&gt;"")*(IF(OFFSET(INDIRECT(CELL("address",INDEX('Leave Tracker'!$A$8:$A$105,MATCH($A30,'Leave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Tracker'!$A$8:$A$105,MATCH($A30,'Leave Tracker'!$A$8:$A$105,0)))),0,31*(VLOOKUP(H$1,Sprints[],5,FALSE))+DAY(VLOOKUP(H$1,Sprints[],2,FALSE)),1,VLOOKUP(H$1,Sprints[],4,FALSE))&lt;&gt;"")*(IF(OFFSET(INDIRECT(CELL("address",INDEX('Leave Tracker'!$A$8:$A$105,MATCH($A30,'Leave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Tracker'!$A$8:$A$105,MATCH($A30,'Leave Tracker'!$A$8:$A$105,0)))),0,31*(VLOOKUP(I$1,Sprints[],5,FALSE))+DAY(VLOOKUP(I$1,Sprints[],2,FALSE)),1,VLOOKUP(I$1,Sprints[],4,FALSE))&lt;&gt;"")*(IF(OFFSET(INDIRECT(CELL("address",INDEX('Leave Tracker'!$A$8:$A$105,MATCH($A30,'Leave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Tracker'!$A$8:$A$105,MATCH($A30,'Leave Tracker'!$A$8:$A$105,0)))),0,31*(VLOOKUP(J$1,Sprints[],5,FALSE))+DAY(VLOOKUP(J$1,Sprints[],2,FALSE)),1,VLOOKUP(J$1,Sprints[],4,FALSE))&lt;&gt;"")*(IF(OFFSET(INDIRECT(CELL("address",INDEX('Leave Tracker'!$A$8:$A$105,MATCH($A30,'Leave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Tracker'!$A$8:$A$105,MATCH($A30,'Leave Tracker'!$A$8:$A$105,0)))),0,31*(VLOOKUP(K$1,Sprints[],5,FALSE))+DAY(VLOOKUP(K$1,Sprints[],2,FALSE)),1,VLOOKUP(K$1,Sprints[],4,FALSE))&lt;&gt;"")*(IF(OFFSET(INDIRECT(CELL("address",INDEX('Leave Tracker'!$A$8:$A$105,MATCH($A30,'Leave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Tracker'!$A$8:$A$105,MATCH($A30,'Leave Tracker'!$A$8:$A$105,0)))),0,31*(VLOOKUP(L$1,Sprints[],5,FALSE))+DAY(VLOOKUP(L$1,Sprints[],2,FALSE)),1,VLOOKUP(L$1,Sprints[],4,FALSE))&lt;&gt;"")*(IF(OFFSET(INDIRECT(CELL("address",INDEX('Leave Tracker'!$A$8:$A$105,MATCH($A30,'Leave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Tracker'!$A$8:$A$105,MATCH($A30,'Leave Tracker'!$A$8:$A$105,0)))),0,31*(VLOOKUP(M$1,Sprints[],5,FALSE))+DAY(VLOOKUP(M$1,Sprints[],2,FALSE)),1,VLOOKUP(M$1,Sprints[],4,FALSE))&lt;&gt;"")*(IF(OFFSET(INDIRECT(CELL("address",INDEX('Leave Tracker'!$A$8:$A$105,MATCH($A30,'Leave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Tracker'!$A$8:$A$105,MATCH($A30,'Leave Tracker'!$A$8:$A$105,0)))),0,31*(VLOOKUP(N$1,Sprints[],5,FALSE))+DAY(VLOOKUP(N$1,Sprints[],2,FALSE)),1,VLOOKUP(N$1,Sprints[],4,FALSE))&lt;&gt;"")*(IF(OFFSET(INDIRECT(CELL("address",INDEX('Leave Tracker'!$A$8:$A$105,MATCH($A30,'Leave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Tracker'!$A$8:$A$105,MATCH($A30,'Leave Tracker'!$A$8:$A$105,0)))),0,31*(VLOOKUP(O$1,Sprints[],5,FALSE))+DAY(VLOOKUP(O$1,Sprints[],2,FALSE)),1,VLOOKUP(O$1,Sprints[],4,FALSE))&lt;&gt;"")*(IF(OFFSET(INDIRECT(CELL("address",INDEX('Leave Tracker'!$A$8:$A$105,MATCH($A30,'Leave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Tracker'!$A$8:$A$105,MATCH($A30,'Leave Tracker'!$A$8:$A$105,0)))),0,31*(VLOOKUP(P$1,Sprints[],5,FALSE))+DAY(VLOOKUP(P$1,Sprints[],2,FALSE)),1,VLOOKUP(P$1,Sprints[],4,FALSE))&lt;&gt;"")*(IF(OFFSET(INDIRECT(CELL("address",INDEX('Leave Tracker'!$A$8:$A$105,MATCH($A30,'Leave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Tracker'!$A$8:$A$105,MATCH($A30,'Leave Tracker'!$A$8:$A$105,0)))),0,31*(VLOOKUP(Q$1,Sprints[],5,FALSE))+DAY(VLOOKUP(Q$1,Sprints[],2,FALSE)),1,VLOOKUP(Q$1,Sprints[],4,FALSE))&lt;&gt;"")*(IF(OFFSET(INDIRECT(CELL("address",INDEX('Leave Tracker'!$A$8:$A$105,MATCH($A30,'Leave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Tracker'!$A$8:$A$105,MATCH($A30,'Leave Tracker'!$A$8:$A$105,0)))),0,31*(VLOOKUP(R$1,Sprints[],5,FALSE))+DAY(VLOOKUP(R$1,Sprints[],2,FALSE)),1,VLOOKUP(R$1,Sprints[],4,FALSE))&lt;&gt;"")*(IF(OFFSET(INDIRECT(CELL("address",INDEX('Leave Tracker'!$A$8:$A$105,MATCH($A30,'Leave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Tracker'!$A$8:$A$105,MATCH($A30,'Leave Tracker'!$A$8:$A$105,0)))),0,31*(VLOOKUP(S$1,Sprints[],5,FALSE))+DAY(VLOOKUP(S$1,Sprints[],2,FALSE)),1,VLOOKUP(S$1,Sprints[],4,FALSE))&lt;&gt;"")*(IF(OFFSET(INDIRECT(CELL("address",INDEX('Leave Tracker'!$A$8:$A$105,MATCH($A30,'Leave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Tracker'!$A$8:$A$105,MATCH($A30,'Leave Tracker'!$A$8:$A$105,0)))),0,31*(VLOOKUP(T$1,Sprints[],5,FALSE))+DAY(VLOOKUP(T$1,Sprints[],2,FALSE)),1,VLOOKUP(T$1,Sprints[],4,FALSE))&lt;&gt;"")*(IF(OFFSET(INDIRECT(CELL("address",INDEX('Leave Tracker'!$A$8:$A$105,MATCH($A30,'Leave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Tracker'!$A$8:$A$105,MATCH($A30,'Leave Tracker'!$A$8:$A$105,0)))),0,31*(VLOOKUP(U$1,Sprints[],5,FALSE))+DAY(VLOOKUP(U$1,Sprints[],2,FALSE)),1,VLOOKUP(U$1,Sprints[],4,FALSE))&lt;&gt;"")*(IF(OFFSET(INDIRECT(CELL("address",INDEX('Leave Tracker'!$A$8:$A$105,MATCH($A30,'Leave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Tracker'!$A$8:$A$105,MATCH($A31,'Leave Tracker'!$A$8:$A$105,0)))),0,31*(VLOOKUP(G$1,Sprints[],5,FALSE))+DAY(VLOOKUP(G$1,Sprints[],2,FALSE)),1,VLOOKUP(G$1,Sprints[],4,FALSE))&lt;&gt;"")*(IF(OFFSET(INDIRECT(CELL("address",INDEX('Leave Tracker'!$A$8:$A$105,MATCH($A31,'Leave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Tracker'!$A$8:$A$105,MATCH($A31,'Leave Tracker'!$A$8:$A$105,0)))),0,31*(VLOOKUP(H$1,Sprints[],5,FALSE))+DAY(VLOOKUP(H$1,Sprints[],2,FALSE)),1,VLOOKUP(H$1,Sprints[],4,FALSE))&lt;&gt;"")*(IF(OFFSET(INDIRECT(CELL("address",INDEX('Leave Tracker'!$A$8:$A$105,MATCH($A31,'Leave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Tracker'!$A$8:$A$105,MATCH($A31,'Leave Tracker'!$A$8:$A$105,0)))),0,31*(VLOOKUP(I$1,Sprints[],5,FALSE))+DAY(VLOOKUP(I$1,Sprints[],2,FALSE)),1,VLOOKUP(I$1,Sprints[],4,FALSE))&lt;&gt;"")*(IF(OFFSET(INDIRECT(CELL("address",INDEX('Leave Tracker'!$A$8:$A$105,MATCH($A31,'Leave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Tracker'!$A$8:$A$105,MATCH($A31,'Leave Tracker'!$A$8:$A$105,0)))),0,31*(VLOOKUP(J$1,Sprints[],5,FALSE))+DAY(VLOOKUP(J$1,Sprints[],2,FALSE)),1,VLOOKUP(J$1,Sprints[],4,FALSE))&lt;&gt;"")*(IF(OFFSET(INDIRECT(CELL("address",INDEX('Leave Tracker'!$A$8:$A$105,MATCH($A31,'Leave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Tracker'!$A$8:$A$105,MATCH($A31,'Leave Tracker'!$A$8:$A$105,0)))),0,31*(VLOOKUP(K$1,Sprints[],5,FALSE))+DAY(VLOOKUP(K$1,Sprints[],2,FALSE)),1,VLOOKUP(K$1,Sprints[],4,FALSE))&lt;&gt;"")*(IF(OFFSET(INDIRECT(CELL("address",INDEX('Leave Tracker'!$A$8:$A$105,MATCH($A31,'Leave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Tracker'!$A$8:$A$105,MATCH($A31,'Leave Tracker'!$A$8:$A$105,0)))),0,31*(VLOOKUP(L$1,Sprints[],5,FALSE))+DAY(VLOOKUP(L$1,Sprints[],2,FALSE)),1,VLOOKUP(L$1,Sprints[],4,FALSE))&lt;&gt;"")*(IF(OFFSET(INDIRECT(CELL("address",INDEX('Leave Tracker'!$A$8:$A$105,MATCH($A31,'Leave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Tracker'!$A$8:$A$105,MATCH($A31,'Leave Tracker'!$A$8:$A$105,0)))),0,31*(VLOOKUP(M$1,Sprints[],5,FALSE))+DAY(VLOOKUP(M$1,Sprints[],2,FALSE)),1,VLOOKUP(M$1,Sprints[],4,FALSE))&lt;&gt;"")*(IF(OFFSET(INDIRECT(CELL("address",INDEX('Leave Tracker'!$A$8:$A$105,MATCH($A31,'Leave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Tracker'!$A$8:$A$105,MATCH($A31,'Leave Tracker'!$A$8:$A$105,0)))),0,31*(VLOOKUP(N$1,Sprints[],5,FALSE))+DAY(VLOOKUP(N$1,Sprints[],2,FALSE)),1,VLOOKUP(N$1,Sprints[],4,FALSE))&lt;&gt;"")*(IF(OFFSET(INDIRECT(CELL("address",INDEX('Leave Tracker'!$A$8:$A$105,MATCH($A31,'Leave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Tracker'!$A$8:$A$105,MATCH($A31,'Leave Tracker'!$A$8:$A$105,0)))),0,31*(VLOOKUP(O$1,Sprints[],5,FALSE))+DAY(VLOOKUP(O$1,Sprints[],2,FALSE)),1,VLOOKUP(O$1,Sprints[],4,FALSE))&lt;&gt;"")*(IF(OFFSET(INDIRECT(CELL("address",INDEX('Leave Tracker'!$A$8:$A$105,MATCH($A31,'Leave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Tracker'!$A$8:$A$105,MATCH($A31,'Leave Tracker'!$A$8:$A$105,0)))),0,31*(VLOOKUP(P$1,Sprints[],5,FALSE))+DAY(VLOOKUP(P$1,Sprints[],2,FALSE)),1,VLOOKUP(P$1,Sprints[],4,FALSE))&lt;&gt;"")*(IF(OFFSET(INDIRECT(CELL("address",INDEX('Leave Tracker'!$A$8:$A$105,MATCH($A31,'Leave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Tracker'!$A$8:$A$105,MATCH($A31,'Leave Tracker'!$A$8:$A$105,0)))),0,31*(VLOOKUP(Q$1,Sprints[],5,FALSE))+DAY(VLOOKUP(Q$1,Sprints[],2,FALSE)),1,VLOOKUP(Q$1,Sprints[],4,FALSE))&lt;&gt;"")*(IF(OFFSET(INDIRECT(CELL("address",INDEX('Leave Tracker'!$A$8:$A$105,MATCH($A31,'Leave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Tracker'!$A$8:$A$105,MATCH($A31,'Leave Tracker'!$A$8:$A$105,0)))),0,31*(VLOOKUP(R$1,Sprints[],5,FALSE))+DAY(VLOOKUP(R$1,Sprints[],2,FALSE)),1,VLOOKUP(R$1,Sprints[],4,FALSE))&lt;&gt;"")*(IF(OFFSET(INDIRECT(CELL("address",INDEX('Leave Tracker'!$A$8:$A$105,MATCH($A31,'Leave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Tracker'!$A$8:$A$105,MATCH($A31,'Leave Tracker'!$A$8:$A$105,0)))),0,31*(VLOOKUP(S$1,Sprints[],5,FALSE))+DAY(VLOOKUP(S$1,Sprints[],2,FALSE)),1,VLOOKUP(S$1,Sprints[],4,FALSE))&lt;&gt;"")*(IF(OFFSET(INDIRECT(CELL("address",INDEX('Leave Tracker'!$A$8:$A$105,MATCH($A31,'Leave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Tracker'!$A$8:$A$105,MATCH($A31,'Leave Tracker'!$A$8:$A$105,0)))),0,31*(VLOOKUP(T$1,Sprints[],5,FALSE))+DAY(VLOOKUP(T$1,Sprints[],2,FALSE)),1,VLOOKUP(T$1,Sprints[],4,FALSE))&lt;&gt;"")*(IF(OFFSET(INDIRECT(CELL("address",INDEX('Leave Tracker'!$A$8:$A$105,MATCH($A31,'Leave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Tracker'!$A$8:$A$105,MATCH($A31,'Leave Tracker'!$A$8:$A$105,0)))),0,31*(VLOOKUP(U$1,Sprints[],5,FALSE))+DAY(VLOOKUP(U$1,Sprints[],2,FALSE)),1,VLOOKUP(U$1,Sprints[],4,FALSE))&lt;&gt;"")*(IF(OFFSET(INDIRECT(CELL("address",INDEX('Leave Tracker'!$A$8:$A$105,MATCH($A31,'Leave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Tracker'!$A$8:$A$105,MATCH($A32,'Leave Tracker'!$A$8:$A$105,0)))),0,31*(VLOOKUP(G$1,Sprints[],5,FALSE))+DAY(VLOOKUP(G$1,Sprints[],2,FALSE)),1,VLOOKUP(G$1,Sprints[],4,FALSE))&lt;&gt;"")*(IF(OFFSET(INDIRECT(CELL("address",INDEX('Leave Tracker'!$A$8:$A$105,MATCH($A32,'Leave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Tracker'!$A$8:$A$105,MATCH($A32,'Leave Tracker'!$A$8:$A$105,0)))),0,31*(VLOOKUP(H$1,Sprints[],5,FALSE))+DAY(VLOOKUP(H$1,Sprints[],2,FALSE)),1,VLOOKUP(H$1,Sprints[],4,FALSE))&lt;&gt;"")*(IF(OFFSET(INDIRECT(CELL("address",INDEX('Leave Tracker'!$A$8:$A$105,MATCH($A32,'Leave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Tracker'!$A$8:$A$105,MATCH($A32,'Leave Tracker'!$A$8:$A$105,0)))),0,31*(VLOOKUP(I$1,Sprints[],5,FALSE))+DAY(VLOOKUP(I$1,Sprints[],2,FALSE)),1,VLOOKUP(I$1,Sprints[],4,FALSE))&lt;&gt;"")*(IF(OFFSET(INDIRECT(CELL("address",INDEX('Leave Tracker'!$A$8:$A$105,MATCH($A32,'Leave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Tracker'!$A$8:$A$105,MATCH($A32,'Leave Tracker'!$A$8:$A$105,0)))),0,31*(VLOOKUP(J$1,Sprints[],5,FALSE))+DAY(VLOOKUP(J$1,Sprints[],2,FALSE)),1,VLOOKUP(J$1,Sprints[],4,FALSE))&lt;&gt;"")*(IF(OFFSET(INDIRECT(CELL("address",INDEX('Leave Tracker'!$A$8:$A$105,MATCH($A32,'Leave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Tracker'!$A$8:$A$105,MATCH($A32,'Leave Tracker'!$A$8:$A$105,0)))),0,31*(VLOOKUP(K$1,Sprints[],5,FALSE))+DAY(VLOOKUP(K$1,Sprints[],2,FALSE)),1,VLOOKUP(K$1,Sprints[],4,FALSE))&lt;&gt;"")*(IF(OFFSET(INDIRECT(CELL("address",INDEX('Leave Tracker'!$A$8:$A$105,MATCH($A32,'Leave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Tracker'!$A$8:$A$105,MATCH($A32,'Leave Tracker'!$A$8:$A$105,0)))),0,31*(VLOOKUP(L$1,Sprints[],5,FALSE))+DAY(VLOOKUP(L$1,Sprints[],2,FALSE)),1,VLOOKUP(L$1,Sprints[],4,FALSE))&lt;&gt;"")*(IF(OFFSET(INDIRECT(CELL("address",INDEX('Leave Tracker'!$A$8:$A$105,MATCH($A32,'Leave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Tracker'!$A$8:$A$105,MATCH($A32,'Leave Tracker'!$A$8:$A$105,0)))),0,31*(VLOOKUP(M$1,Sprints[],5,FALSE))+DAY(VLOOKUP(M$1,Sprints[],2,FALSE)),1,VLOOKUP(M$1,Sprints[],4,FALSE))&lt;&gt;"")*(IF(OFFSET(INDIRECT(CELL("address",INDEX('Leave Tracker'!$A$8:$A$105,MATCH($A32,'Leave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Tracker'!$A$8:$A$105,MATCH($A32,'Leave Tracker'!$A$8:$A$105,0)))),0,31*(VLOOKUP(N$1,Sprints[],5,FALSE))+DAY(VLOOKUP(N$1,Sprints[],2,FALSE)),1,VLOOKUP(N$1,Sprints[],4,FALSE))&lt;&gt;"")*(IF(OFFSET(INDIRECT(CELL("address",INDEX('Leave Tracker'!$A$8:$A$105,MATCH($A32,'Leave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Tracker'!$A$8:$A$105,MATCH($A32,'Leave Tracker'!$A$8:$A$105,0)))),0,31*(VLOOKUP(O$1,Sprints[],5,FALSE))+DAY(VLOOKUP(O$1,Sprints[],2,FALSE)),1,VLOOKUP(O$1,Sprints[],4,FALSE))&lt;&gt;"")*(IF(OFFSET(INDIRECT(CELL("address",INDEX('Leave Tracker'!$A$8:$A$105,MATCH($A32,'Leave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4.5000000000000009</v>
      </c>
      <c r="P32">
        <f t="array" aca="1" ref="P32" ca="1">Sheet3!$W$2*$F32*(NETWORKDAYS(VLOOKUP(P$1,Sprints[],2,FALSE), VLOOKUP(P$1,Sprints[],3,FALSE))-SUMPRODUCT((OFFSET(INDIRECT(CELL("address",INDEX('Leave Tracker'!$A$8:$A$105,MATCH($A32,'Leave Tracker'!$A$8:$A$105,0)))),0,31*(VLOOKUP(P$1,Sprints[],5,FALSE))+DAY(VLOOKUP(P$1,Sprints[],2,FALSE)),1,VLOOKUP(P$1,Sprints[],4,FALSE))&lt;&gt;"")*(IF(OFFSET(INDIRECT(CELL("address",INDEX('Leave Tracker'!$A$8:$A$105,MATCH($A32,'Leave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2">
        <f t="array" aca="1" ref="Q32" ca="1">Sheet3!$W$2*$F32*(NETWORKDAYS(VLOOKUP(Q$1,Sprints[],2,FALSE), VLOOKUP(Q$1,Sprints[],3,FALSE))-SUMPRODUCT((OFFSET(INDIRECT(CELL("address",INDEX('Leave Tracker'!$A$8:$A$105,MATCH($A32,'Leave Tracker'!$A$8:$A$105,0)))),0,31*(VLOOKUP(Q$1,Sprints[],5,FALSE))+DAY(VLOOKUP(Q$1,Sprints[],2,FALSE)),1,VLOOKUP(Q$1,Sprints[],4,FALSE))&lt;&gt;"")*(IF(OFFSET(INDIRECT(CELL("address",INDEX('Leave Tracker'!$A$8:$A$105,MATCH($A32,'Leave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Tracker'!$A$8:$A$105,MATCH($A32,'Leave Tracker'!$A$8:$A$105,0)))),0,31*(VLOOKUP(R$1,Sprints[],5,FALSE))+DAY(VLOOKUP(R$1,Sprints[],2,FALSE)),1,VLOOKUP(R$1,Sprints[],4,FALSE))&lt;&gt;"")*(IF(OFFSET(INDIRECT(CELL("address",INDEX('Leave Tracker'!$A$8:$A$105,MATCH($A32,'Leave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Tracker'!$A$8:$A$105,MATCH($A32,'Leave Tracker'!$A$8:$A$105,0)))),0,31*(VLOOKUP(S$1,Sprints[],5,FALSE))+DAY(VLOOKUP(S$1,Sprints[],2,FALSE)),1,VLOOKUP(S$1,Sprints[],4,FALSE))&lt;&gt;"")*(IF(OFFSET(INDIRECT(CELL("address",INDEX('Leave Tracker'!$A$8:$A$105,MATCH($A32,'Leave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Tracker'!$A$8:$A$105,MATCH($A32,'Leave Tracker'!$A$8:$A$105,0)))),0,31*(VLOOKUP(T$1,Sprints[],5,FALSE))+DAY(VLOOKUP(T$1,Sprints[],2,FALSE)),1,VLOOKUP(T$1,Sprints[],4,FALSE))&lt;&gt;"")*(IF(OFFSET(INDIRECT(CELL("address",INDEX('Leave Tracker'!$A$8:$A$105,MATCH($A32,'Leave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Tracker'!$A$8:$A$105,MATCH($A32,'Leave Tracker'!$A$8:$A$105,0)))),0,31*(VLOOKUP(U$1,Sprints[],5,FALSE))+DAY(VLOOKUP(U$1,Sprints[],2,FALSE)),1,VLOOKUP(U$1,Sprints[],4,FALSE))&lt;&gt;"")*(IF(OFFSET(INDIRECT(CELL("address",INDEX('Leave Tracker'!$A$8:$A$105,MATCH($A32,'Leave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30.900000000000006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Tracker'!$A$8:$A$105,MATCH($A33,'Leave Tracker'!$A$8:$A$105,0)))),0,31*(VLOOKUP(G$1,Sprints[],5,FALSE))+DAY(VLOOKUP(G$1,Sprints[],2,FALSE)),1,VLOOKUP(G$1,Sprints[],4,FALSE))&lt;&gt;"")*(IF(OFFSET(INDIRECT(CELL("address",INDEX('Leave Tracker'!$A$8:$A$105,MATCH($A33,'Leave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Tracker'!$A$8:$A$105,MATCH($A33,'Leave Tracker'!$A$8:$A$105,0)))),0,31*(VLOOKUP(H$1,Sprints[],5,FALSE))+DAY(VLOOKUP(H$1,Sprints[],2,FALSE)),1,VLOOKUP(H$1,Sprints[],4,FALSE))&lt;&gt;"")*(IF(OFFSET(INDIRECT(CELL("address",INDEX('Leave Tracker'!$A$8:$A$105,MATCH($A33,'Leave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Tracker'!$A$8:$A$105,MATCH($A33,'Leave Tracker'!$A$8:$A$105,0)))),0,31*(VLOOKUP(I$1,Sprints[],5,FALSE))+DAY(VLOOKUP(I$1,Sprints[],2,FALSE)),1,VLOOKUP(I$1,Sprints[],4,FALSE))&lt;&gt;"")*(IF(OFFSET(INDIRECT(CELL("address",INDEX('Leave Tracker'!$A$8:$A$105,MATCH($A33,'Leave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Tracker'!$A$8:$A$105,MATCH($A33,'Leave Tracker'!$A$8:$A$105,0)))),0,31*(VLOOKUP(J$1,Sprints[],5,FALSE))+DAY(VLOOKUP(J$1,Sprints[],2,FALSE)),1,VLOOKUP(J$1,Sprints[],4,FALSE))&lt;&gt;"")*(IF(OFFSET(INDIRECT(CELL("address",INDEX('Leave Tracker'!$A$8:$A$105,MATCH($A33,'Leave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Tracker'!$A$8:$A$105,MATCH($A33,'Leave Tracker'!$A$8:$A$105,0)))),0,31*(VLOOKUP(K$1,Sprints[],5,FALSE))+DAY(VLOOKUP(K$1,Sprints[],2,FALSE)),1,VLOOKUP(K$1,Sprints[],4,FALSE))&lt;&gt;"")*(IF(OFFSET(INDIRECT(CELL("address",INDEX('Leave Tracker'!$A$8:$A$105,MATCH($A33,'Leave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Tracker'!$A$8:$A$105,MATCH($A33,'Leave Tracker'!$A$8:$A$105,0)))),0,31*(VLOOKUP(L$1,Sprints[],5,FALSE))+DAY(VLOOKUP(L$1,Sprints[],2,FALSE)),1,VLOOKUP(L$1,Sprints[],4,FALSE))&lt;&gt;"")*(IF(OFFSET(INDIRECT(CELL("address",INDEX('Leave Tracker'!$A$8:$A$105,MATCH($A33,'Leave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Tracker'!$A$8:$A$105,MATCH($A33,'Leave Tracker'!$A$8:$A$105,0)))),0,31*(VLOOKUP(M$1,Sprints[],5,FALSE))+DAY(VLOOKUP(M$1,Sprints[],2,FALSE)),1,VLOOKUP(M$1,Sprints[],4,FALSE))&lt;&gt;"")*(IF(OFFSET(INDIRECT(CELL("address",INDEX('Leave Tracker'!$A$8:$A$105,MATCH($A33,'Leave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Tracker'!$A$8:$A$105,MATCH($A33,'Leave Tracker'!$A$8:$A$105,0)))),0,31*(VLOOKUP(N$1,Sprints[],5,FALSE))+DAY(VLOOKUP(N$1,Sprints[],2,FALSE)),1,VLOOKUP(N$1,Sprints[],4,FALSE))&lt;&gt;"")*(IF(OFFSET(INDIRECT(CELL("address",INDEX('Leave Tracker'!$A$8:$A$105,MATCH($A33,'Leave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Tracker'!$A$8:$A$105,MATCH($A33,'Leave Tracker'!$A$8:$A$105,0)))),0,31*(VLOOKUP(O$1,Sprints[],5,FALSE))+DAY(VLOOKUP(O$1,Sprints[],2,FALSE)),1,VLOOKUP(O$1,Sprints[],4,FALSE))&lt;&gt;"")*(IF(OFFSET(INDIRECT(CELL("address",INDEX('Leave Tracker'!$A$8:$A$105,MATCH($A33,'Leave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2.5500000000000003</v>
      </c>
      <c r="P33" s="31">
        <f t="array" aca="1" ref="P33" ca="1">Sheet3!$W$2*$F33*(NETWORKDAYS(VLOOKUP(P$1,Sprints[],2,FALSE), VLOOKUP(P$1,Sprints[],3,FALSE))-SUMPRODUCT((OFFSET(INDIRECT(CELL("address",INDEX('Leave Tracker'!$A$8:$A$105,MATCH($A33,'Leave Tracker'!$A$8:$A$105,0)))),0,31*(VLOOKUP(P$1,Sprints[],5,FALSE))+DAY(VLOOKUP(P$1,Sprints[],2,FALSE)),1,VLOOKUP(P$1,Sprints[],4,FALSE))&lt;&gt;"")*(IF(OFFSET(INDIRECT(CELL("address",INDEX('Leave Tracker'!$A$8:$A$105,MATCH($A33,'Leave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2.7</v>
      </c>
      <c r="Q33" s="31">
        <f t="array" aca="1" ref="Q33" ca="1">Sheet3!$W$2*$F33*(NETWORKDAYS(VLOOKUP(Q$1,Sprints[],2,FALSE), VLOOKUP(Q$1,Sprints[],3,FALSE))-SUMPRODUCT((OFFSET(INDIRECT(CELL("address",INDEX('Leave Tracker'!$A$8:$A$105,MATCH($A33,'Leave Tracker'!$A$8:$A$105,0)))),0,31*(VLOOKUP(Q$1,Sprints[],5,FALSE))+DAY(VLOOKUP(Q$1,Sprints[],2,FALSE)),1,VLOOKUP(Q$1,Sprints[],4,FALSE))&lt;&gt;"")*(IF(OFFSET(INDIRECT(CELL("address",INDEX('Leave Tracker'!$A$8:$A$105,MATCH($A33,'Leave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Tracker'!$A$8:$A$105,MATCH($A33,'Leave Tracker'!$A$8:$A$105,0)))),0,31*(VLOOKUP(R$1,Sprints[],5,FALSE))+DAY(VLOOKUP(R$1,Sprints[],2,FALSE)),1,VLOOKUP(R$1,Sprints[],4,FALSE))&lt;&gt;"")*(IF(OFFSET(INDIRECT(CELL("address",INDEX('Leave Tracker'!$A$8:$A$105,MATCH($A33,'Leave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Tracker'!$A$8:$A$105,MATCH($A33,'Leave Tracker'!$A$8:$A$105,0)))),0,31*(VLOOKUP(S$1,Sprints[],5,FALSE))+DAY(VLOOKUP(S$1,Sprints[],2,FALSE)),1,VLOOKUP(S$1,Sprints[],4,FALSE))&lt;&gt;"")*(IF(OFFSET(INDIRECT(CELL("address",INDEX('Leave Tracker'!$A$8:$A$105,MATCH($A33,'Leave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Tracker'!$A$8:$A$105,MATCH($A33,'Leave Tracker'!$A$8:$A$105,0)))),0,31*(VLOOKUP(T$1,Sprints[],5,FALSE))+DAY(VLOOKUP(T$1,Sprints[],2,FALSE)),1,VLOOKUP(T$1,Sprints[],4,FALSE))&lt;&gt;"")*(IF(OFFSET(INDIRECT(CELL("address",INDEX('Leave Tracker'!$A$8:$A$105,MATCH($A33,'Leave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Tracker'!$A$8:$A$105,MATCH($A33,'Leave Tracker'!$A$8:$A$105,0)))),0,31*(VLOOKUP(U$1,Sprints[],5,FALSE))+DAY(VLOOKUP(U$1,Sprints[],2,FALSE)),1,VLOOKUP(U$1,Sprints[],4,FALSE))&lt;&gt;"")*(IF(OFFSET(INDIRECT(CELL("address",INDEX('Leave Tracker'!$A$8:$A$105,MATCH($A33,'Leave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15.750000000000002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Tracker'!$A$8:$A$105,MATCH($A34,'Leave Tracker'!$A$8:$A$105,0)))),0,31*(VLOOKUP(G$1,Sprints[],5,FALSE))+DAY(VLOOKUP(G$1,Sprints[],2,FALSE)),1,VLOOKUP(G$1,Sprints[],4,FALSE))&lt;&gt;"")*(IF(OFFSET(INDIRECT(CELL("address",INDEX('Leave Tracker'!$A$8:$A$105,MATCH($A34,'Leave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Tracker'!$A$8:$A$105,MATCH($A34,'Leave Tracker'!$A$8:$A$105,0)))),0,31*(VLOOKUP(H$1,Sprints[],5,FALSE))+DAY(VLOOKUP(H$1,Sprints[],2,FALSE)),1,VLOOKUP(H$1,Sprints[],4,FALSE))&lt;&gt;"")*(IF(OFFSET(INDIRECT(CELL("address",INDEX('Leave Tracker'!$A$8:$A$105,MATCH($A34,'Leave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Tracker'!$A$8:$A$105,MATCH($A34,'Leave Tracker'!$A$8:$A$105,0)))),0,31*(VLOOKUP(I$1,Sprints[],5,FALSE))+DAY(VLOOKUP(I$1,Sprints[],2,FALSE)),1,VLOOKUP(I$1,Sprints[],4,FALSE))&lt;&gt;"")*(IF(OFFSET(INDIRECT(CELL("address",INDEX('Leave Tracker'!$A$8:$A$105,MATCH($A34,'Leave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Tracker'!$A$8:$A$105,MATCH($A34,'Leave Tracker'!$A$8:$A$105,0)))),0,31*(VLOOKUP(J$1,Sprints[],5,FALSE))+DAY(VLOOKUP(J$1,Sprints[],2,FALSE)),1,VLOOKUP(J$1,Sprints[],4,FALSE))&lt;&gt;"")*(IF(OFFSET(INDIRECT(CELL("address",INDEX('Leave Tracker'!$A$8:$A$105,MATCH($A34,'Leave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Tracker'!$A$8:$A$105,MATCH($A34,'Leave Tracker'!$A$8:$A$105,0)))),0,31*(VLOOKUP(K$1,Sprints[],5,FALSE))+DAY(VLOOKUP(K$1,Sprints[],2,FALSE)),1,VLOOKUP(K$1,Sprints[],4,FALSE))&lt;&gt;"")*(IF(OFFSET(INDIRECT(CELL("address",INDEX('Leave Tracker'!$A$8:$A$105,MATCH($A34,'Leave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Tracker'!$A$8:$A$105,MATCH($A34,'Leave Tracker'!$A$8:$A$105,0)))),0,31*(VLOOKUP(L$1,Sprints[],5,FALSE))+DAY(VLOOKUP(L$1,Sprints[],2,FALSE)),1,VLOOKUP(L$1,Sprints[],4,FALSE))&lt;&gt;"")*(IF(OFFSET(INDIRECT(CELL("address",INDEX('Leave Tracker'!$A$8:$A$105,MATCH($A34,'Leave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Tracker'!$A$8:$A$105,MATCH($A34,'Leave Tracker'!$A$8:$A$105,0)))),0,31*(VLOOKUP(M$1,Sprints[],5,FALSE))+DAY(VLOOKUP(M$1,Sprints[],2,FALSE)),1,VLOOKUP(M$1,Sprints[],4,FALSE))&lt;&gt;"")*(IF(OFFSET(INDIRECT(CELL("address",INDEX('Leave Tracker'!$A$8:$A$105,MATCH($A34,'Leave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Tracker'!$A$8:$A$105,MATCH($A34,'Leave Tracker'!$A$8:$A$105,0)))),0,31*(VLOOKUP(N$1,Sprints[],5,FALSE))+DAY(VLOOKUP(N$1,Sprints[],2,FALSE)),1,VLOOKUP(N$1,Sprints[],4,FALSE))&lt;&gt;"")*(IF(OFFSET(INDIRECT(CELL("address",INDEX('Leave Tracker'!$A$8:$A$105,MATCH($A34,'Leave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Tracker'!$A$8:$A$105,MATCH($A34,'Leave Tracker'!$A$8:$A$105,0)))),0,31*(VLOOKUP(O$1,Sprints[],5,FALSE))+DAY(VLOOKUP(O$1,Sprints[],2,FALSE)),1,VLOOKUP(O$1,Sprints[],4,FALSE))&lt;&gt;"")*(IF(OFFSET(INDIRECT(CELL("address",INDEX('Leave Tracker'!$A$8:$A$105,MATCH($A34,'Leave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2.5500000000000003</v>
      </c>
      <c r="P34">
        <f t="array" aca="1" ref="P34" ca="1">Sheet3!$W$2*$F34*(NETWORKDAYS(VLOOKUP(P$1,Sprints[],2,FALSE), VLOOKUP(P$1,Sprints[],3,FALSE))-SUMPRODUCT((OFFSET(INDIRECT(CELL("address",INDEX('Leave Tracker'!$A$8:$A$105,MATCH($A34,'Leave Tracker'!$A$8:$A$105,0)))),0,31*(VLOOKUP(P$1,Sprints[],5,FALSE))+DAY(VLOOKUP(P$1,Sprints[],2,FALSE)),1,VLOOKUP(P$1,Sprints[],4,FALSE))&lt;&gt;"")*(IF(OFFSET(INDIRECT(CELL("address",INDEX('Leave Tracker'!$A$8:$A$105,MATCH($A34,'Leave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2.7</v>
      </c>
      <c r="Q34">
        <f t="array" aca="1" ref="Q34" ca="1">Sheet3!$W$2*$F34*(NETWORKDAYS(VLOOKUP(Q$1,Sprints[],2,FALSE), VLOOKUP(Q$1,Sprints[],3,FALSE))-SUMPRODUCT((OFFSET(INDIRECT(CELL("address",INDEX('Leave Tracker'!$A$8:$A$105,MATCH($A34,'Leave Tracker'!$A$8:$A$105,0)))),0,31*(VLOOKUP(Q$1,Sprints[],5,FALSE))+DAY(VLOOKUP(Q$1,Sprints[],2,FALSE)),1,VLOOKUP(Q$1,Sprints[],4,FALSE))&lt;&gt;"")*(IF(OFFSET(INDIRECT(CELL("address",INDEX('Leave Tracker'!$A$8:$A$105,MATCH($A34,'Leave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Tracker'!$A$8:$A$105,MATCH($A34,'Leave Tracker'!$A$8:$A$105,0)))),0,31*(VLOOKUP(R$1,Sprints[],5,FALSE))+DAY(VLOOKUP(R$1,Sprints[],2,FALSE)),1,VLOOKUP(R$1,Sprints[],4,FALSE))&lt;&gt;"")*(IF(OFFSET(INDIRECT(CELL("address",INDEX('Leave Tracker'!$A$8:$A$105,MATCH($A34,'Leave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Tracker'!$A$8:$A$105,MATCH($A34,'Leave Tracker'!$A$8:$A$105,0)))),0,31*(VLOOKUP(S$1,Sprints[],5,FALSE))+DAY(VLOOKUP(S$1,Sprints[],2,FALSE)),1,VLOOKUP(S$1,Sprints[],4,FALSE))&lt;&gt;"")*(IF(OFFSET(INDIRECT(CELL("address",INDEX('Leave Tracker'!$A$8:$A$105,MATCH($A34,'Leave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Tracker'!$A$8:$A$105,MATCH($A34,'Leave Tracker'!$A$8:$A$105,0)))),0,31*(VLOOKUP(T$1,Sprints[],5,FALSE))+DAY(VLOOKUP(T$1,Sprints[],2,FALSE)),1,VLOOKUP(T$1,Sprints[],4,FALSE))&lt;&gt;"")*(IF(OFFSET(INDIRECT(CELL("address",INDEX('Leave Tracker'!$A$8:$A$105,MATCH($A34,'Leave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Tracker'!$A$8:$A$105,MATCH($A34,'Leave Tracker'!$A$8:$A$105,0)))),0,31*(VLOOKUP(U$1,Sprints[],5,FALSE))+DAY(VLOOKUP(U$1,Sprints[],2,FALSE)),1,VLOOKUP(U$1,Sprints[],4,FALSE))&lt;&gt;"")*(IF(OFFSET(INDIRECT(CELL("address",INDEX('Leave Tracker'!$A$8:$A$105,MATCH($A34,'Leave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15.750000000000002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Tracker'!$A$8:$A$105,MATCH($A35,'Leave Tracker'!$A$8:$A$105,0)))),0,31*(VLOOKUP(G$1,Sprints[],5,FALSE))+DAY(VLOOKUP(G$1,Sprints[],2,FALSE)),1,VLOOKUP(G$1,Sprints[],4,FALSE))&lt;&gt;"")*(IF(OFFSET(INDIRECT(CELL("address",INDEX('Leave Tracker'!$A$8:$A$105,MATCH($A35,'Leave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Tracker'!$A$8:$A$105,MATCH($A35,'Leave Tracker'!$A$8:$A$105,0)))),0,31*(VLOOKUP(H$1,Sprints[],5,FALSE))+DAY(VLOOKUP(H$1,Sprints[],2,FALSE)),1,VLOOKUP(H$1,Sprints[],4,FALSE))&lt;&gt;"")*(IF(OFFSET(INDIRECT(CELL("address",INDEX('Leave Tracker'!$A$8:$A$105,MATCH($A35,'Leave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Tracker'!$A$8:$A$105,MATCH($A35,'Leave Tracker'!$A$8:$A$105,0)))),0,31*(VLOOKUP(I$1,Sprints[],5,FALSE))+DAY(VLOOKUP(I$1,Sprints[],2,FALSE)),1,VLOOKUP(I$1,Sprints[],4,FALSE))&lt;&gt;"")*(IF(OFFSET(INDIRECT(CELL("address",INDEX('Leave Tracker'!$A$8:$A$105,MATCH($A35,'Leave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Tracker'!$A$8:$A$105,MATCH($A35,'Leave Tracker'!$A$8:$A$105,0)))),0,31*(VLOOKUP(J$1,Sprints[],5,FALSE))+DAY(VLOOKUP(J$1,Sprints[],2,FALSE)),1,VLOOKUP(J$1,Sprints[],4,FALSE))&lt;&gt;"")*(IF(OFFSET(INDIRECT(CELL("address",INDEX('Leave Tracker'!$A$8:$A$105,MATCH($A35,'Leave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Tracker'!$A$8:$A$105,MATCH($A35,'Leave Tracker'!$A$8:$A$105,0)))),0,31*(VLOOKUP(K$1,Sprints[],5,FALSE))+DAY(VLOOKUP(K$1,Sprints[],2,FALSE)),1,VLOOKUP(K$1,Sprints[],4,FALSE))&lt;&gt;"")*(IF(OFFSET(INDIRECT(CELL("address",INDEX('Leave Tracker'!$A$8:$A$105,MATCH($A35,'Leave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Tracker'!$A$8:$A$105,MATCH($A35,'Leave Tracker'!$A$8:$A$105,0)))),0,31*(VLOOKUP(L$1,Sprints[],5,FALSE))+DAY(VLOOKUP(L$1,Sprints[],2,FALSE)),1,VLOOKUP(L$1,Sprints[],4,FALSE))&lt;&gt;"")*(IF(OFFSET(INDIRECT(CELL("address",INDEX('Leave Tracker'!$A$8:$A$105,MATCH($A35,'Leave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Tracker'!$A$8:$A$105,MATCH($A35,'Leave Tracker'!$A$8:$A$105,0)))),0,31*(VLOOKUP(M$1,Sprints[],5,FALSE))+DAY(VLOOKUP(M$1,Sprints[],2,FALSE)),1,VLOOKUP(M$1,Sprints[],4,FALSE))&lt;&gt;"")*(IF(OFFSET(INDIRECT(CELL("address",INDEX('Leave Tracker'!$A$8:$A$105,MATCH($A35,'Leave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Tracker'!$A$8:$A$105,MATCH($A35,'Leave Tracker'!$A$8:$A$105,0)))),0,31*(VLOOKUP(N$1,Sprints[],5,FALSE))+DAY(VLOOKUP(N$1,Sprints[],2,FALSE)),1,VLOOKUP(N$1,Sprints[],4,FALSE))&lt;&gt;"")*(IF(OFFSET(INDIRECT(CELL("address",INDEX('Leave Tracker'!$A$8:$A$105,MATCH($A35,'Leave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Tracker'!$A$8:$A$105,MATCH($A35,'Leave Tracker'!$A$8:$A$105,0)))),0,31*(VLOOKUP(O$1,Sprints[],5,FALSE))+DAY(VLOOKUP(O$1,Sprints[],2,FALSE)),1,VLOOKUP(O$1,Sprints[],4,FALSE))&lt;&gt;"")*(IF(OFFSET(INDIRECT(CELL("address",INDEX('Leave Tracker'!$A$8:$A$105,MATCH($A35,'Leave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35">
        <f t="array" aca="1" ref="P35" ca="1">Sheet3!$W$2*$F35*(NETWORKDAYS(VLOOKUP(P$1,Sprints[],2,FALSE), VLOOKUP(P$1,Sprints[],3,FALSE))-SUMPRODUCT((OFFSET(INDIRECT(CELL("address",INDEX('Leave Tracker'!$A$8:$A$105,MATCH($A35,'Leave Tracker'!$A$8:$A$105,0)))),0,31*(VLOOKUP(P$1,Sprints[],5,FALSE))+DAY(VLOOKUP(P$1,Sprints[],2,FALSE)),1,VLOOKUP(P$1,Sprints[],4,FALSE))&lt;&gt;"")*(IF(OFFSET(INDIRECT(CELL("address",INDEX('Leave Tracker'!$A$8:$A$105,MATCH($A35,'Leave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Tracker'!$A$8:$A$105,MATCH($A35,'Leave Tracker'!$A$8:$A$105,0)))),0,31*(VLOOKUP(Q$1,Sprints[],5,FALSE))+DAY(VLOOKUP(Q$1,Sprints[],2,FALSE)),1,VLOOKUP(Q$1,Sprints[],4,FALSE))&lt;&gt;"")*(IF(OFFSET(INDIRECT(CELL("address",INDEX('Leave Tracker'!$A$8:$A$105,MATCH($A35,'Leave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Tracker'!$A$8:$A$105,MATCH($A35,'Leave Tracker'!$A$8:$A$105,0)))),0,31*(VLOOKUP(R$1,Sprints[],5,FALSE))+DAY(VLOOKUP(R$1,Sprints[],2,FALSE)),1,VLOOKUP(R$1,Sprints[],4,FALSE))&lt;&gt;"")*(IF(OFFSET(INDIRECT(CELL("address",INDEX('Leave Tracker'!$A$8:$A$105,MATCH($A35,'Leave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Tracker'!$A$8:$A$105,MATCH($A35,'Leave Tracker'!$A$8:$A$105,0)))),0,31*(VLOOKUP(S$1,Sprints[],5,FALSE))+DAY(VLOOKUP(S$1,Sprints[],2,FALSE)),1,VLOOKUP(S$1,Sprints[],4,FALSE))&lt;&gt;"")*(IF(OFFSET(INDIRECT(CELL("address",INDEX('Leave Tracker'!$A$8:$A$105,MATCH($A35,'Leave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Tracker'!$A$8:$A$105,MATCH($A35,'Leave Tracker'!$A$8:$A$105,0)))),0,31*(VLOOKUP(T$1,Sprints[],5,FALSE))+DAY(VLOOKUP(T$1,Sprints[],2,FALSE)),1,VLOOKUP(T$1,Sprints[],4,FALSE))&lt;&gt;"")*(IF(OFFSET(INDIRECT(CELL("address",INDEX('Leave Tracker'!$A$8:$A$105,MATCH($A35,'Leave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Tracker'!$A$8:$A$105,MATCH($A35,'Leave Tracker'!$A$8:$A$105,0)))),0,31*(VLOOKUP(U$1,Sprints[],5,FALSE))+DAY(VLOOKUP(U$1,Sprints[],2,FALSE)),1,VLOOKUP(U$1,Sprints[],4,FALSE))&lt;&gt;"")*(IF(OFFSET(INDIRECT(CELL("address",INDEX('Leave Tracker'!$A$8:$A$105,MATCH($A35,'Leave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31.500000000000004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Tracker'!$A$8:$A$105,MATCH($A36,'Leave Tracker'!$A$8:$A$105,0)))),0,31*(VLOOKUP(G$1,Sprints[],5,FALSE))+DAY(VLOOKUP(G$1,Sprints[],2,FALSE)),1,VLOOKUP(G$1,Sprints[],4,FALSE))&lt;&gt;"")*(IF(OFFSET(INDIRECT(CELL("address",INDEX('Leave Tracker'!$A$8:$A$105,MATCH($A36,'Leave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Tracker'!$A$8:$A$105,MATCH($A36,'Leave Tracker'!$A$8:$A$105,0)))),0,31*(VLOOKUP(H$1,Sprints[],5,FALSE))+DAY(VLOOKUP(H$1,Sprints[],2,FALSE)),1,VLOOKUP(H$1,Sprints[],4,FALSE))&lt;&gt;"")*(IF(OFFSET(INDIRECT(CELL("address",INDEX('Leave Tracker'!$A$8:$A$105,MATCH($A36,'Leave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Tracker'!$A$8:$A$105,MATCH($A36,'Leave Tracker'!$A$8:$A$105,0)))),0,31*(VLOOKUP(I$1,Sprints[],5,FALSE))+DAY(VLOOKUP(I$1,Sprints[],2,FALSE)),1,VLOOKUP(I$1,Sprints[],4,FALSE))&lt;&gt;"")*(IF(OFFSET(INDIRECT(CELL("address",INDEX('Leave Tracker'!$A$8:$A$105,MATCH($A36,'Leave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Tracker'!$A$8:$A$105,MATCH($A36,'Leave Tracker'!$A$8:$A$105,0)))),0,31*(VLOOKUP(J$1,Sprints[],5,FALSE))+DAY(VLOOKUP(J$1,Sprints[],2,FALSE)),1,VLOOKUP(J$1,Sprints[],4,FALSE))&lt;&gt;"")*(IF(OFFSET(INDIRECT(CELL("address",INDEX('Leave Tracker'!$A$8:$A$105,MATCH($A36,'Leave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Tracker'!$A$8:$A$105,MATCH($A36,'Leave Tracker'!$A$8:$A$105,0)))),0,31*(VLOOKUP(K$1,Sprints[],5,FALSE))+DAY(VLOOKUP(K$1,Sprints[],2,FALSE)),1,VLOOKUP(K$1,Sprints[],4,FALSE))&lt;&gt;"")*(IF(OFFSET(INDIRECT(CELL("address",INDEX('Leave Tracker'!$A$8:$A$105,MATCH($A36,'Leave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Tracker'!$A$8:$A$105,MATCH($A36,'Leave Tracker'!$A$8:$A$105,0)))),0,31*(VLOOKUP(L$1,Sprints[],5,FALSE))+DAY(VLOOKUP(L$1,Sprints[],2,FALSE)),1,VLOOKUP(L$1,Sprints[],4,FALSE))&lt;&gt;"")*(IF(OFFSET(INDIRECT(CELL("address",INDEX('Leave Tracker'!$A$8:$A$105,MATCH($A36,'Leave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Tracker'!$A$8:$A$105,MATCH($A36,'Leave Tracker'!$A$8:$A$105,0)))),0,31*(VLOOKUP(M$1,Sprints[],5,FALSE))+DAY(VLOOKUP(M$1,Sprints[],2,FALSE)),1,VLOOKUP(M$1,Sprints[],4,FALSE))&lt;&gt;"")*(IF(OFFSET(INDIRECT(CELL("address",INDEX('Leave Tracker'!$A$8:$A$105,MATCH($A36,'Leave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Tracker'!$A$8:$A$105,MATCH($A36,'Leave Tracker'!$A$8:$A$105,0)))),0,31*(VLOOKUP(N$1,Sprints[],5,FALSE))+DAY(VLOOKUP(N$1,Sprints[],2,FALSE)),1,VLOOKUP(N$1,Sprints[],4,FALSE))&lt;&gt;"")*(IF(OFFSET(INDIRECT(CELL("address",INDEX('Leave Tracker'!$A$8:$A$105,MATCH($A36,'Leave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Tracker'!$A$8:$A$105,MATCH($A36,'Leave Tracker'!$A$8:$A$105,0)))),0,31*(VLOOKUP(O$1,Sprints[],5,FALSE))+DAY(VLOOKUP(O$1,Sprints[],2,FALSE)),1,VLOOKUP(O$1,Sprints[],4,FALSE))&lt;&gt;"")*(IF(OFFSET(INDIRECT(CELL("address",INDEX('Leave Tracker'!$A$8:$A$105,MATCH($A36,'Leave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36">
        <f t="array" aca="1" ref="P36" ca="1">Sheet3!$W$2*$F36*(NETWORKDAYS(VLOOKUP(P$1,Sprints[],2,FALSE), VLOOKUP(P$1,Sprints[],3,FALSE))-SUMPRODUCT((OFFSET(INDIRECT(CELL("address",INDEX('Leave Tracker'!$A$8:$A$105,MATCH($A36,'Leave Tracker'!$A$8:$A$105,0)))),0,31*(VLOOKUP(P$1,Sprints[],5,FALSE))+DAY(VLOOKUP(P$1,Sprints[],2,FALSE)),1,VLOOKUP(P$1,Sprints[],4,FALSE))&lt;&gt;"")*(IF(OFFSET(INDIRECT(CELL("address",INDEX('Leave Tracker'!$A$8:$A$105,MATCH($A36,'Leave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Tracker'!$A$8:$A$105,MATCH($A36,'Leave Tracker'!$A$8:$A$105,0)))),0,31*(VLOOKUP(Q$1,Sprints[],5,FALSE))+DAY(VLOOKUP(Q$1,Sprints[],2,FALSE)),1,VLOOKUP(Q$1,Sprints[],4,FALSE))&lt;&gt;"")*(IF(OFFSET(INDIRECT(CELL("address",INDEX('Leave Tracker'!$A$8:$A$105,MATCH($A36,'Leave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Tracker'!$A$8:$A$105,MATCH($A36,'Leave Tracker'!$A$8:$A$105,0)))),0,31*(VLOOKUP(R$1,Sprints[],5,FALSE))+DAY(VLOOKUP(R$1,Sprints[],2,FALSE)),1,VLOOKUP(R$1,Sprints[],4,FALSE))&lt;&gt;"")*(IF(OFFSET(INDIRECT(CELL("address",INDEX('Leave Tracker'!$A$8:$A$105,MATCH($A36,'Leave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Tracker'!$A$8:$A$105,MATCH($A36,'Leave Tracker'!$A$8:$A$105,0)))),0,31*(VLOOKUP(S$1,Sprints[],5,FALSE))+DAY(VLOOKUP(S$1,Sprints[],2,FALSE)),1,VLOOKUP(S$1,Sprints[],4,FALSE))&lt;&gt;"")*(IF(OFFSET(INDIRECT(CELL("address",INDEX('Leave Tracker'!$A$8:$A$105,MATCH($A36,'Leave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6" s="31">
        <f t="array" aca="1" ref="T36" ca="1">Sheet3!$W$2*$F36*(NETWORKDAYS(VLOOKUP(T$1,Sprints[],2,FALSE), VLOOKUP(T$1,Sprints[],3,FALSE))-SUMPRODUCT((OFFSET(INDIRECT(CELL("address",INDEX('Leave Tracker'!$A$8:$A$105,MATCH($A36,'Leave Tracker'!$A$8:$A$105,0)))),0,31*(VLOOKUP(T$1,Sprints[],5,FALSE))+DAY(VLOOKUP(T$1,Sprints[],2,FALSE)),1,VLOOKUP(T$1,Sprints[],4,FALSE))&lt;&gt;"")*(IF(OFFSET(INDIRECT(CELL("address",INDEX('Leave Tracker'!$A$8:$A$105,MATCH($A36,'Leave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Tracker'!$A$8:$A$105,MATCH($A36,'Leave Tracker'!$A$8:$A$105,0)))),0,31*(VLOOKUP(U$1,Sprints[],5,FALSE))+DAY(VLOOKUP(U$1,Sprints[],2,FALSE)),1,VLOOKUP(U$1,Sprints[],4,FALSE))&lt;&gt;"")*(IF(OFFSET(INDIRECT(CELL("address",INDEX('Leave Tracker'!$A$8:$A$105,MATCH($A36,'Leave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26.100000000000005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Tracker'!$A$8:$A$105,MATCH($A37,'Leave Tracker'!$A$8:$A$105,0)))),0,31*(VLOOKUP(G$1,Sprints[],5,FALSE))+DAY(VLOOKUP(G$1,Sprints[],2,FALSE)),1,VLOOKUP(G$1,Sprints[],4,FALSE))&lt;&gt;"")*(IF(OFFSET(INDIRECT(CELL("address",INDEX('Leave Tracker'!$A$8:$A$105,MATCH($A37,'Leave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Tracker'!$A$8:$A$105,MATCH($A37,'Leave Tracker'!$A$8:$A$105,0)))),0,31*(VLOOKUP(H$1,Sprints[],5,FALSE))+DAY(VLOOKUP(H$1,Sprints[],2,FALSE)),1,VLOOKUP(H$1,Sprints[],4,FALSE))&lt;&gt;"")*(IF(OFFSET(INDIRECT(CELL("address",INDEX('Leave Tracker'!$A$8:$A$105,MATCH($A37,'Leave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Tracker'!$A$8:$A$105,MATCH($A37,'Leave Tracker'!$A$8:$A$105,0)))),0,31*(VLOOKUP(I$1,Sprints[],5,FALSE))+DAY(VLOOKUP(I$1,Sprints[],2,FALSE)),1,VLOOKUP(I$1,Sprints[],4,FALSE))&lt;&gt;"")*(IF(OFFSET(INDIRECT(CELL("address",INDEX('Leave Tracker'!$A$8:$A$105,MATCH($A37,'Leave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Tracker'!$A$8:$A$105,MATCH($A37,'Leave Tracker'!$A$8:$A$105,0)))),0,31*(VLOOKUP(J$1,Sprints[],5,FALSE))+DAY(VLOOKUP(J$1,Sprints[],2,FALSE)),1,VLOOKUP(J$1,Sprints[],4,FALSE))&lt;&gt;"")*(IF(OFFSET(INDIRECT(CELL("address",INDEX('Leave Tracker'!$A$8:$A$105,MATCH($A37,'Leave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Tracker'!$A$8:$A$105,MATCH($A37,'Leave Tracker'!$A$8:$A$105,0)))),0,31*(VLOOKUP(K$1,Sprints[],5,FALSE))+DAY(VLOOKUP(K$1,Sprints[],2,FALSE)),1,VLOOKUP(K$1,Sprints[],4,FALSE))&lt;&gt;"")*(IF(OFFSET(INDIRECT(CELL("address",INDEX('Leave Tracker'!$A$8:$A$105,MATCH($A37,'Leave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Tracker'!$A$8:$A$105,MATCH($A37,'Leave Tracker'!$A$8:$A$105,0)))),0,31*(VLOOKUP(L$1,Sprints[],5,FALSE))+DAY(VLOOKUP(L$1,Sprints[],2,FALSE)),1,VLOOKUP(L$1,Sprints[],4,FALSE))&lt;&gt;"")*(IF(OFFSET(INDIRECT(CELL("address",INDEX('Leave Tracker'!$A$8:$A$105,MATCH($A37,'Leave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Tracker'!$A$8:$A$105,MATCH($A37,'Leave Tracker'!$A$8:$A$105,0)))),0,31*(VLOOKUP(M$1,Sprints[],5,FALSE))+DAY(VLOOKUP(M$1,Sprints[],2,FALSE)),1,VLOOKUP(M$1,Sprints[],4,FALSE))&lt;&gt;"")*(IF(OFFSET(INDIRECT(CELL("address",INDEX('Leave Tracker'!$A$8:$A$105,MATCH($A37,'Leave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Tracker'!$A$8:$A$105,MATCH($A37,'Leave Tracker'!$A$8:$A$105,0)))),0,31*(VLOOKUP(N$1,Sprints[],5,FALSE))+DAY(VLOOKUP(N$1,Sprints[],2,FALSE)),1,VLOOKUP(N$1,Sprints[],4,FALSE))&lt;&gt;"")*(IF(OFFSET(INDIRECT(CELL("address",INDEX('Leave Tracker'!$A$8:$A$105,MATCH($A37,'Leave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Tracker'!$A$8:$A$105,MATCH($A37,'Leave Tracker'!$A$8:$A$105,0)))),0,31*(VLOOKUP(O$1,Sprints[],5,FALSE))+DAY(VLOOKUP(O$1,Sprints[],2,FALSE)),1,VLOOKUP(O$1,Sprints[],4,FALSE))&lt;&gt;"")*(IF(OFFSET(INDIRECT(CELL("address",INDEX('Leave Tracker'!$A$8:$A$105,MATCH($A37,'Leave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2.7200000000000006</v>
      </c>
      <c r="P37" s="31">
        <f t="array" aca="1" ref="P37" ca="1">Sheet3!$W$2*$F37*(NETWORKDAYS(VLOOKUP(P$1,Sprints[],2,FALSE), VLOOKUP(P$1,Sprints[],3,FALSE))-SUMPRODUCT((OFFSET(INDIRECT(CELL("address",INDEX('Leave Tracker'!$A$8:$A$105,MATCH($A37,'Leave Tracker'!$A$8:$A$105,0)))),0,31*(VLOOKUP(P$1,Sprints[],5,FALSE))+DAY(VLOOKUP(P$1,Sprints[],2,FALSE)),1,VLOOKUP(P$1,Sprints[],4,FALSE))&lt;&gt;"")*(IF(OFFSET(INDIRECT(CELL("address",INDEX('Leave Tracker'!$A$8:$A$105,MATCH($A37,'Leave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Tracker'!$A$8:$A$105,MATCH($A37,'Leave Tracker'!$A$8:$A$105,0)))),0,31*(VLOOKUP(Q$1,Sprints[],5,FALSE))+DAY(VLOOKUP(Q$1,Sprints[],2,FALSE)),1,VLOOKUP(Q$1,Sprints[],4,FALSE))&lt;&gt;"")*(IF(OFFSET(INDIRECT(CELL("address",INDEX('Leave Tracker'!$A$8:$A$105,MATCH($A37,'Leave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Tracker'!$A$8:$A$105,MATCH($A37,'Leave Tracker'!$A$8:$A$105,0)))),0,31*(VLOOKUP(R$1,Sprints[],5,FALSE))+DAY(VLOOKUP(R$1,Sprints[],2,FALSE)),1,VLOOKUP(R$1,Sprints[],4,FALSE))&lt;&gt;"")*(IF(OFFSET(INDIRECT(CELL("address",INDEX('Leave Tracker'!$A$8:$A$105,MATCH($A37,'Leave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Tracker'!$A$8:$A$105,MATCH($A37,'Leave Tracker'!$A$8:$A$105,0)))),0,31*(VLOOKUP(S$1,Sprints[],5,FALSE))+DAY(VLOOKUP(S$1,Sprints[],2,FALSE)),1,VLOOKUP(S$1,Sprints[],4,FALSE))&lt;&gt;"")*(IF(OFFSET(INDIRECT(CELL("address",INDEX('Leave Tracker'!$A$8:$A$105,MATCH($A37,'Leave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Tracker'!$A$8:$A$105,MATCH($A37,'Leave Tracker'!$A$8:$A$105,0)))),0,31*(VLOOKUP(T$1,Sprints[],5,FALSE))+DAY(VLOOKUP(T$1,Sprints[],2,FALSE)),1,VLOOKUP(T$1,Sprints[],4,FALSE))&lt;&gt;"")*(IF(OFFSET(INDIRECT(CELL("address",INDEX('Leave Tracker'!$A$8:$A$105,MATCH($A37,'Leave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Tracker'!$A$8:$A$105,MATCH($A37,'Leave Tracker'!$A$8:$A$105,0)))),0,31*(VLOOKUP(U$1,Sprints[],5,FALSE))+DAY(VLOOKUP(U$1,Sprints[],2,FALSE)),1,VLOOKUP(U$1,Sprints[],4,FALSE))&lt;&gt;"")*(IF(OFFSET(INDIRECT(CELL("address",INDEX('Leave Tracker'!$A$8:$A$105,MATCH($A37,'Leave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8.4800000000000022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Tracker'!$A$8:$A$105,MATCH($A38,'Leave Tracker'!$A$8:$A$105,0)))),0,31*(VLOOKUP(G$1,Sprints[],5,FALSE))+DAY(VLOOKUP(G$1,Sprints[],2,FALSE)),1,VLOOKUP(G$1,Sprints[],4,FALSE))&lt;&gt;"")*(IF(OFFSET(INDIRECT(CELL("address",INDEX('Leave Tracker'!$A$8:$A$105,MATCH($A38,'Leave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Tracker'!$A$8:$A$105,MATCH($A38,'Leave Tracker'!$A$8:$A$105,0)))),0,31*(VLOOKUP(H$1,Sprints[],5,FALSE))+DAY(VLOOKUP(H$1,Sprints[],2,FALSE)),1,VLOOKUP(H$1,Sprints[],4,FALSE))&lt;&gt;"")*(IF(OFFSET(INDIRECT(CELL("address",INDEX('Leave Tracker'!$A$8:$A$105,MATCH($A38,'Leave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Tracker'!$A$8:$A$105,MATCH($A38,'Leave Tracker'!$A$8:$A$105,0)))),0,31*(VLOOKUP(I$1,Sprints[],5,FALSE))+DAY(VLOOKUP(I$1,Sprints[],2,FALSE)),1,VLOOKUP(I$1,Sprints[],4,FALSE))&lt;&gt;"")*(IF(OFFSET(INDIRECT(CELL("address",INDEX('Leave Tracker'!$A$8:$A$105,MATCH($A38,'Leave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Tracker'!$A$8:$A$105,MATCH($A38,'Leave Tracker'!$A$8:$A$105,0)))),0,31*(VLOOKUP(J$1,Sprints[],5,FALSE))+DAY(VLOOKUP(J$1,Sprints[],2,FALSE)),1,VLOOKUP(J$1,Sprints[],4,FALSE))&lt;&gt;"")*(IF(OFFSET(INDIRECT(CELL("address",INDEX('Leave Tracker'!$A$8:$A$105,MATCH($A38,'Leave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Tracker'!$A$8:$A$105,MATCH($A38,'Leave Tracker'!$A$8:$A$105,0)))),0,31*(VLOOKUP(K$1,Sprints[],5,FALSE))+DAY(VLOOKUP(K$1,Sprints[],2,FALSE)),1,VLOOKUP(K$1,Sprints[],4,FALSE))&lt;&gt;"")*(IF(OFFSET(INDIRECT(CELL("address",INDEX('Leave Tracker'!$A$8:$A$105,MATCH($A38,'Leave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Tracker'!$A$8:$A$105,MATCH($A38,'Leave Tracker'!$A$8:$A$105,0)))),0,31*(VLOOKUP(L$1,Sprints[],5,FALSE))+DAY(VLOOKUP(L$1,Sprints[],2,FALSE)),1,VLOOKUP(L$1,Sprints[],4,FALSE))&lt;&gt;"")*(IF(OFFSET(INDIRECT(CELL("address",INDEX('Leave Tracker'!$A$8:$A$105,MATCH($A38,'Leave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Tracker'!$A$8:$A$105,MATCH($A38,'Leave Tracker'!$A$8:$A$105,0)))),0,31*(VLOOKUP(M$1,Sprints[],5,FALSE))+DAY(VLOOKUP(M$1,Sprints[],2,FALSE)),1,VLOOKUP(M$1,Sprints[],4,FALSE))&lt;&gt;"")*(IF(OFFSET(INDIRECT(CELL("address",INDEX('Leave Tracker'!$A$8:$A$105,MATCH($A38,'Leave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Tracker'!$A$8:$A$105,MATCH($A38,'Leave Tracker'!$A$8:$A$105,0)))),0,31*(VLOOKUP(N$1,Sprints[],5,FALSE))+DAY(VLOOKUP(N$1,Sprints[],2,FALSE)),1,VLOOKUP(N$1,Sprints[],4,FALSE))&lt;&gt;"")*(IF(OFFSET(INDIRECT(CELL("address",INDEX('Leave Tracker'!$A$8:$A$105,MATCH($A38,'Leave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Tracker'!$A$8:$A$105,MATCH($A38,'Leave Tracker'!$A$8:$A$105,0)))),0,31*(VLOOKUP(O$1,Sprints[],5,FALSE))+DAY(VLOOKUP(O$1,Sprints[],2,FALSE)),1,VLOOKUP(O$1,Sprints[],4,FALSE))&lt;&gt;"")*(IF(OFFSET(INDIRECT(CELL("address",INDEX('Leave Tracker'!$A$8:$A$105,MATCH($A38,'Leave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2.7200000000000006</v>
      </c>
      <c r="P38" s="31">
        <f t="array" aca="1" ref="P38" ca="1">Sheet3!$W$2*$F38*(NETWORKDAYS(VLOOKUP(P$1,Sprints[],2,FALSE), VLOOKUP(P$1,Sprints[],3,FALSE))-SUMPRODUCT((OFFSET(INDIRECT(CELL("address",INDEX('Leave Tracker'!$A$8:$A$105,MATCH($A38,'Leave Tracker'!$A$8:$A$105,0)))),0,31*(VLOOKUP(P$1,Sprints[],5,FALSE))+DAY(VLOOKUP(P$1,Sprints[],2,FALSE)),1,VLOOKUP(P$1,Sprints[],4,FALSE))&lt;&gt;"")*(IF(OFFSET(INDIRECT(CELL("address",INDEX('Leave Tracker'!$A$8:$A$105,MATCH($A38,'Leave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8" s="31">
        <f t="array" aca="1" ref="Q38" ca="1">Sheet3!$W$2*$F38*(NETWORKDAYS(VLOOKUP(Q$1,Sprints[],2,FALSE), VLOOKUP(Q$1,Sprints[],3,FALSE))-SUMPRODUCT((OFFSET(INDIRECT(CELL("address",INDEX('Leave Tracker'!$A$8:$A$105,MATCH($A38,'Leave Tracker'!$A$8:$A$105,0)))),0,31*(VLOOKUP(Q$1,Sprints[],5,FALSE))+DAY(VLOOKUP(Q$1,Sprints[],2,FALSE)),1,VLOOKUP(Q$1,Sprints[],4,FALSE))&lt;&gt;"")*(IF(OFFSET(INDIRECT(CELL("address",INDEX('Leave Tracker'!$A$8:$A$105,MATCH($A38,'Leave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Tracker'!$A$8:$A$105,MATCH($A38,'Leave Tracker'!$A$8:$A$105,0)))),0,31*(VLOOKUP(R$1,Sprints[],5,FALSE))+DAY(VLOOKUP(R$1,Sprints[],2,FALSE)),1,VLOOKUP(R$1,Sprints[],4,FALSE))&lt;&gt;"")*(IF(OFFSET(INDIRECT(CELL("address",INDEX('Leave Tracker'!$A$8:$A$105,MATCH($A38,'Leave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Tracker'!$A$8:$A$105,MATCH($A38,'Leave Tracker'!$A$8:$A$105,0)))),0,31*(VLOOKUP(S$1,Sprints[],5,FALSE))+DAY(VLOOKUP(S$1,Sprints[],2,FALSE)),1,VLOOKUP(S$1,Sprints[],4,FALSE))&lt;&gt;"")*(IF(OFFSET(INDIRECT(CELL("address",INDEX('Leave Tracker'!$A$8:$A$105,MATCH($A38,'Leave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Tracker'!$A$8:$A$105,MATCH($A38,'Leave Tracker'!$A$8:$A$105,0)))),0,31*(VLOOKUP(T$1,Sprints[],5,FALSE))+DAY(VLOOKUP(T$1,Sprints[],2,FALSE)),1,VLOOKUP(T$1,Sprints[],4,FALSE))&lt;&gt;"")*(IF(OFFSET(INDIRECT(CELL("address",INDEX('Leave Tracker'!$A$8:$A$105,MATCH($A38,'Leave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Tracker'!$A$8:$A$105,MATCH($A38,'Leave Tracker'!$A$8:$A$105,0)))),0,31*(VLOOKUP(U$1,Sprints[],5,FALSE))+DAY(VLOOKUP(U$1,Sprints[],2,FALSE)),1,VLOOKUP(U$1,Sprints[],4,FALSE))&lt;&gt;"")*(IF(OFFSET(INDIRECT(CELL("address",INDEX('Leave Tracker'!$A$8:$A$105,MATCH($A38,'Leave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16.800000000000004</v>
      </c>
    </row>
    <row r="39" spans="1:21" x14ac:dyDescent="0.45">
      <c r="A39" t="s">
        <v>93</v>
      </c>
      <c r="B39" s="45" t="s">
        <v>116</v>
      </c>
      <c r="C39" s="45" t="s">
        <v>117</v>
      </c>
      <c r="D39" s="45" t="s">
        <v>121</v>
      </c>
      <c r="E39" s="45" t="s">
        <v>126</v>
      </c>
      <c r="F39" s="47">
        <v>0.2</v>
      </c>
      <c r="G39" s="45">
        <f t="array" aca="1" ref="G39" ca="1">Sheet3!$W$2*$F39*(NETWORKDAYS(VLOOKUP(G$1,Sprints[],2,FALSE), VLOOKUP(G$1,Sprints[],3,FALSE))-SUMPRODUCT((OFFSET(INDIRECT(CELL("address",INDEX('Leave Tracker'!$A$8:$A$105,MATCH($A39,'Leave Tracker'!$A$8:$A$105,0)))),0,31*(VLOOKUP(G$1,Sprints[],5,FALSE))+DAY(VLOOKUP(G$1,Sprints[],2,FALSE)),1,VLOOKUP(G$1,Sprints[],4,FALSE))&lt;&gt;"")*(IF(OFFSET(INDIRECT(CELL("address",INDEX('Leave Tracker'!$A$8:$A$105,MATCH($A39,'Leave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9">
        <f t="array" aca="1" ref="H39" ca="1">Sheet3!$W$2*$F39*(NETWORKDAYS(VLOOKUP(H$1,Sprints[],2,FALSE), VLOOKUP(H$1,Sprints[],3,FALSE))-SUMPRODUCT((OFFSET(INDIRECT(CELL("address",INDEX('Leave Tracker'!$A$8:$A$105,MATCH($A39,'Leave Tracker'!$A$8:$A$105,0)))),0,31*(VLOOKUP(H$1,Sprints[],5,FALSE))+DAY(VLOOKUP(H$1,Sprints[],2,FALSE)),1,VLOOKUP(H$1,Sprints[],4,FALSE))&lt;&gt;"")*(IF(OFFSET(INDIRECT(CELL("address",INDEX('Leave Tracker'!$A$8:$A$105,MATCH($A39,'Leave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39">
        <f t="array" aca="1" ref="I39" ca="1">Sheet3!$W$2*$F39*(NETWORKDAYS(VLOOKUP(I$1,Sprints[],2,FALSE), VLOOKUP(I$1,Sprints[],3,FALSE))-SUMPRODUCT((OFFSET(INDIRECT(CELL("address",INDEX('Leave Tracker'!$A$8:$A$105,MATCH($A39,'Leave Tracker'!$A$8:$A$105,0)))),0,31*(VLOOKUP(I$1,Sprints[],5,FALSE))+DAY(VLOOKUP(I$1,Sprints[],2,FALSE)),1,VLOOKUP(I$1,Sprints[],4,FALSE))&lt;&gt;"")*(IF(OFFSET(INDIRECT(CELL("address",INDEX('Leave Tracker'!$A$8:$A$105,MATCH($A39,'Leave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9">
        <f t="array" aca="1" ref="J39" ca="1">Sheet3!$W$2*$F39*(NETWORKDAYS(VLOOKUP(J$1,Sprints[],2,FALSE), VLOOKUP(J$1,Sprints[],3,FALSE))-SUMPRODUCT((OFFSET(INDIRECT(CELL("address",INDEX('Leave Tracker'!$A$8:$A$105,MATCH($A39,'Leave Tracker'!$A$8:$A$105,0)))),0,31*(VLOOKUP(J$1,Sprints[],5,FALSE))+DAY(VLOOKUP(J$1,Sprints[],2,FALSE)),1,VLOOKUP(J$1,Sprints[],4,FALSE))&lt;&gt;"")*(IF(OFFSET(INDIRECT(CELL("address",INDEX('Leave Tracker'!$A$8:$A$105,MATCH($A39,'Leave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39">
        <f t="array" aca="1" ref="K39" ca="1">Sheet3!$W$2*$F39*(NETWORKDAYS(VLOOKUP(K$1,Sprints[],2,FALSE), VLOOKUP(K$1,Sprints[],3,FALSE))-SUMPRODUCT((OFFSET(INDIRECT(CELL("address",INDEX('Leave Tracker'!$A$8:$A$105,MATCH($A39,'Leave Tracker'!$A$8:$A$105,0)))),0,31*(VLOOKUP(K$1,Sprints[],5,FALSE))+DAY(VLOOKUP(K$1,Sprints[],2,FALSE)),1,VLOOKUP(K$1,Sprints[],4,FALSE))&lt;&gt;"")*(IF(OFFSET(INDIRECT(CELL("address",INDEX('Leave Tracker'!$A$8:$A$105,MATCH($A39,'Leave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39">
        <f t="array" aca="1" ref="L39" ca="1">Sheet3!$W$2*$F39*(NETWORKDAYS(VLOOKUP(L$1,Sprints[],2,FALSE), VLOOKUP(L$1,Sprints[],3,FALSE))-SUMPRODUCT((OFFSET(INDIRECT(CELL("address",INDEX('Leave Tracker'!$A$8:$A$105,MATCH($A39,'Leave Tracker'!$A$8:$A$105,0)))),0,31*(VLOOKUP(L$1,Sprints[],5,FALSE))+DAY(VLOOKUP(L$1,Sprints[],2,FALSE)),1,VLOOKUP(L$1,Sprints[],4,FALSE))&lt;&gt;"")*(IF(OFFSET(INDIRECT(CELL("address",INDEX('Leave Tracker'!$A$8:$A$105,MATCH($A39,'Leave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39" s="45">
        <f t="array" aca="1" ref="M39" ca="1">Sheet3!$W$2*$F39*(NETWORKDAYS(VLOOKUP(M$1,Sprints[],2,FALSE), VLOOKUP(M$1,Sprints[],3,FALSE))-SUMPRODUCT((OFFSET(INDIRECT(CELL("address",INDEX('Leave Tracker'!$A$8:$A$105,MATCH($A39,'Leave Tracker'!$A$8:$A$105,0)))),0,31*(VLOOKUP(M$1,Sprints[],5,FALSE))+DAY(VLOOKUP(M$1,Sprints[],2,FALSE)),1,VLOOKUP(M$1,Sprints[],4,FALSE))&lt;&gt;"")*(IF(OFFSET(INDIRECT(CELL("address",INDEX('Leave Tracker'!$A$8:$A$105,MATCH($A39,'Leave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39">
        <f t="array" aca="1" ref="N39" ca="1">Sheet3!$W$2*$F39*(NETWORKDAYS(VLOOKUP(N$1,Sprints[],2,FALSE), VLOOKUP(N$1,Sprints[],3,FALSE))-SUMPRODUCT((OFFSET(INDIRECT(CELL("address",INDEX('Leave Tracker'!$A$8:$A$105,MATCH($A39,'Leave Tracker'!$A$8:$A$105,0)))),0,31*(VLOOKUP(N$1,Sprints[],5,FALSE))+DAY(VLOOKUP(N$1,Sprints[],2,FALSE)),1,VLOOKUP(N$1,Sprints[],4,FALSE))&lt;&gt;"")*(IF(OFFSET(INDIRECT(CELL("address",INDEX('Leave Tracker'!$A$8:$A$105,MATCH($A39,'Leave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39">
        <f t="array" aca="1" ref="O39" ca="1">Sheet3!$W$2*$F39*(NETWORKDAYS(VLOOKUP(O$1,Sprints[],2,FALSE), VLOOKUP(O$1,Sprints[],3,FALSE))-SUMPRODUCT((OFFSET(INDIRECT(CELL("address",INDEX('Leave Tracker'!$A$8:$A$105,MATCH($A39,'Leave Tracker'!$A$8:$A$105,0)))),0,31*(VLOOKUP(O$1,Sprints[],5,FALSE))+DAY(VLOOKUP(O$1,Sprints[],2,FALSE)),1,VLOOKUP(O$1,Sprints[],4,FALSE))&lt;&gt;"")*(IF(OFFSET(INDIRECT(CELL("address",INDEX('Leave Tracker'!$A$8:$A$105,MATCH($A39,'Leave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39">
        <f t="array" aca="1" ref="P39" ca="1">Sheet3!$W$2*$F39*(NETWORKDAYS(VLOOKUP(P$1,Sprints[],2,FALSE), VLOOKUP(P$1,Sprints[],3,FALSE))-SUMPRODUCT((OFFSET(INDIRECT(CELL("address",INDEX('Leave Tracker'!$A$8:$A$105,MATCH($A39,'Leave Tracker'!$A$8:$A$105,0)))),0,31*(VLOOKUP(P$1,Sprints[],5,FALSE))+DAY(VLOOKUP(P$1,Sprints[],2,FALSE)),1,VLOOKUP(P$1,Sprints[],4,FALSE))&lt;&gt;"")*(IF(OFFSET(INDIRECT(CELL("address",INDEX('Leave Tracker'!$A$8:$A$105,MATCH($A39,'Leave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39">
        <f t="array" aca="1" ref="Q39" ca="1">Sheet3!$W$2*$F39*(NETWORKDAYS(VLOOKUP(Q$1,Sprints[],2,FALSE), VLOOKUP(Q$1,Sprints[],3,FALSE))-SUMPRODUCT((OFFSET(INDIRECT(CELL("address",INDEX('Leave Tracker'!$A$8:$A$105,MATCH($A39,'Leave Tracker'!$A$8:$A$105,0)))),0,31*(VLOOKUP(Q$1,Sprints[],5,FALSE))+DAY(VLOOKUP(Q$1,Sprints[],2,FALSE)),1,VLOOKUP(Q$1,Sprints[],4,FALSE))&lt;&gt;"")*(IF(OFFSET(INDIRECT(CELL("address",INDEX('Leave Tracker'!$A$8:$A$105,MATCH($A39,'Leave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9">
        <f t="array" aca="1" ref="R39" ca="1">Sheet3!$W$2*$F39*(NETWORKDAYS(VLOOKUP(R$1,Sprints[],2,FALSE), VLOOKUP(R$1,Sprints[],3,FALSE))-SUMPRODUCT((OFFSET(INDIRECT(CELL("address",INDEX('Leave Tracker'!$A$8:$A$105,MATCH($A39,'Leave Tracker'!$A$8:$A$105,0)))),0,31*(VLOOKUP(R$1,Sprints[],5,FALSE))+DAY(VLOOKUP(R$1,Sprints[],2,FALSE)),1,VLOOKUP(R$1,Sprints[],4,FALSE))&lt;&gt;"")*(IF(OFFSET(INDIRECT(CELL("address",INDEX('Leave Tracker'!$A$8:$A$105,MATCH($A39,'Leave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39" s="31">
        <f t="array" aca="1" ref="S39" ca="1">Sheet3!$W$2*$F39*(NETWORKDAYS(VLOOKUP(S$1,Sprints[],2,FALSE), VLOOKUP(S$1,Sprints[],3,FALSE))-SUMPRODUCT((OFFSET(INDIRECT(CELL("address",INDEX('Leave Tracker'!$A$8:$A$105,MATCH($A39,'Leave Tracker'!$A$8:$A$105,0)))),0,31*(VLOOKUP(S$1,Sprints[],5,FALSE))+DAY(VLOOKUP(S$1,Sprints[],2,FALSE)),1,VLOOKUP(S$1,Sprints[],4,FALSE))&lt;&gt;"")*(IF(OFFSET(INDIRECT(CELL("address",INDEX('Leave Tracker'!$A$8:$A$105,MATCH($A39,'Leave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9" s="31">
        <f t="array" aca="1" ref="T39" ca="1">Sheet3!$W$2*$F39*(NETWORKDAYS(VLOOKUP(T$1,Sprints[],2,FALSE), VLOOKUP(T$1,Sprints[],3,FALSE))-SUMPRODUCT((OFFSET(INDIRECT(CELL("address",INDEX('Leave Tracker'!$A$8:$A$105,MATCH($A39,'Leave Tracker'!$A$8:$A$105,0)))),0,31*(VLOOKUP(T$1,Sprints[],5,FALSE))+DAY(VLOOKUP(T$1,Sprints[],2,FALSE)),1,VLOOKUP(T$1,Sprints[],4,FALSE))&lt;&gt;"")*(IF(OFFSET(INDIRECT(CELL("address",INDEX('Leave Tracker'!$A$8:$A$105,MATCH($A39,'Leave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9" s="78">
        <f t="array" aca="1" ref="U39" ca="1">Sheet3!$W$2*$F39*(NETWORKDAYS(VLOOKUP(U$1,Sprints[],2,FALSE), VLOOKUP(U$1,Sprints[],3,FALSE))-SUMPRODUCT((OFFSET(INDIRECT(CELL("address",INDEX('Leave Tracker'!$A$8:$A$105,MATCH($A39,'Leave Tracker'!$A$8:$A$105,0)))),0,31*(VLOOKUP(U$1,Sprints[],5,FALSE))+DAY(VLOOKUP(U$1,Sprints[],2,FALSE)),1,VLOOKUP(U$1,Sprints[],4,FALSE))&lt;&gt;"")*(IF(OFFSET(INDIRECT(CELL("address",INDEX('Leave Tracker'!$A$8:$A$105,MATCH($A39,'Leave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8.240000000000002</v>
      </c>
    </row>
    <row r="40" spans="1:21" x14ac:dyDescent="0.45">
      <c r="A40" t="s">
        <v>94</v>
      </c>
      <c r="B40" s="45" t="s">
        <v>116</v>
      </c>
      <c r="C40" s="45" t="s">
        <v>118</v>
      </c>
      <c r="D40" s="45" t="s">
        <v>123</v>
      </c>
      <c r="E40" s="45" t="s">
        <v>125</v>
      </c>
      <c r="F40" s="47">
        <v>0.6</v>
      </c>
      <c r="G40" s="45">
        <f t="array" aca="1" ref="G40" ca="1">Sheet3!$W$2*$F40*(NETWORKDAYS(VLOOKUP(G$1,Sprints[],2,FALSE), VLOOKUP(G$1,Sprints[],3,FALSE))-SUMPRODUCT((OFFSET(INDIRECT(CELL("address",INDEX('Leave Tracker'!$A$8:$A$105,MATCH($A40,'Leave Tracker'!$A$8:$A$105,0)))),0,31*(VLOOKUP(G$1,Sprints[],5,FALSE))+DAY(VLOOKUP(G$1,Sprints[],2,FALSE)),1,VLOOKUP(G$1,Sprints[],4,FALSE))&lt;&gt;"")*(IF(OFFSET(INDIRECT(CELL("address",INDEX('Leave Tracker'!$A$8:$A$105,MATCH($A40,'Leave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0">
        <f t="array" aca="1" ref="H40" ca="1">Sheet3!$W$2*$F40*(NETWORKDAYS(VLOOKUP(H$1,Sprints[],2,FALSE), VLOOKUP(H$1,Sprints[],3,FALSE))-SUMPRODUCT((OFFSET(INDIRECT(CELL("address",INDEX('Leave Tracker'!$A$8:$A$105,MATCH($A40,'Leave Tracker'!$A$8:$A$105,0)))),0,31*(VLOOKUP(H$1,Sprints[],5,FALSE))+DAY(VLOOKUP(H$1,Sprints[],2,FALSE)),1,VLOOKUP(H$1,Sprints[],4,FALSE))&lt;&gt;"")*(IF(OFFSET(INDIRECT(CELL("address",INDEX('Leave Tracker'!$A$8:$A$105,MATCH($A40,'Leave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0">
        <f t="array" aca="1" ref="I40" ca="1">Sheet3!$W$2*$F40*(NETWORKDAYS(VLOOKUP(I$1,Sprints[],2,FALSE), VLOOKUP(I$1,Sprints[],3,FALSE))-SUMPRODUCT((OFFSET(INDIRECT(CELL("address",INDEX('Leave Tracker'!$A$8:$A$105,MATCH($A40,'Leave Tracker'!$A$8:$A$105,0)))),0,31*(VLOOKUP(I$1,Sprints[],5,FALSE))+DAY(VLOOKUP(I$1,Sprints[],2,FALSE)),1,VLOOKUP(I$1,Sprints[],4,FALSE))&lt;&gt;"")*(IF(OFFSET(INDIRECT(CELL("address",INDEX('Leave Tracker'!$A$8:$A$105,MATCH($A40,'Leave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0">
        <f t="array" aca="1" ref="J40" ca="1">Sheet3!$W$2*$F40*(NETWORKDAYS(VLOOKUP(J$1,Sprints[],2,FALSE), VLOOKUP(J$1,Sprints[],3,FALSE))-SUMPRODUCT((OFFSET(INDIRECT(CELL("address",INDEX('Leave Tracker'!$A$8:$A$105,MATCH($A40,'Leave Tracker'!$A$8:$A$105,0)))),0,31*(VLOOKUP(J$1,Sprints[],5,FALSE))+DAY(VLOOKUP(J$1,Sprints[],2,FALSE)),1,VLOOKUP(J$1,Sprints[],4,FALSE))&lt;&gt;"")*(IF(OFFSET(INDIRECT(CELL("address",INDEX('Leave Tracker'!$A$8:$A$105,MATCH($A40,'Leave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0">
        <f t="array" aca="1" ref="K40" ca="1">Sheet3!$W$2*$F40*(NETWORKDAYS(VLOOKUP(K$1,Sprints[],2,FALSE), VLOOKUP(K$1,Sprints[],3,FALSE))-SUMPRODUCT((OFFSET(INDIRECT(CELL("address",INDEX('Leave Tracker'!$A$8:$A$105,MATCH($A40,'Leave Tracker'!$A$8:$A$105,0)))),0,31*(VLOOKUP(K$1,Sprints[],5,FALSE))+DAY(VLOOKUP(K$1,Sprints[],2,FALSE)),1,VLOOKUP(K$1,Sprints[],4,FALSE))&lt;&gt;"")*(IF(OFFSET(INDIRECT(CELL("address",INDEX('Leave Tracker'!$A$8:$A$105,MATCH($A40,'Leave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0">
        <f t="array" aca="1" ref="L40" ca="1">Sheet3!$W$2*$F40*(NETWORKDAYS(VLOOKUP(L$1,Sprints[],2,FALSE), VLOOKUP(L$1,Sprints[],3,FALSE))-SUMPRODUCT((OFFSET(INDIRECT(CELL("address",INDEX('Leave Tracker'!$A$8:$A$105,MATCH($A40,'Leave Tracker'!$A$8:$A$105,0)))),0,31*(VLOOKUP(L$1,Sprints[],5,FALSE))+DAY(VLOOKUP(L$1,Sprints[],2,FALSE)),1,VLOOKUP(L$1,Sprints[],4,FALSE))&lt;&gt;"")*(IF(OFFSET(INDIRECT(CELL("address",INDEX('Leave Tracker'!$A$8:$A$105,MATCH($A40,'Leave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0" s="45">
        <f t="array" aca="1" ref="M40" ca="1">Sheet3!$W$2*$F40*(NETWORKDAYS(VLOOKUP(M$1,Sprints[],2,FALSE), VLOOKUP(M$1,Sprints[],3,FALSE))-SUMPRODUCT((OFFSET(INDIRECT(CELL("address",INDEX('Leave Tracker'!$A$8:$A$105,MATCH($A40,'Leave Tracker'!$A$8:$A$105,0)))),0,31*(VLOOKUP(M$1,Sprints[],5,FALSE))+DAY(VLOOKUP(M$1,Sprints[],2,FALSE)),1,VLOOKUP(M$1,Sprints[],4,FALSE))&lt;&gt;"")*(IF(OFFSET(INDIRECT(CELL("address",INDEX('Leave Tracker'!$A$8:$A$105,MATCH($A40,'Leave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0">
        <f t="array" aca="1" ref="N40" ca="1">Sheet3!$W$2*$F40*(NETWORKDAYS(VLOOKUP(N$1,Sprints[],2,FALSE), VLOOKUP(N$1,Sprints[],3,FALSE))-SUMPRODUCT((OFFSET(INDIRECT(CELL("address",INDEX('Leave Tracker'!$A$8:$A$105,MATCH($A40,'Leave Tracker'!$A$8:$A$105,0)))),0,31*(VLOOKUP(N$1,Sprints[],5,FALSE))+DAY(VLOOKUP(N$1,Sprints[],2,FALSE)),1,VLOOKUP(N$1,Sprints[],4,FALSE))&lt;&gt;"")*(IF(OFFSET(INDIRECT(CELL("address",INDEX('Leave Tracker'!$A$8:$A$105,MATCH($A40,'Leave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0">
        <f t="array" aca="1" ref="O40" ca="1">Sheet3!$W$2*$F40*(NETWORKDAYS(VLOOKUP(O$1,Sprints[],2,FALSE), VLOOKUP(O$1,Sprints[],3,FALSE))-SUMPRODUCT((OFFSET(INDIRECT(CELL("address",INDEX('Leave Tracker'!$A$8:$A$105,MATCH($A40,'Leave Tracker'!$A$8:$A$105,0)))),0,31*(VLOOKUP(O$1,Sprints[],5,FALSE))+DAY(VLOOKUP(O$1,Sprints[],2,FALSE)),1,VLOOKUP(O$1,Sprints[],4,FALSE))&lt;&gt;"")*(IF(OFFSET(INDIRECT(CELL("address",INDEX('Leave Tracker'!$A$8:$A$105,MATCH($A40,'Leave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0">
        <f t="array" aca="1" ref="P40" ca="1">Sheet3!$W$2*$F40*(NETWORKDAYS(VLOOKUP(P$1,Sprints[],2,FALSE), VLOOKUP(P$1,Sprints[],3,FALSE))-SUMPRODUCT((OFFSET(INDIRECT(CELL("address",INDEX('Leave Tracker'!$A$8:$A$105,MATCH($A40,'Leave Tracker'!$A$8:$A$105,0)))),0,31*(VLOOKUP(P$1,Sprints[],5,FALSE))+DAY(VLOOKUP(P$1,Sprints[],2,FALSE)),1,VLOOKUP(P$1,Sprints[],4,FALSE))&lt;&gt;"")*(IF(OFFSET(INDIRECT(CELL("address",INDEX('Leave Tracker'!$A$8:$A$105,MATCH($A40,'Leave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0">
        <f t="array" aca="1" ref="Q40" ca="1">Sheet3!$W$2*$F40*(NETWORKDAYS(VLOOKUP(Q$1,Sprints[],2,FALSE), VLOOKUP(Q$1,Sprints[],3,FALSE))-SUMPRODUCT((OFFSET(INDIRECT(CELL("address",INDEX('Leave Tracker'!$A$8:$A$105,MATCH($A40,'Leave Tracker'!$A$8:$A$105,0)))),0,31*(VLOOKUP(Q$1,Sprints[],5,FALSE))+DAY(VLOOKUP(Q$1,Sprints[],2,FALSE)),1,VLOOKUP(Q$1,Sprints[],4,FALSE))&lt;&gt;"")*(IF(OFFSET(INDIRECT(CELL("address",INDEX('Leave Tracker'!$A$8:$A$105,MATCH($A40,'Leave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0">
        <f t="array" aca="1" ref="R40" ca="1">Sheet3!$W$2*$F40*(NETWORKDAYS(VLOOKUP(R$1,Sprints[],2,FALSE), VLOOKUP(R$1,Sprints[],3,FALSE))-SUMPRODUCT((OFFSET(INDIRECT(CELL("address",INDEX('Leave Tracker'!$A$8:$A$105,MATCH($A40,'Leave Tracker'!$A$8:$A$105,0)))),0,31*(VLOOKUP(R$1,Sprints[],5,FALSE))+DAY(VLOOKUP(R$1,Sprints[],2,FALSE)),1,VLOOKUP(R$1,Sprints[],4,FALSE))&lt;&gt;"")*(IF(OFFSET(INDIRECT(CELL("address",INDEX('Leave Tracker'!$A$8:$A$105,MATCH($A40,'Leave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0" s="31">
        <f t="array" aca="1" ref="S40" ca="1">Sheet3!$W$2*$F40*(NETWORKDAYS(VLOOKUP(S$1,Sprints[],2,FALSE), VLOOKUP(S$1,Sprints[],3,FALSE))-SUMPRODUCT((OFFSET(INDIRECT(CELL("address",INDEX('Leave Tracker'!$A$8:$A$105,MATCH($A40,'Leave Tracker'!$A$8:$A$105,0)))),0,31*(VLOOKUP(S$1,Sprints[],5,FALSE))+DAY(VLOOKUP(S$1,Sprints[],2,FALSE)),1,VLOOKUP(S$1,Sprints[],4,FALSE))&lt;&gt;"")*(IF(OFFSET(INDIRECT(CELL("address",INDEX('Leave Tracker'!$A$8:$A$105,MATCH($A40,'Leave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0" s="31">
        <f t="array" aca="1" ref="T40" ca="1">Sheet3!$W$2*$F40*(NETWORKDAYS(VLOOKUP(T$1,Sprints[],2,FALSE), VLOOKUP(T$1,Sprints[],3,FALSE))-SUMPRODUCT((OFFSET(INDIRECT(CELL("address",INDEX('Leave Tracker'!$A$8:$A$105,MATCH($A40,'Leave Tracker'!$A$8:$A$105,0)))),0,31*(VLOOKUP(T$1,Sprints[],5,FALSE))+DAY(VLOOKUP(T$1,Sprints[],2,FALSE)),1,VLOOKUP(T$1,Sprints[],4,FALSE))&lt;&gt;"")*(IF(OFFSET(INDIRECT(CELL("address",INDEX('Leave Tracker'!$A$8:$A$105,MATCH($A40,'Leave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0" s="78">
        <f t="array" aca="1" ref="U40" ca="1">Sheet3!$W$2*$F40*(NETWORKDAYS(VLOOKUP(U$1,Sprints[],2,FALSE), VLOOKUP(U$1,Sprints[],3,FALSE))-SUMPRODUCT((OFFSET(INDIRECT(CELL("address",INDEX('Leave Tracker'!$A$8:$A$105,MATCH($A40,'Leave Tracker'!$A$8:$A$105,0)))),0,31*(VLOOKUP(U$1,Sprints[],5,FALSE))+DAY(VLOOKUP(U$1,Sprints[],2,FALSE)),1,VLOOKUP(U$1,Sprints[],4,FALSE))&lt;&gt;"")*(IF(OFFSET(INDIRECT(CELL("address",INDEX('Leave Tracker'!$A$8:$A$105,MATCH($A40,'Leave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26.88</v>
      </c>
    </row>
    <row r="41" spans="1:21" x14ac:dyDescent="0.45">
      <c r="A41" s="66" t="s">
        <v>95</v>
      </c>
      <c r="B41" s="66" t="s">
        <v>116</v>
      </c>
      <c r="C41" s="66" t="s">
        <v>118</v>
      </c>
      <c r="D41" s="66" t="s">
        <v>123</v>
      </c>
      <c r="E41" s="66" t="s">
        <v>125</v>
      </c>
      <c r="F41" s="67">
        <v>0.6</v>
      </c>
      <c r="G41" s="66">
        <f t="array" aca="1" ref="G41" ca="1">Sheet3!$W$2*$F41*(NETWORKDAYS(VLOOKUP(G$1,Sprints[],2,FALSE), VLOOKUP(G$1,Sprints[],3,FALSE))-SUMPRODUCT((OFFSET(INDIRECT(CELL("address",INDEX('Leave Tracker'!$A$8:$A$105,MATCH($A41,'Leave Tracker'!$A$8:$A$105,0)))),0,31*(VLOOKUP(G$1,Sprints[],5,FALSE))+DAY(VLOOKUP(G$1,Sprints[],2,FALSE)),1,VLOOKUP(G$1,Sprints[],4,FALSE))&lt;&gt;"")*(IF(OFFSET(INDIRECT(CELL("address",INDEX('Leave Tracker'!$A$8:$A$105,MATCH($A41,'Leave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 s="66">
        <f t="array" aca="1" ref="H41" ca="1">Sheet3!$W$2*$F41*(NETWORKDAYS(VLOOKUP(H$1,Sprints[],2,FALSE), VLOOKUP(H$1,Sprints[],3,FALSE))-SUMPRODUCT((OFFSET(INDIRECT(CELL("address",INDEX('Leave Tracker'!$A$8:$A$105,MATCH($A41,'Leave Tracker'!$A$8:$A$105,0)))),0,31*(VLOOKUP(H$1,Sprints[],5,FALSE))+DAY(VLOOKUP(H$1,Sprints[],2,FALSE)),1,VLOOKUP(H$1,Sprints[],4,FALSE))&lt;&gt;"")*(IF(OFFSET(INDIRECT(CELL("address",INDEX('Leave Tracker'!$A$8:$A$105,MATCH($A41,'Leave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 s="66">
        <f t="array" aca="1" ref="I41" ca="1">Sheet3!$W$2*$F41*(NETWORKDAYS(VLOOKUP(I$1,Sprints[],2,FALSE), VLOOKUP(I$1,Sprints[],3,FALSE))-SUMPRODUCT((OFFSET(INDIRECT(CELL("address",INDEX('Leave Tracker'!$A$8:$A$105,MATCH($A41,'Leave Tracker'!$A$8:$A$105,0)))),0,31*(VLOOKUP(I$1,Sprints[],5,FALSE))+DAY(VLOOKUP(I$1,Sprints[],2,FALSE)),1,VLOOKUP(I$1,Sprints[],4,FALSE))&lt;&gt;"")*(IF(OFFSET(INDIRECT(CELL("address",INDEX('Leave Tracker'!$A$8:$A$105,MATCH($A41,'Leave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1" s="66">
        <f t="array" aca="1" ref="J41" ca="1">Sheet3!$W$2*$F41*(NETWORKDAYS(VLOOKUP(J$1,Sprints[],2,FALSE), VLOOKUP(J$1,Sprints[],3,FALSE))-SUMPRODUCT((OFFSET(INDIRECT(CELL("address",INDEX('Leave Tracker'!$A$8:$A$105,MATCH($A41,'Leave Tracker'!$A$8:$A$105,0)))),0,31*(VLOOKUP(J$1,Sprints[],5,FALSE))+DAY(VLOOKUP(J$1,Sprints[],2,FALSE)),1,VLOOKUP(J$1,Sprints[],4,FALSE))&lt;&gt;"")*(IF(OFFSET(INDIRECT(CELL("address",INDEX('Leave Tracker'!$A$8:$A$105,MATCH($A41,'Leave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1" s="66">
        <f t="array" aca="1" ref="K41" ca="1">Sheet3!$W$2*$F41*(NETWORKDAYS(VLOOKUP(K$1,Sprints[],2,FALSE), VLOOKUP(K$1,Sprints[],3,FALSE))-SUMPRODUCT((OFFSET(INDIRECT(CELL("address",INDEX('Leave Tracker'!$A$8:$A$105,MATCH($A41,'Leave Tracker'!$A$8:$A$105,0)))),0,31*(VLOOKUP(K$1,Sprints[],5,FALSE))+DAY(VLOOKUP(K$1,Sprints[],2,FALSE)),1,VLOOKUP(K$1,Sprints[],4,FALSE))&lt;&gt;"")*(IF(OFFSET(INDIRECT(CELL("address",INDEX('Leave Tracker'!$A$8:$A$105,MATCH($A41,'Leave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 s="66">
        <f t="array" aca="1" ref="L41" ca="1">Sheet3!$W$2*$F41*(NETWORKDAYS(VLOOKUP(L$1,Sprints[],2,FALSE), VLOOKUP(L$1,Sprints[],3,FALSE))-SUMPRODUCT((OFFSET(INDIRECT(CELL("address",INDEX('Leave Tracker'!$A$8:$A$105,MATCH($A41,'Leave Tracker'!$A$8:$A$105,0)))),0,31*(VLOOKUP(L$1,Sprints[],5,FALSE))+DAY(VLOOKUP(L$1,Sprints[],2,FALSE)),1,VLOOKUP(L$1,Sprints[],4,FALSE))&lt;&gt;"")*(IF(OFFSET(INDIRECT(CELL("address",INDEX('Leave Tracker'!$A$8:$A$105,MATCH($A41,'Leave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1" s="66">
        <f t="array" aca="1" ref="M41" ca="1">Sheet3!$W$2*$F41*(NETWORKDAYS(VLOOKUP(M$1,Sprints[],2,FALSE), VLOOKUP(M$1,Sprints[],3,FALSE))-SUMPRODUCT((OFFSET(INDIRECT(CELL("address",INDEX('Leave Tracker'!$A$8:$A$105,MATCH($A41,'Leave Tracker'!$A$8:$A$105,0)))),0,31*(VLOOKUP(M$1,Sprints[],5,FALSE))+DAY(VLOOKUP(M$1,Sprints[],2,FALSE)),1,VLOOKUP(M$1,Sprints[],4,FALSE))&lt;&gt;"")*(IF(OFFSET(INDIRECT(CELL("address",INDEX('Leave Tracker'!$A$8:$A$105,MATCH($A41,'Leave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1" s="66">
        <f t="array" aca="1" ref="N41" ca="1">Sheet3!$W$2*$F41*(NETWORKDAYS(VLOOKUP(N$1,Sprints[],2,FALSE), VLOOKUP(N$1,Sprints[],3,FALSE))-SUMPRODUCT((OFFSET(INDIRECT(CELL("address",INDEX('Leave Tracker'!$A$8:$A$105,MATCH($A41,'Leave Tracker'!$A$8:$A$105,0)))),0,31*(VLOOKUP(N$1,Sprints[],5,FALSE))+DAY(VLOOKUP(N$1,Sprints[],2,FALSE)),1,VLOOKUP(N$1,Sprints[],4,FALSE))&lt;&gt;"")*(IF(OFFSET(INDIRECT(CELL("address",INDEX('Leave Tracker'!$A$8:$A$105,MATCH($A41,'Leave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1" s="66">
        <f t="array" aca="1" ref="O41" ca="1">Sheet3!$W$2*$F41*(NETWORKDAYS(VLOOKUP(O$1,Sprints[],2,FALSE), VLOOKUP(O$1,Sprints[],3,FALSE))-SUMPRODUCT((OFFSET(INDIRECT(CELL("address",INDEX('Leave Tracker'!$A$8:$A$105,MATCH($A41,'Leave Tracker'!$A$8:$A$105,0)))),0,31*(VLOOKUP(O$1,Sprints[],5,FALSE))+DAY(VLOOKUP(O$1,Sprints[],2,FALSE)),1,VLOOKUP(O$1,Sprints[],4,FALSE))&lt;&gt;"")*(IF(OFFSET(INDIRECT(CELL("address",INDEX('Leave Tracker'!$A$8:$A$105,MATCH($A41,'Leave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1" s="66">
        <f t="array" aca="1" ref="P41" ca="1">Sheet3!$W$2*$F41*(NETWORKDAYS(VLOOKUP(P$1,Sprints[],2,FALSE), VLOOKUP(P$1,Sprints[],3,FALSE))-SUMPRODUCT((OFFSET(INDIRECT(CELL("address",INDEX('Leave Tracker'!$A$8:$A$105,MATCH($A41,'Leave Tracker'!$A$8:$A$105,0)))),0,31*(VLOOKUP(P$1,Sprints[],5,FALSE))+DAY(VLOOKUP(P$1,Sprints[],2,FALSE)),1,VLOOKUP(P$1,Sprints[],4,FALSE))&lt;&gt;"")*(IF(OFFSET(INDIRECT(CELL("address",INDEX('Leave Tracker'!$A$8:$A$105,MATCH($A41,'Leave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1" s="66">
        <f t="array" aca="1" ref="Q41" ca="1">Sheet3!$W$2*$F41*(NETWORKDAYS(VLOOKUP(Q$1,Sprints[],2,FALSE), VLOOKUP(Q$1,Sprints[],3,FALSE))-SUMPRODUCT((OFFSET(INDIRECT(CELL("address",INDEX('Leave Tracker'!$A$8:$A$105,MATCH($A41,'Leave Tracker'!$A$8:$A$105,0)))),0,31*(VLOOKUP(Q$1,Sprints[],5,FALSE))+DAY(VLOOKUP(Q$1,Sprints[],2,FALSE)),1,VLOOKUP(Q$1,Sprints[],4,FALSE))&lt;&gt;"")*(IF(OFFSET(INDIRECT(CELL("address",INDEX('Leave Tracker'!$A$8:$A$105,MATCH($A41,'Leave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1" s="66">
        <f t="array" aca="1" ref="R41" ca="1">Sheet3!$W$2*$F41*(NETWORKDAYS(VLOOKUP(R$1,Sprints[],2,FALSE), VLOOKUP(R$1,Sprints[],3,FALSE))-SUMPRODUCT((OFFSET(INDIRECT(CELL("address",INDEX('Leave Tracker'!$A$8:$A$105,MATCH($A41,'Leave Tracker'!$A$8:$A$105,0)))),0,31*(VLOOKUP(R$1,Sprints[],5,FALSE))+DAY(VLOOKUP(R$1,Sprints[],2,FALSE)),1,VLOOKUP(R$1,Sprints[],4,FALSE))&lt;&gt;"")*(IF(OFFSET(INDIRECT(CELL("address",INDEX('Leave Tracker'!$A$8:$A$105,MATCH($A41,'Leave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1" s="68">
        <f t="array" aca="1" ref="S41" ca="1">Sheet3!$W$2*$F41*(NETWORKDAYS(VLOOKUP(S$1,Sprints[],2,FALSE), VLOOKUP(S$1,Sprints[],3,FALSE))-SUMPRODUCT((OFFSET(INDIRECT(CELL("address",INDEX('Leave Tracker'!$A$8:$A$105,MATCH($A41,'Leave Tracker'!$A$8:$A$105,0)))),0,31*(VLOOKUP(S$1,Sprints[],5,FALSE))+DAY(VLOOKUP(S$1,Sprints[],2,FALSE)),1,VLOOKUP(S$1,Sprints[],4,FALSE))&lt;&gt;"")*(IF(OFFSET(INDIRECT(CELL("address",INDEX('Leave Tracker'!$A$8:$A$105,MATCH($A41,'Leave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1" s="68">
        <f t="array" aca="1" ref="T41" ca="1">Sheet3!$W$2*$F41*(NETWORKDAYS(VLOOKUP(T$1,Sprints[],2,FALSE), VLOOKUP(T$1,Sprints[],3,FALSE))-SUMPRODUCT((OFFSET(INDIRECT(CELL("address",INDEX('Leave Tracker'!$A$8:$A$105,MATCH($A41,'Leave Tracker'!$A$8:$A$105,0)))),0,31*(VLOOKUP(T$1,Sprints[],5,FALSE))+DAY(VLOOKUP(T$1,Sprints[],2,FALSE)),1,VLOOKUP(T$1,Sprints[],4,FALSE))&lt;&gt;"")*(IF(OFFSET(INDIRECT(CELL("address",INDEX('Leave Tracker'!$A$8:$A$105,MATCH($A41,'Leave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1" s="79">
        <f t="array" aca="1" ref="U41" ca="1">Sheet3!$W$2*$F41*(NETWORKDAYS(VLOOKUP(U$1,Sprints[],2,FALSE), VLOOKUP(U$1,Sprints[],3,FALSE))-SUMPRODUCT((OFFSET(INDIRECT(CELL("address",INDEX('Leave Tracker'!$A$8:$A$105,MATCH($A41,'Leave Tracker'!$A$8:$A$105,0)))),0,31*(VLOOKUP(U$1,Sprints[],5,FALSE))+DAY(VLOOKUP(U$1,Sprints[],2,FALSE)),1,VLOOKUP(U$1,Sprints[],4,FALSE))&lt;&gt;"")*(IF(OFFSET(INDIRECT(CELL("address",INDEX('Leave Tracker'!$A$8:$A$105,MATCH($A41,'Leave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2" spans="1:21" x14ac:dyDescent="0.45">
      <c r="A42" t="s">
        <v>96</v>
      </c>
      <c r="B42" s="45" t="s">
        <v>116</v>
      </c>
      <c r="C42" s="45" t="s">
        <v>118</v>
      </c>
      <c r="D42" s="45" t="s">
        <v>132</v>
      </c>
      <c r="E42" s="45" t="s">
        <v>125</v>
      </c>
      <c r="F42" s="47">
        <v>0.75</v>
      </c>
      <c r="G42" s="45">
        <f t="array" aca="1" ref="G42" ca="1">Sheet3!$W$2*$F42*(NETWORKDAYS(VLOOKUP(G$1,Sprints[],2,FALSE), VLOOKUP(G$1,Sprints[],3,FALSE))-SUMPRODUCT((OFFSET(INDIRECT(CELL("address",INDEX('Leave Tracker'!$A$8:$A$105,MATCH($A42,'Leave Tracker'!$A$8:$A$105,0)))),0,31*(VLOOKUP(G$1,Sprints[],5,FALSE))+DAY(VLOOKUP(G$1,Sprints[],2,FALSE)),1,VLOOKUP(G$1,Sprints[],4,FALSE))&lt;&gt;"")*(IF(OFFSET(INDIRECT(CELL("address",INDEX('Leave Tracker'!$A$8:$A$105,MATCH($A42,'Leave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2">
        <f t="array" aca="1" ref="H42" ca="1">Sheet3!$W$2*$F42*(NETWORKDAYS(VLOOKUP(H$1,Sprints[],2,FALSE), VLOOKUP(H$1,Sprints[],3,FALSE))-SUMPRODUCT((OFFSET(INDIRECT(CELL("address",INDEX('Leave Tracker'!$A$8:$A$105,MATCH($A42,'Leave Tracker'!$A$8:$A$105,0)))),0,31*(VLOOKUP(H$1,Sprints[],5,FALSE))+DAY(VLOOKUP(H$1,Sprints[],2,FALSE)),1,VLOOKUP(H$1,Sprints[],4,FALSE))&lt;&gt;"")*(IF(OFFSET(INDIRECT(CELL("address",INDEX('Leave Tracker'!$A$8:$A$105,MATCH($A42,'Leave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2">
        <f t="array" aca="1" ref="I42" ca="1">Sheet3!$W$2*$F42*(NETWORKDAYS(VLOOKUP(I$1,Sprints[],2,FALSE), VLOOKUP(I$1,Sprints[],3,FALSE))-SUMPRODUCT((OFFSET(INDIRECT(CELL("address",INDEX('Leave Tracker'!$A$8:$A$105,MATCH($A42,'Leave Tracker'!$A$8:$A$105,0)))),0,31*(VLOOKUP(I$1,Sprints[],5,FALSE))+DAY(VLOOKUP(I$1,Sprints[],2,FALSE)),1,VLOOKUP(I$1,Sprints[],4,FALSE))&lt;&gt;"")*(IF(OFFSET(INDIRECT(CELL("address",INDEX('Leave Tracker'!$A$8:$A$105,MATCH($A42,'Leave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2">
        <f t="array" aca="1" ref="J42" ca="1">Sheet3!$W$2*$F42*(NETWORKDAYS(VLOOKUP(J$1,Sprints[],2,FALSE), VLOOKUP(J$1,Sprints[],3,FALSE))-SUMPRODUCT((OFFSET(INDIRECT(CELL("address",INDEX('Leave Tracker'!$A$8:$A$105,MATCH($A42,'Leave Tracker'!$A$8:$A$105,0)))),0,31*(VLOOKUP(J$1,Sprints[],5,FALSE))+DAY(VLOOKUP(J$1,Sprints[],2,FALSE)),1,VLOOKUP(J$1,Sprints[],4,FALSE))&lt;&gt;"")*(IF(OFFSET(INDIRECT(CELL("address",INDEX('Leave Tracker'!$A$8:$A$105,MATCH($A42,'Leave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2">
        <f t="array" aca="1" ref="K42" ca="1">Sheet3!$W$2*$F42*(NETWORKDAYS(VLOOKUP(K$1,Sprints[],2,FALSE), VLOOKUP(K$1,Sprints[],3,FALSE))-SUMPRODUCT((OFFSET(INDIRECT(CELL("address",INDEX('Leave Tracker'!$A$8:$A$105,MATCH($A42,'Leave Tracker'!$A$8:$A$105,0)))),0,31*(VLOOKUP(K$1,Sprints[],5,FALSE))+DAY(VLOOKUP(K$1,Sprints[],2,FALSE)),1,VLOOKUP(K$1,Sprints[],4,FALSE))&lt;&gt;"")*(IF(OFFSET(INDIRECT(CELL("address",INDEX('Leave Tracker'!$A$8:$A$105,MATCH($A42,'Leave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2">
        <f t="array" aca="1" ref="L42" ca="1">Sheet3!$W$2*$F42*(NETWORKDAYS(VLOOKUP(L$1,Sprints[],2,FALSE), VLOOKUP(L$1,Sprints[],3,FALSE))-SUMPRODUCT((OFFSET(INDIRECT(CELL("address",INDEX('Leave Tracker'!$A$8:$A$105,MATCH($A42,'Leave Tracker'!$A$8:$A$105,0)))),0,31*(VLOOKUP(L$1,Sprints[],5,FALSE))+DAY(VLOOKUP(L$1,Sprints[],2,FALSE)),1,VLOOKUP(L$1,Sprints[],4,FALSE))&lt;&gt;"")*(IF(OFFSET(INDIRECT(CELL("address",INDEX('Leave Tracker'!$A$8:$A$105,MATCH($A42,'Leave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2" s="45">
        <f t="array" aca="1" ref="M42" ca="1">Sheet3!$W$2*$F42*(NETWORKDAYS(VLOOKUP(M$1,Sprints[],2,FALSE), VLOOKUP(M$1,Sprints[],3,FALSE))-SUMPRODUCT((OFFSET(INDIRECT(CELL("address",INDEX('Leave Tracker'!$A$8:$A$105,MATCH($A42,'Leave Tracker'!$A$8:$A$105,0)))),0,31*(VLOOKUP(M$1,Sprints[],5,FALSE))+DAY(VLOOKUP(M$1,Sprints[],2,FALSE)),1,VLOOKUP(M$1,Sprints[],4,FALSE))&lt;&gt;"")*(IF(OFFSET(INDIRECT(CELL("address",INDEX('Leave Tracker'!$A$8:$A$105,MATCH($A42,'Leave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2">
        <f t="array" aca="1" ref="N42" ca="1">Sheet3!$W$2*$F42*(NETWORKDAYS(VLOOKUP(N$1,Sprints[],2,FALSE), VLOOKUP(N$1,Sprints[],3,FALSE))-SUMPRODUCT((OFFSET(INDIRECT(CELL("address",INDEX('Leave Tracker'!$A$8:$A$105,MATCH($A42,'Leave Tracker'!$A$8:$A$105,0)))),0,31*(VLOOKUP(N$1,Sprints[],5,FALSE))+DAY(VLOOKUP(N$1,Sprints[],2,FALSE)),1,VLOOKUP(N$1,Sprints[],4,FALSE))&lt;&gt;"")*(IF(OFFSET(INDIRECT(CELL("address",INDEX('Leave Tracker'!$A$8:$A$105,MATCH($A42,'Leave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2">
        <f t="array" aca="1" ref="O42" ca="1">Sheet3!$W$2*$F42*(NETWORKDAYS(VLOOKUP(O$1,Sprints[],2,FALSE), VLOOKUP(O$1,Sprints[],3,FALSE))-SUMPRODUCT((OFFSET(INDIRECT(CELL("address",INDEX('Leave Tracker'!$A$8:$A$105,MATCH($A42,'Leave Tracker'!$A$8:$A$105,0)))),0,31*(VLOOKUP(O$1,Sprints[],5,FALSE))+DAY(VLOOKUP(O$1,Sprints[],2,FALSE)),1,VLOOKUP(O$1,Sprints[],4,FALSE))&lt;&gt;"")*(IF(OFFSET(INDIRECT(CELL("address",INDEX('Leave Tracker'!$A$8:$A$105,MATCH($A42,'Leave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2">
        <f t="array" aca="1" ref="P42" ca="1">Sheet3!$W$2*$F42*(NETWORKDAYS(VLOOKUP(P$1,Sprints[],2,FALSE), VLOOKUP(P$1,Sprints[],3,FALSE))-SUMPRODUCT((OFFSET(INDIRECT(CELL("address",INDEX('Leave Tracker'!$A$8:$A$105,MATCH($A42,'Leave Tracker'!$A$8:$A$105,0)))),0,31*(VLOOKUP(P$1,Sprints[],5,FALSE))+DAY(VLOOKUP(P$1,Sprints[],2,FALSE)),1,VLOOKUP(P$1,Sprints[],4,FALSE))&lt;&gt;"")*(IF(OFFSET(INDIRECT(CELL("address",INDEX('Leave Tracker'!$A$8:$A$105,MATCH($A42,'Leave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2">
        <f t="array" aca="1" ref="Q42" ca="1">Sheet3!$W$2*$F42*(NETWORKDAYS(VLOOKUP(Q$1,Sprints[],2,FALSE), VLOOKUP(Q$1,Sprints[],3,FALSE))-SUMPRODUCT((OFFSET(INDIRECT(CELL("address",INDEX('Leave Tracker'!$A$8:$A$105,MATCH($A42,'Leave Tracker'!$A$8:$A$105,0)))),0,31*(VLOOKUP(Q$1,Sprints[],5,FALSE))+DAY(VLOOKUP(Q$1,Sprints[],2,FALSE)),1,VLOOKUP(Q$1,Sprints[],4,FALSE))&lt;&gt;"")*(IF(OFFSET(INDIRECT(CELL("address",INDEX('Leave Tracker'!$A$8:$A$105,MATCH($A42,'Leave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2">
        <f t="array" aca="1" ref="R42" ca="1">Sheet3!$W$2*$F42*(NETWORKDAYS(VLOOKUP(R$1,Sprints[],2,FALSE), VLOOKUP(R$1,Sprints[],3,FALSE))-SUMPRODUCT((OFFSET(INDIRECT(CELL("address",INDEX('Leave Tracker'!$A$8:$A$105,MATCH($A42,'Leave Tracker'!$A$8:$A$105,0)))),0,31*(VLOOKUP(R$1,Sprints[],5,FALSE))+DAY(VLOOKUP(R$1,Sprints[],2,FALSE)),1,VLOOKUP(R$1,Sprints[],4,FALSE))&lt;&gt;"")*(IF(OFFSET(INDIRECT(CELL("address",INDEX('Leave Tracker'!$A$8:$A$105,MATCH($A42,'Leave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2" s="31">
        <f t="array" aca="1" ref="S42" ca="1">Sheet3!$W$2*$F42*(NETWORKDAYS(VLOOKUP(S$1,Sprints[],2,FALSE), VLOOKUP(S$1,Sprints[],3,FALSE))-SUMPRODUCT((OFFSET(INDIRECT(CELL("address",INDEX('Leave Tracker'!$A$8:$A$105,MATCH($A42,'Leave Tracker'!$A$8:$A$105,0)))),0,31*(VLOOKUP(S$1,Sprints[],5,FALSE))+DAY(VLOOKUP(S$1,Sprints[],2,FALSE)),1,VLOOKUP(S$1,Sprints[],4,FALSE))&lt;&gt;"")*(IF(OFFSET(INDIRECT(CELL("address",INDEX('Leave Tracker'!$A$8:$A$105,MATCH($A42,'Leave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2" s="31">
        <f t="array" aca="1" ref="T42" ca="1">Sheet3!$W$2*$F42*(NETWORKDAYS(VLOOKUP(T$1,Sprints[],2,FALSE), VLOOKUP(T$1,Sprints[],3,FALSE))-SUMPRODUCT((OFFSET(INDIRECT(CELL("address",INDEX('Leave Tracker'!$A$8:$A$105,MATCH($A42,'Leave Tracker'!$A$8:$A$105,0)))),0,31*(VLOOKUP(T$1,Sprints[],5,FALSE))+DAY(VLOOKUP(T$1,Sprints[],2,FALSE)),1,VLOOKUP(T$1,Sprints[],4,FALSE))&lt;&gt;"")*(IF(OFFSET(INDIRECT(CELL("address",INDEX('Leave Tracker'!$A$8:$A$105,MATCH($A42,'Leave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2" s="78">
        <f t="array" aca="1" ref="U42" ca="1">Sheet3!$W$2*$F42*(NETWORKDAYS(VLOOKUP(U$1,Sprints[],2,FALSE), VLOOKUP(U$1,Sprints[],3,FALSE))-SUMPRODUCT((OFFSET(INDIRECT(CELL("address",INDEX('Leave Tracker'!$A$8:$A$105,MATCH($A42,'Leave Tracker'!$A$8:$A$105,0)))),0,31*(VLOOKUP(U$1,Sprints[],5,FALSE))+DAY(VLOOKUP(U$1,Sprints[],2,FALSE)),1,VLOOKUP(U$1,Sprints[],4,FALSE))&lt;&gt;"")*(IF(OFFSET(INDIRECT(CELL("address",INDEX('Leave Tracker'!$A$8:$A$105,MATCH($A42,'Leave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26.400000000000006</v>
      </c>
    </row>
    <row r="43" spans="1:21" x14ac:dyDescent="0.45">
      <c r="A43" t="s">
        <v>97</v>
      </c>
      <c r="B43" s="45" t="s">
        <v>116</v>
      </c>
      <c r="C43" s="45" t="s">
        <v>118</v>
      </c>
      <c r="D43" s="45" t="s">
        <v>122</v>
      </c>
      <c r="E43" s="45" t="s">
        <v>124</v>
      </c>
      <c r="F43" s="47">
        <v>0.6</v>
      </c>
      <c r="G43" s="45">
        <f t="array" aca="1" ref="G43" ca="1">Sheet3!$W$2*$F43*(NETWORKDAYS(VLOOKUP(G$1,Sprints[],2,FALSE), VLOOKUP(G$1,Sprints[],3,FALSE))-SUMPRODUCT((OFFSET(INDIRECT(CELL("address",INDEX('Leave Tracker'!$A$8:$A$105,MATCH($A43,'Leave Tracker'!$A$8:$A$105,0)))),0,31*(VLOOKUP(G$1,Sprints[],5,FALSE))+DAY(VLOOKUP(G$1,Sprints[],2,FALSE)),1,VLOOKUP(G$1,Sprints[],4,FALSE))&lt;&gt;"")*(IF(OFFSET(INDIRECT(CELL("address",INDEX('Leave Tracker'!$A$8:$A$105,MATCH($A43,'Leave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3">
        <f t="array" aca="1" ref="H43" ca="1">Sheet3!$W$2*$F43*(NETWORKDAYS(VLOOKUP(H$1,Sprints[],2,FALSE), VLOOKUP(H$1,Sprints[],3,FALSE))-SUMPRODUCT((OFFSET(INDIRECT(CELL("address",INDEX('Leave Tracker'!$A$8:$A$105,MATCH($A43,'Leave Tracker'!$A$8:$A$105,0)))),0,31*(VLOOKUP(H$1,Sprints[],5,FALSE))+DAY(VLOOKUP(H$1,Sprints[],2,FALSE)),1,VLOOKUP(H$1,Sprints[],4,FALSE))&lt;&gt;"")*(IF(OFFSET(INDIRECT(CELL("address",INDEX('Leave Tracker'!$A$8:$A$105,MATCH($A43,'Leave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3">
        <f t="array" aca="1" ref="I43" ca="1">Sheet3!$W$2*$F43*(NETWORKDAYS(VLOOKUP(I$1,Sprints[],2,FALSE), VLOOKUP(I$1,Sprints[],3,FALSE))-SUMPRODUCT((OFFSET(INDIRECT(CELL("address",INDEX('Leave Tracker'!$A$8:$A$105,MATCH($A43,'Leave Tracker'!$A$8:$A$105,0)))),0,31*(VLOOKUP(I$1,Sprints[],5,FALSE))+DAY(VLOOKUP(I$1,Sprints[],2,FALSE)),1,VLOOKUP(I$1,Sprints[],4,FALSE))&lt;&gt;"")*(IF(OFFSET(INDIRECT(CELL("address",INDEX('Leave Tracker'!$A$8:$A$105,MATCH($A43,'Leave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3">
        <f t="array" aca="1" ref="J43" ca="1">Sheet3!$W$2*$F43*(NETWORKDAYS(VLOOKUP(J$1,Sprints[],2,FALSE), VLOOKUP(J$1,Sprints[],3,FALSE))-SUMPRODUCT((OFFSET(INDIRECT(CELL("address",INDEX('Leave Tracker'!$A$8:$A$105,MATCH($A43,'Leave Tracker'!$A$8:$A$105,0)))),0,31*(VLOOKUP(J$1,Sprints[],5,FALSE))+DAY(VLOOKUP(J$1,Sprints[],2,FALSE)),1,VLOOKUP(J$1,Sprints[],4,FALSE))&lt;&gt;"")*(IF(OFFSET(INDIRECT(CELL("address",INDEX('Leave Tracker'!$A$8:$A$105,MATCH($A43,'Leave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3">
        <f t="array" aca="1" ref="K43" ca="1">Sheet3!$W$2*$F43*(NETWORKDAYS(VLOOKUP(K$1,Sprints[],2,FALSE), VLOOKUP(K$1,Sprints[],3,FALSE))-SUMPRODUCT((OFFSET(INDIRECT(CELL("address",INDEX('Leave Tracker'!$A$8:$A$105,MATCH($A43,'Leave Tracker'!$A$8:$A$105,0)))),0,31*(VLOOKUP(K$1,Sprints[],5,FALSE))+DAY(VLOOKUP(K$1,Sprints[],2,FALSE)),1,VLOOKUP(K$1,Sprints[],4,FALSE))&lt;&gt;"")*(IF(OFFSET(INDIRECT(CELL("address",INDEX('Leave Tracker'!$A$8:$A$105,MATCH($A43,'Leave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3">
        <f t="array" aca="1" ref="L43" ca="1">Sheet3!$W$2*$F43*(NETWORKDAYS(VLOOKUP(L$1,Sprints[],2,FALSE), VLOOKUP(L$1,Sprints[],3,FALSE))-SUMPRODUCT((OFFSET(INDIRECT(CELL("address",INDEX('Leave Tracker'!$A$8:$A$105,MATCH($A43,'Leave Tracker'!$A$8:$A$105,0)))),0,31*(VLOOKUP(L$1,Sprints[],5,FALSE))+DAY(VLOOKUP(L$1,Sprints[],2,FALSE)),1,VLOOKUP(L$1,Sprints[],4,FALSE))&lt;&gt;"")*(IF(OFFSET(INDIRECT(CELL("address",INDEX('Leave Tracker'!$A$8:$A$105,MATCH($A43,'Leave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3" s="45">
        <f t="array" aca="1" ref="M43" ca="1">Sheet3!$W$2*$F43*(NETWORKDAYS(VLOOKUP(M$1,Sprints[],2,FALSE), VLOOKUP(M$1,Sprints[],3,FALSE))-SUMPRODUCT((OFFSET(INDIRECT(CELL("address",INDEX('Leave Tracker'!$A$8:$A$105,MATCH($A43,'Leave Tracker'!$A$8:$A$105,0)))),0,31*(VLOOKUP(M$1,Sprints[],5,FALSE))+DAY(VLOOKUP(M$1,Sprints[],2,FALSE)),1,VLOOKUP(M$1,Sprints[],4,FALSE))&lt;&gt;"")*(IF(OFFSET(INDIRECT(CELL("address",INDEX('Leave Tracker'!$A$8:$A$105,MATCH($A43,'Leave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3">
        <f t="array" aca="1" ref="N43" ca="1">Sheet3!$W$2*$F43*(NETWORKDAYS(VLOOKUP(N$1,Sprints[],2,FALSE), VLOOKUP(N$1,Sprints[],3,FALSE))-SUMPRODUCT((OFFSET(INDIRECT(CELL("address",INDEX('Leave Tracker'!$A$8:$A$105,MATCH($A43,'Leave Tracker'!$A$8:$A$105,0)))),0,31*(VLOOKUP(N$1,Sprints[],5,FALSE))+DAY(VLOOKUP(N$1,Sprints[],2,FALSE)),1,VLOOKUP(N$1,Sprints[],4,FALSE))&lt;&gt;"")*(IF(OFFSET(INDIRECT(CELL("address",INDEX('Leave Tracker'!$A$8:$A$105,MATCH($A43,'Leave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3">
        <f t="array" aca="1" ref="O43" ca="1">Sheet3!$W$2*$F43*(NETWORKDAYS(VLOOKUP(O$1,Sprints[],2,FALSE), VLOOKUP(O$1,Sprints[],3,FALSE))-SUMPRODUCT((OFFSET(INDIRECT(CELL("address",INDEX('Leave Tracker'!$A$8:$A$105,MATCH($A43,'Leave Tracker'!$A$8:$A$105,0)))),0,31*(VLOOKUP(O$1,Sprints[],5,FALSE))+DAY(VLOOKUP(O$1,Sprints[],2,FALSE)),1,VLOOKUP(O$1,Sprints[],4,FALSE))&lt;&gt;"")*(IF(OFFSET(INDIRECT(CELL("address",INDEX('Leave Tracker'!$A$8:$A$105,MATCH($A43,'Leave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3">
        <f t="array" aca="1" ref="P43" ca="1">Sheet3!$W$2*$F43*(NETWORKDAYS(VLOOKUP(P$1,Sprints[],2,FALSE), VLOOKUP(P$1,Sprints[],3,FALSE))-SUMPRODUCT((OFFSET(INDIRECT(CELL("address",INDEX('Leave Tracker'!$A$8:$A$105,MATCH($A43,'Leave Tracker'!$A$8:$A$105,0)))),0,31*(VLOOKUP(P$1,Sprints[],5,FALSE))+DAY(VLOOKUP(P$1,Sprints[],2,FALSE)),1,VLOOKUP(P$1,Sprints[],4,FALSE))&lt;&gt;"")*(IF(OFFSET(INDIRECT(CELL("address",INDEX('Leave Tracker'!$A$8:$A$105,MATCH($A43,'Leave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3">
        <f t="array" aca="1" ref="Q43" ca="1">Sheet3!$W$2*$F43*(NETWORKDAYS(VLOOKUP(Q$1,Sprints[],2,FALSE), VLOOKUP(Q$1,Sprints[],3,FALSE))-SUMPRODUCT((OFFSET(INDIRECT(CELL("address",INDEX('Leave Tracker'!$A$8:$A$105,MATCH($A43,'Leave Tracker'!$A$8:$A$105,0)))),0,31*(VLOOKUP(Q$1,Sprints[],5,FALSE))+DAY(VLOOKUP(Q$1,Sprints[],2,FALSE)),1,VLOOKUP(Q$1,Sprints[],4,FALSE))&lt;&gt;"")*(IF(OFFSET(INDIRECT(CELL("address",INDEX('Leave Tracker'!$A$8:$A$105,MATCH($A43,'Leave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3">
        <f t="array" aca="1" ref="R43" ca="1">Sheet3!$W$2*$F43*(NETWORKDAYS(VLOOKUP(R$1,Sprints[],2,FALSE), VLOOKUP(R$1,Sprints[],3,FALSE))-SUMPRODUCT((OFFSET(INDIRECT(CELL("address",INDEX('Leave Tracker'!$A$8:$A$105,MATCH($A43,'Leave Tracker'!$A$8:$A$105,0)))),0,31*(VLOOKUP(R$1,Sprints[],5,FALSE))+DAY(VLOOKUP(R$1,Sprints[],2,FALSE)),1,VLOOKUP(R$1,Sprints[],4,FALSE))&lt;&gt;"")*(IF(OFFSET(INDIRECT(CELL("address",INDEX('Leave Tracker'!$A$8:$A$105,MATCH($A43,'Leave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3" s="31">
        <f t="array" aca="1" ref="S43" ca="1">Sheet3!$W$2*$F43*(NETWORKDAYS(VLOOKUP(S$1,Sprints[],2,FALSE), VLOOKUP(S$1,Sprints[],3,FALSE))-SUMPRODUCT((OFFSET(INDIRECT(CELL("address",INDEX('Leave Tracker'!$A$8:$A$105,MATCH($A43,'Leave Tracker'!$A$8:$A$105,0)))),0,31*(VLOOKUP(S$1,Sprints[],5,FALSE))+DAY(VLOOKUP(S$1,Sprints[],2,FALSE)),1,VLOOKUP(S$1,Sprints[],4,FALSE))&lt;&gt;"")*(IF(OFFSET(INDIRECT(CELL("address",INDEX('Leave Tracker'!$A$8:$A$105,MATCH($A43,'Leave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3" s="31">
        <f t="array" aca="1" ref="T43" ca="1">Sheet3!$W$2*$F43*(NETWORKDAYS(VLOOKUP(T$1,Sprints[],2,FALSE), VLOOKUP(T$1,Sprints[],3,FALSE))-SUMPRODUCT((OFFSET(INDIRECT(CELL("address",INDEX('Leave Tracker'!$A$8:$A$105,MATCH($A43,'Leave Tracker'!$A$8:$A$105,0)))),0,31*(VLOOKUP(T$1,Sprints[],5,FALSE))+DAY(VLOOKUP(T$1,Sprints[],2,FALSE)),1,VLOOKUP(T$1,Sprints[],4,FALSE))&lt;&gt;"")*(IF(OFFSET(INDIRECT(CELL("address",INDEX('Leave Tracker'!$A$8:$A$105,MATCH($A43,'Leave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3" s="78">
        <f t="array" aca="1" ref="U43" ca="1">Sheet3!$W$2*$F43*(NETWORKDAYS(VLOOKUP(U$1,Sprints[],2,FALSE), VLOOKUP(U$1,Sprints[],3,FALSE))-SUMPRODUCT((OFFSET(INDIRECT(CELL("address",INDEX('Leave Tracker'!$A$8:$A$105,MATCH($A43,'Leave Tracker'!$A$8:$A$105,0)))),0,31*(VLOOKUP(U$1,Sprints[],5,FALSE))+DAY(VLOOKUP(U$1,Sprints[],2,FALSE)),1,VLOOKUP(U$1,Sprints[],4,FALSE))&lt;&gt;"")*(IF(OFFSET(INDIRECT(CELL("address",INDEX('Leave Tracker'!$A$8:$A$105,MATCH($A43,'Leave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22.08</v>
      </c>
    </row>
    <row r="44" spans="1:21" x14ac:dyDescent="0.45">
      <c r="A44" t="s">
        <v>98</v>
      </c>
      <c r="B44" s="45" t="s">
        <v>116</v>
      </c>
      <c r="C44" s="45" t="s">
        <v>118</v>
      </c>
      <c r="D44" s="45" t="s">
        <v>133</v>
      </c>
      <c r="E44" s="45" t="s">
        <v>127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Tracker'!$A$8:$A$105,MATCH($A44,'Leave Tracker'!$A$8:$A$105,0)))),0,31*(VLOOKUP(G$1,Sprints[],5,FALSE))+DAY(VLOOKUP(G$1,Sprints[],2,FALSE)),1,VLOOKUP(G$1,Sprints[],4,FALSE))&lt;&gt;"")*(IF(OFFSET(INDIRECT(CELL("address",INDEX('Leave Tracker'!$A$8:$A$105,MATCH($A44,'Leave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4">
        <f t="array" aca="1" ref="H44" ca="1">Sheet3!$W$2*$F44*(NETWORKDAYS(VLOOKUP(H$1,Sprints[],2,FALSE), VLOOKUP(H$1,Sprints[],3,FALSE))-SUMPRODUCT((OFFSET(INDIRECT(CELL("address",INDEX('Leave Tracker'!$A$8:$A$105,MATCH($A44,'Leave Tracker'!$A$8:$A$105,0)))),0,31*(VLOOKUP(H$1,Sprints[],5,FALSE))+DAY(VLOOKUP(H$1,Sprints[],2,FALSE)),1,VLOOKUP(H$1,Sprints[],4,FALSE))&lt;&gt;"")*(IF(OFFSET(INDIRECT(CELL("address",INDEX('Leave Tracker'!$A$8:$A$105,MATCH($A44,'Leave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4">
        <f t="array" aca="1" ref="I44" ca="1">Sheet3!$W$2*$F44*(NETWORKDAYS(VLOOKUP(I$1,Sprints[],2,FALSE), VLOOKUP(I$1,Sprints[],3,FALSE))-SUMPRODUCT((OFFSET(INDIRECT(CELL("address",INDEX('Leave Tracker'!$A$8:$A$105,MATCH($A44,'Leave Tracker'!$A$8:$A$105,0)))),0,31*(VLOOKUP(I$1,Sprints[],5,FALSE))+DAY(VLOOKUP(I$1,Sprints[],2,FALSE)),1,VLOOKUP(I$1,Sprints[],4,FALSE))&lt;&gt;"")*(IF(OFFSET(INDIRECT(CELL("address",INDEX('Leave Tracker'!$A$8:$A$105,MATCH($A44,'Leave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4">
        <f t="array" aca="1" ref="J44" ca="1">Sheet3!$W$2*$F44*(NETWORKDAYS(VLOOKUP(J$1,Sprints[],2,FALSE), VLOOKUP(J$1,Sprints[],3,FALSE))-SUMPRODUCT((OFFSET(INDIRECT(CELL("address",INDEX('Leave Tracker'!$A$8:$A$105,MATCH($A44,'Leave Tracker'!$A$8:$A$105,0)))),0,31*(VLOOKUP(J$1,Sprints[],5,FALSE))+DAY(VLOOKUP(J$1,Sprints[],2,FALSE)),1,VLOOKUP(J$1,Sprints[],4,FALSE))&lt;&gt;"")*(IF(OFFSET(INDIRECT(CELL("address",INDEX('Leave Tracker'!$A$8:$A$105,MATCH($A44,'Leave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4">
        <f t="array" aca="1" ref="K44" ca="1">Sheet3!$W$2*$F44*(NETWORKDAYS(VLOOKUP(K$1,Sprints[],2,FALSE), VLOOKUP(K$1,Sprints[],3,FALSE))-SUMPRODUCT((OFFSET(INDIRECT(CELL("address",INDEX('Leave Tracker'!$A$8:$A$105,MATCH($A44,'Leave Tracker'!$A$8:$A$105,0)))),0,31*(VLOOKUP(K$1,Sprints[],5,FALSE))+DAY(VLOOKUP(K$1,Sprints[],2,FALSE)),1,VLOOKUP(K$1,Sprints[],4,FALSE))&lt;&gt;"")*(IF(OFFSET(INDIRECT(CELL("address",INDEX('Leave Tracker'!$A$8:$A$105,MATCH($A44,'Leave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4">
        <f t="array" aca="1" ref="L44" ca="1">Sheet3!$W$2*$F44*(NETWORKDAYS(VLOOKUP(L$1,Sprints[],2,FALSE), VLOOKUP(L$1,Sprints[],3,FALSE))-SUMPRODUCT((OFFSET(INDIRECT(CELL("address",INDEX('Leave Tracker'!$A$8:$A$105,MATCH($A44,'Leave Tracker'!$A$8:$A$105,0)))),0,31*(VLOOKUP(L$1,Sprints[],5,FALSE))+DAY(VLOOKUP(L$1,Sprints[],2,FALSE)),1,VLOOKUP(L$1,Sprints[],4,FALSE))&lt;&gt;"")*(IF(OFFSET(INDIRECT(CELL("address",INDEX('Leave Tracker'!$A$8:$A$105,MATCH($A44,'Leave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4" s="45">
        <f t="array" aca="1" ref="M44" ca="1">Sheet3!$W$2*$F44*(NETWORKDAYS(VLOOKUP(M$1,Sprints[],2,FALSE), VLOOKUP(M$1,Sprints[],3,FALSE))-SUMPRODUCT((OFFSET(INDIRECT(CELL("address",INDEX('Leave Tracker'!$A$8:$A$105,MATCH($A44,'Leave Tracker'!$A$8:$A$105,0)))),0,31*(VLOOKUP(M$1,Sprints[],5,FALSE))+DAY(VLOOKUP(M$1,Sprints[],2,FALSE)),1,VLOOKUP(M$1,Sprints[],4,FALSE))&lt;&gt;"")*(IF(OFFSET(INDIRECT(CELL("address",INDEX('Leave Tracker'!$A$8:$A$105,MATCH($A44,'Leave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4">
        <f t="array" aca="1" ref="N44" ca="1">Sheet3!$W$2*$F44*(NETWORKDAYS(VLOOKUP(N$1,Sprints[],2,FALSE), VLOOKUP(N$1,Sprints[],3,FALSE))-SUMPRODUCT((OFFSET(INDIRECT(CELL("address",INDEX('Leave Tracker'!$A$8:$A$105,MATCH($A44,'Leave Tracker'!$A$8:$A$105,0)))),0,31*(VLOOKUP(N$1,Sprints[],5,FALSE))+DAY(VLOOKUP(N$1,Sprints[],2,FALSE)),1,VLOOKUP(N$1,Sprints[],4,FALSE))&lt;&gt;"")*(IF(OFFSET(INDIRECT(CELL("address",INDEX('Leave Tracker'!$A$8:$A$105,MATCH($A44,'Leave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4">
        <f t="array" aca="1" ref="O44" ca="1">Sheet3!$W$2*$F44*(NETWORKDAYS(VLOOKUP(O$1,Sprints[],2,FALSE), VLOOKUP(O$1,Sprints[],3,FALSE))-SUMPRODUCT((OFFSET(INDIRECT(CELL("address",INDEX('Leave Tracker'!$A$8:$A$105,MATCH($A44,'Leave Tracker'!$A$8:$A$105,0)))),0,31*(VLOOKUP(O$1,Sprints[],5,FALSE))+DAY(VLOOKUP(O$1,Sprints[],2,FALSE)),1,VLOOKUP(O$1,Sprints[],4,FALSE))&lt;&gt;"")*(IF(OFFSET(INDIRECT(CELL("address",INDEX('Leave Tracker'!$A$8:$A$105,MATCH($A44,'Leave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4">
        <f t="array" aca="1" ref="P44" ca="1">Sheet3!$W$2*$F44*(NETWORKDAYS(VLOOKUP(P$1,Sprints[],2,FALSE), VLOOKUP(P$1,Sprints[],3,FALSE))-SUMPRODUCT((OFFSET(INDIRECT(CELL("address",INDEX('Leave Tracker'!$A$8:$A$105,MATCH($A44,'Leave Tracker'!$A$8:$A$105,0)))),0,31*(VLOOKUP(P$1,Sprints[],5,FALSE))+DAY(VLOOKUP(P$1,Sprints[],2,FALSE)),1,VLOOKUP(P$1,Sprints[],4,FALSE))&lt;&gt;"")*(IF(OFFSET(INDIRECT(CELL("address",INDEX('Leave Tracker'!$A$8:$A$105,MATCH($A44,'Leave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4">
        <f t="array" aca="1" ref="Q44" ca="1">Sheet3!$W$2*$F44*(NETWORKDAYS(VLOOKUP(Q$1,Sprints[],2,FALSE), VLOOKUP(Q$1,Sprints[],3,FALSE))-SUMPRODUCT((OFFSET(INDIRECT(CELL("address",INDEX('Leave Tracker'!$A$8:$A$105,MATCH($A44,'Leave Tracker'!$A$8:$A$105,0)))),0,31*(VLOOKUP(Q$1,Sprints[],5,FALSE))+DAY(VLOOKUP(Q$1,Sprints[],2,FALSE)),1,VLOOKUP(Q$1,Sprints[],4,FALSE))&lt;&gt;"")*(IF(OFFSET(INDIRECT(CELL("address",INDEX('Leave Tracker'!$A$8:$A$105,MATCH($A44,'Leave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4">
        <f t="array" aca="1" ref="R44" ca="1">Sheet3!$W$2*$F44*(NETWORKDAYS(VLOOKUP(R$1,Sprints[],2,FALSE), VLOOKUP(R$1,Sprints[],3,FALSE))-SUMPRODUCT((OFFSET(INDIRECT(CELL("address",INDEX('Leave Tracker'!$A$8:$A$105,MATCH($A44,'Leave Tracker'!$A$8:$A$105,0)))),0,31*(VLOOKUP(R$1,Sprints[],5,FALSE))+DAY(VLOOKUP(R$1,Sprints[],2,FALSE)),1,VLOOKUP(R$1,Sprints[],4,FALSE))&lt;&gt;"")*(IF(OFFSET(INDIRECT(CELL("address",INDEX('Leave Tracker'!$A$8:$A$105,MATCH($A44,'Leave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4" s="31">
        <f t="array" aca="1" ref="S44" ca="1">Sheet3!$W$2*$F44*(NETWORKDAYS(VLOOKUP(S$1,Sprints[],2,FALSE), VLOOKUP(S$1,Sprints[],3,FALSE))-SUMPRODUCT((OFFSET(INDIRECT(CELL("address",INDEX('Leave Tracker'!$A$8:$A$105,MATCH($A44,'Leave Tracker'!$A$8:$A$105,0)))),0,31*(VLOOKUP(S$1,Sprints[],5,FALSE))+DAY(VLOOKUP(S$1,Sprints[],2,FALSE)),1,VLOOKUP(S$1,Sprints[],4,FALSE))&lt;&gt;"")*(IF(OFFSET(INDIRECT(CELL("address",INDEX('Leave Tracker'!$A$8:$A$105,MATCH($A44,'Leave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4" s="31">
        <f t="array" aca="1" ref="T44" ca="1">Sheet3!$W$2*$F44*(NETWORKDAYS(VLOOKUP(T$1,Sprints[],2,FALSE), VLOOKUP(T$1,Sprints[],3,FALSE))-SUMPRODUCT((OFFSET(INDIRECT(CELL("address",INDEX('Leave Tracker'!$A$8:$A$105,MATCH($A44,'Leave Tracker'!$A$8:$A$105,0)))),0,31*(VLOOKUP(T$1,Sprints[],5,FALSE))+DAY(VLOOKUP(T$1,Sprints[],2,FALSE)),1,VLOOKUP(T$1,Sprints[],4,FALSE))&lt;&gt;"")*(IF(OFFSET(INDIRECT(CELL("address",INDEX('Leave Tracker'!$A$8:$A$105,MATCH($A44,'Leave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4" s="78">
        <f t="array" aca="1" ref="U44" ca="1">Sheet3!$W$2*$F44*(NETWORKDAYS(VLOOKUP(U$1,Sprints[],2,FALSE), VLOOKUP(U$1,Sprints[],3,FALSE))-SUMPRODUCT((OFFSET(INDIRECT(CELL("address",INDEX('Leave Tracker'!$A$8:$A$105,MATCH($A44,'Leave Tracker'!$A$8:$A$105,0)))),0,31*(VLOOKUP(U$1,Sprints[],5,FALSE))+DAY(VLOOKUP(U$1,Sprints[],2,FALSE)),1,VLOOKUP(U$1,Sprints[],4,FALSE))&lt;&gt;"")*(IF(OFFSET(INDIRECT(CELL("address",INDEX('Leave Tracker'!$A$8:$A$105,MATCH($A44,'Leave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27.600000000000005</v>
      </c>
    </row>
    <row r="45" spans="1:21" x14ac:dyDescent="0.45">
      <c r="A45" t="s">
        <v>99</v>
      </c>
      <c r="B45" s="45" t="s">
        <v>116</v>
      </c>
      <c r="C45" s="45" t="s">
        <v>118</v>
      </c>
      <c r="D45" s="45" t="s">
        <v>129</v>
      </c>
      <c r="E45" s="45" t="s">
        <v>128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Tracker'!$A$8:$A$105,MATCH($A45,'Leave Tracker'!$A$8:$A$105,0)))),0,31*(VLOOKUP(G$1,Sprints[],5,FALSE))+DAY(VLOOKUP(G$1,Sprints[],2,FALSE)),1,VLOOKUP(G$1,Sprints[],4,FALSE))&lt;&gt;"")*(IF(OFFSET(INDIRECT(CELL("address",INDEX('Leave Tracker'!$A$8:$A$105,MATCH($A45,'Leave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5">
        <f t="array" aca="1" ref="H45" ca="1">Sheet3!$W$2*$F45*(NETWORKDAYS(VLOOKUP(H$1,Sprints[],2,FALSE), VLOOKUP(H$1,Sprints[],3,FALSE))-SUMPRODUCT((OFFSET(INDIRECT(CELL("address",INDEX('Leave Tracker'!$A$8:$A$105,MATCH($A45,'Leave Tracker'!$A$8:$A$105,0)))),0,31*(VLOOKUP(H$1,Sprints[],5,FALSE))+DAY(VLOOKUP(H$1,Sprints[],2,FALSE)),1,VLOOKUP(H$1,Sprints[],4,FALSE))&lt;&gt;"")*(IF(OFFSET(INDIRECT(CELL("address",INDEX('Leave Tracker'!$A$8:$A$105,MATCH($A45,'Leave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5">
        <f t="array" aca="1" ref="I45" ca="1">Sheet3!$W$2*$F45*(NETWORKDAYS(VLOOKUP(I$1,Sprints[],2,FALSE), VLOOKUP(I$1,Sprints[],3,FALSE))-SUMPRODUCT((OFFSET(INDIRECT(CELL("address",INDEX('Leave Tracker'!$A$8:$A$105,MATCH($A45,'Leave Tracker'!$A$8:$A$105,0)))),0,31*(VLOOKUP(I$1,Sprints[],5,FALSE))+DAY(VLOOKUP(I$1,Sprints[],2,FALSE)),1,VLOOKUP(I$1,Sprints[],4,FALSE))&lt;&gt;"")*(IF(OFFSET(INDIRECT(CELL("address",INDEX('Leave Tracker'!$A$8:$A$105,MATCH($A45,'Leave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5">
        <f t="array" aca="1" ref="J45" ca="1">Sheet3!$W$2*$F45*(NETWORKDAYS(VLOOKUP(J$1,Sprints[],2,FALSE), VLOOKUP(J$1,Sprints[],3,FALSE))-SUMPRODUCT((OFFSET(INDIRECT(CELL("address",INDEX('Leave Tracker'!$A$8:$A$105,MATCH($A45,'Leave Tracker'!$A$8:$A$105,0)))),0,31*(VLOOKUP(J$1,Sprints[],5,FALSE))+DAY(VLOOKUP(J$1,Sprints[],2,FALSE)),1,VLOOKUP(J$1,Sprints[],4,FALSE))&lt;&gt;"")*(IF(OFFSET(INDIRECT(CELL("address",INDEX('Leave Tracker'!$A$8:$A$105,MATCH($A45,'Leave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5">
        <f t="array" aca="1" ref="K45" ca="1">Sheet3!$W$2*$F45*(NETWORKDAYS(VLOOKUP(K$1,Sprints[],2,FALSE), VLOOKUP(K$1,Sprints[],3,FALSE))-SUMPRODUCT((OFFSET(INDIRECT(CELL("address",INDEX('Leave Tracker'!$A$8:$A$105,MATCH($A45,'Leave Tracker'!$A$8:$A$105,0)))),0,31*(VLOOKUP(K$1,Sprints[],5,FALSE))+DAY(VLOOKUP(K$1,Sprints[],2,FALSE)),1,VLOOKUP(K$1,Sprints[],4,FALSE))&lt;&gt;"")*(IF(OFFSET(INDIRECT(CELL("address",INDEX('Leave Tracker'!$A$8:$A$105,MATCH($A45,'Leave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5">
        <f t="array" aca="1" ref="L45" ca="1">Sheet3!$W$2*$F45*(NETWORKDAYS(VLOOKUP(L$1,Sprints[],2,FALSE), VLOOKUP(L$1,Sprints[],3,FALSE))-SUMPRODUCT((OFFSET(INDIRECT(CELL("address",INDEX('Leave Tracker'!$A$8:$A$105,MATCH($A45,'Leave Tracker'!$A$8:$A$105,0)))),0,31*(VLOOKUP(L$1,Sprints[],5,FALSE))+DAY(VLOOKUP(L$1,Sprints[],2,FALSE)),1,VLOOKUP(L$1,Sprints[],4,FALSE))&lt;&gt;"")*(IF(OFFSET(INDIRECT(CELL("address",INDEX('Leave Tracker'!$A$8:$A$105,MATCH($A45,'Leave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5" s="45">
        <f t="array" aca="1" ref="M45" ca="1">Sheet3!$W$2*$F45*(NETWORKDAYS(VLOOKUP(M$1,Sprints[],2,FALSE), VLOOKUP(M$1,Sprints[],3,FALSE))-SUMPRODUCT((OFFSET(INDIRECT(CELL("address",INDEX('Leave Tracker'!$A$8:$A$105,MATCH($A45,'Leave Tracker'!$A$8:$A$105,0)))),0,31*(VLOOKUP(M$1,Sprints[],5,FALSE))+DAY(VLOOKUP(M$1,Sprints[],2,FALSE)),1,VLOOKUP(M$1,Sprints[],4,FALSE))&lt;&gt;"")*(IF(OFFSET(INDIRECT(CELL("address",INDEX('Leave Tracker'!$A$8:$A$105,MATCH($A45,'Leave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5">
        <f t="array" aca="1" ref="N45" ca="1">Sheet3!$W$2*$F45*(NETWORKDAYS(VLOOKUP(N$1,Sprints[],2,FALSE), VLOOKUP(N$1,Sprints[],3,FALSE))-SUMPRODUCT((OFFSET(INDIRECT(CELL("address",INDEX('Leave Tracker'!$A$8:$A$105,MATCH($A45,'Leave Tracker'!$A$8:$A$105,0)))),0,31*(VLOOKUP(N$1,Sprints[],5,FALSE))+DAY(VLOOKUP(N$1,Sprints[],2,FALSE)),1,VLOOKUP(N$1,Sprints[],4,FALSE))&lt;&gt;"")*(IF(OFFSET(INDIRECT(CELL("address",INDEX('Leave Tracker'!$A$8:$A$105,MATCH($A45,'Leave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5">
        <f t="array" aca="1" ref="O45" ca="1">Sheet3!$W$2*$F45*(NETWORKDAYS(VLOOKUP(O$1,Sprints[],2,FALSE), VLOOKUP(O$1,Sprints[],3,FALSE))-SUMPRODUCT((OFFSET(INDIRECT(CELL("address",INDEX('Leave Tracker'!$A$8:$A$105,MATCH($A45,'Leave Tracker'!$A$8:$A$105,0)))),0,31*(VLOOKUP(O$1,Sprints[],5,FALSE))+DAY(VLOOKUP(O$1,Sprints[],2,FALSE)),1,VLOOKUP(O$1,Sprints[],4,FALSE))&lt;&gt;"")*(IF(OFFSET(INDIRECT(CELL("address",INDEX('Leave Tracker'!$A$8:$A$105,MATCH($A45,'Leave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5">
        <f t="array" aca="1" ref="P45" ca="1">Sheet3!$W$2*$F45*(NETWORKDAYS(VLOOKUP(P$1,Sprints[],2,FALSE), VLOOKUP(P$1,Sprints[],3,FALSE))-SUMPRODUCT((OFFSET(INDIRECT(CELL("address",INDEX('Leave Tracker'!$A$8:$A$105,MATCH($A45,'Leave Tracker'!$A$8:$A$105,0)))),0,31*(VLOOKUP(P$1,Sprints[],5,FALSE))+DAY(VLOOKUP(P$1,Sprints[],2,FALSE)),1,VLOOKUP(P$1,Sprints[],4,FALSE))&lt;&gt;"")*(IF(OFFSET(INDIRECT(CELL("address",INDEX('Leave Tracker'!$A$8:$A$105,MATCH($A45,'Leave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5">
        <f t="array" aca="1" ref="Q45" ca="1">Sheet3!$W$2*$F45*(NETWORKDAYS(VLOOKUP(Q$1,Sprints[],2,FALSE), VLOOKUP(Q$1,Sprints[],3,FALSE))-SUMPRODUCT((OFFSET(INDIRECT(CELL("address",INDEX('Leave Tracker'!$A$8:$A$105,MATCH($A45,'Leave Tracker'!$A$8:$A$105,0)))),0,31*(VLOOKUP(Q$1,Sprints[],5,FALSE))+DAY(VLOOKUP(Q$1,Sprints[],2,FALSE)),1,VLOOKUP(Q$1,Sprints[],4,FALSE))&lt;&gt;"")*(IF(OFFSET(INDIRECT(CELL("address",INDEX('Leave Tracker'!$A$8:$A$105,MATCH($A45,'Leave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5">
        <f t="array" aca="1" ref="R45" ca="1">Sheet3!$W$2*$F45*(NETWORKDAYS(VLOOKUP(R$1,Sprints[],2,FALSE), VLOOKUP(R$1,Sprints[],3,FALSE))-SUMPRODUCT((OFFSET(INDIRECT(CELL("address",INDEX('Leave Tracker'!$A$8:$A$105,MATCH($A45,'Leave Tracker'!$A$8:$A$105,0)))),0,31*(VLOOKUP(R$1,Sprints[],5,FALSE))+DAY(VLOOKUP(R$1,Sprints[],2,FALSE)),1,VLOOKUP(R$1,Sprints[],4,FALSE))&lt;&gt;"")*(IF(OFFSET(INDIRECT(CELL("address",INDEX('Leave Tracker'!$A$8:$A$105,MATCH($A45,'Leave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5" s="31">
        <f t="array" aca="1" ref="S45" ca="1">Sheet3!$W$2*$F45*(NETWORKDAYS(VLOOKUP(S$1,Sprints[],2,FALSE), VLOOKUP(S$1,Sprints[],3,FALSE))-SUMPRODUCT((OFFSET(INDIRECT(CELL("address",INDEX('Leave Tracker'!$A$8:$A$105,MATCH($A45,'Leave Tracker'!$A$8:$A$105,0)))),0,31*(VLOOKUP(S$1,Sprints[],5,FALSE))+DAY(VLOOKUP(S$1,Sprints[],2,FALSE)),1,VLOOKUP(S$1,Sprints[],4,FALSE))&lt;&gt;"")*(IF(OFFSET(INDIRECT(CELL("address",INDEX('Leave Tracker'!$A$8:$A$105,MATCH($A45,'Leave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5" s="31">
        <f t="array" aca="1" ref="T45" ca="1">Sheet3!$W$2*$F45*(NETWORKDAYS(VLOOKUP(T$1,Sprints[],2,FALSE), VLOOKUP(T$1,Sprints[],3,FALSE))-SUMPRODUCT((OFFSET(INDIRECT(CELL("address",INDEX('Leave Tracker'!$A$8:$A$105,MATCH($A45,'Leave Tracker'!$A$8:$A$105,0)))),0,31*(VLOOKUP(T$1,Sprints[],5,FALSE))+DAY(VLOOKUP(T$1,Sprints[],2,FALSE)),1,VLOOKUP(T$1,Sprints[],4,FALSE))&lt;&gt;"")*(IF(OFFSET(INDIRECT(CELL("address",INDEX('Leave Tracker'!$A$8:$A$105,MATCH($A45,'Leave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5" s="78">
        <f t="array" aca="1" ref="U45" ca="1">Sheet3!$W$2*$F45*(NETWORKDAYS(VLOOKUP(U$1,Sprints[],2,FALSE), VLOOKUP(U$1,Sprints[],3,FALSE))-SUMPRODUCT((OFFSET(INDIRECT(CELL("address",INDEX('Leave Tracker'!$A$8:$A$105,MATCH($A45,'Leave Tracker'!$A$8:$A$105,0)))),0,31*(VLOOKUP(U$1,Sprints[],5,FALSE))+DAY(VLOOKUP(U$1,Sprints[],2,FALSE)),1,VLOOKUP(U$1,Sprints[],4,FALSE))&lt;&gt;"")*(IF(OFFSET(INDIRECT(CELL("address",INDEX('Leave Tracker'!$A$8:$A$105,MATCH($A45,'Leave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22.08</v>
      </c>
    </row>
    <row r="46" spans="1:21" x14ac:dyDescent="0.45">
      <c r="A46" t="s">
        <v>100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Tracker'!$A$8:$A$105,MATCH($A46,'Leave Tracker'!$A$8:$A$105,0)))),0,31*(VLOOKUP(G$1,Sprints[],5,FALSE))+DAY(VLOOKUP(G$1,Sprints[],2,FALSE)),1,VLOOKUP(G$1,Sprints[],4,FALSE))&lt;&gt;"")*(IF(OFFSET(INDIRECT(CELL("address",INDEX('Leave Tracker'!$A$8:$A$105,MATCH($A46,'Leave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Tracker'!$A$8:$A$105,MATCH($A46,'Leave Tracker'!$A$8:$A$105,0)))),0,31*(VLOOKUP(H$1,Sprints[],5,FALSE))+DAY(VLOOKUP(H$1,Sprints[],2,FALSE)),1,VLOOKUP(H$1,Sprints[],4,FALSE))&lt;&gt;"")*(IF(OFFSET(INDIRECT(CELL("address",INDEX('Leave Tracker'!$A$8:$A$105,MATCH($A46,'Leave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Tracker'!$A$8:$A$105,MATCH($A46,'Leave Tracker'!$A$8:$A$105,0)))),0,31*(VLOOKUP(I$1,Sprints[],5,FALSE))+DAY(VLOOKUP(I$1,Sprints[],2,FALSE)),1,VLOOKUP(I$1,Sprints[],4,FALSE))&lt;&gt;"")*(IF(OFFSET(INDIRECT(CELL("address",INDEX('Leave Tracker'!$A$8:$A$105,MATCH($A46,'Leave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6">
        <f t="array" aca="1" ref="J46" ca="1">Sheet3!$W$2*$F46*(NETWORKDAYS(VLOOKUP(J$1,Sprints[],2,FALSE), VLOOKUP(J$1,Sprints[],3,FALSE))-SUMPRODUCT((OFFSET(INDIRECT(CELL("address",INDEX('Leave Tracker'!$A$8:$A$105,MATCH($A46,'Leave Tracker'!$A$8:$A$105,0)))),0,31*(VLOOKUP(J$1,Sprints[],5,FALSE))+DAY(VLOOKUP(J$1,Sprints[],2,FALSE)),1,VLOOKUP(J$1,Sprints[],4,FALSE))&lt;&gt;"")*(IF(OFFSET(INDIRECT(CELL("address",INDEX('Leave Tracker'!$A$8:$A$105,MATCH($A46,'Leave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6">
        <f t="array" aca="1" ref="K46" ca="1">Sheet3!$W$2*$F46*(NETWORKDAYS(VLOOKUP(K$1,Sprints[],2,FALSE), VLOOKUP(K$1,Sprints[],3,FALSE))-SUMPRODUCT((OFFSET(INDIRECT(CELL("address",INDEX('Leave Tracker'!$A$8:$A$105,MATCH($A46,'Leave Tracker'!$A$8:$A$105,0)))),0,31*(VLOOKUP(K$1,Sprints[],5,FALSE))+DAY(VLOOKUP(K$1,Sprints[],2,FALSE)),1,VLOOKUP(K$1,Sprints[],4,FALSE))&lt;&gt;"")*(IF(OFFSET(INDIRECT(CELL("address",INDEX('Leave Tracker'!$A$8:$A$105,MATCH($A46,'Leave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Tracker'!$A$8:$A$105,MATCH($A46,'Leave Tracker'!$A$8:$A$105,0)))),0,31*(VLOOKUP(L$1,Sprints[],5,FALSE))+DAY(VLOOKUP(L$1,Sprints[],2,FALSE)),1,VLOOKUP(L$1,Sprints[],4,FALSE))&lt;&gt;"")*(IF(OFFSET(INDIRECT(CELL("address",INDEX('Leave Tracker'!$A$8:$A$105,MATCH($A46,'Leave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Tracker'!$A$8:$A$105,MATCH($A46,'Leave Tracker'!$A$8:$A$105,0)))),0,31*(VLOOKUP(M$1,Sprints[],5,FALSE))+DAY(VLOOKUP(M$1,Sprints[],2,FALSE)),1,VLOOKUP(M$1,Sprints[],4,FALSE))&lt;&gt;"")*(IF(OFFSET(INDIRECT(CELL("address",INDEX('Leave Tracker'!$A$8:$A$105,MATCH($A46,'Leave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Tracker'!$A$8:$A$105,MATCH($A46,'Leave Tracker'!$A$8:$A$105,0)))),0,31*(VLOOKUP(N$1,Sprints[],5,FALSE))+DAY(VLOOKUP(N$1,Sprints[],2,FALSE)),1,VLOOKUP(N$1,Sprints[],4,FALSE))&lt;&gt;"")*(IF(OFFSET(INDIRECT(CELL("address",INDEX('Leave Tracker'!$A$8:$A$105,MATCH($A46,'Leave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Tracker'!$A$8:$A$105,MATCH($A46,'Leave Tracker'!$A$8:$A$105,0)))),0,31*(VLOOKUP(O$1,Sprints[],5,FALSE))+DAY(VLOOKUP(O$1,Sprints[],2,FALSE)),1,VLOOKUP(O$1,Sprints[],4,FALSE))&lt;&gt;"")*(IF(OFFSET(INDIRECT(CELL("address",INDEX('Leave Tracker'!$A$8:$A$105,MATCH($A46,'Leave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Tracker'!$A$8:$A$105,MATCH($A46,'Leave Tracker'!$A$8:$A$105,0)))),0,31*(VLOOKUP(P$1,Sprints[],5,FALSE))+DAY(VLOOKUP(P$1,Sprints[],2,FALSE)),1,VLOOKUP(P$1,Sprints[],4,FALSE))&lt;&gt;"")*(IF(OFFSET(INDIRECT(CELL("address",INDEX('Leave Tracker'!$A$8:$A$105,MATCH($A46,'Leave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6">
        <f t="array" aca="1" ref="Q46" ca="1">Sheet3!$W$2*$F46*(NETWORKDAYS(VLOOKUP(Q$1,Sprints[],2,FALSE), VLOOKUP(Q$1,Sprints[],3,FALSE))-SUMPRODUCT((OFFSET(INDIRECT(CELL("address",INDEX('Leave Tracker'!$A$8:$A$105,MATCH($A46,'Leave Tracker'!$A$8:$A$105,0)))),0,31*(VLOOKUP(Q$1,Sprints[],5,FALSE))+DAY(VLOOKUP(Q$1,Sprints[],2,FALSE)),1,VLOOKUP(Q$1,Sprints[],4,FALSE))&lt;&gt;"")*(IF(OFFSET(INDIRECT(CELL("address",INDEX('Leave Tracker'!$A$8:$A$105,MATCH($A46,'Leave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6">
        <f t="array" aca="1" ref="R46" ca="1">Sheet3!$W$2*$F46*(NETWORKDAYS(VLOOKUP(R$1,Sprints[],2,FALSE), VLOOKUP(R$1,Sprints[],3,FALSE))-SUMPRODUCT((OFFSET(INDIRECT(CELL("address",INDEX('Leave Tracker'!$A$8:$A$105,MATCH($A46,'Leave Tracker'!$A$8:$A$105,0)))),0,31*(VLOOKUP(R$1,Sprints[],5,FALSE))+DAY(VLOOKUP(R$1,Sprints[],2,FALSE)),1,VLOOKUP(R$1,Sprints[],4,FALSE))&lt;&gt;"")*(IF(OFFSET(INDIRECT(CELL("address",INDEX('Leave Tracker'!$A$8:$A$105,MATCH($A46,'Leave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Tracker'!$A$8:$A$105,MATCH($A46,'Leave Tracker'!$A$8:$A$105,0)))),0,31*(VLOOKUP(S$1,Sprints[],5,FALSE))+DAY(VLOOKUP(S$1,Sprints[],2,FALSE)),1,VLOOKUP(S$1,Sprints[],4,FALSE))&lt;&gt;"")*(IF(OFFSET(INDIRECT(CELL("address",INDEX('Leave Tracker'!$A$8:$A$105,MATCH($A46,'Leave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Tracker'!$A$8:$A$105,MATCH($A46,'Leave Tracker'!$A$8:$A$105,0)))),0,31*(VLOOKUP(T$1,Sprints[],5,FALSE))+DAY(VLOOKUP(T$1,Sprints[],2,FALSE)),1,VLOOKUP(T$1,Sprints[],4,FALSE))&lt;&gt;"")*(IF(OFFSET(INDIRECT(CELL("address",INDEX('Leave Tracker'!$A$8:$A$105,MATCH($A46,'Leave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Tracker'!$A$8:$A$105,MATCH($A46,'Leave Tracker'!$A$8:$A$105,0)))),0,31*(VLOOKUP(U$1,Sprints[],5,FALSE))+DAY(VLOOKUP(U$1,Sprints[],2,FALSE)),1,VLOOKUP(U$1,Sprints[],4,FALSE))&lt;&gt;"")*(IF(OFFSET(INDIRECT(CELL("address",INDEX('Leave Tracker'!$A$8:$A$105,MATCH($A46,'Leave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22.08</v>
      </c>
    </row>
    <row r="47" spans="1:21" x14ac:dyDescent="0.45">
      <c r="A47" s="66" t="s">
        <v>101</v>
      </c>
      <c r="B47" s="66" t="s">
        <v>116</v>
      </c>
      <c r="C47" s="66" t="s">
        <v>118</v>
      </c>
      <c r="D47" s="66" t="s">
        <v>132</v>
      </c>
      <c r="E47" s="66" t="s">
        <v>124</v>
      </c>
      <c r="F47" s="67">
        <v>0.75</v>
      </c>
      <c r="G47" s="66">
        <f t="array" aca="1" ref="G47" ca="1">Sheet3!$W$2*$F47*(NETWORKDAYS(VLOOKUP(G$1,Sprints[],2,FALSE), VLOOKUP(G$1,Sprints[],3,FALSE))-SUMPRODUCT((OFFSET(INDIRECT(CELL("address",INDEX('Leave Tracker'!$A$8:$A$105,MATCH($A47,'Leave Tracker'!$A$8:$A$105,0)))),0,31*(VLOOKUP(G$1,Sprints[],5,FALSE))+DAY(VLOOKUP(G$1,Sprints[],2,FALSE)),1,VLOOKUP(G$1,Sprints[],4,FALSE))&lt;&gt;"")*(IF(OFFSET(INDIRECT(CELL("address",INDEX('Leave Tracker'!$A$8:$A$105,MATCH($A47,'Leave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7" s="66">
        <f t="array" aca="1" ref="H47" ca="1">Sheet3!$W$2*$F47*(NETWORKDAYS(VLOOKUP(H$1,Sprints[],2,FALSE), VLOOKUP(H$1,Sprints[],3,FALSE))-SUMPRODUCT((OFFSET(INDIRECT(CELL("address",INDEX('Leave Tracker'!$A$8:$A$105,MATCH($A47,'Leave Tracker'!$A$8:$A$105,0)))),0,31*(VLOOKUP(H$1,Sprints[],5,FALSE))+DAY(VLOOKUP(H$1,Sprints[],2,FALSE)),1,VLOOKUP(H$1,Sprints[],4,FALSE))&lt;&gt;"")*(IF(OFFSET(INDIRECT(CELL("address",INDEX('Leave Tracker'!$A$8:$A$105,MATCH($A47,'Leave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7" s="66">
        <f t="array" aca="1" ref="I47" ca="1">Sheet3!$W$2*$F47*(NETWORKDAYS(VLOOKUP(I$1,Sprints[],2,FALSE), VLOOKUP(I$1,Sprints[],3,FALSE))-SUMPRODUCT((OFFSET(INDIRECT(CELL("address",INDEX('Leave Tracker'!$A$8:$A$105,MATCH($A47,'Leave Tracker'!$A$8:$A$105,0)))),0,31*(VLOOKUP(I$1,Sprints[],5,FALSE))+DAY(VLOOKUP(I$1,Sprints[],2,FALSE)),1,VLOOKUP(I$1,Sprints[],4,FALSE))&lt;&gt;"")*(IF(OFFSET(INDIRECT(CELL("address",INDEX('Leave Tracker'!$A$8:$A$105,MATCH($A47,'Leave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7" s="66">
        <f t="array" aca="1" ref="J47" ca="1">Sheet3!$W$2*$F47*(NETWORKDAYS(VLOOKUP(J$1,Sprints[],2,FALSE), VLOOKUP(J$1,Sprints[],3,FALSE))-SUMPRODUCT((OFFSET(INDIRECT(CELL("address",INDEX('Leave Tracker'!$A$8:$A$105,MATCH($A47,'Leave Tracker'!$A$8:$A$105,0)))),0,31*(VLOOKUP(J$1,Sprints[],5,FALSE))+DAY(VLOOKUP(J$1,Sprints[],2,FALSE)),1,VLOOKUP(J$1,Sprints[],4,FALSE))&lt;&gt;"")*(IF(OFFSET(INDIRECT(CELL("address",INDEX('Leave Tracker'!$A$8:$A$105,MATCH($A47,'Leave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7" s="66">
        <f t="array" aca="1" ref="K47" ca="1">Sheet3!$W$2*$F47*(NETWORKDAYS(VLOOKUP(K$1,Sprints[],2,FALSE), VLOOKUP(K$1,Sprints[],3,FALSE))-SUMPRODUCT((OFFSET(INDIRECT(CELL("address",INDEX('Leave Tracker'!$A$8:$A$105,MATCH($A47,'Leave Tracker'!$A$8:$A$105,0)))),0,31*(VLOOKUP(K$1,Sprints[],5,FALSE))+DAY(VLOOKUP(K$1,Sprints[],2,FALSE)),1,VLOOKUP(K$1,Sprints[],4,FALSE))&lt;&gt;"")*(IF(OFFSET(INDIRECT(CELL("address",INDEX('Leave Tracker'!$A$8:$A$105,MATCH($A47,'Leave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7" s="66">
        <f t="array" aca="1" ref="L47" ca="1">Sheet3!$W$2*$F47*(NETWORKDAYS(VLOOKUP(L$1,Sprints[],2,FALSE), VLOOKUP(L$1,Sprints[],3,FALSE))-SUMPRODUCT((OFFSET(INDIRECT(CELL("address",INDEX('Leave Tracker'!$A$8:$A$105,MATCH($A47,'Leave Tracker'!$A$8:$A$105,0)))),0,31*(VLOOKUP(L$1,Sprints[],5,FALSE))+DAY(VLOOKUP(L$1,Sprints[],2,FALSE)),1,VLOOKUP(L$1,Sprints[],4,FALSE))&lt;&gt;"")*(IF(OFFSET(INDIRECT(CELL("address",INDEX('Leave Tracker'!$A$8:$A$105,MATCH($A47,'Leave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7" s="66">
        <f t="array" aca="1" ref="M47" ca="1">Sheet3!$W$2*$F47*(NETWORKDAYS(VLOOKUP(M$1,Sprints[],2,FALSE), VLOOKUP(M$1,Sprints[],3,FALSE))-SUMPRODUCT((OFFSET(INDIRECT(CELL("address",INDEX('Leave Tracker'!$A$8:$A$105,MATCH($A47,'Leave Tracker'!$A$8:$A$105,0)))),0,31*(VLOOKUP(M$1,Sprints[],5,FALSE))+DAY(VLOOKUP(M$1,Sprints[],2,FALSE)),1,VLOOKUP(M$1,Sprints[],4,FALSE))&lt;&gt;"")*(IF(OFFSET(INDIRECT(CELL("address",INDEX('Leave Tracker'!$A$8:$A$105,MATCH($A47,'Leave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7" s="66">
        <f t="array" aca="1" ref="N47" ca="1">Sheet3!$W$2*$F47*(NETWORKDAYS(VLOOKUP(N$1,Sprints[],2,FALSE), VLOOKUP(N$1,Sprints[],3,FALSE))-SUMPRODUCT((OFFSET(INDIRECT(CELL("address",INDEX('Leave Tracker'!$A$8:$A$105,MATCH($A47,'Leave Tracker'!$A$8:$A$105,0)))),0,31*(VLOOKUP(N$1,Sprints[],5,FALSE))+DAY(VLOOKUP(N$1,Sprints[],2,FALSE)),1,VLOOKUP(N$1,Sprints[],4,FALSE))&lt;&gt;"")*(IF(OFFSET(INDIRECT(CELL("address",INDEX('Leave Tracker'!$A$8:$A$105,MATCH($A47,'Leave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7" s="66">
        <f t="array" aca="1" ref="O47" ca="1">Sheet3!$W$2*$F47*(NETWORKDAYS(VLOOKUP(O$1,Sprints[],2,FALSE), VLOOKUP(O$1,Sprints[],3,FALSE))-SUMPRODUCT((OFFSET(INDIRECT(CELL("address",INDEX('Leave Tracker'!$A$8:$A$105,MATCH($A47,'Leave Tracker'!$A$8:$A$105,0)))),0,31*(VLOOKUP(O$1,Sprints[],5,FALSE))+DAY(VLOOKUP(O$1,Sprints[],2,FALSE)),1,VLOOKUP(O$1,Sprints[],4,FALSE))&lt;&gt;"")*(IF(OFFSET(INDIRECT(CELL("address",INDEX('Leave Tracker'!$A$8:$A$105,MATCH($A47,'Leave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7" s="66">
        <f t="array" aca="1" ref="P47" ca="1">Sheet3!$W$2*$F47*(NETWORKDAYS(VLOOKUP(P$1,Sprints[],2,FALSE), VLOOKUP(P$1,Sprints[],3,FALSE))-SUMPRODUCT((OFFSET(INDIRECT(CELL("address",INDEX('Leave Tracker'!$A$8:$A$105,MATCH($A47,'Leave Tracker'!$A$8:$A$105,0)))),0,31*(VLOOKUP(P$1,Sprints[],5,FALSE))+DAY(VLOOKUP(P$1,Sprints[],2,FALSE)),1,VLOOKUP(P$1,Sprints[],4,FALSE))&lt;&gt;"")*(IF(OFFSET(INDIRECT(CELL("address",INDEX('Leave Tracker'!$A$8:$A$105,MATCH($A47,'Leave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7" s="66">
        <f t="array" aca="1" ref="Q47" ca="1">Sheet3!$W$2*$F47*(NETWORKDAYS(VLOOKUP(Q$1,Sprints[],2,FALSE), VLOOKUP(Q$1,Sprints[],3,FALSE))-SUMPRODUCT((OFFSET(INDIRECT(CELL("address",INDEX('Leave Tracker'!$A$8:$A$105,MATCH($A47,'Leave Tracker'!$A$8:$A$105,0)))),0,31*(VLOOKUP(Q$1,Sprints[],5,FALSE))+DAY(VLOOKUP(Q$1,Sprints[],2,FALSE)),1,VLOOKUP(Q$1,Sprints[],4,FALSE))&lt;&gt;"")*(IF(OFFSET(INDIRECT(CELL("address",INDEX('Leave Tracker'!$A$8:$A$105,MATCH($A47,'Leave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7" s="66">
        <f t="array" aca="1" ref="R47" ca="1">Sheet3!$W$2*$F47*(NETWORKDAYS(VLOOKUP(R$1,Sprints[],2,FALSE), VLOOKUP(R$1,Sprints[],3,FALSE))-SUMPRODUCT((OFFSET(INDIRECT(CELL("address",INDEX('Leave Tracker'!$A$8:$A$105,MATCH($A47,'Leave Tracker'!$A$8:$A$105,0)))),0,31*(VLOOKUP(R$1,Sprints[],5,FALSE))+DAY(VLOOKUP(R$1,Sprints[],2,FALSE)),1,VLOOKUP(R$1,Sprints[],4,FALSE))&lt;&gt;"")*(IF(OFFSET(INDIRECT(CELL("address",INDEX('Leave Tracker'!$A$8:$A$105,MATCH($A47,'Leave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7" s="68">
        <f t="array" aca="1" ref="S47" ca="1">Sheet3!$W$2*$F47*(NETWORKDAYS(VLOOKUP(S$1,Sprints[],2,FALSE), VLOOKUP(S$1,Sprints[],3,FALSE))-SUMPRODUCT((OFFSET(INDIRECT(CELL("address",INDEX('Leave Tracker'!$A$8:$A$105,MATCH($A47,'Leave Tracker'!$A$8:$A$105,0)))),0,31*(VLOOKUP(S$1,Sprints[],5,FALSE))+DAY(VLOOKUP(S$1,Sprints[],2,FALSE)),1,VLOOKUP(S$1,Sprints[],4,FALSE))&lt;&gt;"")*(IF(OFFSET(INDIRECT(CELL("address",INDEX('Leave Tracker'!$A$8:$A$105,MATCH($A47,'Leave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7" s="68">
        <f t="array" aca="1" ref="T47" ca="1">Sheet3!$W$2*$F47*(NETWORKDAYS(VLOOKUP(T$1,Sprints[],2,FALSE), VLOOKUP(T$1,Sprints[],3,FALSE))-SUMPRODUCT((OFFSET(INDIRECT(CELL("address",INDEX('Leave Tracker'!$A$8:$A$105,MATCH($A47,'Leave Tracker'!$A$8:$A$105,0)))),0,31*(VLOOKUP(T$1,Sprints[],5,FALSE))+DAY(VLOOKUP(T$1,Sprints[],2,FALSE)),1,VLOOKUP(T$1,Sprints[],4,FALSE))&lt;&gt;"")*(IF(OFFSET(INDIRECT(CELL("address",INDEX('Leave Tracker'!$A$8:$A$105,MATCH($A47,'Leave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7" s="79">
        <f t="array" aca="1" ref="U47" ca="1">Sheet3!$W$2*$F47*(NETWORKDAYS(VLOOKUP(U$1,Sprints[],2,FALSE), VLOOKUP(U$1,Sprints[],3,FALSE))-SUMPRODUCT((OFFSET(INDIRECT(CELL("address",INDEX('Leave Tracker'!$A$8:$A$105,MATCH($A47,'Leave Tracker'!$A$8:$A$105,0)))),0,31*(VLOOKUP(U$1,Sprints[],5,FALSE))+DAY(VLOOKUP(U$1,Sprints[],2,FALSE)),1,VLOOKUP(U$1,Sprints[],4,FALSE))&lt;&gt;"")*(IF(OFFSET(INDIRECT(CELL("address",INDEX('Leave Tracker'!$A$8:$A$105,MATCH($A47,'Leave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8" spans="1:21" x14ac:dyDescent="0.45">
      <c r="A48" t="s">
        <v>102</v>
      </c>
      <c r="B48" s="45" t="s">
        <v>116</v>
      </c>
      <c r="C48" s="45" t="s">
        <v>118</v>
      </c>
      <c r="D48" s="45" t="s">
        <v>132</v>
      </c>
      <c r="E48" s="45" t="s">
        <v>125</v>
      </c>
      <c r="F48" s="47">
        <v>0.75</v>
      </c>
      <c r="G48" s="45">
        <f t="array" aca="1" ref="G48" ca="1">Sheet3!$W$2*$F48*(NETWORKDAYS(VLOOKUP(G$1,Sprints[],2,FALSE), VLOOKUP(G$1,Sprints[],3,FALSE))-SUMPRODUCT((OFFSET(INDIRECT(CELL("address",INDEX('Leave Tracker'!$A$8:$A$105,MATCH($A48,'Leave Tracker'!$A$8:$A$105,0)))),0,31*(VLOOKUP(G$1,Sprints[],5,FALSE))+DAY(VLOOKUP(G$1,Sprints[],2,FALSE)),1,VLOOKUP(G$1,Sprints[],4,FALSE))&lt;&gt;"")*(IF(OFFSET(INDIRECT(CELL("address",INDEX('Leave Tracker'!$A$8:$A$105,MATCH($A48,'Leave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>
        <f t="array" aca="1" ref="H48" ca="1">Sheet3!$W$2*$F48*(NETWORKDAYS(VLOOKUP(H$1,Sprints[],2,FALSE), VLOOKUP(H$1,Sprints[],3,FALSE))-SUMPRODUCT((OFFSET(INDIRECT(CELL("address",INDEX('Leave Tracker'!$A$8:$A$105,MATCH($A48,'Leave Tracker'!$A$8:$A$105,0)))),0,31*(VLOOKUP(H$1,Sprints[],5,FALSE))+DAY(VLOOKUP(H$1,Sprints[],2,FALSE)),1,VLOOKUP(H$1,Sprints[],4,FALSE))&lt;&gt;"")*(IF(OFFSET(INDIRECT(CELL("address",INDEX('Leave Tracker'!$A$8:$A$105,MATCH($A48,'Leave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>
        <f t="array" aca="1" ref="I48" ca="1">Sheet3!$W$2*$F48*(NETWORKDAYS(VLOOKUP(I$1,Sprints[],2,FALSE), VLOOKUP(I$1,Sprints[],3,FALSE))-SUMPRODUCT((OFFSET(INDIRECT(CELL("address",INDEX('Leave Tracker'!$A$8:$A$105,MATCH($A48,'Leave Tracker'!$A$8:$A$105,0)))),0,31*(VLOOKUP(I$1,Sprints[],5,FALSE))+DAY(VLOOKUP(I$1,Sprints[],2,FALSE)),1,VLOOKUP(I$1,Sprints[],4,FALSE))&lt;&gt;"")*(IF(OFFSET(INDIRECT(CELL("address",INDEX('Leave Tracker'!$A$8:$A$105,MATCH($A48,'Leave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>
        <f t="array" aca="1" ref="J48" ca="1">Sheet3!$W$2*$F48*(NETWORKDAYS(VLOOKUP(J$1,Sprints[],2,FALSE), VLOOKUP(J$1,Sprints[],3,FALSE))-SUMPRODUCT((OFFSET(INDIRECT(CELL("address",INDEX('Leave Tracker'!$A$8:$A$105,MATCH($A48,'Leave Tracker'!$A$8:$A$105,0)))),0,31*(VLOOKUP(J$1,Sprints[],5,FALSE))+DAY(VLOOKUP(J$1,Sprints[],2,FALSE)),1,VLOOKUP(J$1,Sprints[],4,FALSE))&lt;&gt;"")*(IF(OFFSET(INDIRECT(CELL("address",INDEX('Leave Tracker'!$A$8:$A$105,MATCH($A48,'Leave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>
        <f t="array" aca="1" ref="K48" ca="1">Sheet3!$W$2*$F48*(NETWORKDAYS(VLOOKUP(K$1,Sprints[],2,FALSE), VLOOKUP(K$1,Sprints[],3,FALSE))-SUMPRODUCT((OFFSET(INDIRECT(CELL("address",INDEX('Leave Tracker'!$A$8:$A$105,MATCH($A48,'Leave Tracker'!$A$8:$A$105,0)))),0,31*(VLOOKUP(K$1,Sprints[],5,FALSE))+DAY(VLOOKUP(K$1,Sprints[],2,FALSE)),1,VLOOKUP(K$1,Sprints[],4,FALSE))&lt;&gt;"")*(IF(OFFSET(INDIRECT(CELL("address",INDEX('Leave Tracker'!$A$8:$A$105,MATCH($A48,'Leave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>
        <f t="array" aca="1" ref="L48" ca="1">Sheet3!$W$2*$F48*(NETWORKDAYS(VLOOKUP(L$1,Sprints[],2,FALSE), VLOOKUP(L$1,Sprints[],3,FALSE))-SUMPRODUCT((OFFSET(INDIRECT(CELL("address",INDEX('Leave Tracker'!$A$8:$A$105,MATCH($A48,'Leave Tracker'!$A$8:$A$105,0)))),0,31*(VLOOKUP(L$1,Sprints[],5,FALSE))+DAY(VLOOKUP(L$1,Sprints[],2,FALSE)),1,VLOOKUP(L$1,Sprints[],4,FALSE))&lt;&gt;"")*(IF(OFFSET(INDIRECT(CELL("address",INDEX('Leave Tracker'!$A$8:$A$105,MATCH($A48,'Leave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8" s="45">
        <f t="array" aca="1" ref="M48" ca="1">Sheet3!$W$2*$F48*(NETWORKDAYS(VLOOKUP(M$1,Sprints[],2,FALSE), VLOOKUP(M$1,Sprints[],3,FALSE))-SUMPRODUCT((OFFSET(INDIRECT(CELL("address",INDEX('Leave Tracker'!$A$8:$A$105,MATCH($A48,'Leave Tracker'!$A$8:$A$105,0)))),0,31*(VLOOKUP(M$1,Sprints[],5,FALSE))+DAY(VLOOKUP(M$1,Sprints[],2,FALSE)),1,VLOOKUP(M$1,Sprints[],4,FALSE))&lt;&gt;"")*(IF(OFFSET(INDIRECT(CELL("address",INDEX('Leave Tracker'!$A$8:$A$105,MATCH($A48,'Leave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8">
        <f t="array" aca="1" ref="N48" ca="1">Sheet3!$W$2*$F48*(NETWORKDAYS(VLOOKUP(N$1,Sprints[],2,FALSE), VLOOKUP(N$1,Sprints[],3,FALSE))-SUMPRODUCT((OFFSET(INDIRECT(CELL("address",INDEX('Leave Tracker'!$A$8:$A$105,MATCH($A48,'Leave Tracker'!$A$8:$A$105,0)))),0,31*(VLOOKUP(N$1,Sprints[],5,FALSE))+DAY(VLOOKUP(N$1,Sprints[],2,FALSE)),1,VLOOKUP(N$1,Sprints[],4,FALSE))&lt;&gt;"")*(IF(OFFSET(INDIRECT(CELL("address",INDEX('Leave Tracker'!$A$8:$A$105,MATCH($A48,'Leave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8">
        <f t="array" aca="1" ref="O48" ca="1">Sheet3!$W$2*$F48*(NETWORKDAYS(VLOOKUP(O$1,Sprints[],2,FALSE), VLOOKUP(O$1,Sprints[],3,FALSE))-SUMPRODUCT((OFFSET(INDIRECT(CELL("address",INDEX('Leave Tracker'!$A$8:$A$105,MATCH($A48,'Leave Tracker'!$A$8:$A$105,0)))),0,31*(VLOOKUP(O$1,Sprints[],5,FALSE))+DAY(VLOOKUP(O$1,Sprints[],2,FALSE)),1,VLOOKUP(O$1,Sprints[],4,FALSE))&lt;&gt;"")*(IF(OFFSET(INDIRECT(CELL("address",INDEX('Leave Tracker'!$A$8:$A$105,MATCH($A48,'Leave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8">
        <f t="array" aca="1" ref="P48" ca="1">Sheet3!$W$2*$F48*(NETWORKDAYS(VLOOKUP(P$1,Sprints[],2,FALSE), VLOOKUP(P$1,Sprints[],3,FALSE))-SUMPRODUCT((OFFSET(INDIRECT(CELL("address",INDEX('Leave Tracker'!$A$8:$A$105,MATCH($A48,'Leave Tracker'!$A$8:$A$105,0)))),0,31*(VLOOKUP(P$1,Sprints[],5,FALSE))+DAY(VLOOKUP(P$1,Sprints[],2,FALSE)),1,VLOOKUP(P$1,Sprints[],4,FALSE))&lt;&gt;"")*(IF(OFFSET(INDIRECT(CELL("address",INDEX('Leave Tracker'!$A$8:$A$105,MATCH($A48,'Leave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8">
        <f t="array" aca="1" ref="Q48" ca="1">Sheet3!$W$2*$F48*(NETWORKDAYS(VLOOKUP(Q$1,Sprints[],2,FALSE), VLOOKUP(Q$1,Sprints[],3,FALSE))-SUMPRODUCT((OFFSET(INDIRECT(CELL("address",INDEX('Leave Tracker'!$A$8:$A$105,MATCH($A48,'Leave Tracker'!$A$8:$A$105,0)))),0,31*(VLOOKUP(Q$1,Sprints[],5,FALSE))+DAY(VLOOKUP(Q$1,Sprints[],2,FALSE)),1,VLOOKUP(Q$1,Sprints[],4,FALSE))&lt;&gt;"")*(IF(OFFSET(INDIRECT(CELL("address",INDEX('Leave Tracker'!$A$8:$A$105,MATCH($A48,'Leave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8">
        <f t="array" aca="1" ref="R48" ca="1">Sheet3!$W$2*$F48*(NETWORKDAYS(VLOOKUP(R$1,Sprints[],2,FALSE), VLOOKUP(R$1,Sprints[],3,FALSE))-SUMPRODUCT((OFFSET(INDIRECT(CELL("address",INDEX('Leave Tracker'!$A$8:$A$105,MATCH($A48,'Leave Tracker'!$A$8:$A$105,0)))),0,31*(VLOOKUP(R$1,Sprints[],5,FALSE))+DAY(VLOOKUP(R$1,Sprints[],2,FALSE)),1,VLOOKUP(R$1,Sprints[],4,FALSE))&lt;&gt;"")*(IF(OFFSET(INDIRECT(CELL("address",INDEX('Leave Tracker'!$A$8:$A$105,MATCH($A48,'Leave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8" s="31">
        <f t="array" aca="1" ref="S48" ca="1">Sheet3!$W$2*$F48*(NETWORKDAYS(VLOOKUP(S$1,Sprints[],2,FALSE), VLOOKUP(S$1,Sprints[],3,FALSE))-SUMPRODUCT((OFFSET(INDIRECT(CELL("address",INDEX('Leave Tracker'!$A$8:$A$105,MATCH($A48,'Leave Tracker'!$A$8:$A$105,0)))),0,31*(VLOOKUP(S$1,Sprints[],5,FALSE))+DAY(VLOOKUP(S$1,Sprints[],2,FALSE)),1,VLOOKUP(S$1,Sprints[],4,FALSE))&lt;&gt;"")*(IF(OFFSET(INDIRECT(CELL("address",INDEX('Leave Tracker'!$A$8:$A$105,MATCH($A48,'Leave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8" s="31">
        <f t="array" aca="1" ref="T48" ca="1">Sheet3!$W$2*$F48*(NETWORKDAYS(VLOOKUP(T$1,Sprints[],2,FALSE), VLOOKUP(T$1,Sprints[],3,FALSE))-SUMPRODUCT((OFFSET(INDIRECT(CELL("address",INDEX('Leave Tracker'!$A$8:$A$105,MATCH($A48,'Leave Tracker'!$A$8:$A$105,0)))),0,31*(VLOOKUP(T$1,Sprints[],5,FALSE))+DAY(VLOOKUP(T$1,Sprints[],2,FALSE)),1,VLOOKUP(T$1,Sprints[],4,FALSE))&lt;&gt;"")*(IF(OFFSET(INDIRECT(CELL("address",INDEX('Leave Tracker'!$A$8:$A$105,MATCH($A48,'Leave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8" s="78">
        <f t="array" aca="1" ref="U48" ca="1">Sheet3!$W$2*$F48*(NETWORKDAYS(VLOOKUP(U$1,Sprints[],2,FALSE), VLOOKUP(U$1,Sprints[],3,FALSE))-SUMPRODUCT((OFFSET(INDIRECT(CELL("address",INDEX('Leave Tracker'!$A$8:$A$105,MATCH($A48,'Leave Tracker'!$A$8:$A$105,0)))),0,31*(VLOOKUP(U$1,Sprints[],5,FALSE))+DAY(VLOOKUP(U$1,Sprints[],2,FALSE)),1,VLOOKUP(U$1,Sprints[],4,FALSE))&lt;&gt;"")*(IF(OFFSET(INDIRECT(CELL("address",INDEX('Leave Tracker'!$A$8:$A$105,MATCH($A48,'Leave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27.000000000000004</v>
      </c>
    </row>
    <row r="49" spans="1:21" x14ac:dyDescent="0.45">
      <c r="A49" t="s">
        <v>103</v>
      </c>
      <c r="B49" s="45" t="s">
        <v>116</v>
      </c>
      <c r="C49" s="45" t="s">
        <v>118</v>
      </c>
      <c r="D49" s="45" t="s">
        <v>132</v>
      </c>
      <c r="E49" s="45" t="s">
        <v>124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Tracker'!$A$8:$A$105,MATCH($A49,'Leave Tracker'!$A$8:$A$105,0)))),0,31*(VLOOKUP(G$1,Sprints[],5,FALSE))+DAY(VLOOKUP(G$1,Sprints[],2,FALSE)),1,VLOOKUP(G$1,Sprints[],4,FALSE))&lt;&gt;"")*(IF(OFFSET(INDIRECT(CELL("address",INDEX('Leave Tracker'!$A$8:$A$105,MATCH($A49,'Leave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Tracker'!$A$8:$A$105,MATCH($A49,'Leave Tracker'!$A$8:$A$105,0)))),0,31*(VLOOKUP(H$1,Sprints[],5,FALSE))+DAY(VLOOKUP(H$1,Sprints[],2,FALSE)),1,VLOOKUP(H$1,Sprints[],4,FALSE))&lt;&gt;"")*(IF(OFFSET(INDIRECT(CELL("address",INDEX('Leave Tracker'!$A$8:$A$105,MATCH($A49,'Leave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Tracker'!$A$8:$A$105,MATCH($A49,'Leave Tracker'!$A$8:$A$105,0)))),0,31*(VLOOKUP(I$1,Sprints[],5,FALSE))+DAY(VLOOKUP(I$1,Sprints[],2,FALSE)),1,VLOOKUP(I$1,Sprints[],4,FALSE))&lt;&gt;"")*(IF(OFFSET(INDIRECT(CELL("address",INDEX('Leave Tracker'!$A$8:$A$105,MATCH($A49,'Leave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Tracker'!$A$8:$A$105,MATCH($A49,'Leave Tracker'!$A$8:$A$105,0)))),0,31*(VLOOKUP(J$1,Sprints[],5,FALSE))+DAY(VLOOKUP(J$1,Sprints[],2,FALSE)),1,VLOOKUP(J$1,Sprints[],4,FALSE))&lt;&gt;"")*(IF(OFFSET(INDIRECT(CELL("address",INDEX('Leave Tracker'!$A$8:$A$105,MATCH($A49,'Leave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49">
        <f t="array" aca="1" ref="K49" ca="1">Sheet3!$W$2*$F49*(NETWORKDAYS(VLOOKUP(K$1,Sprints[],2,FALSE), VLOOKUP(K$1,Sprints[],3,FALSE))-SUMPRODUCT((OFFSET(INDIRECT(CELL("address",INDEX('Leave Tracker'!$A$8:$A$105,MATCH($A49,'Leave Tracker'!$A$8:$A$105,0)))),0,31*(VLOOKUP(K$1,Sprints[],5,FALSE))+DAY(VLOOKUP(K$1,Sprints[],2,FALSE)),1,VLOOKUP(K$1,Sprints[],4,FALSE))&lt;&gt;"")*(IF(OFFSET(INDIRECT(CELL("address",INDEX('Leave Tracker'!$A$8:$A$105,MATCH($A49,'Leave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49">
        <f t="array" aca="1" ref="L49" ca="1">Sheet3!$W$2*$F49*(NETWORKDAYS(VLOOKUP(L$1,Sprints[],2,FALSE), VLOOKUP(L$1,Sprints[],3,FALSE))-SUMPRODUCT((OFFSET(INDIRECT(CELL("address",INDEX('Leave Tracker'!$A$8:$A$105,MATCH($A49,'Leave Tracker'!$A$8:$A$105,0)))),0,31*(VLOOKUP(L$1,Sprints[],5,FALSE))+DAY(VLOOKUP(L$1,Sprints[],2,FALSE)),1,VLOOKUP(L$1,Sprints[],4,FALSE))&lt;&gt;"")*(IF(OFFSET(INDIRECT(CELL("address",INDEX('Leave Tracker'!$A$8:$A$105,MATCH($A49,'Leave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Tracker'!$A$8:$A$105,MATCH($A49,'Leave Tracker'!$A$8:$A$105,0)))),0,31*(VLOOKUP(M$1,Sprints[],5,FALSE))+DAY(VLOOKUP(M$1,Sprints[],2,FALSE)),1,VLOOKUP(M$1,Sprints[],4,FALSE))&lt;&gt;"")*(IF(OFFSET(INDIRECT(CELL("address",INDEX('Leave Tracker'!$A$8:$A$105,MATCH($A49,'Leave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Tracker'!$A$8:$A$105,MATCH($A49,'Leave Tracker'!$A$8:$A$105,0)))),0,31*(VLOOKUP(N$1,Sprints[],5,FALSE))+DAY(VLOOKUP(N$1,Sprints[],2,FALSE)),1,VLOOKUP(N$1,Sprints[],4,FALSE))&lt;&gt;"")*(IF(OFFSET(INDIRECT(CELL("address",INDEX('Leave Tracker'!$A$8:$A$105,MATCH($A49,'Leave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Tracker'!$A$8:$A$105,MATCH($A49,'Leave Tracker'!$A$8:$A$105,0)))),0,31*(VLOOKUP(O$1,Sprints[],5,FALSE))+DAY(VLOOKUP(O$1,Sprints[],2,FALSE)),1,VLOOKUP(O$1,Sprints[],4,FALSE))&lt;&gt;"")*(IF(OFFSET(INDIRECT(CELL("address",INDEX('Leave Tracker'!$A$8:$A$105,MATCH($A49,'Leave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9">
        <f t="array" aca="1" ref="P49" ca="1">Sheet3!$W$2*$F49*(NETWORKDAYS(VLOOKUP(P$1,Sprints[],2,FALSE), VLOOKUP(P$1,Sprints[],3,FALSE))-SUMPRODUCT((OFFSET(INDIRECT(CELL("address",INDEX('Leave Tracker'!$A$8:$A$105,MATCH($A49,'Leave Tracker'!$A$8:$A$105,0)))),0,31*(VLOOKUP(P$1,Sprints[],5,FALSE))+DAY(VLOOKUP(P$1,Sprints[],2,FALSE)),1,VLOOKUP(P$1,Sprints[],4,FALSE))&lt;&gt;"")*(IF(OFFSET(INDIRECT(CELL("address",INDEX('Leave Tracker'!$A$8:$A$105,MATCH($A49,'Leave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9">
        <f t="array" aca="1" ref="Q49" ca="1">Sheet3!$W$2*$F49*(NETWORKDAYS(VLOOKUP(Q$1,Sprints[],2,FALSE), VLOOKUP(Q$1,Sprints[],3,FALSE))-SUMPRODUCT((OFFSET(INDIRECT(CELL("address",INDEX('Leave Tracker'!$A$8:$A$105,MATCH($A49,'Leave Tracker'!$A$8:$A$105,0)))),0,31*(VLOOKUP(Q$1,Sprints[],5,FALSE))+DAY(VLOOKUP(Q$1,Sprints[],2,FALSE)),1,VLOOKUP(Q$1,Sprints[],4,FALSE))&lt;&gt;"")*(IF(OFFSET(INDIRECT(CELL("address",INDEX('Leave Tracker'!$A$8:$A$105,MATCH($A49,'Leave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Tracker'!$A$8:$A$105,MATCH($A49,'Leave Tracker'!$A$8:$A$105,0)))),0,31*(VLOOKUP(R$1,Sprints[],5,FALSE))+DAY(VLOOKUP(R$1,Sprints[],2,FALSE)),1,VLOOKUP(R$1,Sprints[],4,FALSE))&lt;&gt;"")*(IF(OFFSET(INDIRECT(CELL("address",INDEX('Leave Tracker'!$A$8:$A$105,MATCH($A49,'Leave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Tracker'!$A$8:$A$105,MATCH($A49,'Leave Tracker'!$A$8:$A$105,0)))),0,31*(VLOOKUP(S$1,Sprints[],5,FALSE))+DAY(VLOOKUP(S$1,Sprints[],2,FALSE)),1,VLOOKUP(S$1,Sprints[],4,FALSE))&lt;&gt;"")*(IF(OFFSET(INDIRECT(CELL("address",INDEX('Leave Tracker'!$A$8:$A$105,MATCH($A49,'Leave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Tracker'!$A$8:$A$105,MATCH($A49,'Leave Tracker'!$A$8:$A$105,0)))),0,31*(VLOOKUP(T$1,Sprints[],5,FALSE))+DAY(VLOOKUP(T$1,Sprints[],2,FALSE)),1,VLOOKUP(T$1,Sprints[],4,FALSE))&lt;&gt;"")*(IF(OFFSET(INDIRECT(CELL("address",INDEX('Leave Tracker'!$A$8:$A$105,MATCH($A49,'Leave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Tracker'!$A$8:$A$105,MATCH($A49,'Leave Tracker'!$A$8:$A$105,0)))),0,31*(VLOOKUP(U$1,Sprints[],5,FALSE))+DAY(VLOOKUP(U$1,Sprints[],2,FALSE)),1,VLOOKUP(U$1,Sprints[],4,FALSE))&lt;&gt;"")*(IF(OFFSET(INDIRECT(CELL("address",INDEX('Leave Tracker'!$A$8:$A$105,MATCH($A49,'Leave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33.600000000000009</v>
      </c>
    </row>
    <row r="50" spans="1:21" x14ac:dyDescent="0.45">
      <c r="A50" t="s">
        <v>104</v>
      </c>
      <c r="B50" s="45" t="s">
        <v>116</v>
      </c>
      <c r="C50" s="45" t="s">
        <v>118</v>
      </c>
      <c r="D50" s="45" t="s">
        <v>133</v>
      </c>
      <c r="E50" s="45" t="s">
        <v>128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Tracker'!$A$8:$A$105,MATCH($A50,'Leave Tracker'!$A$8:$A$105,0)))),0,31*(VLOOKUP(G$1,Sprints[],5,FALSE))+DAY(VLOOKUP(G$1,Sprints[],2,FALSE)),1,VLOOKUP(G$1,Sprints[],4,FALSE))&lt;&gt;"")*(IF(OFFSET(INDIRECT(CELL("address",INDEX('Leave Tracker'!$A$8:$A$105,MATCH($A50,'Leave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Tracker'!$A$8:$A$105,MATCH($A50,'Leave Tracker'!$A$8:$A$105,0)))),0,31*(VLOOKUP(H$1,Sprints[],5,FALSE))+DAY(VLOOKUP(H$1,Sprints[],2,FALSE)),1,VLOOKUP(H$1,Sprints[],4,FALSE))&lt;&gt;"")*(IF(OFFSET(INDIRECT(CELL("address",INDEX('Leave Tracker'!$A$8:$A$105,MATCH($A50,'Leave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Tracker'!$A$8:$A$105,MATCH($A50,'Leave Tracker'!$A$8:$A$105,0)))),0,31*(VLOOKUP(I$1,Sprints[],5,FALSE))+DAY(VLOOKUP(I$1,Sprints[],2,FALSE)),1,VLOOKUP(I$1,Sprints[],4,FALSE))&lt;&gt;"")*(IF(OFFSET(INDIRECT(CELL("address",INDEX('Leave Tracker'!$A$8:$A$105,MATCH($A50,'Leave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Tracker'!$A$8:$A$105,MATCH($A50,'Leave Tracker'!$A$8:$A$105,0)))),0,31*(VLOOKUP(J$1,Sprints[],5,FALSE))+DAY(VLOOKUP(J$1,Sprints[],2,FALSE)),1,VLOOKUP(J$1,Sprints[],4,FALSE))&lt;&gt;"")*(IF(OFFSET(INDIRECT(CELL("address",INDEX('Leave Tracker'!$A$8:$A$105,MATCH($A50,'Leave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0">
        <f t="array" aca="1" ref="K50" ca="1">Sheet3!$W$2*$F50*(NETWORKDAYS(VLOOKUP(K$1,Sprints[],2,FALSE), VLOOKUP(K$1,Sprints[],3,FALSE))-SUMPRODUCT((OFFSET(INDIRECT(CELL("address",INDEX('Leave Tracker'!$A$8:$A$105,MATCH($A50,'Leave Tracker'!$A$8:$A$105,0)))),0,31*(VLOOKUP(K$1,Sprints[],5,FALSE))+DAY(VLOOKUP(K$1,Sprints[],2,FALSE)),1,VLOOKUP(K$1,Sprints[],4,FALSE))&lt;&gt;"")*(IF(OFFSET(INDIRECT(CELL("address",INDEX('Leave Tracker'!$A$8:$A$105,MATCH($A50,'Leave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0">
        <f t="array" aca="1" ref="L50" ca="1">Sheet3!$W$2*$F50*(NETWORKDAYS(VLOOKUP(L$1,Sprints[],2,FALSE), VLOOKUP(L$1,Sprints[],3,FALSE))-SUMPRODUCT((OFFSET(INDIRECT(CELL("address",INDEX('Leave Tracker'!$A$8:$A$105,MATCH($A50,'Leave Tracker'!$A$8:$A$105,0)))),0,31*(VLOOKUP(L$1,Sprints[],5,FALSE))+DAY(VLOOKUP(L$1,Sprints[],2,FALSE)),1,VLOOKUP(L$1,Sprints[],4,FALSE))&lt;&gt;"")*(IF(OFFSET(INDIRECT(CELL("address",INDEX('Leave Tracker'!$A$8:$A$105,MATCH($A50,'Leave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Tracker'!$A$8:$A$105,MATCH($A50,'Leave Tracker'!$A$8:$A$105,0)))),0,31*(VLOOKUP(M$1,Sprints[],5,FALSE))+DAY(VLOOKUP(M$1,Sprints[],2,FALSE)),1,VLOOKUP(M$1,Sprints[],4,FALSE))&lt;&gt;"")*(IF(OFFSET(INDIRECT(CELL("address",INDEX('Leave Tracker'!$A$8:$A$105,MATCH($A50,'Leave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0">
        <f t="array" aca="1" ref="N50" ca="1">Sheet3!$W$2*$F50*(NETWORKDAYS(VLOOKUP(N$1,Sprints[],2,FALSE), VLOOKUP(N$1,Sprints[],3,FALSE))-SUMPRODUCT((OFFSET(INDIRECT(CELL("address",INDEX('Leave Tracker'!$A$8:$A$105,MATCH($A50,'Leave Tracker'!$A$8:$A$105,0)))),0,31*(VLOOKUP(N$1,Sprints[],5,FALSE))+DAY(VLOOKUP(N$1,Sprints[],2,FALSE)),1,VLOOKUP(N$1,Sprints[],4,FALSE))&lt;&gt;"")*(IF(OFFSET(INDIRECT(CELL("address",INDEX('Leave Tracker'!$A$8:$A$105,MATCH($A50,'Leave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0">
        <f t="array" aca="1" ref="O50" ca="1">Sheet3!$W$2*$F50*(NETWORKDAYS(VLOOKUP(O$1,Sprints[],2,FALSE), VLOOKUP(O$1,Sprints[],3,FALSE))-SUMPRODUCT((OFFSET(INDIRECT(CELL("address",INDEX('Leave Tracker'!$A$8:$A$105,MATCH($A50,'Leave Tracker'!$A$8:$A$105,0)))),0,31*(VLOOKUP(O$1,Sprints[],5,FALSE))+DAY(VLOOKUP(O$1,Sprints[],2,FALSE)),1,VLOOKUP(O$1,Sprints[],4,FALSE))&lt;&gt;"")*(IF(OFFSET(INDIRECT(CELL("address",INDEX('Leave Tracker'!$A$8:$A$105,MATCH($A50,'Leave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0">
        <f t="array" aca="1" ref="P50" ca="1">Sheet3!$W$2*$F50*(NETWORKDAYS(VLOOKUP(P$1,Sprints[],2,FALSE), VLOOKUP(P$1,Sprints[],3,FALSE))-SUMPRODUCT((OFFSET(INDIRECT(CELL("address",INDEX('Leave Tracker'!$A$8:$A$105,MATCH($A50,'Leave Tracker'!$A$8:$A$105,0)))),0,31*(VLOOKUP(P$1,Sprints[],5,FALSE))+DAY(VLOOKUP(P$1,Sprints[],2,FALSE)),1,VLOOKUP(P$1,Sprints[],4,FALSE))&lt;&gt;"")*(IF(OFFSET(INDIRECT(CELL("address",INDEX('Leave Tracker'!$A$8:$A$105,MATCH($A50,'Leave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Tracker'!$A$8:$A$105,MATCH($A50,'Leave Tracker'!$A$8:$A$105,0)))),0,31*(VLOOKUP(Q$1,Sprints[],5,FALSE))+DAY(VLOOKUP(Q$1,Sprints[],2,FALSE)),1,VLOOKUP(Q$1,Sprints[],4,FALSE))&lt;&gt;"")*(IF(OFFSET(INDIRECT(CELL("address",INDEX('Leave Tracker'!$A$8:$A$105,MATCH($A50,'Leave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Tracker'!$A$8:$A$105,MATCH($A50,'Leave Tracker'!$A$8:$A$105,0)))),0,31*(VLOOKUP(R$1,Sprints[],5,FALSE))+DAY(VLOOKUP(R$1,Sprints[],2,FALSE)),1,VLOOKUP(R$1,Sprints[],4,FALSE))&lt;&gt;"")*(IF(OFFSET(INDIRECT(CELL("address",INDEX('Leave Tracker'!$A$8:$A$105,MATCH($A50,'Leave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Tracker'!$A$8:$A$105,MATCH($A50,'Leave Tracker'!$A$8:$A$105,0)))),0,31*(VLOOKUP(S$1,Sprints[],5,FALSE))+DAY(VLOOKUP(S$1,Sprints[],2,FALSE)),1,VLOOKUP(S$1,Sprints[],4,FALSE))&lt;&gt;"")*(IF(OFFSET(INDIRECT(CELL("address",INDEX('Leave Tracker'!$A$8:$A$105,MATCH($A50,'Leave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Tracker'!$A$8:$A$105,MATCH($A50,'Leave Tracker'!$A$8:$A$105,0)))),0,31*(VLOOKUP(T$1,Sprints[],5,FALSE))+DAY(VLOOKUP(T$1,Sprints[],2,FALSE)),1,VLOOKUP(T$1,Sprints[],4,FALSE))&lt;&gt;"")*(IF(OFFSET(INDIRECT(CELL("address",INDEX('Leave Tracker'!$A$8:$A$105,MATCH($A50,'Leave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Tracker'!$A$8:$A$105,MATCH($A50,'Leave Tracker'!$A$8:$A$105,0)))),0,31*(VLOOKUP(U$1,Sprints[],5,FALSE))+DAY(VLOOKUP(U$1,Sprints[],2,FALSE)),1,VLOOKUP(U$1,Sprints[],4,FALSE))&lt;&gt;"")*(IF(OFFSET(INDIRECT(CELL("address",INDEX('Leave Tracker'!$A$8:$A$105,MATCH($A50,'Leave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32.400000000000006</v>
      </c>
    </row>
    <row r="51" spans="1:21" x14ac:dyDescent="0.45">
      <c r="A51" t="s">
        <v>105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Tracker'!$A$8:$A$105,MATCH($A51,'Leave Tracker'!$A$8:$A$105,0)))),0,31*(VLOOKUP(G$1,Sprints[],5,FALSE))+DAY(VLOOKUP(G$1,Sprints[],2,FALSE)),1,VLOOKUP(G$1,Sprints[],4,FALSE))&lt;&gt;"")*(IF(OFFSET(INDIRECT(CELL("address",INDEX('Leave Tracker'!$A$8:$A$105,MATCH($A51,'Leave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Tracker'!$A$8:$A$105,MATCH($A51,'Leave Tracker'!$A$8:$A$105,0)))),0,31*(VLOOKUP(H$1,Sprints[],5,FALSE))+DAY(VLOOKUP(H$1,Sprints[],2,FALSE)),1,VLOOKUP(H$1,Sprints[],4,FALSE))&lt;&gt;"")*(IF(OFFSET(INDIRECT(CELL("address",INDEX('Leave Tracker'!$A$8:$A$105,MATCH($A51,'Leave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Tracker'!$A$8:$A$105,MATCH($A51,'Leave Tracker'!$A$8:$A$105,0)))),0,31*(VLOOKUP(I$1,Sprints[],5,FALSE))+DAY(VLOOKUP(I$1,Sprints[],2,FALSE)),1,VLOOKUP(I$1,Sprints[],4,FALSE))&lt;&gt;"")*(IF(OFFSET(INDIRECT(CELL("address",INDEX('Leave Tracker'!$A$8:$A$105,MATCH($A51,'Leave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Tracker'!$A$8:$A$105,MATCH($A51,'Leave Tracker'!$A$8:$A$105,0)))),0,31*(VLOOKUP(J$1,Sprints[],5,FALSE))+DAY(VLOOKUP(J$1,Sprints[],2,FALSE)),1,VLOOKUP(J$1,Sprints[],4,FALSE))&lt;&gt;"")*(IF(OFFSET(INDIRECT(CELL("address",INDEX('Leave Tracker'!$A$8:$A$105,MATCH($A51,'Leave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Tracker'!$A$8:$A$105,MATCH($A51,'Leave Tracker'!$A$8:$A$105,0)))),0,31*(VLOOKUP(K$1,Sprints[],5,FALSE))+DAY(VLOOKUP(K$1,Sprints[],2,FALSE)),1,VLOOKUP(K$1,Sprints[],4,FALSE))&lt;&gt;"")*(IF(OFFSET(INDIRECT(CELL("address",INDEX('Leave Tracker'!$A$8:$A$105,MATCH($A51,'Leave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Tracker'!$A$8:$A$105,MATCH($A51,'Leave Tracker'!$A$8:$A$105,0)))),0,31*(VLOOKUP(L$1,Sprints[],5,FALSE))+DAY(VLOOKUP(L$1,Sprints[],2,FALSE)),1,VLOOKUP(L$1,Sprints[],4,FALSE))&lt;&gt;"")*(IF(OFFSET(INDIRECT(CELL("address",INDEX('Leave Tracker'!$A$8:$A$105,MATCH($A51,'Leave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Tracker'!$A$8:$A$105,MATCH($A51,'Leave Tracker'!$A$8:$A$105,0)))),0,31*(VLOOKUP(M$1,Sprints[],5,FALSE))+DAY(VLOOKUP(M$1,Sprints[],2,FALSE)),1,VLOOKUP(M$1,Sprints[],4,FALSE))&lt;&gt;"")*(IF(OFFSET(INDIRECT(CELL("address",INDEX('Leave Tracker'!$A$8:$A$105,MATCH($A51,'Leave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1">
        <f t="array" aca="1" ref="N51" ca="1">Sheet3!$W$2*$F51*(NETWORKDAYS(VLOOKUP(N$1,Sprints[],2,FALSE), VLOOKUP(N$1,Sprints[],3,FALSE))-SUMPRODUCT((OFFSET(INDIRECT(CELL("address",INDEX('Leave Tracker'!$A$8:$A$105,MATCH($A51,'Leave Tracker'!$A$8:$A$105,0)))),0,31*(VLOOKUP(N$1,Sprints[],5,FALSE))+DAY(VLOOKUP(N$1,Sprints[],2,FALSE)),1,VLOOKUP(N$1,Sprints[],4,FALSE))&lt;&gt;"")*(IF(OFFSET(INDIRECT(CELL("address",INDEX('Leave Tracker'!$A$8:$A$105,MATCH($A51,'Leave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1">
        <f t="array" aca="1" ref="O51" ca="1">Sheet3!$W$2*$F51*(NETWORKDAYS(VLOOKUP(O$1,Sprints[],2,FALSE), VLOOKUP(O$1,Sprints[],3,FALSE))-SUMPRODUCT((OFFSET(INDIRECT(CELL("address",INDEX('Leave Tracker'!$A$8:$A$105,MATCH($A51,'Leave Tracker'!$A$8:$A$105,0)))),0,31*(VLOOKUP(O$1,Sprints[],5,FALSE))+DAY(VLOOKUP(O$1,Sprints[],2,FALSE)),1,VLOOKUP(O$1,Sprints[],4,FALSE))&lt;&gt;"")*(IF(OFFSET(INDIRECT(CELL("address",INDEX('Leave Tracker'!$A$8:$A$105,MATCH($A51,'Leave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1">
        <f t="array" aca="1" ref="P51" ca="1">Sheet3!$W$2*$F51*(NETWORKDAYS(VLOOKUP(P$1,Sprints[],2,FALSE), VLOOKUP(P$1,Sprints[],3,FALSE))-SUMPRODUCT((OFFSET(INDIRECT(CELL("address",INDEX('Leave Tracker'!$A$8:$A$105,MATCH($A51,'Leave Tracker'!$A$8:$A$105,0)))),0,31*(VLOOKUP(P$1,Sprints[],5,FALSE))+DAY(VLOOKUP(P$1,Sprints[],2,FALSE)),1,VLOOKUP(P$1,Sprints[],4,FALSE))&lt;&gt;"")*(IF(OFFSET(INDIRECT(CELL("address",INDEX('Leave Tracker'!$A$8:$A$105,MATCH($A51,'Leave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Tracker'!$A$8:$A$105,MATCH($A51,'Leave Tracker'!$A$8:$A$105,0)))),0,31*(VLOOKUP(Q$1,Sprints[],5,FALSE))+DAY(VLOOKUP(Q$1,Sprints[],2,FALSE)),1,VLOOKUP(Q$1,Sprints[],4,FALSE))&lt;&gt;"")*(IF(OFFSET(INDIRECT(CELL("address",INDEX('Leave Tracker'!$A$8:$A$105,MATCH($A51,'Leave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Tracker'!$A$8:$A$105,MATCH($A51,'Leave Tracker'!$A$8:$A$105,0)))),0,31*(VLOOKUP(R$1,Sprints[],5,FALSE))+DAY(VLOOKUP(R$1,Sprints[],2,FALSE)),1,VLOOKUP(R$1,Sprints[],4,FALSE))&lt;&gt;"")*(IF(OFFSET(INDIRECT(CELL("address",INDEX('Leave Tracker'!$A$8:$A$105,MATCH($A51,'Leave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Tracker'!$A$8:$A$105,MATCH($A51,'Leave Tracker'!$A$8:$A$105,0)))),0,31*(VLOOKUP(S$1,Sprints[],5,FALSE))+DAY(VLOOKUP(S$1,Sprints[],2,FALSE)),1,VLOOKUP(S$1,Sprints[],4,FALSE))&lt;&gt;"")*(IF(OFFSET(INDIRECT(CELL("address",INDEX('Leave Tracker'!$A$8:$A$105,MATCH($A51,'Leave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Tracker'!$A$8:$A$105,MATCH($A51,'Leave Tracker'!$A$8:$A$105,0)))),0,31*(VLOOKUP(T$1,Sprints[],5,FALSE))+DAY(VLOOKUP(T$1,Sprints[],2,FALSE)),1,VLOOKUP(T$1,Sprints[],4,FALSE))&lt;&gt;"")*(IF(OFFSET(INDIRECT(CELL("address",INDEX('Leave Tracker'!$A$8:$A$105,MATCH($A51,'Leave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Tracker'!$A$8:$A$105,MATCH($A51,'Leave Tracker'!$A$8:$A$105,0)))),0,31*(VLOOKUP(U$1,Sprints[],5,FALSE))+DAY(VLOOKUP(U$1,Sprints[],2,FALSE)),1,VLOOKUP(U$1,Sprints[],4,FALSE))&lt;&gt;"")*(IF(OFFSET(INDIRECT(CELL("address",INDEX('Leave Tracker'!$A$8:$A$105,MATCH($A51,'Leave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33.600000000000009</v>
      </c>
    </row>
    <row r="52" spans="1:21" x14ac:dyDescent="0.45">
      <c r="A52" t="s">
        <v>106</v>
      </c>
      <c r="B52" s="45" t="s">
        <v>116</v>
      </c>
      <c r="C52" s="45" t="s">
        <v>118</v>
      </c>
      <c r="D52" s="45" t="s">
        <v>132</v>
      </c>
      <c r="E52" s="45" t="s">
        <v>125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Tracker'!$A$8:$A$105,MATCH($A52,'Leave Tracker'!$A$8:$A$105,0)))),0,31*(VLOOKUP(G$1,Sprints[],5,FALSE))+DAY(VLOOKUP(G$1,Sprints[],2,FALSE)),1,VLOOKUP(G$1,Sprints[],4,FALSE))&lt;&gt;"")*(IF(OFFSET(INDIRECT(CELL("address",INDEX('Leave Tracker'!$A$8:$A$105,MATCH($A52,'Leave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Tracker'!$A$8:$A$105,MATCH($A52,'Leave Tracker'!$A$8:$A$105,0)))),0,31*(VLOOKUP(H$1,Sprints[],5,FALSE))+DAY(VLOOKUP(H$1,Sprints[],2,FALSE)),1,VLOOKUP(H$1,Sprints[],4,FALSE))&lt;&gt;"")*(IF(OFFSET(INDIRECT(CELL("address",INDEX('Leave Tracker'!$A$8:$A$105,MATCH($A52,'Leave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Tracker'!$A$8:$A$105,MATCH($A52,'Leave Tracker'!$A$8:$A$105,0)))),0,31*(VLOOKUP(I$1,Sprints[],5,FALSE))+DAY(VLOOKUP(I$1,Sprints[],2,FALSE)),1,VLOOKUP(I$1,Sprints[],4,FALSE))&lt;&gt;"")*(IF(OFFSET(INDIRECT(CELL("address",INDEX('Leave Tracker'!$A$8:$A$105,MATCH($A52,'Leave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Tracker'!$A$8:$A$105,MATCH($A52,'Leave Tracker'!$A$8:$A$105,0)))),0,31*(VLOOKUP(J$1,Sprints[],5,FALSE))+DAY(VLOOKUP(J$1,Sprints[],2,FALSE)),1,VLOOKUP(J$1,Sprints[],4,FALSE))&lt;&gt;"")*(IF(OFFSET(INDIRECT(CELL("address",INDEX('Leave Tracker'!$A$8:$A$105,MATCH($A52,'Leave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Tracker'!$A$8:$A$105,MATCH($A52,'Leave Tracker'!$A$8:$A$105,0)))),0,31*(VLOOKUP(K$1,Sprints[],5,FALSE))+DAY(VLOOKUP(K$1,Sprints[],2,FALSE)),1,VLOOKUP(K$1,Sprints[],4,FALSE))&lt;&gt;"")*(IF(OFFSET(INDIRECT(CELL("address",INDEX('Leave Tracker'!$A$8:$A$105,MATCH($A52,'Leave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Tracker'!$A$8:$A$105,MATCH($A52,'Leave Tracker'!$A$8:$A$105,0)))),0,31*(VLOOKUP(L$1,Sprints[],5,FALSE))+DAY(VLOOKUP(L$1,Sprints[],2,FALSE)),1,VLOOKUP(L$1,Sprints[],4,FALSE))&lt;&gt;"")*(IF(OFFSET(INDIRECT(CELL("address",INDEX('Leave Tracker'!$A$8:$A$105,MATCH($A52,'Leave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Tracker'!$A$8:$A$105,MATCH($A52,'Leave Tracker'!$A$8:$A$105,0)))),0,31*(VLOOKUP(M$1,Sprints[],5,FALSE))+DAY(VLOOKUP(M$1,Sprints[],2,FALSE)),1,VLOOKUP(M$1,Sprints[],4,FALSE))&lt;&gt;"")*(IF(OFFSET(INDIRECT(CELL("address",INDEX('Leave Tracker'!$A$8:$A$105,MATCH($A52,'Leave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Tracker'!$A$8:$A$105,MATCH($A52,'Leave Tracker'!$A$8:$A$105,0)))),0,31*(VLOOKUP(N$1,Sprints[],5,FALSE))+DAY(VLOOKUP(N$1,Sprints[],2,FALSE)),1,VLOOKUP(N$1,Sprints[],4,FALSE))&lt;&gt;"")*(IF(OFFSET(INDIRECT(CELL("address",INDEX('Leave Tracker'!$A$8:$A$105,MATCH($A52,'Leave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Tracker'!$A$8:$A$105,MATCH($A52,'Leave Tracker'!$A$8:$A$105,0)))),0,31*(VLOOKUP(O$1,Sprints[],5,FALSE))+DAY(VLOOKUP(O$1,Sprints[],2,FALSE)),1,VLOOKUP(O$1,Sprints[],4,FALSE))&lt;&gt;"")*(IF(OFFSET(INDIRECT(CELL("address",INDEX('Leave Tracker'!$A$8:$A$105,MATCH($A52,'Leave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Tracker'!$A$8:$A$105,MATCH($A52,'Leave Tracker'!$A$8:$A$105,0)))),0,31*(VLOOKUP(P$1,Sprints[],5,FALSE))+DAY(VLOOKUP(P$1,Sprints[],2,FALSE)),1,VLOOKUP(P$1,Sprints[],4,FALSE))&lt;&gt;"")*(IF(OFFSET(INDIRECT(CELL("address",INDEX('Leave Tracker'!$A$8:$A$105,MATCH($A52,'Leave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Tracker'!$A$8:$A$105,MATCH($A52,'Leave Tracker'!$A$8:$A$105,0)))),0,31*(VLOOKUP(Q$1,Sprints[],5,FALSE))+DAY(VLOOKUP(Q$1,Sprints[],2,FALSE)),1,VLOOKUP(Q$1,Sprints[],4,FALSE))&lt;&gt;"")*(IF(OFFSET(INDIRECT(CELL("address",INDEX('Leave Tracker'!$A$8:$A$105,MATCH($A52,'Leave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Tracker'!$A$8:$A$105,MATCH($A52,'Leave Tracker'!$A$8:$A$105,0)))),0,31*(VLOOKUP(R$1,Sprints[],5,FALSE))+DAY(VLOOKUP(R$1,Sprints[],2,FALSE)),1,VLOOKUP(R$1,Sprints[],4,FALSE))&lt;&gt;"")*(IF(OFFSET(INDIRECT(CELL("address",INDEX('Leave Tracker'!$A$8:$A$105,MATCH($A52,'Leave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2" s="31">
        <f t="array" aca="1" ref="S52" ca="1">Sheet3!$W$2*$F52*(NETWORKDAYS(VLOOKUP(S$1,Sprints[],2,FALSE), VLOOKUP(S$1,Sprints[],3,FALSE))-SUMPRODUCT((OFFSET(INDIRECT(CELL("address",INDEX('Leave Tracker'!$A$8:$A$105,MATCH($A52,'Leave Tracker'!$A$8:$A$105,0)))),0,31*(VLOOKUP(S$1,Sprints[],5,FALSE))+DAY(VLOOKUP(S$1,Sprints[],2,FALSE)),1,VLOOKUP(S$1,Sprints[],4,FALSE))&lt;&gt;"")*(IF(OFFSET(INDIRECT(CELL("address",INDEX('Leave Tracker'!$A$8:$A$105,MATCH($A52,'Leave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2" s="31">
        <f t="array" aca="1" ref="T52" ca="1">Sheet3!$W$2*$F52*(NETWORKDAYS(VLOOKUP(T$1,Sprints[],2,FALSE), VLOOKUP(T$1,Sprints[],3,FALSE))-SUMPRODUCT((OFFSET(INDIRECT(CELL("address",INDEX('Leave Tracker'!$A$8:$A$105,MATCH($A52,'Leave Tracker'!$A$8:$A$105,0)))),0,31*(VLOOKUP(T$1,Sprints[],5,FALSE))+DAY(VLOOKUP(T$1,Sprints[],2,FALSE)),1,VLOOKUP(T$1,Sprints[],4,FALSE))&lt;&gt;"")*(IF(OFFSET(INDIRECT(CELL("address",INDEX('Leave Tracker'!$A$8:$A$105,MATCH($A52,'Leave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Tracker'!$A$8:$A$105,MATCH($A52,'Leave Tracker'!$A$8:$A$105,0)))),0,31*(VLOOKUP(U$1,Sprints[],5,FALSE))+DAY(VLOOKUP(U$1,Sprints[],2,FALSE)),1,VLOOKUP(U$1,Sprints[],4,FALSE))&lt;&gt;"")*(IF(OFFSET(INDIRECT(CELL("address",INDEX('Leave Tracker'!$A$8:$A$105,MATCH($A52,'Leave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27.000000000000004</v>
      </c>
    </row>
    <row r="53" spans="1:21" x14ac:dyDescent="0.45">
      <c r="A53" t="s">
        <v>107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Tracker'!$A$8:$A$105,MATCH($A53,'Leave Tracker'!$A$8:$A$105,0)))),0,31*(VLOOKUP(G$1,Sprints[],5,FALSE))+DAY(VLOOKUP(G$1,Sprints[],2,FALSE)),1,VLOOKUP(G$1,Sprints[],4,FALSE))&lt;&gt;"")*(IF(OFFSET(INDIRECT(CELL("address",INDEX('Leave Tracker'!$A$8:$A$105,MATCH($A53,'Leave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Tracker'!$A$8:$A$105,MATCH($A53,'Leave Tracker'!$A$8:$A$105,0)))),0,31*(VLOOKUP(H$1,Sprints[],5,FALSE))+DAY(VLOOKUP(H$1,Sprints[],2,FALSE)),1,VLOOKUP(H$1,Sprints[],4,FALSE))&lt;&gt;"")*(IF(OFFSET(INDIRECT(CELL("address",INDEX('Leave Tracker'!$A$8:$A$105,MATCH($A53,'Leave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Tracker'!$A$8:$A$105,MATCH($A53,'Leave Tracker'!$A$8:$A$105,0)))),0,31*(VLOOKUP(I$1,Sprints[],5,FALSE))+DAY(VLOOKUP(I$1,Sprints[],2,FALSE)),1,VLOOKUP(I$1,Sprints[],4,FALSE))&lt;&gt;"")*(IF(OFFSET(INDIRECT(CELL("address",INDEX('Leave Tracker'!$A$8:$A$105,MATCH($A53,'Leave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Tracker'!$A$8:$A$105,MATCH($A53,'Leave Tracker'!$A$8:$A$105,0)))),0,31*(VLOOKUP(J$1,Sprints[],5,FALSE))+DAY(VLOOKUP(J$1,Sprints[],2,FALSE)),1,VLOOKUP(J$1,Sprints[],4,FALSE))&lt;&gt;"")*(IF(OFFSET(INDIRECT(CELL("address",INDEX('Leave Tracker'!$A$8:$A$105,MATCH($A53,'Leave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Tracker'!$A$8:$A$105,MATCH($A53,'Leave Tracker'!$A$8:$A$105,0)))),0,31*(VLOOKUP(K$1,Sprints[],5,FALSE))+DAY(VLOOKUP(K$1,Sprints[],2,FALSE)),1,VLOOKUP(K$1,Sprints[],4,FALSE))&lt;&gt;"")*(IF(OFFSET(INDIRECT(CELL("address",INDEX('Leave Tracker'!$A$8:$A$105,MATCH($A53,'Leave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Tracker'!$A$8:$A$105,MATCH($A53,'Leave Tracker'!$A$8:$A$105,0)))),0,31*(VLOOKUP(L$1,Sprints[],5,FALSE))+DAY(VLOOKUP(L$1,Sprints[],2,FALSE)),1,VLOOKUP(L$1,Sprints[],4,FALSE))&lt;&gt;"")*(IF(OFFSET(INDIRECT(CELL("address",INDEX('Leave Tracker'!$A$8:$A$105,MATCH($A53,'Leave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Tracker'!$A$8:$A$105,MATCH($A53,'Leave Tracker'!$A$8:$A$105,0)))),0,31*(VLOOKUP(M$1,Sprints[],5,FALSE))+DAY(VLOOKUP(M$1,Sprints[],2,FALSE)),1,VLOOKUP(M$1,Sprints[],4,FALSE))&lt;&gt;"")*(IF(OFFSET(INDIRECT(CELL("address",INDEX('Leave Tracker'!$A$8:$A$105,MATCH($A53,'Leave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Tracker'!$A$8:$A$105,MATCH($A53,'Leave Tracker'!$A$8:$A$105,0)))),0,31*(VLOOKUP(N$1,Sprints[],5,FALSE))+DAY(VLOOKUP(N$1,Sprints[],2,FALSE)),1,VLOOKUP(N$1,Sprints[],4,FALSE))&lt;&gt;"")*(IF(OFFSET(INDIRECT(CELL("address",INDEX('Leave Tracker'!$A$8:$A$105,MATCH($A53,'Leave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3">
        <f t="array" aca="1" ref="O53" ca="1">Sheet3!$W$2*$F53*(NETWORKDAYS(VLOOKUP(O$1,Sprints[],2,FALSE), VLOOKUP(O$1,Sprints[],3,FALSE))-SUMPRODUCT((OFFSET(INDIRECT(CELL("address",INDEX('Leave Tracker'!$A$8:$A$105,MATCH($A53,'Leave Tracker'!$A$8:$A$105,0)))),0,31*(VLOOKUP(O$1,Sprints[],5,FALSE))+DAY(VLOOKUP(O$1,Sprints[],2,FALSE)),1,VLOOKUP(O$1,Sprints[],4,FALSE))&lt;&gt;"")*(IF(OFFSET(INDIRECT(CELL("address",INDEX('Leave Tracker'!$A$8:$A$105,MATCH($A53,'Leave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3">
        <f t="array" aca="1" ref="P53" ca="1">Sheet3!$W$2*$F53*(NETWORKDAYS(VLOOKUP(P$1,Sprints[],2,FALSE), VLOOKUP(P$1,Sprints[],3,FALSE))-SUMPRODUCT((OFFSET(INDIRECT(CELL("address",INDEX('Leave Tracker'!$A$8:$A$105,MATCH($A53,'Leave Tracker'!$A$8:$A$105,0)))),0,31*(VLOOKUP(P$1,Sprints[],5,FALSE))+DAY(VLOOKUP(P$1,Sprints[],2,FALSE)),1,VLOOKUP(P$1,Sprints[],4,FALSE))&lt;&gt;"")*(IF(OFFSET(INDIRECT(CELL("address",INDEX('Leave Tracker'!$A$8:$A$105,MATCH($A53,'Leave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Tracker'!$A$8:$A$105,MATCH($A53,'Leave Tracker'!$A$8:$A$105,0)))),0,31*(VLOOKUP(Q$1,Sprints[],5,FALSE))+DAY(VLOOKUP(Q$1,Sprints[],2,FALSE)),1,VLOOKUP(Q$1,Sprints[],4,FALSE))&lt;&gt;"")*(IF(OFFSET(INDIRECT(CELL("address",INDEX('Leave Tracker'!$A$8:$A$105,MATCH($A53,'Leave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Tracker'!$A$8:$A$105,MATCH($A53,'Leave Tracker'!$A$8:$A$105,0)))),0,31*(VLOOKUP(R$1,Sprints[],5,FALSE))+DAY(VLOOKUP(R$1,Sprints[],2,FALSE)),1,VLOOKUP(R$1,Sprints[],4,FALSE))&lt;&gt;"")*(IF(OFFSET(INDIRECT(CELL("address",INDEX('Leave Tracker'!$A$8:$A$105,MATCH($A53,'Leave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3" s="31">
        <f t="array" aca="1" ref="S53" ca="1">Sheet3!$W$2*$F53*(NETWORKDAYS(VLOOKUP(S$1,Sprints[],2,FALSE), VLOOKUP(S$1,Sprints[],3,FALSE))-SUMPRODUCT((OFFSET(INDIRECT(CELL("address",INDEX('Leave Tracker'!$A$8:$A$105,MATCH($A53,'Leave Tracker'!$A$8:$A$105,0)))),0,31*(VLOOKUP(S$1,Sprints[],5,FALSE))+DAY(VLOOKUP(S$1,Sprints[],2,FALSE)),1,VLOOKUP(S$1,Sprints[],4,FALSE))&lt;&gt;"")*(IF(OFFSET(INDIRECT(CELL("address",INDEX('Leave Tracker'!$A$8:$A$105,MATCH($A53,'Leave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3" s="31">
        <f t="array" aca="1" ref="T53" ca="1">Sheet3!$W$2*$F53*(NETWORKDAYS(VLOOKUP(T$1,Sprints[],2,FALSE), VLOOKUP(T$1,Sprints[],3,FALSE))-SUMPRODUCT((OFFSET(INDIRECT(CELL("address",INDEX('Leave Tracker'!$A$8:$A$105,MATCH($A53,'Leave Tracker'!$A$8:$A$105,0)))),0,31*(VLOOKUP(T$1,Sprints[],5,FALSE))+DAY(VLOOKUP(T$1,Sprints[],2,FALSE)),1,VLOOKUP(T$1,Sprints[],4,FALSE))&lt;&gt;"")*(IF(OFFSET(INDIRECT(CELL("address",INDEX('Leave Tracker'!$A$8:$A$105,MATCH($A53,'Leave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Tracker'!$A$8:$A$105,MATCH($A53,'Leave Tracker'!$A$8:$A$105,0)))),0,31*(VLOOKUP(U$1,Sprints[],5,FALSE))+DAY(VLOOKUP(U$1,Sprints[],2,FALSE)),1,VLOOKUP(U$1,Sprints[],4,FALSE))&lt;&gt;"")*(IF(OFFSET(INDIRECT(CELL("address",INDEX('Leave Tracker'!$A$8:$A$105,MATCH($A53,'Leave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28.200000000000003</v>
      </c>
    </row>
    <row r="54" spans="1:21" x14ac:dyDescent="0.45">
      <c r="A54" t="s">
        <v>108</v>
      </c>
      <c r="B54" s="45" t="s">
        <v>116</v>
      </c>
      <c r="C54" s="45" t="s">
        <v>118</v>
      </c>
      <c r="D54" s="45" t="s">
        <v>132</v>
      </c>
      <c r="E54" s="45" t="s">
        <v>124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Tracker'!$A$8:$A$105,MATCH($A54,'Leave Tracker'!$A$8:$A$105,0)))),0,31*(VLOOKUP(G$1,Sprints[],5,FALSE))+DAY(VLOOKUP(G$1,Sprints[],2,FALSE)),1,VLOOKUP(G$1,Sprints[],4,FALSE))&lt;&gt;"")*(IF(OFFSET(INDIRECT(CELL("address",INDEX('Leave Tracker'!$A$8:$A$105,MATCH($A54,'Leave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Tracker'!$A$8:$A$105,MATCH($A54,'Leave Tracker'!$A$8:$A$105,0)))),0,31*(VLOOKUP(H$1,Sprints[],5,FALSE))+DAY(VLOOKUP(H$1,Sprints[],2,FALSE)),1,VLOOKUP(H$1,Sprints[],4,FALSE))&lt;&gt;"")*(IF(OFFSET(INDIRECT(CELL("address",INDEX('Leave Tracker'!$A$8:$A$105,MATCH($A54,'Leave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Tracker'!$A$8:$A$105,MATCH($A54,'Leave Tracker'!$A$8:$A$105,0)))),0,31*(VLOOKUP(I$1,Sprints[],5,FALSE))+DAY(VLOOKUP(I$1,Sprints[],2,FALSE)),1,VLOOKUP(I$1,Sprints[],4,FALSE))&lt;&gt;"")*(IF(OFFSET(INDIRECT(CELL("address",INDEX('Leave Tracker'!$A$8:$A$105,MATCH($A54,'Leave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Tracker'!$A$8:$A$105,MATCH($A54,'Leave Tracker'!$A$8:$A$105,0)))),0,31*(VLOOKUP(J$1,Sprints[],5,FALSE))+DAY(VLOOKUP(J$1,Sprints[],2,FALSE)),1,VLOOKUP(J$1,Sprints[],4,FALSE))&lt;&gt;"")*(IF(OFFSET(INDIRECT(CELL("address",INDEX('Leave Tracker'!$A$8:$A$105,MATCH($A54,'Leave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Tracker'!$A$8:$A$105,MATCH($A54,'Leave Tracker'!$A$8:$A$105,0)))),0,31*(VLOOKUP(K$1,Sprints[],5,FALSE))+DAY(VLOOKUP(K$1,Sprints[],2,FALSE)),1,VLOOKUP(K$1,Sprints[],4,FALSE))&lt;&gt;"")*(IF(OFFSET(INDIRECT(CELL("address",INDEX('Leave Tracker'!$A$8:$A$105,MATCH($A54,'Leave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Tracker'!$A$8:$A$105,MATCH($A54,'Leave Tracker'!$A$8:$A$105,0)))),0,31*(VLOOKUP(L$1,Sprints[],5,FALSE))+DAY(VLOOKUP(L$1,Sprints[],2,FALSE)),1,VLOOKUP(L$1,Sprints[],4,FALSE))&lt;&gt;"")*(IF(OFFSET(INDIRECT(CELL("address",INDEX('Leave Tracker'!$A$8:$A$105,MATCH($A54,'Leave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Tracker'!$A$8:$A$105,MATCH($A54,'Leave Tracker'!$A$8:$A$105,0)))),0,31*(VLOOKUP(M$1,Sprints[],5,FALSE))+DAY(VLOOKUP(M$1,Sprints[],2,FALSE)),1,VLOOKUP(M$1,Sprints[],4,FALSE))&lt;&gt;"")*(IF(OFFSET(INDIRECT(CELL("address",INDEX('Leave Tracker'!$A$8:$A$105,MATCH($A54,'Leave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Tracker'!$A$8:$A$105,MATCH($A54,'Leave Tracker'!$A$8:$A$105,0)))),0,31*(VLOOKUP(N$1,Sprints[],5,FALSE))+DAY(VLOOKUP(N$1,Sprints[],2,FALSE)),1,VLOOKUP(N$1,Sprints[],4,FALSE))&lt;&gt;"")*(IF(OFFSET(INDIRECT(CELL("address",INDEX('Leave Tracker'!$A$8:$A$105,MATCH($A54,'Leave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4">
        <f t="array" aca="1" ref="O54" ca="1">Sheet3!$W$2*$F54*(NETWORKDAYS(VLOOKUP(O$1,Sprints[],2,FALSE), VLOOKUP(O$1,Sprints[],3,FALSE))-SUMPRODUCT((OFFSET(INDIRECT(CELL("address",INDEX('Leave Tracker'!$A$8:$A$105,MATCH($A54,'Leave Tracker'!$A$8:$A$105,0)))),0,31*(VLOOKUP(O$1,Sprints[],5,FALSE))+DAY(VLOOKUP(O$1,Sprints[],2,FALSE)),1,VLOOKUP(O$1,Sprints[],4,FALSE))&lt;&gt;"")*(IF(OFFSET(INDIRECT(CELL("address",INDEX('Leave Tracker'!$A$8:$A$105,MATCH($A54,'Leave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Tracker'!$A$8:$A$105,MATCH($A54,'Leave Tracker'!$A$8:$A$105,0)))),0,31*(VLOOKUP(P$1,Sprints[],5,FALSE))+DAY(VLOOKUP(P$1,Sprints[],2,FALSE)),1,VLOOKUP(P$1,Sprints[],4,FALSE))&lt;&gt;"")*(IF(OFFSET(INDIRECT(CELL("address",INDEX('Leave Tracker'!$A$8:$A$105,MATCH($A54,'Leave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Tracker'!$A$8:$A$105,MATCH($A54,'Leave Tracker'!$A$8:$A$105,0)))),0,31*(VLOOKUP(Q$1,Sprints[],5,FALSE))+DAY(VLOOKUP(Q$1,Sprints[],2,FALSE)),1,VLOOKUP(Q$1,Sprints[],4,FALSE))&lt;&gt;"")*(IF(OFFSET(INDIRECT(CELL("address",INDEX('Leave Tracker'!$A$8:$A$105,MATCH($A54,'Leave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Tracker'!$A$8:$A$105,MATCH($A54,'Leave Tracker'!$A$8:$A$105,0)))),0,31*(VLOOKUP(R$1,Sprints[],5,FALSE))+DAY(VLOOKUP(R$1,Sprints[],2,FALSE)),1,VLOOKUP(R$1,Sprints[],4,FALSE))&lt;&gt;"")*(IF(OFFSET(INDIRECT(CELL("address",INDEX('Leave Tracker'!$A$8:$A$105,MATCH($A54,'Leave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Tracker'!$A$8:$A$105,MATCH($A54,'Leave Tracker'!$A$8:$A$105,0)))),0,31*(VLOOKUP(S$1,Sprints[],5,FALSE))+DAY(VLOOKUP(S$1,Sprints[],2,FALSE)),1,VLOOKUP(S$1,Sprints[],4,FALSE))&lt;&gt;"")*(IF(OFFSET(INDIRECT(CELL("address",INDEX('Leave Tracker'!$A$8:$A$105,MATCH($A54,'Leave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Tracker'!$A$8:$A$105,MATCH($A54,'Leave Tracker'!$A$8:$A$105,0)))),0,31*(VLOOKUP(T$1,Sprints[],5,FALSE))+DAY(VLOOKUP(T$1,Sprints[],2,FALSE)),1,VLOOKUP(T$1,Sprints[],4,FALSE))&lt;&gt;"")*(IF(OFFSET(INDIRECT(CELL("address",INDEX('Leave Tracker'!$A$8:$A$105,MATCH($A54,'Leave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Tracker'!$A$8:$A$105,MATCH($A54,'Leave Tracker'!$A$8:$A$105,0)))),0,31*(VLOOKUP(U$1,Sprints[],5,FALSE))+DAY(VLOOKUP(U$1,Sprints[],2,FALSE)),1,VLOOKUP(U$1,Sprints[],4,FALSE))&lt;&gt;"")*(IF(OFFSET(INDIRECT(CELL("address",INDEX('Leave Tracker'!$A$8:$A$105,MATCH($A54,'Leave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28.200000000000003</v>
      </c>
    </row>
    <row r="55" spans="1:21" x14ac:dyDescent="0.45">
      <c r="A55" t="s">
        <v>109</v>
      </c>
      <c r="B55" s="45" t="s">
        <v>116</v>
      </c>
      <c r="C55" s="45" t="s">
        <v>118</v>
      </c>
      <c r="D55" s="45" t="s">
        <v>132</v>
      </c>
      <c r="E55" s="45" t="s">
        <v>125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Tracker'!$A$8:$A$105,MATCH($A55,'Leave Tracker'!$A$8:$A$105,0)))),0,31*(VLOOKUP(G$1,Sprints[],5,FALSE))+DAY(VLOOKUP(G$1,Sprints[],2,FALSE)),1,VLOOKUP(G$1,Sprints[],4,FALSE))&lt;&gt;"")*(IF(OFFSET(INDIRECT(CELL("address",INDEX('Leave Tracker'!$A$8:$A$105,MATCH($A55,'Leave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Tracker'!$A$8:$A$105,MATCH($A55,'Leave Tracker'!$A$8:$A$105,0)))),0,31*(VLOOKUP(H$1,Sprints[],5,FALSE))+DAY(VLOOKUP(H$1,Sprints[],2,FALSE)),1,VLOOKUP(H$1,Sprints[],4,FALSE))&lt;&gt;"")*(IF(OFFSET(INDIRECT(CELL("address",INDEX('Leave Tracker'!$A$8:$A$105,MATCH($A55,'Leave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Tracker'!$A$8:$A$105,MATCH($A55,'Leave Tracker'!$A$8:$A$105,0)))),0,31*(VLOOKUP(I$1,Sprints[],5,FALSE))+DAY(VLOOKUP(I$1,Sprints[],2,FALSE)),1,VLOOKUP(I$1,Sprints[],4,FALSE))&lt;&gt;"")*(IF(OFFSET(INDIRECT(CELL("address",INDEX('Leave Tracker'!$A$8:$A$105,MATCH($A55,'Leave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Tracker'!$A$8:$A$105,MATCH($A55,'Leave Tracker'!$A$8:$A$105,0)))),0,31*(VLOOKUP(J$1,Sprints[],5,FALSE))+DAY(VLOOKUP(J$1,Sprints[],2,FALSE)),1,VLOOKUP(J$1,Sprints[],4,FALSE))&lt;&gt;"")*(IF(OFFSET(INDIRECT(CELL("address",INDEX('Leave Tracker'!$A$8:$A$105,MATCH($A55,'Leave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Tracker'!$A$8:$A$105,MATCH($A55,'Leave Tracker'!$A$8:$A$105,0)))),0,31*(VLOOKUP(K$1,Sprints[],5,FALSE))+DAY(VLOOKUP(K$1,Sprints[],2,FALSE)),1,VLOOKUP(K$1,Sprints[],4,FALSE))&lt;&gt;"")*(IF(OFFSET(INDIRECT(CELL("address",INDEX('Leave Tracker'!$A$8:$A$105,MATCH($A55,'Leave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 s="45">
        <f t="array" aca="1" ref="L55" ca="1">Sheet3!$W$2*$F55*(NETWORKDAYS(VLOOKUP(L$1,Sprints[],2,FALSE), VLOOKUP(L$1,Sprints[],3,FALSE))-SUMPRODUCT((OFFSET(INDIRECT(CELL("address",INDEX('Leave Tracker'!$A$8:$A$105,MATCH($A55,'Leave Tracker'!$A$8:$A$105,0)))),0,31*(VLOOKUP(L$1,Sprints[],5,FALSE))+DAY(VLOOKUP(L$1,Sprints[],2,FALSE)),1,VLOOKUP(L$1,Sprints[],4,FALSE))&lt;&gt;"")*(IF(OFFSET(INDIRECT(CELL("address",INDEX('Leave Tracker'!$A$8:$A$105,MATCH($A55,'Leave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>
        <f t="array" aca="1" ref="M55" ca="1">Sheet3!$W$2*$F55*(NETWORKDAYS(VLOOKUP(M$1,Sprints[],2,FALSE), VLOOKUP(M$1,Sprints[],3,FALSE))-SUMPRODUCT((OFFSET(INDIRECT(CELL("address",INDEX('Leave Tracker'!$A$8:$A$105,MATCH($A55,'Leave Tracker'!$A$8:$A$105,0)))),0,31*(VLOOKUP(M$1,Sprints[],5,FALSE))+DAY(VLOOKUP(M$1,Sprints[],2,FALSE)),1,VLOOKUP(M$1,Sprints[],4,FALSE))&lt;&gt;"")*(IF(OFFSET(INDIRECT(CELL("address",INDEX('Leave Tracker'!$A$8:$A$105,MATCH($A55,'Leave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Tracker'!$A$8:$A$105,MATCH($A55,'Leave Tracker'!$A$8:$A$105,0)))),0,31*(VLOOKUP(N$1,Sprints[],5,FALSE))+DAY(VLOOKUP(N$1,Sprints[],2,FALSE)),1,VLOOKUP(N$1,Sprints[],4,FALSE))&lt;&gt;"")*(IF(OFFSET(INDIRECT(CELL("address",INDEX('Leave Tracker'!$A$8:$A$105,MATCH($A55,'Leave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5">
        <f t="array" aca="1" ref="O55" ca="1">Sheet3!$W$2*$F55*(NETWORKDAYS(VLOOKUP(O$1,Sprints[],2,FALSE), VLOOKUP(O$1,Sprints[],3,FALSE))-SUMPRODUCT((OFFSET(INDIRECT(CELL("address",INDEX('Leave Tracker'!$A$8:$A$105,MATCH($A55,'Leave Tracker'!$A$8:$A$105,0)))),0,31*(VLOOKUP(O$1,Sprints[],5,FALSE))+DAY(VLOOKUP(O$1,Sprints[],2,FALSE)),1,VLOOKUP(O$1,Sprints[],4,FALSE))&lt;&gt;"")*(IF(OFFSET(INDIRECT(CELL("address",INDEX('Leave Tracker'!$A$8:$A$105,MATCH($A55,'Leave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5">
        <f t="array" aca="1" ref="P55" ca="1">Sheet3!$W$2*$F55*(NETWORKDAYS(VLOOKUP(P$1,Sprints[],2,FALSE), VLOOKUP(P$1,Sprints[],3,FALSE))-SUMPRODUCT((OFFSET(INDIRECT(CELL("address",INDEX('Leave Tracker'!$A$8:$A$105,MATCH($A55,'Leave Tracker'!$A$8:$A$105,0)))),0,31*(VLOOKUP(P$1,Sprints[],5,FALSE))+DAY(VLOOKUP(P$1,Sprints[],2,FALSE)),1,VLOOKUP(P$1,Sprints[],4,FALSE))&lt;&gt;"")*(IF(OFFSET(INDIRECT(CELL("address",INDEX('Leave Tracker'!$A$8:$A$105,MATCH($A55,'Leave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Tracker'!$A$8:$A$105,MATCH($A55,'Leave Tracker'!$A$8:$A$105,0)))),0,31*(VLOOKUP(Q$1,Sprints[],5,FALSE))+DAY(VLOOKUP(Q$1,Sprints[],2,FALSE)),1,VLOOKUP(Q$1,Sprints[],4,FALSE))&lt;&gt;"")*(IF(OFFSET(INDIRECT(CELL("address",INDEX('Leave Tracker'!$A$8:$A$105,MATCH($A55,'Leave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Tracker'!$A$8:$A$105,MATCH($A55,'Leave Tracker'!$A$8:$A$105,0)))),0,31*(VLOOKUP(R$1,Sprints[],5,FALSE))+DAY(VLOOKUP(R$1,Sprints[],2,FALSE)),1,VLOOKUP(R$1,Sprints[],4,FALSE))&lt;&gt;"")*(IF(OFFSET(INDIRECT(CELL("address",INDEX('Leave Tracker'!$A$8:$A$105,MATCH($A55,'Leave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Tracker'!$A$8:$A$105,MATCH($A55,'Leave Tracker'!$A$8:$A$105,0)))),0,31*(VLOOKUP(S$1,Sprints[],5,FALSE))+DAY(VLOOKUP(S$1,Sprints[],2,FALSE)),1,VLOOKUP(S$1,Sprints[],4,FALSE))&lt;&gt;"")*(IF(OFFSET(INDIRECT(CELL("address",INDEX('Leave Tracker'!$A$8:$A$105,MATCH($A55,'Leave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Tracker'!$A$8:$A$105,MATCH($A55,'Leave Tracker'!$A$8:$A$105,0)))),0,31*(VLOOKUP(T$1,Sprints[],5,FALSE))+DAY(VLOOKUP(T$1,Sprints[],2,FALSE)),1,VLOOKUP(T$1,Sprints[],4,FALSE))&lt;&gt;"")*(IF(OFFSET(INDIRECT(CELL("address",INDEX('Leave Tracker'!$A$8:$A$105,MATCH($A55,'Leave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Tracker'!$A$8:$A$105,MATCH($A55,'Leave Tracker'!$A$8:$A$105,0)))),0,31*(VLOOKUP(U$1,Sprints[],5,FALSE))+DAY(VLOOKUP(U$1,Sprints[],2,FALSE)),1,VLOOKUP(U$1,Sprints[],4,FALSE))&lt;&gt;"")*(IF(OFFSET(INDIRECT(CELL("address",INDEX('Leave Tracker'!$A$8:$A$105,MATCH($A55,'Leave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33.600000000000009</v>
      </c>
    </row>
    <row r="56" spans="1:21" s="45" customFormat="1" x14ac:dyDescent="0.45">
      <c r="A56" s="45" t="s">
        <v>179</v>
      </c>
      <c r="B56" s="45" t="s">
        <v>119</v>
      </c>
      <c r="C56" s="45" t="s">
        <v>118</v>
      </c>
      <c r="D56" s="45" t="s">
        <v>133</v>
      </c>
      <c r="E56" s="45" t="s">
        <v>128</v>
      </c>
      <c r="F56" s="47">
        <v>0.15</v>
      </c>
      <c r="G56" s="31">
        <f t="array" aca="1" ref="G56" ca="1">Sheet3!$W$2*$F56*(NETWORKDAYS(VLOOKUP(G$1,Sprints[],2,FALSE), VLOOKUP(G$1,Sprints[],3,FALSE))-SUMPRODUCT((OFFSET(INDIRECT(CELL("address",INDEX('Leave Tracker'!$A$8:$A$105,MATCH($A56,'Leave Tracker'!$A$8:$A$105,0)))),0,31*(VLOOKUP(G$1,Sprints[],5,FALSE))+DAY(VLOOKUP(G$1,Sprints[],2,FALSE)),1,VLOOKUP(G$1,Sprints[],4,FALSE))&lt;&gt;"")*(IF(OFFSET(INDIRECT(CELL("address",INDEX('Leave Tracker'!$A$8:$A$105,MATCH($A56,'Leave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6" s="31">
        <f t="array" aca="1" ref="H56" ca="1">Sheet3!$W$2*$F56*(NETWORKDAYS(VLOOKUP(H$1,Sprints[],2,FALSE), VLOOKUP(H$1,Sprints[],3,FALSE))-SUMPRODUCT((OFFSET(INDIRECT(CELL("address",INDEX('Leave Tracker'!$A$8:$A$105,MATCH($A56,'Leave Tracker'!$A$8:$A$105,0)))),0,31*(VLOOKUP(H$1,Sprints[],5,FALSE))+DAY(VLOOKUP(H$1,Sprints[],2,FALSE)),1,VLOOKUP(H$1,Sprints[],4,FALSE))&lt;&gt;"")*(IF(OFFSET(INDIRECT(CELL("address",INDEX('Leave Tracker'!$A$8:$A$105,MATCH($A56,'Leave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6" s="31">
        <f t="array" aca="1" ref="I56" ca="1">Sheet3!$W$2*$F56*(NETWORKDAYS(VLOOKUP(I$1,Sprints[],2,FALSE), VLOOKUP(I$1,Sprints[],3,FALSE))-SUMPRODUCT((OFFSET(INDIRECT(CELL("address",INDEX('Leave Tracker'!$A$8:$A$105,MATCH($A56,'Leave Tracker'!$A$8:$A$105,0)))),0,31*(VLOOKUP(I$1,Sprints[],5,FALSE))+DAY(VLOOKUP(I$1,Sprints[],2,FALSE)),1,VLOOKUP(I$1,Sprints[],4,FALSE))&lt;&gt;"")*(IF(OFFSET(INDIRECT(CELL("address",INDEX('Leave Tracker'!$A$8:$A$105,MATCH($A56,'Leave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6" s="31">
        <f t="array" aca="1" ref="J56" ca="1">Sheet3!$W$2*$F56*(NETWORKDAYS(VLOOKUP(J$1,Sprints[],2,FALSE), VLOOKUP(J$1,Sprints[],3,FALSE))-SUMPRODUCT((OFFSET(INDIRECT(CELL("address",INDEX('Leave Tracker'!$A$8:$A$105,MATCH($A56,'Leave Tracker'!$A$8:$A$105,0)))),0,31*(VLOOKUP(J$1,Sprints[],5,FALSE))+DAY(VLOOKUP(J$1,Sprints[],2,FALSE)),1,VLOOKUP(J$1,Sprints[],4,FALSE))&lt;&gt;"")*(IF(OFFSET(INDIRECT(CELL("address",INDEX('Leave Tracker'!$A$8:$A$105,MATCH($A56,'Leave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6" s="31">
        <f t="array" aca="1" ref="K56" ca="1">Sheet3!$W$2*$F56*(NETWORKDAYS(VLOOKUP(K$1,Sprints[],2,FALSE), VLOOKUP(K$1,Sprints[],3,FALSE))-SUMPRODUCT((OFFSET(INDIRECT(CELL("address",INDEX('Leave Tracker'!$A$8:$A$105,MATCH($A56,'Leave Tracker'!$A$8:$A$105,0)))),0,31*(VLOOKUP(K$1,Sprints[],5,FALSE))+DAY(VLOOKUP(K$1,Sprints[],2,FALSE)),1,VLOOKUP(K$1,Sprints[],4,FALSE))&lt;&gt;"")*(IF(OFFSET(INDIRECT(CELL("address",INDEX('Leave Tracker'!$A$8:$A$105,MATCH($A56,'Leave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6" s="31">
        <f t="array" aca="1" ref="L56" ca="1">Sheet3!$W$2*$F56*(NETWORKDAYS(VLOOKUP(L$1,Sprints[],2,FALSE), VLOOKUP(L$1,Sprints[],3,FALSE))-SUMPRODUCT((OFFSET(INDIRECT(CELL("address",INDEX('Leave Tracker'!$A$8:$A$105,MATCH($A56,'Leave Tracker'!$A$8:$A$105,0)))),0,31*(VLOOKUP(L$1,Sprints[],5,FALSE))+DAY(VLOOKUP(L$1,Sprints[],2,FALSE)),1,VLOOKUP(L$1,Sprints[],4,FALSE))&lt;&gt;"")*(IF(OFFSET(INDIRECT(CELL("address",INDEX('Leave Tracker'!$A$8:$A$105,MATCH($A56,'Leave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6" s="31">
        <f t="array" aca="1" ref="M56" ca="1">Sheet3!$W$2*$F56*(NETWORKDAYS(VLOOKUP(M$1,Sprints[],2,FALSE), VLOOKUP(M$1,Sprints[],3,FALSE))-SUMPRODUCT((OFFSET(INDIRECT(CELL("address",INDEX('Leave Tracker'!$A$8:$A$105,MATCH($A56,'Leave Tracker'!$A$8:$A$105,0)))),0,31*(VLOOKUP(M$1,Sprints[],5,FALSE))+DAY(VLOOKUP(M$1,Sprints[],2,FALSE)),1,VLOOKUP(M$1,Sprints[],4,FALSE))&lt;&gt;"")*(IF(OFFSET(INDIRECT(CELL("address",INDEX('Leave Tracker'!$A$8:$A$105,MATCH($A56,'Leave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6" s="31">
        <f t="array" aca="1" ref="N56" ca="1">Sheet3!$W$2*$F56*(NETWORKDAYS(VLOOKUP(N$1,Sprints[],2,FALSE), VLOOKUP(N$1,Sprints[],3,FALSE))-SUMPRODUCT((OFFSET(INDIRECT(CELL("address",INDEX('Leave Tracker'!$A$8:$A$105,MATCH($A56,'Leave Tracker'!$A$8:$A$105,0)))),0,31*(VLOOKUP(N$1,Sprints[],5,FALSE))+DAY(VLOOKUP(N$1,Sprints[],2,FALSE)),1,VLOOKUP(N$1,Sprints[],4,FALSE))&lt;&gt;"")*(IF(OFFSET(INDIRECT(CELL("address",INDEX('Leave Tracker'!$A$8:$A$105,MATCH($A56,'Leave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6" s="31">
        <f t="array" aca="1" ref="O56" ca="1">Sheet3!$W$2*$F56*(NETWORKDAYS(VLOOKUP(O$1,Sprints[],2,FALSE), VLOOKUP(O$1,Sprints[],3,FALSE))-SUMPRODUCT((OFFSET(INDIRECT(CELL("address",INDEX('Leave Tracker'!$A$8:$A$105,MATCH($A56,'Leave Tracker'!$A$8:$A$105,0)))),0,31*(VLOOKUP(O$1,Sprints[],5,FALSE))+DAY(VLOOKUP(O$1,Sprints[],2,FALSE)),1,VLOOKUP(O$1,Sprints[],4,FALSE))&lt;&gt;"")*(IF(OFFSET(INDIRECT(CELL("address",INDEX('Leave Tracker'!$A$8:$A$105,MATCH($A56,'Leave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6" s="31">
        <f t="array" aca="1" ref="P56" ca="1">Sheet3!$W$2*$F56*(NETWORKDAYS(VLOOKUP(P$1,Sprints[],2,FALSE), VLOOKUP(P$1,Sprints[],3,FALSE))-SUMPRODUCT((OFFSET(INDIRECT(CELL("address",INDEX('Leave Tracker'!$A$8:$A$105,MATCH($A56,'Leave Tracker'!$A$8:$A$105,0)))),0,31*(VLOOKUP(P$1,Sprints[],5,FALSE))+DAY(VLOOKUP(P$1,Sprints[],2,FALSE)),1,VLOOKUP(P$1,Sprints[],4,FALSE))&lt;&gt;"")*(IF(OFFSET(INDIRECT(CELL("address",INDEX('Leave Tracker'!$A$8:$A$105,MATCH($A56,'Leave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6" s="31">
        <f t="array" aca="1" ref="Q56" ca="1">Sheet3!$W$2*$F56*(NETWORKDAYS(VLOOKUP(Q$1,Sprints[],2,FALSE), VLOOKUP(Q$1,Sprints[],3,FALSE))-SUMPRODUCT((OFFSET(INDIRECT(CELL("address",INDEX('Leave Tracker'!$A$8:$A$105,MATCH($A56,'Leave Tracker'!$A$8:$A$105,0)))),0,31*(VLOOKUP(Q$1,Sprints[],5,FALSE))+DAY(VLOOKUP(Q$1,Sprints[],2,FALSE)),1,VLOOKUP(Q$1,Sprints[],4,FALSE))&lt;&gt;"")*(IF(OFFSET(INDIRECT(CELL("address",INDEX('Leave Tracker'!$A$8:$A$105,MATCH($A56,'Leave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6" s="31">
        <f t="array" aca="1" ref="R56" ca="1">Sheet3!$W$2*$F56*(NETWORKDAYS(VLOOKUP(R$1,Sprints[],2,FALSE), VLOOKUP(R$1,Sprints[],3,FALSE))-SUMPRODUCT((OFFSET(INDIRECT(CELL("address",INDEX('Leave Tracker'!$A$8:$A$105,MATCH($A56,'Leave Tracker'!$A$8:$A$105,0)))),0,31*(VLOOKUP(R$1,Sprints[],5,FALSE))+DAY(VLOOKUP(R$1,Sprints[],2,FALSE)),1,VLOOKUP(R$1,Sprints[],4,FALSE))&lt;&gt;"")*(IF(OFFSET(INDIRECT(CELL("address",INDEX('Leave Tracker'!$A$8:$A$105,MATCH($A56,'Leave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6" s="31">
        <f t="array" aca="1" ref="S56" ca="1">Sheet3!$W$2*$F56*(NETWORKDAYS(VLOOKUP(S$1,Sprints[],2,FALSE), VLOOKUP(S$1,Sprints[],3,FALSE))-SUMPRODUCT((OFFSET(INDIRECT(CELL("address",INDEX('Leave Tracker'!$A$8:$A$105,MATCH($A56,'Leave Tracker'!$A$8:$A$105,0)))),0,31*(VLOOKUP(S$1,Sprints[],5,FALSE))+DAY(VLOOKUP(S$1,Sprints[],2,FALSE)),1,VLOOKUP(S$1,Sprints[],4,FALSE))&lt;&gt;"")*(IF(OFFSET(INDIRECT(CELL("address",INDEX('Leave Tracker'!$A$8:$A$105,MATCH($A56,'Leave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6" s="31">
        <f t="array" aca="1" ref="T56" ca="1">Sheet3!$W$2*$F56*(NETWORKDAYS(VLOOKUP(T$1,Sprints[],2,FALSE), VLOOKUP(T$1,Sprints[],3,FALSE))-SUMPRODUCT((OFFSET(INDIRECT(CELL("address",INDEX('Leave Tracker'!$A$8:$A$105,MATCH($A56,'Leave Tracker'!$A$8:$A$105,0)))),0,31*(VLOOKUP(T$1,Sprints[],5,FALSE))+DAY(VLOOKUP(T$1,Sprints[],2,FALSE)),1,VLOOKUP(T$1,Sprints[],4,FALSE))&lt;&gt;"")*(IF(OFFSET(INDIRECT(CELL("address",INDEX('Leave Tracker'!$A$8:$A$105,MATCH($A56,'Leave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6" s="78">
        <f t="array" aca="1" ref="U56" ca="1">Sheet3!$W$2*$F56*(NETWORKDAYS(VLOOKUP(U$1,Sprints[],2,FALSE), VLOOKUP(U$1,Sprints[],3,FALSE))-SUMPRODUCT((OFFSET(INDIRECT(CELL("address",INDEX('Leave Tracker'!$A$8:$A$105,MATCH($A56,'Leave Tracker'!$A$8:$A$105,0)))),0,31*(VLOOKUP(U$1,Sprints[],5,FALSE))+DAY(VLOOKUP(U$1,Sprints[],2,FALSE)),1,VLOOKUP(U$1,Sprints[],4,FALSE))&lt;&gt;"")*(IF(OFFSET(INDIRECT(CELL("address",INDEX('Leave Tracker'!$A$8:$A$105,MATCH($A56,'Leave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5.52</v>
      </c>
    </row>
    <row r="57" spans="1:21" s="45" customFormat="1" x14ac:dyDescent="0.45">
      <c r="A57" s="85" t="s">
        <v>180</v>
      </c>
      <c r="B57" s="85" t="s">
        <v>119</v>
      </c>
      <c r="C57" s="85" t="s">
        <v>118</v>
      </c>
      <c r="D57" s="85" t="s">
        <v>133</v>
      </c>
      <c r="E57" s="85" t="s">
        <v>128</v>
      </c>
      <c r="F57" s="86">
        <v>0.75</v>
      </c>
      <c r="G57" s="84">
        <f t="array" aca="1" ref="G57" ca="1">Sheet3!$W$2*$F57*(NETWORKDAYS(VLOOKUP(G$1,Sprints[],2,FALSE), VLOOKUP(G$1,Sprints[],3,FALSE))-SUMPRODUCT((OFFSET(INDIRECT(CELL("address",INDEX('Leave Tracker'!$A$8:$A$105,MATCH($A57,'Leave Tracker'!$A$8:$A$105,0)))),0,31*(VLOOKUP(G$1,Sprints[],5,FALSE))+DAY(VLOOKUP(G$1,Sprints[],2,FALSE)),1,VLOOKUP(G$1,Sprints[],4,FALSE))&lt;&gt;"")*(IF(OFFSET(INDIRECT(CELL("address",INDEX('Leave Tracker'!$A$8:$A$105,MATCH($A57,'Leave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84">
        <f t="array" aca="1" ref="H57" ca="1">Sheet3!$W$2*$F57*(NETWORKDAYS(VLOOKUP(H$1,Sprints[],2,FALSE), VLOOKUP(H$1,Sprints[],3,FALSE))-SUMPRODUCT((OFFSET(INDIRECT(CELL("address",INDEX('Leave Tracker'!$A$8:$A$105,MATCH($A57,'Leave Tracker'!$A$8:$A$105,0)))),0,31*(VLOOKUP(H$1,Sprints[],5,FALSE))+DAY(VLOOKUP(H$1,Sprints[],2,FALSE)),1,VLOOKUP(H$1,Sprints[],4,FALSE))&lt;&gt;"")*(IF(OFFSET(INDIRECT(CELL("address",INDEX('Leave Tracker'!$A$8:$A$105,MATCH($A57,'Leave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84">
        <f t="array" aca="1" ref="I57" ca="1">Sheet3!$W$2*$F57*(NETWORKDAYS(VLOOKUP(I$1,Sprints[],2,FALSE), VLOOKUP(I$1,Sprints[],3,FALSE))-SUMPRODUCT((OFFSET(INDIRECT(CELL("address",INDEX('Leave Tracker'!$A$8:$A$105,MATCH($A57,'Leave Tracker'!$A$8:$A$105,0)))),0,31*(VLOOKUP(I$1,Sprints[],5,FALSE))+DAY(VLOOKUP(I$1,Sprints[],2,FALSE)),1,VLOOKUP(I$1,Sprints[],4,FALSE))&lt;&gt;"")*(IF(OFFSET(INDIRECT(CELL("address",INDEX('Leave Tracker'!$A$8:$A$105,MATCH($A57,'Leave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84">
        <f t="array" aca="1" ref="J57" ca="1">Sheet3!$W$2*$F57*(NETWORKDAYS(VLOOKUP(J$1,Sprints[],2,FALSE), VLOOKUP(J$1,Sprints[],3,FALSE))-SUMPRODUCT((OFFSET(INDIRECT(CELL("address",INDEX('Leave Tracker'!$A$8:$A$105,MATCH($A57,'Leave Tracker'!$A$8:$A$105,0)))),0,31*(VLOOKUP(J$1,Sprints[],5,FALSE))+DAY(VLOOKUP(J$1,Sprints[],2,FALSE)),1,VLOOKUP(J$1,Sprints[],4,FALSE))&lt;&gt;"")*(IF(OFFSET(INDIRECT(CELL("address",INDEX('Leave Tracker'!$A$8:$A$105,MATCH($A57,'Leave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84">
        <f t="array" aca="1" ref="K57" ca="1">Sheet3!$W$2*$F57*(NETWORKDAYS(VLOOKUP(K$1,Sprints[],2,FALSE), VLOOKUP(K$1,Sprints[],3,FALSE))-SUMPRODUCT((OFFSET(INDIRECT(CELL("address",INDEX('Leave Tracker'!$A$8:$A$105,MATCH($A57,'Leave Tracker'!$A$8:$A$105,0)))),0,31*(VLOOKUP(K$1,Sprints[],5,FALSE))+DAY(VLOOKUP(K$1,Sprints[],2,FALSE)),1,VLOOKUP(K$1,Sprints[],4,FALSE))&lt;&gt;"")*(IF(OFFSET(INDIRECT(CELL("address",INDEX('Leave Tracker'!$A$8:$A$105,MATCH($A57,'Leave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84">
        <f t="array" aca="1" ref="L57" ca="1">Sheet3!$W$2*$F57*(NETWORKDAYS(VLOOKUP(L$1,Sprints[],2,FALSE), VLOOKUP(L$1,Sprints[],3,FALSE))-SUMPRODUCT((OFFSET(INDIRECT(CELL("address",INDEX('Leave Tracker'!$A$8:$A$105,MATCH($A57,'Leave Tracker'!$A$8:$A$105,0)))),0,31*(VLOOKUP(L$1,Sprints[],5,FALSE))+DAY(VLOOKUP(L$1,Sprints[],2,FALSE)),1,VLOOKUP(L$1,Sprints[],4,FALSE))&lt;&gt;"")*(IF(OFFSET(INDIRECT(CELL("address",INDEX('Leave Tracker'!$A$8:$A$105,MATCH($A57,'Leave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7" s="84">
        <f t="array" aca="1" ref="M57" ca="1">Sheet3!$W$2*$F57*(NETWORKDAYS(VLOOKUP(M$1,Sprints[],2,FALSE), VLOOKUP(M$1,Sprints[],3,FALSE))-SUMPRODUCT((OFFSET(INDIRECT(CELL("address",INDEX('Leave Tracker'!$A$8:$A$105,MATCH($A57,'Leave Tracker'!$A$8:$A$105,0)))),0,31*(VLOOKUP(M$1,Sprints[],5,FALSE))+DAY(VLOOKUP(M$1,Sprints[],2,FALSE)),1,VLOOKUP(M$1,Sprints[],4,FALSE))&lt;&gt;"")*(IF(OFFSET(INDIRECT(CELL("address",INDEX('Leave Tracker'!$A$8:$A$105,MATCH($A57,'Leave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7" s="84">
        <f t="array" aca="1" ref="N57" ca="1">Sheet3!$W$2*$F57*(NETWORKDAYS(VLOOKUP(N$1,Sprints[],2,FALSE), VLOOKUP(N$1,Sprints[],3,FALSE))-SUMPRODUCT((OFFSET(INDIRECT(CELL("address",INDEX('Leave Tracker'!$A$8:$A$105,MATCH($A57,'Leave Tracker'!$A$8:$A$105,0)))),0,31*(VLOOKUP(N$1,Sprints[],5,FALSE))+DAY(VLOOKUP(N$1,Sprints[],2,FALSE)),1,VLOOKUP(N$1,Sprints[],4,FALSE))&lt;&gt;"")*(IF(OFFSET(INDIRECT(CELL("address",INDEX('Leave Tracker'!$A$8:$A$105,MATCH($A57,'Leave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7" s="84">
        <f t="array" aca="1" ref="O57" ca="1">Sheet3!$W$2*$F57*(NETWORKDAYS(VLOOKUP(O$1,Sprints[],2,FALSE), VLOOKUP(O$1,Sprints[],3,FALSE))-SUMPRODUCT((OFFSET(INDIRECT(CELL("address",INDEX('Leave Tracker'!$A$8:$A$105,MATCH($A57,'Leave Tracker'!$A$8:$A$105,0)))),0,31*(VLOOKUP(O$1,Sprints[],5,FALSE))+DAY(VLOOKUP(O$1,Sprints[],2,FALSE)),1,VLOOKUP(O$1,Sprints[],4,FALSE))&lt;&gt;"")*(IF(OFFSET(INDIRECT(CELL("address",INDEX('Leave Tracker'!$A$8:$A$105,MATCH($A57,'Leave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7" s="84">
        <f t="array" aca="1" ref="P57" ca="1">Sheet3!$W$2*$F57*(NETWORKDAYS(VLOOKUP(P$1,Sprints[],2,FALSE), VLOOKUP(P$1,Sprints[],3,FALSE))-SUMPRODUCT((OFFSET(INDIRECT(CELL("address",INDEX('Leave Tracker'!$A$8:$A$105,MATCH($A57,'Leave Tracker'!$A$8:$A$105,0)))),0,31*(VLOOKUP(P$1,Sprints[],5,FALSE))+DAY(VLOOKUP(P$1,Sprints[],2,FALSE)),1,VLOOKUP(P$1,Sprints[],4,FALSE))&lt;&gt;"")*(IF(OFFSET(INDIRECT(CELL("address",INDEX('Leave Tracker'!$A$8:$A$105,MATCH($A57,'Leave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7" s="84">
        <f t="array" aca="1" ref="Q57" ca="1">Sheet3!$W$2*$F57*(NETWORKDAYS(VLOOKUP(Q$1,Sprints[],2,FALSE), VLOOKUP(Q$1,Sprints[],3,FALSE))-SUMPRODUCT((OFFSET(INDIRECT(CELL("address",INDEX('Leave Tracker'!$A$8:$A$105,MATCH($A57,'Leave Tracker'!$A$8:$A$105,0)))),0,31*(VLOOKUP(Q$1,Sprints[],5,FALSE))+DAY(VLOOKUP(Q$1,Sprints[],2,FALSE)),1,VLOOKUP(Q$1,Sprints[],4,FALSE))&lt;&gt;"")*(IF(OFFSET(INDIRECT(CELL("address",INDEX('Leave Tracker'!$A$8:$A$105,MATCH($A57,'Leave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7" s="84">
        <f t="array" aca="1" ref="R57" ca="1">Sheet3!$W$2*$F57*(NETWORKDAYS(VLOOKUP(R$1,Sprints[],2,FALSE), VLOOKUP(R$1,Sprints[],3,FALSE))-SUMPRODUCT((OFFSET(INDIRECT(CELL("address",INDEX('Leave Tracker'!$A$8:$A$105,MATCH($A57,'Leave Tracker'!$A$8:$A$105,0)))),0,31*(VLOOKUP(R$1,Sprints[],5,FALSE))+DAY(VLOOKUP(R$1,Sprints[],2,FALSE)),1,VLOOKUP(R$1,Sprints[],4,FALSE))&lt;&gt;"")*(IF(OFFSET(INDIRECT(CELL("address",INDEX('Leave Tracker'!$A$8:$A$105,MATCH($A57,'Leave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7" s="84">
        <f t="array" aca="1" ref="S57" ca="1">Sheet3!$W$2*$F57*(NETWORKDAYS(VLOOKUP(S$1,Sprints[],2,FALSE), VLOOKUP(S$1,Sprints[],3,FALSE))-SUMPRODUCT((OFFSET(INDIRECT(CELL("address",INDEX('Leave Tracker'!$A$8:$A$105,MATCH($A57,'Leave Tracker'!$A$8:$A$105,0)))),0,31*(VLOOKUP(S$1,Sprints[],5,FALSE))+DAY(VLOOKUP(S$1,Sprints[],2,FALSE)),1,VLOOKUP(S$1,Sprints[],4,FALSE))&lt;&gt;"")*(IF(OFFSET(INDIRECT(CELL("address",INDEX('Leave Tracker'!$A$8:$A$105,MATCH($A57,'Leave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7" s="84">
        <f t="array" aca="1" ref="T57" ca="1">Sheet3!$W$2*$F57*(NETWORKDAYS(VLOOKUP(T$1,Sprints[],2,FALSE), VLOOKUP(T$1,Sprints[],3,FALSE))-SUMPRODUCT((OFFSET(INDIRECT(CELL("address",INDEX('Leave Tracker'!$A$8:$A$105,MATCH($A57,'Leave Tracker'!$A$8:$A$105,0)))),0,31*(VLOOKUP(T$1,Sprints[],5,FALSE))+DAY(VLOOKUP(T$1,Sprints[],2,FALSE)),1,VLOOKUP(T$1,Sprints[],4,FALSE))&lt;&gt;"")*(IF(OFFSET(INDIRECT(CELL("address",INDEX('Leave Tracker'!$A$8:$A$105,MATCH($A57,'Leave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7" s="87">
        <f t="array" aca="1" ref="U57" ca="1">Sheet3!$W$2*$F57*(NETWORKDAYS(VLOOKUP(U$1,Sprints[],2,FALSE), VLOOKUP(U$1,Sprints[],3,FALSE))-SUMPRODUCT((OFFSET(INDIRECT(CELL("address",INDEX('Leave Tracker'!$A$8:$A$105,MATCH($A57,'Leave Tracker'!$A$8:$A$105,0)))),0,31*(VLOOKUP(U$1,Sprints[],5,FALSE))+DAY(VLOOKUP(U$1,Sprints[],2,FALSE)),1,VLOOKUP(U$1,Sprints[],4,FALSE))&lt;&gt;"")*(IF(OFFSET(INDIRECT(CELL("address",INDEX('Leave Tracker'!$A$8:$A$105,MATCH($A57,'Leave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33.600000000000009</v>
      </c>
    </row>
    <row r="58" spans="1:21" s="45" customFormat="1" x14ac:dyDescent="0.45">
      <c r="A58" s="85" t="s">
        <v>181</v>
      </c>
      <c r="B58" s="85" t="s">
        <v>113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Tracker'!$A$8:$A$105,MATCH($A58,'Leave Tracker'!$A$8:$A$105,0)))),0,31*(VLOOKUP(G$1,Sprints[],5,FALSE))+DAY(VLOOKUP(G$1,Sprints[],2,FALSE)),1,VLOOKUP(G$1,Sprints[],4,FALSE))&lt;&gt;"")*(IF(OFFSET(INDIRECT(CELL("address",INDEX('Leave Tracker'!$A$8:$A$105,MATCH($A58,'Leave Tracker'!$A$8:$A$105,0)))),0,31*(VLOOKUP(G$1,Sprints[],5,FALSE))+DAY(VLOOKUP(G$1,Sprints[],2,FALSE)),1,VLOOKUP(G$1,Sprints[],4,FALSE))='Leave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Tracker'!$A$8:$A$105,MATCH($A58,'Leave Tracker'!$A$8:$A$105,0)))),0,31*(VLOOKUP(H$1,Sprints[],5,FALSE))+DAY(VLOOKUP(H$1,Sprints[],2,FALSE)),1,VLOOKUP(H$1,Sprints[],4,FALSE))&lt;&gt;"")*(IF(OFFSET(INDIRECT(CELL("address",INDEX('Leave Tracker'!$A$8:$A$105,MATCH($A58,'Leave Tracker'!$A$8:$A$105,0)))),0,31*(VLOOKUP(H$1,Sprints[],5,FALSE))+DAY(VLOOKUP(H$1,Sprints[],2,FALSE)),1,VLOOKUP(H$1,Sprints[],4,FALSE))='Leave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Tracker'!$A$8:$A$105,MATCH($A58,'Leave Tracker'!$A$8:$A$105,0)))),0,31*(VLOOKUP(I$1,Sprints[],5,FALSE))+DAY(VLOOKUP(I$1,Sprints[],2,FALSE)),1,VLOOKUP(I$1,Sprints[],4,FALSE))&lt;&gt;"")*(IF(OFFSET(INDIRECT(CELL("address",INDEX('Leave Tracker'!$A$8:$A$105,MATCH($A58,'Leave Tracker'!$A$8:$A$105,0)))),0,31*(VLOOKUP(I$1,Sprints[],5,FALSE))+DAY(VLOOKUP(I$1,Sprints[],2,FALSE)),1,VLOOKUP(I$1,Sprints[],4,FALSE))='Leave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Tracker'!$A$8:$A$105,MATCH($A58,'Leave Tracker'!$A$8:$A$105,0)))),0,31*(VLOOKUP(J$1,Sprints[],5,FALSE))+DAY(VLOOKUP(J$1,Sprints[],2,FALSE)),1,VLOOKUP(J$1,Sprints[],4,FALSE))&lt;&gt;"")*(IF(OFFSET(INDIRECT(CELL("address",INDEX('Leave Tracker'!$A$8:$A$105,MATCH($A58,'Leave Tracker'!$A$8:$A$105,0)))),0,31*(VLOOKUP(J$1,Sprints[],5,FALSE))+DAY(VLOOKUP(J$1,Sprints[],2,FALSE)),1,VLOOKUP(J$1,Sprints[],4,FALSE))='Leave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Tracker'!$A$8:$A$105,MATCH($A58,'Leave Tracker'!$A$8:$A$105,0)))),0,31*(VLOOKUP(K$1,Sprints[],5,FALSE))+DAY(VLOOKUP(K$1,Sprints[],2,FALSE)),1,VLOOKUP(K$1,Sprints[],4,FALSE))&lt;&gt;"")*(IF(OFFSET(INDIRECT(CELL("address",INDEX('Leave Tracker'!$A$8:$A$105,MATCH($A58,'Leave Tracker'!$A$8:$A$105,0)))),0,31*(VLOOKUP(K$1,Sprints[],5,FALSE))+DAY(VLOOKUP(K$1,Sprints[],2,FALSE)),1,VLOOKUP(K$1,Sprints[],4,FALSE))='Leave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Tracker'!$A$8:$A$105,MATCH($A58,'Leave Tracker'!$A$8:$A$105,0)))),0,31*(VLOOKUP(L$1,Sprints[],5,FALSE))+DAY(VLOOKUP(L$1,Sprints[],2,FALSE)),1,VLOOKUP(L$1,Sprints[],4,FALSE))&lt;&gt;"")*(IF(OFFSET(INDIRECT(CELL("address",INDEX('Leave Tracker'!$A$8:$A$105,MATCH($A58,'Leave Tracker'!$A$8:$A$105,0)))),0,31*(VLOOKUP(L$1,Sprints[],5,FALSE))+DAY(VLOOKUP(L$1,Sprints[],2,FALSE)),1,VLOOKUP(L$1,Sprints[],4,FALSE))='Leave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Tracker'!$A$8:$A$105,MATCH($A58,'Leave Tracker'!$A$8:$A$105,0)))),0,31*(VLOOKUP(M$1,Sprints[],5,FALSE))+DAY(VLOOKUP(M$1,Sprints[],2,FALSE)),1,VLOOKUP(M$1,Sprints[],4,FALSE))&lt;&gt;"")*(IF(OFFSET(INDIRECT(CELL("address",INDEX('Leave Tracker'!$A$8:$A$105,MATCH($A58,'Leave Tracker'!$A$8:$A$105,0)))),0,31*(VLOOKUP(M$1,Sprints[],5,FALSE))+DAY(VLOOKUP(M$1,Sprints[],2,FALSE)),1,VLOOKUP(M$1,Sprints[],4,FALSE))='Leave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Tracker'!$A$8:$A$105,MATCH($A58,'Leave Tracker'!$A$8:$A$105,0)))),0,31*(VLOOKUP(N$1,Sprints[],5,FALSE))+DAY(VLOOKUP(N$1,Sprints[],2,FALSE)),1,VLOOKUP(N$1,Sprints[],4,FALSE))&lt;&gt;"")*(IF(OFFSET(INDIRECT(CELL("address",INDEX('Leave Tracker'!$A$8:$A$105,MATCH($A58,'Leave Tracker'!$A$8:$A$105,0)))),0,31*(VLOOKUP(N$1,Sprints[],5,FALSE))+DAY(VLOOKUP(N$1,Sprints[],2,FALSE)),1,VLOOKUP(N$1,Sprints[],4,FALSE))='Leave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Tracker'!$A$8:$A$105,MATCH($A58,'Leave Tracker'!$A$8:$A$105,0)))),0,31*(VLOOKUP(O$1,Sprints[],5,FALSE))+DAY(VLOOKUP(O$1,Sprints[],2,FALSE)),1,VLOOKUP(O$1,Sprints[],4,FALSE))&lt;&gt;"")*(IF(OFFSET(INDIRECT(CELL("address",INDEX('Leave Tracker'!$A$8:$A$105,MATCH($A58,'Leave Tracker'!$A$8:$A$105,0)))),0,31*(VLOOKUP(O$1,Sprints[],5,FALSE))+DAY(VLOOKUP(O$1,Sprints[],2,FALSE)),1,VLOOKUP(O$1,Sprints[],4,FALSE))='Leave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Tracker'!$A$8:$A$105,MATCH($A58,'Leave Tracker'!$A$8:$A$105,0)))),0,31*(VLOOKUP(P$1,Sprints[],5,FALSE))+DAY(VLOOKUP(P$1,Sprints[],2,FALSE)),1,VLOOKUP(P$1,Sprints[],4,FALSE))&lt;&gt;"")*(IF(OFFSET(INDIRECT(CELL("address",INDEX('Leave Tracker'!$A$8:$A$105,MATCH($A58,'Leave Tracker'!$A$8:$A$105,0)))),0,31*(VLOOKUP(P$1,Sprints[],5,FALSE))+DAY(VLOOKUP(P$1,Sprints[],2,FALSE)),1,VLOOKUP(P$1,Sprints[],4,FALSE))='Leave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Tracker'!$A$8:$A$105,MATCH($A58,'Leave Tracker'!$A$8:$A$105,0)))),0,31*(VLOOKUP(Q$1,Sprints[],5,FALSE))+DAY(VLOOKUP(Q$1,Sprints[],2,FALSE)),1,VLOOKUP(Q$1,Sprints[],4,FALSE))&lt;&gt;"")*(IF(OFFSET(INDIRECT(CELL("address",INDEX('Leave Tracker'!$A$8:$A$105,MATCH($A58,'Leave Tracker'!$A$8:$A$105,0)))),0,31*(VLOOKUP(Q$1,Sprints[],5,FALSE))+DAY(VLOOKUP(Q$1,Sprints[],2,FALSE)),1,VLOOKUP(Q$1,Sprints[],4,FALSE))='Leave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Tracker'!$A$8:$A$105,MATCH($A58,'Leave Tracker'!$A$8:$A$105,0)))),0,31*(VLOOKUP(R$1,Sprints[],5,FALSE))+DAY(VLOOKUP(R$1,Sprints[],2,FALSE)),1,VLOOKUP(R$1,Sprints[],4,FALSE))&lt;&gt;"")*(IF(OFFSET(INDIRECT(CELL("address",INDEX('Leave Tracker'!$A$8:$A$105,MATCH($A58,'Leave Tracker'!$A$8:$A$105,0)))),0,31*(VLOOKUP(R$1,Sprints[],5,FALSE))+DAY(VLOOKUP(R$1,Sprints[],2,FALSE)),1,VLOOKUP(R$1,Sprints[],4,FALSE))='Leave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Tracker'!$A$8:$A$105,MATCH($A58,'Leave Tracker'!$A$8:$A$105,0)))),0,31*(VLOOKUP(S$1,Sprints[],5,FALSE))+DAY(VLOOKUP(S$1,Sprints[],2,FALSE)),1,VLOOKUP(S$1,Sprints[],4,FALSE))&lt;&gt;"")*(IF(OFFSET(INDIRECT(CELL("address",INDEX('Leave Tracker'!$A$8:$A$105,MATCH($A58,'Leave Tracker'!$A$8:$A$105,0)))),0,31*(VLOOKUP(S$1,Sprints[],5,FALSE))+DAY(VLOOKUP(S$1,Sprints[],2,FALSE)),1,VLOOKUP(S$1,Sprints[],4,FALSE))='Leave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Tracker'!$A$8:$A$105,MATCH($A58,'Leave Tracker'!$A$8:$A$105,0)))),0,31*(VLOOKUP(T$1,Sprints[],5,FALSE))+DAY(VLOOKUP(T$1,Sprints[],2,FALSE)),1,VLOOKUP(T$1,Sprints[],4,FALSE))&lt;&gt;"")*(IF(OFFSET(INDIRECT(CELL("address",INDEX('Leave Tracker'!$A$8:$A$105,MATCH($A58,'Leave Tracker'!$A$8:$A$105,0)))),0,31*(VLOOKUP(T$1,Sprints[],5,FALSE))+DAY(VLOOKUP(T$1,Sprints[],2,FALSE)),1,VLOOKUP(T$1,Sprints[],4,FALSE))='Leave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Tracker'!$A$8:$A$105,MATCH($A58,'Leave Tracker'!$A$8:$A$105,0)))),0,31*(VLOOKUP(U$1,Sprints[],5,FALSE))+DAY(VLOOKUP(U$1,Sprints[],2,FALSE)),1,VLOOKUP(U$1,Sprints[],4,FALSE))&lt;&gt;"")*(IF(OFFSET(INDIRECT(CELL("address",INDEX('Leave Tracker'!$A$8:$A$105,MATCH($A58,'Leave Tracker'!$A$8:$A$105,0)))),0,31*(VLOOKUP(U$1,Sprints[],5,FALSE))+DAY(VLOOKUP(U$1,Sprints[],2,FALSE)),1,VLOOKUP(U$1,Sprints[],4,FALSE))='Leave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33.600000000000009</v>
      </c>
    </row>
    <row r="60" spans="1:21" s="45" customFormat="1" x14ac:dyDescent="0.45"/>
    <row r="62" spans="1:21" x14ac:dyDescent="0.45">
      <c r="G62" s="45"/>
      <c r="H62" s="45"/>
      <c r="I62" s="45"/>
      <c r="J62" s="45"/>
      <c r="K62" s="45"/>
      <c r="M62" s="45"/>
      <c r="N62" s="45"/>
      <c r="O62" s="45"/>
      <c r="P62" s="45"/>
      <c r="Q62" s="45"/>
      <c r="R62" s="45"/>
    </row>
    <row r="65" spans="1:1" x14ac:dyDescent="0.45">
      <c r="A65" s="45"/>
    </row>
    <row r="66" spans="1:1" x14ac:dyDescent="0.45">
      <c r="A66" s="45"/>
    </row>
    <row r="69" spans="1:1" x14ac:dyDescent="0.45">
      <c r="A69" s="45"/>
    </row>
    <row r="71" spans="1:1" x14ac:dyDescent="0.45">
      <c r="A71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Sheet3!$I$2:$I$6</xm:f>
          </x14:formula1>
          <xm:sqref>B2:B58</xm:sqref>
        </x14:dataValidation>
        <x14:dataValidation type="list" allowBlank="1" showInputMessage="1" showErrorMessage="1">
          <x14:formula1>
            <xm:f>Sheet3!$K$2:$K$3</xm:f>
          </x14:formula1>
          <xm:sqref>C2:C58</xm:sqref>
        </x14:dataValidation>
        <x14:dataValidation type="list" allowBlank="1" showInputMessage="1" showErrorMessage="1">
          <x14:formula1>
            <xm:f>Sheet3!$O$2:$O$6</xm:f>
          </x14:formula1>
          <xm:sqref>E2:E58</xm:sqref>
        </x14:dataValidation>
        <x14:dataValidation type="list" allowBlank="1" showInputMessage="1" showErrorMessage="1">
          <x14:formula1>
            <xm:f>Sheet3!$M$2:$M$11</xm:f>
          </x14:formula1>
          <xm:sqref>D2:D58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"/>
  <sheetViews>
    <sheetView showGridLines="0" tabSelected="1" workbookViewId="0">
      <selection activeCell="AF8" sqref="AF8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14.8</v>
      </c>
      <c r="J2" s="61">
        <v>18.96</v>
      </c>
      <c r="K2" s="61">
        <v>20.400000000000002</v>
      </c>
      <c r="L2" s="61">
        <v>17.64</v>
      </c>
      <c r="M2" s="61">
        <v>21.6</v>
      </c>
      <c r="N2" s="61">
        <v>10.8</v>
      </c>
      <c r="O2" s="61">
        <v>228.40000000000006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53.96</v>
      </c>
      <c r="J3" s="61">
        <v>47.220000000000006</v>
      </c>
      <c r="K3" s="61">
        <v>56.160000000000011</v>
      </c>
      <c r="L3" s="61">
        <v>52.440000000000005</v>
      </c>
      <c r="M3" s="61">
        <v>59.6</v>
      </c>
      <c r="N3" s="61">
        <v>29.8</v>
      </c>
      <c r="O3" s="61">
        <v>612.92000000000007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88">
        <f t="shared" ref="Z3:Z8" si="0">I2</f>
        <v>14.8</v>
      </c>
      <c r="AA3" s="88">
        <f t="shared" ref="AA3:AA8" si="1">J2</f>
        <v>18.96</v>
      </c>
      <c r="AB3" s="88">
        <f t="shared" ref="AB3:AB8" si="2">K2</f>
        <v>20.400000000000002</v>
      </c>
      <c r="AC3" s="88">
        <f t="shared" ref="AC3:AC8" si="3">L2</f>
        <v>17.64</v>
      </c>
      <c r="AD3" s="88">
        <f t="shared" ref="AD3:AD8" si="4">M2</f>
        <v>21.6</v>
      </c>
      <c r="AE3" s="88">
        <f t="shared" ref="AE3:AE8" si="5">N2</f>
        <v>10.8</v>
      </c>
      <c r="AF3" s="88">
        <f t="shared" ref="AF3:AF8" si="6">SUM(S3:AE3)</f>
        <v>228.20000000000002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42.2</v>
      </c>
      <c r="J4" s="61">
        <v>41.400000000000006</v>
      </c>
      <c r="K4" s="61">
        <v>47.600000000000009</v>
      </c>
      <c r="L4" s="61">
        <v>43.56</v>
      </c>
      <c r="M4" s="61">
        <v>47.600000000000009</v>
      </c>
      <c r="N4" s="61">
        <v>25.000000000000004</v>
      </c>
      <c r="O4" s="61">
        <v>540.54000000000008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88">
        <f t="shared" si="0"/>
        <v>53.96</v>
      </c>
      <c r="AA4" s="88">
        <f t="shared" si="1"/>
        <v>47.220000000000006</v>
      </c>
      <c r="AB4" s="88">
        <f t="shared" si="2"/>
        <v>56.160000000000011</v>
      </c>
      <c r="AC4" s="88">
        <f t="shared" si="3"/>
        <v>52.440000000000005</v>
      </c>
      <c r="AD4" s="88">
        <f t="shared" si="4"/>
        <v>59.6</v>
      </c>
      <c r="AE4" s="88">
        <f t="shared" si="5"/>
        <v>29.8</v>
      </c>
      <c r="AF4" s="88">
        <f t="shared" si="6"/>
        <v>598.17999999999995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71.680000000000007</v>
      </c>
      <c r="L5" s="61">
        <v>74.640000000000015</v>
      </c>
      <c r="M5" s="61">
        <v>73.000000000000014</v>
      </c>
      <c r="N5" s="61">
        <v>40.400000000000006</v>
      </c>
      <c r="O5" s="61">
        <v>913.92000000000007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88">
        <f t="shared" si="0"/>
        <v>42.2</v>
      </c>
      <c r="AA5" s="88">
        <f t="shared" si="1"/>
        <v>41.400000000000006</v>
      </c>
      <c r="AB5" s="88">
        <f t="shared" si="2"/>
        <v>47.600000000000009</v>
      </c>
      <c r="AC5" s="88">
        <f t="shared" si="3"/>
        <v>43.56</v>
      </c>
      <c r="AD5" s="88">
        <f t="shared" si="4"/>
        <v>47.600000000000009</v>
      </c>
      <c r="AE5" s="88">
        <f t="shared" si="5"/>
        <v>25.000000000000004</v>
      </c>
      <c r="AF5" s="88">
        <f t="shared" si="6"/>
        <v>527.36000000000013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88">
        <f t="shared" si="0"/>
        <v>67.360000000000014</v>
      </c>
      <c r="AA6" s="88">
        <f t="shared" si="1"/>
        <v>65.760000000000005</v>
      </c>
      <c r="AB6" s="88">
        <f t="shared" si="2"/>
        <v>71.680000000000007</v>
      </c>
      <c r="AC6" s="88">
        <f t="shared" si="3"/>
        <v>74.640000000000015</v>
      </c>
      <c r="AD6" s="88">
        <f t="shared" si="4"/>
        <v>73.000000000000014</v>
      </c>
      <c r="AE6" s="88">
        <f t="shared" si="5"/>
        <v>40.400000000000006</v>
      </c>
      <c r="AF6" s="88">
        <f t="shared" si="6"/>
        <v>914.83999999999992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178.32000000000002</v>
      </c>
      <c r="J7" s="61">
        <v>173.34000000000003</v>
      </c>
      <c r="K7" s="61">
        <v>195.84000000000003</v>
      </c>
      <c r="L7" s="61">
        <v>188.28000000000003</v>
      </c>
      <c r="M7" s="61">
        <v>201.8</v>
      </c>
      <c r="N7" s="61">
        <v>106.00000000000001</v>
      </c>
      <c r="O7" s="61">
        <v>2296.98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88">
        <f t="shared" si="0"/>
        <v>0</v>
      </c>
      <c r="AA7" s="88">
        <f t="shared" si="1"/>
        <v>0</v>
      </c>
      <c r="AB7" s="88">
        <f t="shared" si="2"/>
        <v>0</v>
      </c>
      <c r="AC7" s="88">
        <f t="shared" si="3"/>
        <v>0</v>
      </c>
      <c r="AD7" s="88">
        <f t="shared" si="4"/>
        <v>0</v>
      </c>
      <c r="AE7" s="88">
        <f t="shared" si="5"/>
        <v>0</v>
      </c>
      <c r="AF7" s="88">
        <f t="shared" si="6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89">
        <f t="shared" si="0"/>
        <v>178.32000000000002</v>
      </c>
      <c r="AA8" s="89">
        <f t="shared" si="1"/>
        <v>173.34000000000003</v>
      </c>
      <c r="AB8" s="89">
        <f t="shared" si="2"/>
        <v>195.84000000000003</v>
      </c>
      <c r="AC8" s="89">
        <f t="shared" si="3"/>
        <v>188.28000000000003</v>
      </c>
      <c r="AD8" s="89">
        <f t="shared" si="4"/>
        <v>201.8</v>
      </c>
      <c r="AE8" s="89">
        <f t="shared" si="5"/>
        <v>106.00000000000001</v>
      </c>
      <c r="AF8" s="89">
        <f t="shared" si="6"/>
        <v>2290.58</v>
      </c>
    </row>
    <row r="12" spans="1:32" x14ac:dyDescent="0.45">
      <c r="R12" s="81" t="s">
        <v>177</v>
      </c>
      <c r="S12" s="82"/>
      <c r="T12" s="83"/>
      <c r="U12" s="80">
        <f ca="1">SUMIF(Team!E2:E104,"QA BA", Team!U2:U104)</f>
        <v>325.31</v>
      </c>
    </row>
    <row r="14" spans="1:32" x14ac:dyDescent="0.45">
      <c r="R14" s="81" t="s">
        <v>178</v>
      </c>
      <c r="S14" s="82"/>
      <c r="T14" s="83"/>
      <c r="U14" s="80">
        <f ca="1">SUM(SUMIFS(Team!U4:U104, Team!E4:E104,"QA BA", Team!B4:B104, {"Alpha","ngStars","NW"}))</f>
        <v>215.15000000000003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August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August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43298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79</v>
      </c>
      <c r="U16" s="31">
        <f ca="1">DATEDIF(DATE('Leave Tracker'!$A$2,'Leave Tracker'!$A$1,1),DATE(YEAR(R16),MONTH(R16),1),"m")</f>
        <v>3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2018-07-18T02:22:45Z</dcterms:modified>
</cp:coreProperties>
</file>