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0AA94BD2-1E6F-4755-80C5-2C8FEAE74918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8" r:id="rId6"/>
  </pivotCaches>
  <fileRecoveryPr autoRecover="0"/>
</workbook>
</file>

<file path=xl/calcChain.xml><?xml version="1.0" encoding="utf-8"?>
<calcChain xmlns="http://schemas.openxmlformats.org/spreadsheetml/2006/main">
  <c r="NZ44" i="8" l="1" a="1"/>
  <c r="NZ44" i="8" s="1"/>
  <c r="NY44" i="8" a="1"/>
  <c r="NY44" i="8" s="1"/>
  <c r="NX44" i="8" a="1"/>
  <c r="NX44" i="8" s="1"/>
  <c r="NW44" i="8" a="1"/>
  <c r="NW44" i="8" s="1"/>
  <c r="NV44" i="8" a="1"/>
  <c r="NV44" i="8" s="1"/>
  <c r="NU44" i="8" a="1"/>
  <c r="NU44" i="8" s="1"/>
  <c r="NT44" i="8" a="1"/>
  <c r="NT44" i="8" s="1"/>
  <c r="NS44" i="8" a="1"/>
  <c r="NS44" i="8" s="1"/>
  <c r="NR44" i="8" a="1"/>
  <c r="NR44" i="8" s="1"/>
  <c r="NQ44" i="8" a="1"/>
  <c r="NQ44" i="8" s="1"/>
  <c r="NP44" i="8" a="1"/>
  <c r="NP44" i="8" s="1"/>
  <c r="NO44" i="8" a="1"/>
  <c r="NO44" i="8" s="1"/>
  <c r="NN44" i="8" a="1"/>
  <c r="NN44" i="8" s="1"/>
  <c r="NM44" i="8" a="1"/>
  <c r="NM44" i="8" s="1"/>
  <c r="NK44" i="8" a="1"/>
  <c r="NK44" i="8" s="1"/>
  <c r="NL44" i="8" a="1"/>
  <c r="NL44" i="8" s="1"/>
  <c r="G39" i="10" a="1"/>
  <c r="Q39" i="10" a="1"/>
  <c r="L39" i="10" a="1"/>
  <c r="I39" i="10" a="1"/>
  <c r="K39" i="10" a="1"/>
  <c r="S39" i="10" a="1"/>
  <c r="N39" i="10" a="1"/>
  <c r="P39" i="10" a="1"/>
  <c r="T39" i="10" a="1"/>
  <c r="R39" i="10" a="1"/>
  <c r="H39" i="10" a="1"/>
  <c r="O39" i="10" a="1"/>
  <c r="J39" i="10" a="1"/>
  <c r="M39" i="10" a="1"/>
  <c r="R39" i="10" l="1"/>
  <c r="N39" i="10"/>
  <c r="J39" i="10"/>
  <c r="Q39" i="10"/>
  <c r="M39" i="10"/>
  <c r="I39" i="10"/>
  <c r="T39" i="10"/>
  <c r="P39" i="10"/>
  <c r="L39" i="10"/>
  <c r="H39" i="10"/>
  <c r="S39" i="10"/>
  <c r="O39" i="10"/>
  <c r="K39" i="10"/>
  <c r="G39" i="10"/>
  <c r="Z7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 s="1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57" i="10" a="1"/>
  <c r="G37" i="10" a="1"/>
  <c r="G59" i="10" a="1"/>
  <c r="G58" i="10" a="1"/>
  <c r="G33" i="10" a="1"/>
  <c r="G38" i="10" a="1"/>
  <c r="T3" i="5" l="1"/>
  <c r="NN64" i="8" s="1" a="1"/>
  <c r="NN64" i="8" s="1"/>
  <c r="S4" i="5"/>
  <c r="NM64" i="8" a="1"/>
  <c r="NM64" i="8" s="1"/>
  <c r="NL64" i="8" a="1"/>
  <c r="NL64" i="8" s="1"/>
  <c r="NK64" i="8" a="1"/>
  <c r="NK64" i="8" s="1"/>
  <c r="G58" i="10"/>
  <c r="G59" i="10"/>
  <c r="G57" i="10"/>
  <c r="NK63" i="8" a="1"/>
  <c r="NK63" i="8" s="1"/>
  <c r="NK62" i="8" a="1"/>
  <c r="NK62" i="8" s="1"/>
  <c r="NL62" i="8" a="1"/>
  <c r="NL62" i="8" s="1"/>
  <c r="NN62" i="8" a="1"/>
  <c r="NN62" i="8" s="1"/>
  <c r="NM62" i="8" a="1"/>
  <c r="NM62" i="8" s="1"/>
  <c r="NL41" i="8" a="1"/>
  <c r="NL41" i="8" s="1"/>
  <c r="NL63" i="8" a="1"/>
  <c r="NL63" i="8" s="1"/>
  <c r="NM63" i="8" a="1"/>
  <c r="NM63" i="8" s="1"/>
  <c r="NK43" i="8" a="1"/>
  <c r="NK43" i="8" s="1"/>
  <c r="G33" i="10"/>
  <c r="G38" i="10"/>
  <c r="G37" i="10"/>
  <c r="NM43" i="8" a="1"/>
  <c r="NM43" i="8" s="1"/>
  <c r="NN42" i="8" a="1"/>
  <c r="NN42" i="8" s="1"/>
  <c r="NM42" i="8" a="1"/>
  <c r="NM42" i="8" s="1"/>
  <c r="NL45" i="8" a="1"/>
  <c r="NL45" i="8" s="1"/>
  <c r="NN61" i="8" a="1"/>
  <c r="NN61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NJ44" i="8" s="1" a="1"/>
  <c r="NJ44" i="8" s="1"/>
  <c r="Q6" i="8"/>
  <c r="Q4" i="8" s="1"/>
  <c r="NK38" i="8" a="1"/>
  <c r="NK38" i="8" s="1"/>
  <c r="NK39" i="8" a="1"/>
  <c r="NK39" i="8" s="1"/>
  <c r="NK58" i="8" a="1"/>
  <c r="NK58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6" i="8" a="1"/>
  <c r="NK56" i="8" s="1"/>
  <c r="NN30" i="8" a="1"/>
  <c r="NN30" i="8" s="1"/>
  <c r="NL30" i="8" a="1"/>
  <c r="NL30" i="8" s="1"/>
  <c r="NL60" i="8" a="1"/>
  <c r="NL60" i="8" s="1"/>
  <c r="NK33" i="8" a="1"/>
  <c r="NK33" i="8" s="1"/>
  <c r="NM34" i="8" a="1"/>
  <c r="NM34" i="8" s="1"/>
  <c r="NN9" i="8" a="1"/>
  <c r="NN9" i="8" s="1"/>
  <c r="NL10" i="8" a="1"/>
  <c r="NL10" i="8" s="1"/>
  <c r="NL48" i="8" a="1"/>
  <c r="NL48" i="8" s="1"/>
  <c r="NK26" i="8" a="1"/>
  <c r="NK26" i="8" s="1"/>
  <c r="NM50" i="8" a="1"/>
  <c r="NM50" i="8" s="1"/>
  <c r="NN51" i="8" a="1"/>
  <c r="NN51" i="8" s="1"/>
  <c r="NL29" i="8" a="1"/>
  <c r="NL29" i="8" s="1"/>
  <c r="NL53" i="8" a="1"/>
  <c r="NL53" i="8" s="1"/>
  <c r="NK45" i="8" a="1"/>
  <c r="NK45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9" i="8" a="1"/>
  <c r="NM59" i="8" s="1"/>
  <c r="NK23" i="8" a="1"/>
  <c r="NK23" i="8" s="1"/>
  <c r="NK47" i="8" a="1"/>
  <c r="NK47" i="8" s="1"/>
  <c r="NK35" i="8" a="1"/>
  <c r="NK35" i="8" s="1"/>
  <c r="NK34" i="8" a="1"/>
  <c r="NK34" i="8" s="1"/>
  <c r="NK17" i="8" a="1"/>
  <c r="NK17" i="8" s="1"/>
  <c r="NK50" i="8" a="1"/>
  <c r="NK50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9" i="8" a="1"/>
  <c r="NK59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1" i="8" a="1"/>
  <c r="NK51" i="8" s="1"/>
  <c r="NK15" i="8" a="1"/>
  <c r="NK15" i="8" s="1"/>
  <c r="NK11" i="8" a="1"/>
  <c r="NK11" i="8" s="1"/>
  <c r="NK12" i="8" a="1"/>
  <c r="NK12" i="8" s="1"/>
  <c r="NK60" i="8" a="1"/>
  <c r="NK60" i="8" s="1"/>
  <c r="NK40" i="8" a="1"/>
  <c r="NK40" i="8" s="1"/>
  <c r="NK48" i="8" a="1"/>
  <c r="NK48" i="8" s="1"/>
  <c r="NK29" i="8" a="1"/>
  <c r="NK29" i="8" s="1"/>
  <c r="NK61" i="8" a="1"/>
  <c r="NK61" i="8" s="1"/>
  <c r="NK52" i="8" a="1"/>
  <c r="NK52" i="8" s="1"/>
  <c r="NK32" i="8" a="1"/>
  <c r="NK32" i="8" s="1"/>
  <c r="NK57" i="8" a="1"/>
  <c r="NK57" i="8" s="1"/>
  <c r="NK54" i="8" a="1"/>
  <c r="NK54" i="8" s="1"/>
  <c r="NK53" i="8" a="1"/>
  <c r="NK53" i="8" s="1"/>
  <c r="NK41" i="8" a="1"/>
  <c r="NK41" i="8" s="1"/>
  <c r="NK16" i="8" a="1"/>
  <c r="NK16" i="8" s="1"/>
  <c r="NK49" i="8" a="1"/>
  <c r="NK49" i="8" s="1"/>
  <c r="NK13" i="8" a="1"/>
  <c r="NK13" i="8" s="1"/>
  <c r="NK24" i="8" a="1"/>
  <c r="NK24" i="8" s="1"/>
  <c r="NK55" i="8" a="1"/>
  <c r="NK55" i="8" s="1"/>
  <c r="NK46" i="8" a="1"/>
  <c r="NK46" i="8" s="1"/>
  <c r="NN13" i="8" a="1"/>
  <c r="NN13" i="8" s="1"/>
  <c r="NK21" i="8" a="1"/>
  <c r="NK21" i="8" s="1"/>
  <c r="NM32" i="8" a="1"/>
  <c r="NM32" i="8" s="1"/>
  <c r="NM21" i="8" a="1"/>
  <c r="NM21" i="8" s="1"/>
  <c r="NM45" i="8" a="1"/>
  <c r="NM45" i="8" s="1"/>
  <c r="NM47" i="8" a="1"/>
  <c r="NM47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60" i="8" a="1"/>
  <c r="NN60" i="8" s="1"/>
  <c r="NN49" i="8" a="1"/>
  <c r="NN49" i="8" s="1"/>
  <c r="NL24" i="8" a="1"/>
  <c r="NL24" i="8" s="1"/>
  <c r="NL19" i="8" a="1"/>
  <c r="NL19" i="8" s="1"/>
  <c r="NL61" i="8" a="1"/>
  <c r="NL61" i="8" s="1"/>
  <c r="NL31" i="8" a="1"/>
  <c r="NL31" i="8" s="1"/>
  <c r="NL57" i="8" a="1"/>
  <c r="NL57" i="8" s="1"/>
  <c r="NL52" i="8" a="1"/>
  <c r="NL52" i="8" s="1"/>
  <c r="NL22" i="8" a="1"/>
  <c r="NL22" i="8" s="1"/>
  <c r="NM40" i="8" a="1"/>
  <c r="NM40" i="8" s="1"/>
  <c r="NM36" i="8" a="1"/>
  <c r="NM36" i="8" s="1"/>
  <c r="NM11" i="8" a="1"/>
  <c r="NM11" i="8" s="1"/>
  <c r="NM56" i="8" a="1"/>
  <c r="NM56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7" i="8" a="1"/>
  <c r="NL47" i="8" s="1"/>
  <c r="NL25" i="8" a="1"/>
  <c r="NL25" i="8" s="1"/>
  <c r="NL39" i="8" a="1"/>
  <c r="NL39" i="8" s="1"/>
  <c r="NL59" i="8" a="1"/>
  <c r="NL59" i="8" s="1"/>
  <c r="NL51" i="8" a="1"/>
  <c r="NL51" i="8" s="1"/>
  <c r="NL23" i="8" a="1"/>
  <c r="NL23" i="8" s="1"/>
  <c r="NM29" i="8" a="1"/>
  <c r="NM29" i="8" s="1"/>
  <c r="NM54" i="8" a="1"/>
  <c r="NM54" i="8" s="1"/>
  <c r="NM61" i="8" a="1"/>
  <c r="NM61" i="8" s="1"/>
  <c r="NM58" i="8" a="1"/>
  <c r="NM58" i="8" s="1"/>
  <c r="NM51" i="8" a="1"/>
  <c r="NM51" i="8" s="1"/>
  <c r="NM60" i="8" a="1"/>
  <c r="NM60" i="8" s="1"/>
  <c r="NN45" i="8" a="1"/>
  <c r="NN45" i="8" s="1"/>
  <c r="NN33" i="8" a="1"/>
  <c r="NN33" i="8" s="1"/>
  <c r="NN34" i="8" a="1"/>
  <c r="NN34" i="8" s="1"/>
  <c r="NN54" i="8" a="1"/>
  <c r="NN54" i="8" s="1"/>
  <c r="NN58" i="8" a="1"/>
  <c r="NN58" i="8" s="1"/>
  <c r="NN52" i="8" a="1"/>
  <c r="NN52" i="8" s="1"/>
  <c r="NL16" i="8" a="1"/>
  <c r="NL16" i="8" s="1"/>
  <c r="NL37" i="8" a="1"/>
  <c r="NL37" i="8" s="1"/>
  <c r="NL28" i="8" a="1"/>
  <c r="NL28" i="8" s="1"/>
  <c r="NL40" i="8" a="1"/>
  <c r="NL40" i="8" s="1"/>
  <c r="NL58" i="8" a="1"/>
  <c r="NL58" i="8" s="1"/>
  <c r="NL50" i="8" a="1"/>
  <c r="NL50" i="8" s="1"/>
  <c r="NL21" i="8" a="1"/>
  <c r="NL21" i="8" s="1"/>
  <c r="NM52" i="8" a="1"/>
  <c r="NM52" i="8" s="1"/>
  <c r="NM31" i="8" a="1"/>
  <c r="NM31" i="8" s="1"/>
  <c r="NM19" i="8" a="1"/>
  <c r="NM19" i="8" s="1"/>
  <c r="NM28" i="8" a="1"/>
  <c r="NM28" i="8" s="1"/>
  <c r="NM37" i="8" a="1"/>
  <c r="NM37" i="8" s="1"/>
  <c r="NM57" i="8" a="1"/>
  <c r="NM57" i="8" s="1"/>
  <c r="NN53" i="8" a="1"/>
  <c r="NN53" i="8" s="1"/>
  <c r="NN46" i="8" a="1"/>
  <c r="NN46" i="8" s="1"/>
  <c r="NN57" i="8" a="1"/>
  <c r="NN57" i="8" s="1"/>
  <c r="NN50" i="8" a="1"/>
  <c r="NN50" i="8" s="1"/>
  <c r="NN47" i="8" a="1"/>
  <c r="NN47" i="8" s="1"/>
  <c r="NN38" i="8" a="1"/>
  <c r="NN38" i="8" s="1"/>
  <c r="NL46" i="8" a="1"/>
  <c r="NL46" i="8" s="1"/>
  <c r="NL15" i="8" a="1"/>
  <c r="NL15" i="8" s="1"/>
  <c r="NL26" i="8" a="1"/>
  <c r="NL26" i="8" s="1"/>
  <c r="NL38" i="8" a="1"/>
  <c r="NL38" i="8" s="1"/>
  <c r="NL56" i="8" a="1"/>
  <c r="NL56" i="8" s="1"/>
  <c r="NL49" i="8" a="1"/>
  <c r="NL49" i="8" s="1"/>
  <c r="NM55" i="8" a="1"/>
  <c r="NM55" i="8" s="1"/>
  <c r="NM38" i="8" a="1"/>
  <c r="NM38" i="8" s="1"/>
  <c r="NM49" i="8" a="1"/>
  <c r="NM49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9" i="8" a="1"/>
  <c r="NN59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5" i="8" a="1"/>
  <c r="NL55" i="8" s="1"/>
  <c r="NM17" i="8" a="1"/>
  <c r="NM17" i="8" s="1"/>
  <c r="NM41" i="8" a="1"/>
  <c r="NM41" i="8" s="1"/>
  <c r="NM24" i="8" a="1"/>
  <c r="NM24" i="8" s="1"/>
  <c r="NM46" i="8" a="1"/>
  <c r="NM46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8" i="8" a="1"/>
  <c r="NN48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4" i="8" a="1"/>
  <c r="NL54" i="8" s="1"/>
  <c r="NM53" i="8" a="1"/>
  <c r="NM53" i="8" s="1"/>
  <c r="NM20" i="8" a="1"/>
  <c r="NM20" i="8" s="1"/>
  <c r="NM25" i="8" a="1"/>
  <c r="NM25" i="8" s="1"/>
  <c r="NM48" i="8" a="1"/>
  <c r="NM48" i="8" s="1"/>
  <c r="NM18" i="8" a="1"/>
  <c r="NM18" i="8" s="1"/>
  <c r="NM27" i="8" a="1"/>
  <c r="NM27" i="8" s="1"/>
  <c r="NN20" i="8" a="1"/>
  <c r="NN20" i="8" s="1"/>
  <c r="NN24" i="8" a="1"/>
  <c r="NN24" i="8" s="1"/>
  <c r="NN56" i="8" a="1"/>
  <c r="NN56" i="8" s="1"/>
  <c r="NN23" i="8" a="1"/>
  <c r="NN23" i="8" s="1"/>
  <c r="NN27" i="8" a="1"/>
  <c r="NN27" i="8" s="1"/>
  <c r="NN29" i="8" a="1"/>
  <c r="NN29" i="8" s="1"/>
  <c r="NN55" i="8" a="1"/>
  <c r="NN55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6" i="8"/>
  <c r="H59" i="10" a="1"/>
  <c r="H57" i="10" a="1"/>
  <c r="H37" i="10" a="1"/>
  <c r="H33" i="10" a="1"/>
  <c r="H58" i="10" a="1"/>
  <c r="H38" i="10" a="1"/>
  <c r="H33" i="10" l="1"/>
  <c r="H57" i="10"/>
  <c r="H37" i="10"/>
  <c r="H38" i="10"/>
  <c r="H59" i="10"/>
  <c r="H58" i="10"/>
  <c r="NN63" i="8" a="1"/>
  <c r="NN63" i="8" s="1"/>
  <c r="T4" i="5"/>
  <c r="R5" i="5"/>
  <c r="S5" i="5"/>
  <c r="NJ62" i="8" a="1"/>
  <c r="NJ62" i="8" s="1"/>
  <c r="NJ64" i="8" a="1"/>
  <c r="NJ64" i="8" s="1"/>
  <c r="NJ63" i="8" a="1"/>
  <c r="NJ63" i="8" s="1"/>
  <c r="NJ42" i="8" a="1"/>
  <c r="NJ42" i="8" s="1"/>
  <c r="NJ32" i="8" a="1"/>
  <c r="NJ32" i="8" s="1"/>
  <c r="NJ47" i="8" a="1"/>
  <c r="NJ47" i="8" s="1"/>
  <c r="NJ15" i="8" a="1"/>
  <c r="NJ15" i="8" s="1"/>
  <c r="NJ61" i="8" a="1"/>
  <c r="NJ61" i="8" s="1"/>
  <c r="NJ34" i="8" a="1"/>
  <c r="NJ34" i="8" s="1"/>
  <c r="NJ26" i="8" a="1"/>
  <c r="NJ26" i="8" s="1"/>
  <c r="NJ57" i="8" a="1"/>
  <c r="NJ57" i="8" s="1"/>
  <c r="NJ28" i="8" a="1"/>
  <c r="NJ28" i="8" s="1"/>
  <c r="NJ54" i="8" a="1"/>
  <c r="NJ54" i="8" s="1"/>
  <c r="NJ41" i="8" a="1"/>
  <c r="NJ41" i="8" s="1"/>
  <c r="NJ51" i="8" a="1"/>
  <c r="NJ51" i="8" s="1"/>
  <c r="NJ37" i="8" a="1"/>
  <c r="NJ37" i="8" s="1"/>
  <c r="NJ14" i="8" a="1"/>
  <c r="NJ14" i="8" s="1"/>
  <c r="NJ56" i="8" a="1"/>
  <c r="NJ56" i="8" s="1"/>
  <c r="NJ27" i="8" a="1"/>
  <c r="NJ27" i="8" s="1"/>
  <c r="NJ50" i="8" a="1"/>
  <c r="NJ50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2" i="8" a="1"/>
  <c r="NJ52" i="8" s="1"/>
  <c r="NJ45" i="8" a="1"/>
  <c r="NJ45" i="8" s="1"/>
  <c r="NJ23" i="8" a="1"/>
  <c r="NJ23" i="8" s="1"/>
  <c r="NJ17" i="8" a="1"/>
  <c r="NJ17" i="8" s="1"/>
  <c r="NJ24" i="8" a="1"/>
  <c r="NJ24" i="8" s="1"/>
  <c r="NJ49" i="8" a="1"/>
  <c r="NJ49" i="8" s="1"/>
  <c r="NJ36" i="8" a="1"/>
  <c r="NJ36" i="8" s="1"/>
  <c r="NJ21" i="8" a="1"/>
  <c r="NJ21" i="8" s="1"/>
  <c r="NJ48" i="8" a="1"/>
  <c r="NJ48" i="8" s="1"/>
  <c r="NJ13" i="8" a="1"/>
  <c r="NJ13" i="8" s="1"/>
  <c r="NJ19" i="8" a="1"/>
  <c r="NJ19" i="8" s="1"/>
  <c r="NJ55" i="8" a="1"/>
  <c r="NJ55" i="8" s="1"/>
  <c r="NJ60" i="8" a="1"/>
  <c r="NJ60" i="8" s="1"/>
  <c r="NJ59" i="8" a="1"/>
  <c r="NJ59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6" i="8" a="1"/>
  <c r="NJ46" i="8" s="1"/>
  <c r="NJ33" i="8" a="1"/>
  <c r="NJ33" i="8" s="1"/>
  <c r="NJ11" i="8" a="1"/>
  <c r="NJ11" i="8" s="1"/>
  <c r="NJ53" i="8" a="1"/>
  <c r="NJ53" i="8" s="1"/>
  <c r="NJ58" i="8" a="1"/>
  <c r="NJ58" i="8" s="1"/>
  <c r="NJ35" i="8" a="1"/>
  <c r="NJ35" i="8" s="1"/>
  <c r="I58" i="10" a="1"/>
  <c r="I38" i="10" a="1"/>
  <c r="I57" i="10" a="1"/>
  <c r="I33" i="10" a="1"/>
  <c r="I59" i="10" a="1"/>
  <c r="I37" i="10" a="1"/>
  <c r="I59" i="10" l="1"/>
  <c r="I38" i="10"/>
  <c r="I33" i="10"/>
  <c r="I37" i="10"/>
  <c r="I58" i="10"/>
  <c r="I57" i="10"/>
  <c r="R6" i="5"/>
  <c r="S6" i="5"/>
  <c r="U5" i="5"/>
  <c r="T5" i="5"/>
  <c r="NO62" i="8" a="1"/>
  <c r="NO62" i="8" s="1"/>
  <c r="NO33" i="8" a="1"/>
  <c r="NO33" i="8" s="1"/>
  <c r="NO24" i="8" a="1"/>
  <c r="NO24" i="8" s="1"/>
  <c r="NO10" i="8" a="1"/>
  <c r="NO10" i="8" s="1"/>
  <c r="NO47" i="8" a="1"/>
  <c r="NO47" i="8" s="1"/>
  <c r="NO9" i="8" a="1"/>
  <c r="NO9" i="8" s="1"/>
  <c r="NO29" i="8" a="1"/>
  <c r="NO29" i="8" s="1"/>
  <c r="NO36" i="8" a="1"/>
  <c r="NO36" i="8" s="1"/>
  <c r="NO55" i="8" a="1"/>
  <c r="NO55" i="8" s="1"/>
  <c r="NO34" i="8" a="1"/>
  <c r="NO34" i="8" s="1"/>
  <c r="NO48" i="8" a="1"/>
  <c r="NO48" i="8" s="1"/>
  <c r="NO51" i="8" a="1"/>
  <c r="NO51" i="8" s="1"/>
  <c r="NO58" i="8" a="1"/>
  <c r="NO58" i="8" s="1"/>
  <c r="NO43" i="8" a="1"/>
  <c r="NO43" i="8" s="1"/>
  <c r="NO20" i="8" a="1"/>
  <c r="NO20" i="8" s="1"/>
  <c r="NO60" i="8" a="1"/>
  <c r="NO60" i="8" s="1"/>
  <c r="NO56" i="8" a="1"/>
  <c r="NO56" i="8" s="1"/>
  <c r="NO18" i="8" a="1"/>
  <c r="NO18" i="8" s="1"/>
  <c r="NO27" i="8" a="1"/>
  <c r="NO27" i="8" s="1"/>
  <c r="NO37" i="8" a="1"/>
  <c r="NO37" i="8" s="1"/>
  <c r="NO57" i="8" a="1"/>
  <c r="NO57" i="8" s="1"/>
  <c r="NO64" i="8" a="1"/>
  <c r="NO64" i="8" s="1"/>
  <c r="NO8" i="8" a="1"/>
  <c r="NO8" i="8" s="1"/>
  <c r="NO39" i="8" a="1"/>
  <c r="NO39" i="8" s="1"/>
  <c r="NO45" i="8" a="1"/>
  <c r="NO45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4" i="8" a="1"/>
  <c r="NO54" i="8" s="1"/>
  <c r="NO38" i="8" a="1"/>
  <c r="NO38" i="8" s="1"/>
  <c r="NO63" i="8" a="1"/>
  <c r="NO63" i="8" s="1"/>
  <c r="NO22" i="8" a="1"/>
  <c r="NO22" i="8" s="1"/>
  <c r="NO53" i="8" a="1"/>
  <c r="NO53" i="8" s="1"/>
  <c r="NO21" i="8" a="1"/>
  <c r="NO21" i="8" s="1"/>
  <c r="NO16" i="8" a="1"/>
  <c r="NO16" i="8" s="1"/>
  <c r="NO13" i="8" a="1"/>
  <c r="NO13" i="8" s="1"/>
  <c r="NO50" i="8" a="1"/>
  <c r="NO50" i="8" s="1"/>
  <c r="NO17" i="8" a="1"/>
  <c r="NO17" i="8" s="1"/>
  <c r="NO28" i="8" a="1"/>
  <c r="NO28" i="8" s="1"/>
  <c r="NO19" i="8" a="1"/>
  <c r="NO19" i="8" s="1"/>
  <c r="NO42" i="8" a="1"/>
  <c r="NO42" i="8" s="1"/>
  <c r="NO52" i="8" a="1"/>
  <c r="NO52" i="8" s="1"/>
  <c r="NO35" i="8" a="1"/>
  <c r="NO35" i="8" s="1"/>
  <c r="NO61" i="8" a="1"/>
  <c r="NO61" i="8" s="1"/>
  <c r="NO26" i="8" a="1"/>
  <c r="NO26" i="8" s="1"/>
  <c r="NO12" i="8" a="1"/>
  <c r="NO12" i="8" s="1"/>
  <c r="NO49" i="8" a="1"/>
  <c r="NO49" i="8" s="1"/>
  <c r="NO14" i="8" a="1"/>
  <c r="NO14" i="8" s="1"/>
  <c r="NO46" i="8" a="1"/>
  <c r="NO46" i="8" s="1"/>
  <c r="NO59" i="8" a="1"/>
  <c r="NO59" i="8" s="1"/>
  <c r="NO23" i="8" a="1"/>
  <c r="NO23" i="8" s="1"/>
  <c r="NO41" i="8" a="1"/>
  <c r="NO41" i="8" s="1"/>
  <c r="NP64" i="8" l="1" a="1"/>
  <c r="NP64" i="8" s="1"/>
  <c r="U6" i="5"/>
  <c r="T6" i="5"/>
  <c r="S7" i="5"/>
  <c r="R7" i="5"/>
  <c r="NP24" i="8" a="1"/>
  <c r="NP24" i="8" s="1"/>
  <c r="NP33" i="8" a="1"/>
  <c r="NP33" i="8" s="1"/>
  <c r="NP27" i="8" a="1"/>
  <c r="NP27" i="8" s="1"/>
  <c r="NP48" i="8" a="1"/>
  <c r="NP48" i="8" s="1"/>
  <c r="NP58" i="8" a="1"/>
  <c r="NP58" i="8" s="1"/>
  <c r="NP9" i="8" a="1"/>
  <c r="NP9" i="8" s="1"/>
  <c r="NP29" i="8" a="1"/>
  <c r="NP29" i="8" s="1"/>
  <c r="NP39" i="8" a="1"/>
  <c r="NP39" i="8" s="1"/>
  <c r="NP61" i="8" a="1"/>
  <c r="NP61" i="8" s="1"/>
  <c r="NP22" i="8" a="1"/>
  <c r="NP22" i="8" s="1"/>
  <c r="NP52" i="8" a="1"/>
  <c r="NP52" i="8" s="1"/>
  <c r="NP55" i="8" a="1"/>
  <c r="NP55" i="8" s="1"/>
  <c r="NP41" i="8" a="1"/>
  <c r="NP41" i="8" s="1"/>
  <c r="NP56" i="8" a="1"/>
  <c r="NP56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50" i="8" a="1"/>
  <c r="NP50" i="8" s="1"/>
  <c r="NP10" i="8" a="1"/>
  <c r="NP10" i="8" s="1"/>
  <c r="NP21" i="8" a="1"/>
  <c r="NP21" i="8" s="1"/>
  <c r="NP51" i="8" a="1"/>
  <c r="NP51" i="8" s="1"/>
  <c r="NP46" i="8" a="1"/>
  <c r="NP46" i="8" s="1"/>
  <c r="NP23" i="8" a="1"/>
  <c r="NP23" i="8" s="1"/>
  <c r="NP19" i="8" a="1"/>
  <c r="NP19" i="8" s="1"/>
  <c r="NP26" i="8" a="1"/>
  <c r="NP26" i="8" s="1"/>
  <c r="NP62" i="8" a="1"/>
  <c r="NP62" i="8" s="1"/>
  <c r="NP63" i="8" a="1"/>
  <c r="NP63" i="8" s="1"/>
  <c r="NP47" i="8" a="1"/>
  <c r="NP47" i="8" s="1"/>
  <c r="NP28" i="8" a="1"/>
  <c r="NP28" i="8" s="1"/>
  <c r="NP49" i="8" a="1"/>
  <c r="NP49" i="8" s="1"/>
  <c r="NP8" i="8" a="1"/>
  <c r="NP8" i="8" s="1"/>
  <c r="NP11" i="8" a="1"/>
  <c r="NP11" i="8" s="1"/>
  <c r="NP30" i="8" a="1"/>
  <c r="NP30" i="8" s="1"/>
  <c r="NP60" i="8" a="1"/>
  <c r="NP60" i="8" s="1"/>
  <c r="NP12" i="8" a="1"/>
  <c r="NP12" i="8" s="1"/>
  <c r="NP40" i="8" a="1"/>
  <c r="NP40" i="8" s="1"/>
  <c r="NP35" i="8" a="1"/>
  <c r="NP35" i="8" s="1"/>
  <c r="NP25" i="8" a="1"/>
  <c r="NP25" i="8" s="1"/>
  <c r="NP45" i="8" a="1"/>
  <c r="NP45" i="8" s="1"/>
  <c r="NP42" i="8" a="1"/>
  <c r="NP42" i="8" s="1"/>
  <c r="NP43" i="8" a="1"/>
  <c r="NP43" i="8" s="1"/>
  <c r="NP34" i="8" a="1"/>
  <c r="NP34" i="8" s="1"/>
  <c r="NP15" i="8" a="1"/>
  <c r="NP15" i="8" s="1"/>
  <c r="NP57" i="8" a="1"/>
  <c r="NP57" i="8" s="1"/>
  <c r="NP17" i="8" a="1"/>
  <c r="NP17" i="8" s="1"/>
  <c r="NP20" i="8" a="1"/>
  <c r="NP20" i="8" s="1"/>
  <c r="NP38" i="8" a="1"/>
  <c r="NP38" i="8" s="1"/>
  <c r="NP59" i="8" a="1"/>
  <c r="NP59" i="8" s="1"/>
  <c r="NP54" i="8" a="1"/>
  <c r="NP54" i="8" s="1"/>
  <c r="NP31" i="8" a="1"/>
  <c r="NP31" i="8" s="1"/>
  <c r="NP53" i="8" a="1"/>
  <c r="NP53" i="8" s="1"/>
  <c r="NP14" i="8" a="1"/>
  <c r="NP14" i="8" s="1"/>
  <c r="NP13" i="8" a="1"/>
  <c r="NP13" i="8" s="1"/>
  <c r="G2" i="10" a="1"/>
  <c r="G5" i="10" a="1"/>
  <c r="I53" i="10" a="1"/>
  <c r="K28" i="10" a="1"/>
  <c r="J45" i="10" a="1"/>
  <c r="G47" i="10" a="1"/>
  <c r="J11" i="10" a="1"/>
  <c r="K26" i="10" a="1"/>
  <c r="K23" i="10" a="1"/>
  <c r="J44" i="10" a="1"/>
  <c r="H51" i="10" a="1"/>
  <c r="J36" i="10" a="1"/>
  <c r="K32" i="10" a="1"/>
  <c r="I51" i="10" a="1"/>
  <c r="I36" i="10" a="1"/>
  <c r="J23" i="10" a="1"/>
  <c r="K47" i="10" a="1"/>
  <c r="J30" i="10" a="1"/>
  <c r="H50" i="10" a="1"/>
  <c r="H34" i="10" a="1"/>
  <c r="J7" i="10" a="1"/>
  <c r="K7" i="10" a="1"/>
  <c r="G21" i="10" a="1"/>
  <c r="H3" i="10" a="1"/>
  <c r="G15" i="10" a="1"/>
  <c r="K12" i="10" a="1"/>
  <c r="J51" i="10" a="1"/>
  <c r="G23" i="10" a="1"/>
  <c r="H17" i="10" a="1"/>
  <c r="I13" i="10" a="1"/>
  <c r="G4" i="10" a="1"/>
  <c r="I20" i="10" a="1"/>
  <c r="K33" i="10" a="1"/>
  <c r="I48" i="10" a="1"/>
  <c r="J34" i="10" a="1"/>
  <c r="K24" i="10" a="1"/>
  <c r="J48" i="10" a="1"/>
  <c r="H14" i="10" a="1"/>
  <c r="H55" i="10" a="1"/>
  <c r="K54" i="10" a="1"/>
  <c r="G48" i="10" a="1"/>
  <c r="I55" i="10" a="1"/>
  <c r="J13" i="10" a="1"/>
  <c r="K40" i="10" a="1"/>
  <c r="J56" i="10" a="1"/>
  <c r="G9" i="10" a="1"/>
  <c r="I29" i="10" a="1"/>
  <c r="I30" i="10" a="1"/>
  <c r="K19" i="10" a="1"/>
  <c r="G34" i="10" a="1"/>
  <c r="J57" i="10" a="1"/>
  <c r="H25" i="10" a="1"/>
  <c r="K58" i="10" a="1"/>
  <c r="J19" i="10" a="1"/>
  <c r="G43" i="10" a="1"/>
  <c r="H8" i="10" a="1"/>
  <c r="I3" i="10" a="1"/>
  <c r="K41" i="10" a="1"/>
  <c r="I15" i="10" a="1"/>
  <c r="J49" i="10" a="1"/>
  <c r="G22" i="10" a="1"/>
  <c r="K44" i="10" a="1"/>
  <c r="G13" i="10" a="1"/>
  <c r="H36" i="10" a="1"/>
  <c r="K10" i="10" a="1"/>
  <c r="H9" i="10" a="1"/>
  <c r="H40" i="10" a="1"/>
  <c r="I21" i="10" a="1"/>
  <c r="K55" i="10" a="1"/>
  <c r="H5" i="10" a="1"/>
  <c r="G6" i="10" a="1"/>
  <c r="I10" i="10" a="1"/>
  <c r="G44" i="10" a="1"/>
  <c r="I6" i="10" a="1"/>
  <c r="K38" i="10" a="1"/>
  <c r="H45" i="10" a="1"/>
  <c r="G45" i="10" a="1"/>
  <c r="I17" i="10" a="1"/>
  <c r="K31" i="10" a="1"/>
  <c r="I49" i="10" a="1"/>
  <c r="G40" i="10" a="1"/>
  <c r="J20" i="10" a="1"/>
  <c r="H2" i="10" a="1"/>
  <c r="J26" i="10" a="1"/>
  <c r="G52" i="10" a="1"/>
  <c r="J58" i="10" a="1"/>
  <c r="H10" i="10" a="1"/>
  <c r="K4" i="10" a="1"/>
  <c r="J3" i="10" a="1"/>
  <c r="G55" i="10" a="1"/>
  <c r="G26" i="10" a="1"/>
  <c r="H41" i="10" a="1"/>
  <c r="K57" i="10" a="1"/>
  <c r="I24" i="10" a="1"/>
  <c r="J16" i="10" a="1"/>
  <c r="I47" i="10" a="1"/>
  <c r="K14" i="10" a="1"/>
  <c r="J41" i="10" a="1"/>
  <c r="J28" i="10" a="1"/>
  <c r="H49" i="10" a="1"/>
  <c r="I54" i="10" a="1"/>
  <c r="G41" i="10" a="1"/>
  <c r="J21" i="10" a="1"/>
  <c r="K43" i="10" a="1"/>
  <c r="K56" i="10" a="1"/>
  <c r="G31" i="10" a="1"/>
  <c r="G56" i="10" a="1"/>
  <c r="I2" i="10" a="1"/>
  <c r="G29" i="10" a="1"/>
  <c r="K30" i="10" a="1"/>
  <c r="G7" i="10" a="1"/>
  <c r="G36" i="10" a="1"/>
  <c r="I11" i="10" a="1"/>
  <c r="K21" i="10" a="1"/>
  <c r="H32" i="10" a="1"/>
  <c r="I45" i="10" a="1"/>
  <c r="J50" i="10" a="1"/>
  <c r="K20" i="10" a="1"/>
  <c r="K51" i="10" a="1"/>
  <c r="G3" i="10" a="1"/>
  <c r="H15" i="10" a="1"/>
  <c r="G27" i="10" a="1"/>
  <c r="K3" i="10" a="1"/>
  <c r="G19" i="10" a="1"/>
  <c r="J59" i="10" a="1"/>
  <c r="G17" i="10" a="1"/>
  <c r="K18" i="10" a="1"/>
  <c r="I46" i="10" a="1"/>
  <c r="G24" i="10" a="1"/>
  <c r="J52" i="10" a="1"/>
  <c r="H47" i="10" a="1"/>
  <c r="K50" i="10" a="1"/>
  <c r="I43" i="10" a="1"/>
  <c r="G30" i="10" a="1"/>
  <c r="J12" i="10" a="1"/>
  <c r="J53" i="10" a="1"/>
  <c r="I34" i="10" a="1"/>
  <c r="G25" i="10" a="1"/>
  <c r="K36" i="10" a="1"/>
  <c r="I4" i="10" a="1"/>
  <c r="G51" i="10" a="1"/>
  <c r="J33" i="10" a="1"/>
  <c r="J14" i="10" a="1"/>
  <c r="H27" i="10" a="1"/>
  <c r="J9" i="10" a="1"/>
  <c r="I41" i="10" a="1"/>
  <c r="I25" i="10" a="1"/>
  <c r="H22" i="10" a="1"/>
  <c r="J27" i="10" a="1"/>
  <c r="J42" i="10" a="1"/>
  <c r="K45" i="10" a="1"/>
  <c r="G50" i="10" a="1"/>
  <c r="H26" i="10" a="1"/>
  <c r="I12" i="10" a="1"/>
  <c r="K5" i="10" a="1"/>
  <c r="H43" i="10" a="1"/>
  <c r="J15" i="10" a="1"/>
  <c r="J47" i="10" a="1"/>
  <c r="J54" i="10" a="1"/>
  <c r="K11" i="10" a="1"/>
  <c r="G14" i="10" a="1"/>
  <c r="H44" i="10" a="1"/>
  <c r="G11" i="10" a="1"/>
  <c r="K6" i="10" a="1"/>
  <c r="K49" i="10" a="1"/>
  <c r="J4" i="10" a="1"/>
  <c r="I22" i="10" a="1"/>
  <c r="J2" i="10" a="1"/>
  <c r="K22" i="10" a="1"/>
  <c r="H28" i="10" a="1"/>
  <c r="I27" i="10" a="1"/>
  <c r="J6" i="10" a="1"/>
  <c r="G49" i="10" a="1"/>
  <c r="J17" i="10" a="1"/>
  <c r="K34" i="10" a="1"/>
  <c r="G16" i="10" a="1"/>
  <c r="K42" i="10" a="1"/>
  <c r="G53" i="10" a="1"/>
  <c r="G46" i="10" a="1"/>
  <c r="H11" i="10" a="1"/>
  <c r="J29" i="10" a="1"/>
  <c r="H31" i="10" a="1"/>
  <c r="G8" i="10" a="1"/>
  <c r="J10" i="10" a="1"/>
  <c r="K16" i="10" a="1"/>
  <c r="I18" i="10" a="1"/>
  <c r="G18" i="10" a="1"/>
  <c r="H48" i="10" a="1"/>
  <c r="K48" i="10" a="1"/>
  <c r="H21" i="10" a="1"/>
  <c r="H7" i="10" a="1"/>
  <c r="H13" i="10" a="1"/>
  <c r="K46" i="10" a="1"/>
  <c r="H16" i="10" a="1"/>
  <c r="I5" i="10" a="1"/>
  <c r="I42" i="10" a="1"/>
  <c r="H6" i="10" a="1"/>
  <c r="H56" i="10" a="1"/>
  <c r="H20" i="10" a="1"/>
  <c r="H18" i="10" a="1"/>
  <c r="G54" i="10" a="1"/>
  <c r="K8" i="10" a="1"/>
  <c r="G12" i="10" a="1"/>
  <c r="G10" i="10" a="1"/>
  <c r="H46" i="10" a="1"/>
  <c r="I40" i="10" a="1"/>
  <c r="K13" i="10" a="1"/>
  <c r="I32" i="10" a="1"/>
  <c r="G35" i="10" a="1"/>
  <c r="H54" i="10" a="1"/>
  <c r="I31" i="10" a="1"/>
  <c r="I44" i="10" a="1"/>
  <c r="G32" i="10" a="1"/>
  <c r="J8" i="10" a="1"/>
  <c r="H42" i="10" a="1"/>
  <c r="H35" i="10" a="1"/>
  <c r="K17" i="10" a="1"/>
  <c r="G28" i="10" a="1"/>
  <c r="H52" i="10" a="1"/>
  <c r="J31" i="10" a="1"/>
  <c r="I23" i="10" a="1"/>
  <c r="K59" i="10" a="1"/>
  <c r="J25" i="10" a="1"/>
  <c r="I16" i="10" a="1"/>
  <c r="J22" i="10" a="1"/>
  <c r="K53" i="10" a="1"/>
  <c r="J43" i="10" a="1"/>
  <c r="H53" i="10" a="1"/>
  <c r="I50" i="10" a="1"/>
  <c r="K9" i="10" a="1"/>
  <c r="K2" i="10" a="1"/>
  <c r="J18" i="10" a="1"/>
  <c r="J24" i="10" a="1"/>
  <c r="H29" i="10" a="1"/>
  <c r="K35" i="10" a="1"/>
  <c r="J55" i="10" a="1"/>
  <c r="I8" i="10" a="1"/>
  <c r="G42" i="10" a="1"/>
  <c r="J35" i="10" a="1"/>
  <c r="I26" i="10" a="1"/>
  <c r="I52" i="10" a="1"/>
  <c r="I35" i="10" a="1"/>
  <c r="J5" i="10" a="1"/>
  <c r="J32" i="10" a="1"/>
  <c r="I9" i="10" a="1"/>
  <c r="K15" i="10" a="1"/>
  <c r="K27" i="10" a="1"/>
  <c r="I28" i="10" a="1"/>
  <c r="I19" i="10" a="1"/>
  <c r="H4" i="10" a="1"/>
  <c r="I7" i="10" a="1"/>
  <c r="K52" i="10" a="1"/>
  <c r="H19" i="10" a="1"/>
  <c r="J40" i="10" a="1"/>
  <c r="J46" i="10" a="1"/>
  <c r="G20" i="10" a="1"/>
  <c r="I56" i="10" a="1"/>
  <c r="H30" i="10" a="1"/>
  <c r="H12" i="10" a="1"/>
  <c r="J37" i="10" a="1"/>
  <c r="K25" i="10" a="1"/>
  <c r="J38" i="10" a="1"/>
  <c r="H23" i="10" a="1"/>
  <c r="H24" i="10" a="1"/>
  <c r="K29" i="10" a="1"/>
  <c r="K37" i="10" a="1"/>
  <c r="I14" i="10" a="1"/>
  <c r="J34" i="10" l="1"/>
  <c r="H41" i="10"/>
  <c r="H6" i="10"/>
  <c r="H2" i="10"/>
  <c r="G20" i="10"/>
  <c r="J10" i="10"/>
  <c r="G25" i="10"/>
  <c r="J51" i="10"/>
  <c r="J35" i="10"/>
  <c r="I3" i="10"/>
  <c r="J54" i="10"/>
  <c r="I30" i="10"/>
  <c r="I23" i="10"/>
  <c r="I41" i="10"/>
  <c r="J21" i="10"/>
  <c r="G53" i="10"/>
  <c r="I40" i="10"/>
  <c r="J7" i="10"/>
  <c r="G27" i="10"/>
  <c r="J36" i="10"/>
  <c r="H48" i="10"/>
  <c r="G29" i="10"/>
  <c r="I21" i="10"/>
  <c r="J26" i="10"/>
  <c r="J2" i="10"/>
  <c r="I28" i="10"/>
  <c r="H10" i="10"/>
  <c r="J37" i="10"/>
  <c r="J42" i="10"/>
  <c r="I6" i="10"/>
  <c r="I20" i="10"/>
  <c r="H17" i="10"/>
  <c r="H47" i="10"/>
  <c r="H29" i="10"/>
  <c r="H25" i="10"/>
  <c r="J22" i="10"/>
  <c r="I11" i="10"/>
  <c r="H55" i="10"/>
  <c r="J33" i="10"/>
  <c r="I25" i="10"/>
  <c r="I47" i="10"/>
  <c r="G54" i="10"/>
  <c r="J23" i="10"/>
  <c r="H13" i="10"/>
  <c r="I17" i="10"/>
  <c r="I53" i="10"/>
  <c r="I9" i="10"/>
  <c r="I14" i="10"/>
  <c r="G22" i="10"/>
  <c r="G11" i="10"/>
  <c r="H24" i="10"/>
  <c r="I12" i="10"/>
  <c r="J13" i="10"/>
  <c r="I7" i="10"/>
  <c r="I44" i="10"/>
  <c r="H56" i="10"/>
  <c r="G15" i="10"/>
  <c r="G17" i="10"/>
  <c r="I50" i="10"/>
  <c r="J50" i="10"/>
  <c r="J11" i="10"/>
  <c r="H35" i="10"/>
  <c r="J17" i="10"/>
  <c r="I56" i="10"/>
  <c r="G51" i="10"/>
  <c r="G26" i="10"/>
  <c r="I42" i="10"/>
  <c r="J20" i="10"/>
  <c r="J46" i="10"/>
  <c r="G8" i="10"/>
  <c r="I34" i="10"/>
  <c r="G6" i="10"/>
  <c r="G42" i="10"/>
  <c r="H8" i="10"/>
  <c r="J47" i="10"/>
  <c r="I29" i="10"/>
  <c r="J31" i="10"/>
  <c r="J9" i="10"/>
  <c r="G41" i="10"/>
  <c r="G16" i="10"/>
  <c r="H46" i="10"/>
  <c r="H34" i="10"/>
  <c r="H15" i="10"/>
  <c r="H51" i="10"/>
  <c r="G18" i="10"/>
  <c r="I2" i="10"/>
  <c r="H40" i="10"/>
  <c r="I46" i="10"/>
  <c r="I22" i="10"/>
  <c r="I48" i="10"/>
  <c r="J58" i="10"/>
  <c r="H12" i="10"/>
  <c r="J27" i="10"/>
  <c r="G44" i="10"/>
  <c r="G4" i="10"/>
  <c r="I35" i="10"/>
  <c r="J52" i="10"/>
  <c r="J24" i="10"/>
  <c r="J57" i="10"/>
  <c r="I16" i="10"/>
  <c r="G36" i="10"/>
  <c r="H14" i="10"/>
  <c r="G32" i="10"/>
  <c r="I26" i="10"/>
  <c r="J16" i="10"/>
  <c r="H18" i="10"/>
  <c r="I36" i="10"/>
  <c r="H7" i="10"/>
  <c r="G45" i="10"/>
  <c r="G5" i="10"/>
  <c r="J32" i="10"/>
  <c r="G35" i="10"/>
  <c r="J49" i="10"/>
  <c r="H44" i="10"/>
  <c r="H23" i="10"/>
  <c r="H26" i="10"/>
  <c r="I55" i="10"/>
  <c r="H4" i="10"/>
  <c r="I31" i="10"/>
  <c r="I27" i="10"/>
  <c r="H3" i="10"/>
  <c r="J59" i="10"/>
  <c r="H53" i="10"/>
  <c r="I45" i="10"/>
  <c r="G47" i="10"/>
  <c r="H42" i="10"/>
  <c r="G49" i="10"/>
  <c r="G30" i="10"/>
  <c r="G46" i="10"/>
  <c r="G55" i="10"/>
  <c r="I5" i="10"/>
  <c r="G40" i="10"/>
  <c r="J40" i="10"/>
  <c r="H31" i="10"/>
  <c r="J53" i="10"/>
  <c r="J28" i="10"/>
  <c r="I8" i="10"/>
  <c r="G43" i="10"/>
  <c r="J15" i="10"/>
  <c r="G9" i="10"/>
  <c r="H52" i="10"/>
  <c r="H27" i="10"/>
  <c r="I54" i="10"/>
  <c r="H36" i="10"/>
  <c r="G10" i="10"/>
  <c r="H50" i="10"/>
  <c r="G3" i="10"/>
  <c r="J44" i="10"/>
  <c r="I18" i="10"/>
  <c r="G56" i="10"/>
  <c r="H9" i="10"/>
  <c r="G23" i="10"/>
  <c r="J4" i="10"/>
  <c r="I4" i="10"/>
  <c r="G52" i="10"/>
  <c r="H30" i="10"/>
  <c r="H22" i="10"/>
  <c r="I10" i="10"/>
  <c r="I13" i="10"/>
  <c r="G31" i="10"/>
  <c r="G24" i="10"/>
  <c r="J18" i="10"/>
  <c r="G34" i="10"/>
  <c r="J25" i="10"/>
  <c r="G7" i="10"/>
  <c r="J48" i="10"/>
  <c r="H11" i="10"/>
  <c r="I52" i="10"/>
  <c r="I24" i="10"/>
  <c r="H20" i="10"/>
  <c r="I51" i="10"/>
  <c r="H21" i="10"/>
  <c r="H45" i="10"/>
  <c r="G2" i="10"/>
  <c r="J5" i="10"/>
  <c r="I32" i="10"/>
  <c r="I15" i="10"/>
  <c r="G14" i="10"/>
  <c r="J38" i="10"/>
  <c r="G50" i="10"/>
  <c r="G48" i="10"/>
  <c r="I19" i="10"/>
  <c r="H54" i="10"/>
  <c r="H28" i="10"/>
  <c r="G21" i="10"/>
  <c r="G19" i="10"/>
  <c r="J43" i="10"/>
  <c r="H32" i="10"/>
  <c r="J45" i="10"/>
  <c r="J8" i="10"/>
  <c r="J6" i="10"/>
  <c r="I43" i="10"/>
  <c r="H5" i="10"/>
  <c r="J3" i="10"/>
  <c r="H16" i="10"/>
  <c r="I49" i="10"/>
  <c r="H19" i="10"/>
  <c r="J29" i="10"/>
  <c r="J12" i="10"/>
  <c r="J41" i="10"/>
  <c r="J55" i="10"/>
  <c r="J19" i="10"/>
  <c r="H43" i="10"/>
  <c r="J56" i="10"/>
  <c r="G28" i="10"/>
  <c r="J14" i="10"/>
  <c r="H49" i="10"/>
  <c r="G13" i="10"/>
  <c r="G12" i="10"/>
  <c r="J30" i="10"/>
  <c r="K14" i="10"/>
  <c r="K7" i="10"/>
  <c r="K18" i="10"/>
  <c r="K4" i="10"/>
  <c r="K58" i="10"/>
  <c r="K6" i="10"/>
  <c r="K51" i="10"/>
  <c r="K24" i="10"/>
  <c r="K9" i="10"/>
  <c r="K15" i="10"/>
  <c r="K2" i="10"/>
  <c r="K56" i="10"/>
  <c r="K28" i="10"/>
  <c r="K19" i="10"/>
  <c r="K21" i="10"/>
  <c r="K13" i="10"/>
  <c r="K31" i="10"/>
  <c r="K11" i="10"/>
  <c r="K29" i="10"/>
  <c r="K40" i="10"/>
  <c r="K3" i="10"/>
  <c r="K49" i="10"/>
  <c r="K53" i="10"/>
  <c r="K33" i="10"/>
  <c r="K38" i="10"/>
  <c r="K30" i="10"/>
  <c r="K26" i="10"/>
  <c r="K35" i="10"/>
  <c r="K5" i="10"/>
  <c r="K42" i="10"/>
  <c r="K50" i="10"/>
  <c r="K44" i="10"/>
  <c r="K22" i="10"/>
  <c r="K47" i="10"/>
  <c r="K23" i="10"/>
  <c r="K45" i="10"/>
  <c r="K59" i="10"/>
  <c r="K34" i="10"/>
  <c r="K25" i="10"/>
  <c r="K27" i="10"/>
  <c r="K46" i="10"/>
  <c r="K8" i="10"/>
  <c r="K54" i="10"/>
  <c r="K16" i="10"/>
  <c r="K52" i="10"/>
  <c r="K41" i="10"/>
  <c r="K43" i="10"/>
  <c r="K36" i="10"/>
  <c r="K12" i="10"/>
  <c r="K55" i="10"/>
  <c r="K10" i="10"/>
  <c r="K20" i="10"/>
  <c r="K32" i="10"/>
  <c r="K17" i="10"/>
  <c r="K48" i="10"/>
  <c r="K57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60" i="8" a="1"/>
  <c r="NQ60" i="8" s="1"/>
  <c r="NQ21" i="8" a="1"/>
  <c r="NQ21" i="8" s="1"/>
  <c r="NQ52" i="8" a="1"/>
  <c r="NQ52" i="8" s="1"/>
  <c r="NQ12" i="8" a="1"/>
  <c r="NQ12" i="8" s="1"/>
  <c r="NQ40" i="8" a="1"/>
  <c r="NQ40" i="8" s="1"/>
  <c r="NQ46" i="8" a="1"/>
  <c r="NQ46" i="8" s="1"/>
  <c r="NQ26" i="8" a="1"/>
  <c r="NQ26" i="8" s="1"/>
  <c r="NQ19" i="8" a="1"/>
  <c r="NQ19" i="8" s="1"/>
  <c r="NQ25" i="8" a="1"/>
  <c r="NQ25" i="8" s="1"/>
  <c r="NQ47" i="8" a="1"/>
  <c r="NQ47" i="8" s="1"/>
  <c r="NQ49" i="8" a="1"/>
  <c r="NQ49" i="8" s="1"/>
  <c r="NQ18" i="8" a="1"/>
  <c r="NQ18" i="8" s="1"/>
  <c r="NQ20" i="8" a="1"/>
  <c r="NQ20" i="8" s="1"/>
  <c r="NQ39" i="8" a="1"/>
  <c r="NQ39" i="8" s="1"/>
  <c r="NQ53" i="8" a="1"/>
  <c r="NQ53" i="8" s="1"/>
  <c r="NQ31" i="8" a="1"/>
  <c r="NQ31" i="8" s="1"/>
  <c r="NQ45" i="8" a="1"/>
  <c r="NQ45" i="8" s="1"/>
  <c r="NQ14" i="8" a="1"/>
  <c r="NQ14" i="8" s="1"/>
  <c r="NQ32" i="8" a="1"/>
  <c r="NQ32" i="8" s="1"/>
  <c r="NQ35" i="8" a="1"/>
  <c r="NQ35" i="8" s="1"/>
  <c r="NQ43" i="8" a="1"/>
  <c r="NQ43" i="8" s="1"/>
  <c r="NQ57" i="8" a="1"/>
  <c r="NQ57" i="8" s="1"/>
  <c r="NQ36" i="8" a="1"/>
  <c r="NQ36" i="8" s="1"/>
  <c r="NQ56" i="8" a="1"/>
  <c r="NQ56" i="8" s="1"/>
  <c r="NQ58" i="8" a="1"/>
  <c r="NQ58" i="8" s="1"/>
  <c r="NQ10" i="8" a="1"/>
  <c r="NQ10" i="8" s="1"/>
  <c r="NQ29" i="8" a="1"/>
  <c r="NQ29" i="8" s="1"/>
  <c r="NQ59" i="8" a="1"/>
  <c r="NQ59" i="8" s="1"/>
  <c r="NQ11" i="8" a="1"/>
  <c r="NQ11" i="8" s="1"/>
  <c r="NQ51" i="8" a="1"/>
  <c r="NQ51" i="8" s="1"/>
  <c r="NQ54" i="8" a="1"/>
  <c r="NQ54" i="8" s="1"/>
  <c r="NQ23" i="8" a="1"/>
  <c r="NQ23" i="8" s="1"/>
  <c r="NQ33" i="8" a="1"/>
  <c r="NQ33" i="8" s="1"/>
  <c r="NQ55" i="8" a="1"/>
  <c r="NQ55" i="8" s="1"/>
  <c r="NQ17" i="8" a="1"/>
  <c r="NQ17" i="8" s="1"/>
  <c r="NQ48" i="8" a="1"/>
  <c r="NQ48" i="8" s="1"/>
  <c r="NQ24" i="8" a="1"/>
  <c r="NQ24" i="8" s="1"/>
  <c r="NQ27" i="8" a="1"/>
  <c r="NQ27" i="8" s="1"/>
  <c r="NQ37" i="8" a="1"/>
  <c r="NQ37" i="8" s="1"/>
  <c r="NQ50" i="8" a="1"/>
  <c r="NQ50" i="8" s="1"/>
  <c r="NQ61" i="8" a="1"/>
  <c r="NQ61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2" i="8" a="1"/>
  <c r="NQ62" i="8" s="1"/>
  <c r="NQ64" i="8" a="1"/>
  <c r="NQ64" i="8" s="1"/>
  <c r="NQ63" i="8" a="1"/>
  <c r="NQ63" i="8" s="1"/>
  <c r="NQ42" i="8" a="1"/>
  <c r="NQ42" i="8" s="1"/>
  <c r="L25" i="10" a="1"/>
  <c r="L54" i="10" a="1"/>
  <c r="L12" i="10" a="1"/>
  <c r="L41" i="10" a="1"/>
  <c r="L13" i="10" a="1"/>
  <c r="L2" i="10" a="1"/>
  <c r="L27" i="10" a="1"/>
  <c r="L26" i="10" a="1"/>
  <c r="L46" i="10" a="1"/>
  <c r="L37" i="10" a="1"/>
  <c r="L48" i="10" a="1"/>
  <c r="L56" i="10" a="1"/>
  <c r="L28" i="10" a="1"/>
  <c r="L51" i="10" a="1"/>
  <c r="L38" i="10" a="1"/>
  <c r="L49" i="10" a="1"/>
  <c r="L22" i="10" a="1"/>
  <c r="L32" i="10" a="1"/>
  <c r="L31" i="10" a="1"/>
  <c r="L35" i="10" a="1"/>
  <c r="L45" i="10" a="1"/>
  <c r="L47" i="10" a="1"/>
  <c r="L58" i="10" a="1"/>
  <c r="L14" i="10" a="1"/>
  <c r="L5" i="10" a="1"/>
  <c r="L29" i="10" a="1"/>
  <c r="L40" i="10" a="1"/>
  <c r="L6" i="10" a="1"/>
  <c r="L52" i="10" a="1"/>
  <c r="L19" i="10" a="1"/>
  <c r="L23" i="10" a="1"/>
  <c r="L3" i="10" a="1"/>
  <c r="L36" i="10" a="1"/>
  <c r="L9" i="10" a="1"/>
  <c r="L24" i="10" a="1"/>
  <c r="L10" i="10" a="1"/>
  <c r="L59" i="10" a="1"/>
  <c r="L17" i="10" a="1"/>
  <c r="L55" i="10" a="1"/>
  <c r="L33" i="10" a="1"/>
  <c r="L20" i="10" a="1"/>
  <c r="L18" i="10" a="1"/>
  <c r="L15" i="10" a="1"/>
  <c r="L30" i="10" a="1"/>
  <c r="L16" i="10" a="1"/>
  <c r="L7" i="10" a="1"/>
  <c r="L57" i="10" a="1"/>
  <c r="L43" i="10" a="1"/>
  <c r="L4" i="10" a="1"/>
  <c r="L44" i="10" a="1"/>
  <c r="L53" i="10" a="1"/>
  <c r="L50" i="10" a="1"/>
  <c r="L11" i="10" a="1"/>
  <c r="L34" i="10" a="1"/>
  <c r="L21" i="10" a="1"/>
  <c r="L8" i="10" a="1"/>
  <c r="L42" i="10" a="1"/>
  <c r="L27" i="10" l="1"/>
  <c r="L40" i="10"/>
  <c r="L49" i="10"/>
  <c r="L41" i="10"/>
  <c r="L23" i="10"/>
  <c r="L28" i="10"/>
  <c r="L6" i="10"/>
  <c r="L51" i="10"/>
  <c r="L26" i="10"/>
  <c r="L9" i="10"/>
  <c r="L46" i="10"/>
  <c r="L59" i="10"/>
  <c r="L10" i="10"/>
  <c r="L42" i="10"/>
  <c r="L34" i="10"/>
  <c r="L45" i="10"/>
  <c r="L4" i="10"/>
  <c r="L55" i="10"/>
  <c r="L48" i="10"/>
  <c r="L54" i="10"/>
  <c r="L15" i="10"/>
  <c r="L13" i="10"/>
  <c r="L22" i="10"/>
  <c r="L14" i="10"/>
  <c r="L58" i="10"/>
  <c r="L3" i="10"/>
  <c r="L18" i="10"/>
  <c r="L56" i="10"/>
  <c r="L24" i="10"/>
  <c r="L44" i="10"/>
  <c r="L37" i="10"/>
  <c r="L19" i="10"/>
  <c r="L30" i="10"/>
  <c r="L52" i="10"/>
  <c r="L43" i="10"/>
  <c r="L32" i="10"/>
  <c r="L17" i="10"/>
  <c r="L12" i="10"/>
  <c r="L29" i="10"/>
  <c r="L53" i="10"/>
  <c r="L20" i="10"/>
  <c r="L47" i="10"/>
  <c r="L5" i="10"/>
  <c r="L50" i="10"/>
  <c r="L16" i="10"/>
  <c r="L7" i="10"/>
  <c r="L11" i="10"/>
  <c r="L57" i="10"/>
  <c r="L36" i="10"/>
  <c r="L25" i="10"/>
  <c r="L2" i="10"/>
  <c r="L21" i="10"/>
  <c r="L38" i="10"/>
  <c r="L35" i="10"/>
  <c r="L31" i="10"/>
  <c r="L8" i="10"/>
  <c r="L33" i="10"/>
  <c r="NR64" i="8" a="1"/>
  <c r="NR64" i="8" s="1"/>
  <c r="NR62" i="8" a="1"/>
  <c r="NR62" i="8" s="1"/>
  <c r="NR58" i="8" a="1"/>
  <c r="NR58" i="8" s="1"/>
  <c r="NR46" i="8" a="1"/>
  <c r="NR46" i="8" s="1"/>
  <c r="NR60" i="8" a="1"/>
  <c r="NR60" i="8" s="1"/>
  <c r="NR16" i="8" a="1"/>
  <c r="NR16" i="8" s="1"/>
  <c r="NR39" i="8" a="1"/>
  <c r="NR39" i="8" s="1"/>
  <c r="NR53" i="8" a="1"/>
  <c r="NR53" i="8" s="1"/>
  <c r="NR8" i="8" a="1"/>
  <c r="NR8" i="8" s="1"/>
  <c r="NR21" i="8" a="1"/>
  <c r="NR21" i="8" s="1"/>
  <c r="NR40" i="8" a="1"/>
  <c r="NR40" i="8" s="1"/>
  <c r="NR57" i="8" a="1"/>
  <c r="NR57" i="8" s="1"/>
  <c r="NR41" i="8" a="1"/>
  <c r="NR41" i="8" s="1"/>
  <c r="NR56" i="8" a="1"/>
  <c r="NR56" i="8" s="1"/>
  <c r="NR52" i="8" a="1"/>
  <c r="NR52" i="8" s="1"/>
  <c r="NR31" i="8" a="1"/>
  <c r="NR31" i="8" s="1"/>
  <c r="NR29" i="8" a="1"/>
  <c r="NR29" i="8" s="1"/>
  <c r="NR27" i="8" a="1"/>
  <c r="NR27" i="8" s="1"/>
  <c r="NR30" i="8" a="1"/>
  <c r="NR30" i="8" s="1"/>
  <c r="NR55" i="8" a="1"/>
  <c r="NR55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5" i="8" a="1"/>
  <c r="NR45" i="8" s="1"/>
  <c r="NR22" i="8" a="1"/>
  <c r="NR22" i="8" s="1"/>
  <c r="NR48" i="8" a="1"/>
  <c r="NR48" i="8" s="1"/>
  <c r="NR61" i="8" a="1"/>
  <c r="NR61" i="8" s="1"/>
  <c r="NR18" i="8" a="1"/>
  <c r="NR18" i="8" s="1"/>
  <c r="NR43" i="8" a="1"/>
  <c r="NR43" i="8" s="1"/>
  <c r="NR26" i="8" a="1"/>
  <c r="NR26" i="8" s="1"/>
  <c r="NR54" i="8" a="1"/>
  <c r="NR54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3" i="8" a="1"/>
  <c r="NR63" i="8" s="1"/>
  <c r="NR47" i="8" a="1"/>
  <c r="NR47" i="8" s="1"/>
  <c r="NR49" i="8" a="1"/>
  <c r="NR49" i="8" s="1"/>
  <c r="NR14" i="8" a="1"/>
  <c r="NR14" i="8" s="1"/>
  <c r="NR10" i="8" a="1"/>
  <c r="NR10" i="8" s="1"/>
  <c r="NR50" i="8" a="1"/>
  <c r="NR50" i="8" s="1"/>
  <c r="NR17" i="8" a="1"/>
  <c r="NR17" i="8" s="1"/>
  <c r="NR32" i="8" a="1"/>
  <c r="NR32" i="8" s="1"/>
  <c r="NR36" i="8" a="1"/>
  <c r="NR36" i="8" s="1"/>
  <c r="NR9" i="8" a="1"/>
  <c r="NR9" i="8" s="1"/>
  <c r="NR59" i="8" a="1"/>
  <c r="NR59" i="8" s="1"/>
  <c r="NR38" i="8" a="1"/>
  <c r="NR38" i="8" s="1"/>
  <c r="NR51" i="8" a="1"/>
  <c r="NR51" i="8" s="1"/>
  <c r="NR13" i="8" a="1"/>
  <c r="NR13" i="8" s="1"/>
  <c r="NR12" i="8" a="1"/>
  <c r="NR12" i="8" s="1"/>
  <c r="NR34" i="8" a="1"/>
  <c r="NR34" i="8" s="1"/>
  <c r="T8" i="5"/>
  <c r="U8" i="5"/>
  <c r="S9" i="5"/>
  <c r="R9" i="5"/>
  <c r="M51" i="10" a="1"/>
  <c r="M12" i="10" a="1"/>
  <c r="M58" i="10" a="1"/>
  <c r="M59" i="10" a="1"/>
  <c r="M2" i="10" a="1"/>
  <c r="M13" i="10" a="1"/>
  <c r="M24" i="10" a="1"/>
  <c r="M50" i="10" a="1"/>
  <c r="M57" i="10" a="1"/>
  <c r="M31" i="10" a="1"/>
  <c r="M35" i="10" a="1"/>
  <c r="M48" i="10" a="1"/>
  <c r="M14" i="10" a="1"/>
  <c r="M25" i="10" a="1"/>
  <c r="M11" i="10" a="1"/>
  <c r="M41" i="10" a="1"/>
  <c r="M37" i="10" a="1"/>
  <c r="M45" i="10" a="1"/>
  <c r="M18" i="10" a="1"/>
  <c r="M9" i="10" a="1"/>
  <c r="M49" i="10" a="1"/>
  <c r="M42" i="10" a="1"/>
  <c r="M55" i="10" a="1"/>
  <c r="M46" i="10" a="1"/>
  <c r="M36" i="10" a="1"/>
  <c r="M6" i="10" a="1"/>
  <c r="M54" i="10" a="1"/>
  <c r="M52" i="10" a="1"/>
  <c r="M10" i="10" a="1"/>
  <c r="M56" i="10" a="1"/>
  <c r="M20" i="10" a="1"/>
  <c r="M26" i="10" a="1"/>
  <c r="M47" i="10" a="1"/>
  <c r="M21" i="10" a="1"/>
  <c r="M4" i="10" a="1"/>
  <c r="M34" i="10" a="1"/>
  <c r="M30" i="10" a="1"/>
  <c r="M44" i="10" a="1"/>
  <c r="M3" i="10" a="1"/>
  <c r="M8" i="10" a="1"/>
  <c r="M22" i="10" a="1"/>
  <c r="M28" i="10" a="1"/>
  <c r="M5" i="10" a="1"/>
  <c r="M17" i="10" a="1"/>
  <c r="M33" i="10" a="1"/>
  <c r="M27" i="10" a="1"/>
  <c r="M53" i="10" a="1"/>
  <c r="M40" i="10" a="1"/>
  <c r="M19" i="10" a="1"/>
  <c r="M16" i="10" a="1"/>
  <c r="M7" i="10" a="1"/>
  <c r="M43" i="10" a="1"/>
  <c r="M15" i="10" a="1"/>
  <c r="M38" i="10" a="1"/>
  <c r="M29" i="10" a="1"/>
  <c r="M23" i="10" a="1"/>
  <c r="M32" i="10" a="1"/>
  <c r="M57" i="10" l="1"/>
  <c r="M25" i="10"/>
  <c r="M23" i="10"/>
  <c r="M40" i="10"/>
  <c r="M18" i="10"/>
  <c r="M11" i="10"/>
  <c r="M17" i="10"/>
  <c r="M48" i="10"/>
  <c r="M21" i="10"/>
  <c r="M29" i="10"/>
  <c r="M3" i="10"/>
  <c r="M53" i="10"/>
  <c r="M47" i="10"/>
  <c r="M59" i="10"/>
  <c r="M46" i="10"/>
  <c r="M38" i="10"/>
  <c r="M42" i="10"/>
  <c r="M52" i="10"/>
  <c r="M7" i="10"/>
  <c r="M56" i="10"/>
  <c r="M54" i="10"/>
  <c r="M16" i="10"/>
  <c r="M30" i="10"/>
  <c r="M45" i="10"/>
  <c r="M8" i="10"/>
  <c r="M2" i="10"/>
  <c r="M44" i="10"/>
  <c r="M36" i="10"/>
  <c r="M32" i="10"/>
  <c r="M15" i="10"/>
  <c r="M10" i="10"/>
  <c r="M12" i="10"/>
  <c r="M4" i="10"/>
  <c r="M20" i="10"/>
  <c r="M49" i="10"/>
  <c r="M26" i="10"/>
  <c r="M41" i="10"/>
  <c r="M24" i="10"/>
  <c r="M6" i="10"/>
  <c r="M55" i="10"/>
  <c r="M9" i="10"/>
  <c r="M14" i="10"/>
  <c r="M13" i="10"/>
  <c r="M31" i="10"/>
  <c r="M50" i="10"/>
  <c r="M5" i="10"/>
  <c r="M33" i="10"/>
  <c r="M22" i="10"/>
  <c r="M51" i="10"/>
  <c r="M37" i="10"/>
  <c r="M58" i="10"/>
  <c r="M34" i="10"/>
  <c r="M28" i="10"/>
  <c r="M35" i="10"/>
  <c r="M27" i="10"/>
  <c r="M43" i="10"/>
  <c r="M19" i="10"/>
  <c r="U9" i="5"/>
  <c r="T9" i="5"/>
  <c r="NS8" i="8" a="1"/>
  <c r="NS8" i="8" s="1"/>
  <c r="NS64" i="8" a="1"/>
  <c r="NS64" i="8" s="1"/>
  <c r="NS14" i="8" a="1"/>
  <c r="NS14" i="8" s="1"/>
  <c r="NS21" i="8" a="1"/>
  <c r="NS21" i="8" s="1"/>
  <c r="NS46" i="8" a="1"/>
  <c r="NS46" i="8" s="1"/>
  <c r="NS32" i="8" a="1"/>
  <c r="NS32" i="8" s="1"/>
  <c r="NS27" i="8" a="1"/>
  <c r="NS27" i="8" s="1"/>
  <c r="NS54" i="8" a="1"/>
  <c r="NS54" i="8" s="1"/>
  <c r="NS10" i="8" a="1"/>
  <c r="NS10" i="8" s="1"/>
  <c r="NS16" i="8" a="1"/>
  <c r="NS16" i="8" s="1"/>
  <c r="NS53" i="8" a="1"/>
  <c r="NS53" i="8" s="1"/>
  <c r="NS39" i="8" a="1"/>
  <c r="NS39" i="8" s="1"/>
  <c r="NS58" i="8" a="1"/>
  <c r="NS58" i="8" s="1"/>
  <c r="NS61" i="8" a="1"/>
  <c r="NS61" i="8" s="1"/>
  <c r="NS48" i="8" a="1"/>
  <c r="NS48" i="8" s="1"/>
  <c r="NS43" i="8" a="1"/>
  <c r="NS43" i="8" s="1"/>
  <c r="NS28" i="8" a="1"/>
  <c r="NS28" i="8" s="1"/>
  <c r="NS22" i="8" a="1"/>
  <c r="NS22" i="8" s="1"/>
  <c r="NS55" i="8" a="1"/>
  <c r="NS55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50" i="8" a="1"/>
  <c r="NS50" i="8" s="1"/>
  <c r="NS42" i="8" a="1"/>
  <c r="NS42" i="8" s="1"/>
  <c r="NS36" i="8" a="1"/>
  <c r="NS36" i="8" s="1"/>
  <c r="NS17" i="8" a="1"/>
  <c r="NS17" i="8" s="1"/>
  <c r="NS49" i="8" a="1"/>
  <c r="NS49" i="8" s="1"/>
  <c r="NS51" i="8" a="1"/>
  <c r="NS51" i="8" s="1"/>
  <c r="NS59" i="8" a="1"/>
  <c r="NS59" i="8" s="1"/>
  <c r="NS23" i="8" a="1"/>
  <c r="NS23" i="8" s="1"/>
  <c r="NS18" i="8" a="1"/>
  <c r="NS18" i="8" s="1"/>
  <c r="NS35" i="8" a="1"/>
  <c r="NS35" i="8" s="1"/>
  <c r="NS47" i="8" a="1"/>
  <c r="NS47" i="8" s="1"/>
  <c r="NS63" i="8" a="1"/>
  <c r="NS63" i="8" s="1"/>
  <c r="NS29" i="8" a="1"/>
  <c r="NS29" i="8" s="1"/>
  <c r="NS31" i="8" a="1"/>
  <c r="NS31" i="8" s="1"/>
  <c r="NS57" i="8" a="1"/>
  <c r="NS57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6" i="8" a="1"/>
  <c r="NS56" i="8" s="1"/>
  <c r="NS62" i="8" a="1"/>
  <c r="NS62" i="8" s="1"/>
  <c r="NS38" i="8" a="1"/>
  <c r="NS38" i="8" s="1"/>
  <c r="NS45" i="8" a="1"/>
  <c r="NS45" i="8" s="1"/>
  <c r="NS9" i="8" a="1"/>
  <c r="NS9" i="8" s="1"/>
  <c r="NS26" i="8" a="1"/>
  <c r="NS26" i="8" s="1"/>
  <c r="NS12" i="8" a="1"/>
  <c r="NS12" i="8" s="1"/>
  <c r="NS13" i="8" a="1"/>
  <c r="NS13" i="8" s="1"/>
  <c r="NS60" i="8" a="1"/>
  <c r="NS60" i="8" s="1"/>
  <c r="NS40" i="8" a="1"/>
  <c r="NS40" i="8" s="1"/>
  <c r="NS52" i="8" a="1"/>
  <c r="NS52" i="8" s="1"/>
  <c r="S10" i="5"/>
  <c r="R10" i="5"/>
  <c r="N48" i="10" a="1"/>
  <c r="N8" i="10" a="1"/>
  <c r="N18" i="10" a="1"/>
  <c r="N50" i="10" a="1"/>
  <c r="N26" i="10" a="1"/>
  <c r="N47" i="10" a="1"/>
  <c r="N35" i="10" a="1"/>
  <c r="N42" i="10" a="1"/>
  <c r="N41" i="10" a="1"/>
  <c r="N32" i="10" a="1"/>
  <c r="N44" i="10" a="1"/>
  <c r="N56" i="10" a="1"/>
  <c r="N20" i="10" a="1"/>
  <c r="N46" i="10" a="1"/>
  <c r="N59" i="10" a="1"/>
  <c r="N28" i="10" a="1"/>
  <c r="N43" i="10" a="1"/>
  <c r="N9" i="10" a="1"/>
  <c r="N31" i="10" a="1"/>
  <c r="N25" i="10" a="1"/>
  <c r="N15" i="10" a="1"/>
  <c r="N54" i="10" a="1"/>
  <c r="N36" i="10" a="1"/>
  <c r="N7" i="10" a="1"/>
  <c r="N17" i="10" a="1"/>
  <c r="N19" i="10" a="1"/>
  <c r="N30" i="10" a="1"/>
  <c r="N57" i="10" a="1"/>
  <c r="N6" i="10" a="1"/>
  <c r="N29" i="10" a="1"/>
  <c r="N34" i="10" a="1"/>
  <c r="N49" i="10" a="1"/>
  <c r="N14" i="10" a="1"/>
  <c r="N21" i="10" a="1"/>
  <c r="N10" i="10" a="1"/>
  <c r="N16" i="10" a="1"/>
  <c r="N27" i="10" a="1"/>
  <c r="N51" i="10" a="1"/>
  <c r="N13" i="10" a="1"/>
  <c r="N58" i="10" a="1"/>
  <c r="N55" i="10" a="1"/>
  <c r="N24" i="10" a="1"/>
  <c r="N2" i="10" a="1"/>
  <c r="N53" i="10" a="1"/>
  <c r="N12" i="10" a="1"/>
  <c r="N45" i="10" a="1"/>
  <c r="N37" i="10" a="1"/>
  <c r="N11" i="10" a="1"/>
  <c r="N52" i="10" a="1"/>
  <c r="N40" i="10" a="1"/>
  <c r="N5" i="10" a="1"/>
  <c r="N3" i="10" a="1"/>
  <c r="N38" i="10" a="1"/>
  <c r="N22" i="10" a="1"/>
  <c r="N33" i="10" a="1"/>
  <c r="N23" i="10" a="1"/>
  <c r="N4" i="10" a="1"/>
  <c r="N12" i="10" l="1"/>
  <c r="N58" i="10"/>
  <c r="N2" i="10"/>
  <c r="N28" i="10"/>
  <c r="N48" i="10"/>
  <c r="N18" i="10"/>
  <c r="N7" i="10"/>
  <c r="N59" i="10"/>
  <c r="N21" i="10"/>
  <c r="N15" i="10"/>
  <c r="N52" i="10"/>
  <c r="N17" i="10"/>
  <c r="N34" i="10"/>
  <c r="N57" i="10"/>
  <c r="N4" i="10"/>
  <c r="N24" i="10"/>
  <c r="N31" i="10"/>
  <c r="N3" i="10"/>
  <c r="N6" i="10"/>
  <c r="N25" i="10"/>
  <c r="N32" i="10"/>
  <c r="N16" i="10"/>
  <c r="N29" i="10"/>
  <c r="N27" i="10"/>
  <c r="N26" i="10"/>
  <c r="N55" i="10"/>
  <c r="N56" i="10"/>
  <c r="N46" i="10"/>
  <c r="N45" i="10"/>
  <c r="N38" i="10"/>
  <c r="N9" i="10"/>
  <c r="N33" i="10"/>
  <c r="N54" i="10"/>
  <c r="N13" i="10"/>
  <c r="N40" i="10"/>
  <c r="N35" i="10"/>
  <c r="N36" i="10"/>
  <c r="N53" i="10"/>
  <c r="N51" i="10"/>
  <c r="N5" i="10"/>
  <c r="N22" i="10"/>
  <c r="N8" i="10"/>
  <c r="N50" i="10"/>
  <c r="N49" i="10"/>
  <c r="N30" i="10"/>
  <c r="N43" i="10"/>
  <c r="N14" i="10"/>
  <c r="N47" i="10"/>
  <c r="N44" i="10"/>
  <c r="N20" i="10"/>
  <c r="N37" i="10"/>
  <c r="N41" i="10"/>
  <c r="N19" i="10"/>
  <c r="N42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4" i="8" a="1"/>
  <c r="NT54" i="8" s="1"/>
  <c r="NT30" i="8" a="1"/>
  <c r="NT30" i="8" s="1"/>
  <c r="NT45" i="8" a="1"/>
  <c r="NT45" i="8" s="1"/>
  <c r="NT41" i="8" a="1"/>
  <c r="NT41" i="8" s="1"/>
  <c r="NT26" i="8" a="1"/>
  <c r="NT26" i="8" s="1"/>
  <c r="NT57" i="8" a="1"/>
  <c r="NT57" i="8" s="1"/>
  <c r="NT20" i="8" a="1"/>
  <c r="NT20" i="8" s="1"/>
  <c r="NT46" i="8" a="1"/>
  <c r="NT46" i="8" s="1"/>
  <c r="NT33" i="8" a="1"/>
  <c r="NT33" i="8" s="1"/>
  <c r="NT8" i="8" a="1"/>
  <c r="NT8" i="8" s="1"/>
  <c r="NT24" i="8" a="1"/>
  <c r="NT24" i="8" s="1"/>
  <c r="NT64" i="8" a="1"/>
  <c r="NT64" i="8" s="1"/>
  <c r="NT16" i="8" a="1"/>
  <c r="NT16" i="8" s="1"/>
  <c r="NT32" i="8" a="1"/>
  <c r="NT32" i="8" s="1"/>
  <c r="NT49" i="8" a="1"/>
  <c r="NT49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2" i="8" a="1"/>
  <c r="NT52" i="8" s="1"/>
  <c r="NT51" i="8" a="1"/>
  <c r="NT51" i="8" s="1"/>
  <c r="NT47" i="8" a="1"/>
  <c r="NT47" i="8" s="1"/>
  <c r="NT60" i="8" a="1"/>
  <c r="NT60" i="8" s="1"/>
  <c r="NT55" i="8" a="1"/>
  <c r="NT55" i="8" s="1"/>
  <c r="NT53" i="8" a="1"/>
  <c r="NT53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3" i="8" a="1"/>
  <c r="NT63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9" i="8" a="1"/>
  <c r="NT59" i="8" s="1"/>
  <c r="NT56" i="8" a="1"/>
  <c r="NT56" i="8" s="1"/>
  <c r="NT48" i="8" a="1"/>
  <c r="NT48" i="8" s="1"/>
  <c r="NT36" i="8" a="1"/>
  <c r="NT36" i="8" s="1"/>
  <c r="NT50" i="8" a="1"/>
  <c r="NT50" i="8" s="1"/>
  <c r="NT58" i="8" a="1"/>
  <c r="NT58" i="8" s="1"/>
  <c r="NT61" i="8" a="1"/>
  <c r="NT61" i="8" s="1"/>
  <c r="NT62" i="8" a="1"/>
  <c r="NT62" i="8" s="1"/>
  <c r="R11" i="5"/>
  <c r="S11" i="5"/>
  <c r="O51" i="10" a="1"/>
  <c r="O45" i="10" a="1"/>
  <c r="O24" i="10" a="1"/>
  <c r="O43" i="10" a="1"/>
  <c r="O28" i="10" a="1"/>
  <c r="O8" i="10" a="1"/>
  <c r="O19" i="10" a="1"/>
  <c r="O49" i="10" a="1"/>
  <c r="O41" i="10" a="1"/>
  <c r="O13" i="10" a="1"/>
  <c r="O36" i="10" a="1"/>
  <c r="O47" i="10" a="1"/>
  <c r="O40" i="10" a="1"/>
  <c r="O21" i="10" a="1"/>
  <c r="O5" i="10" a="1"/>
  <c r="O30" i="10" a="1"/>
  <c r="O33" i="10" a="1"/>
  <c r="O31" i="10" a="1"/>
  <c r="O15" i="10" a="1"/>
  <c r="O52" i="10" a="1"/>
  <c r="O38" i="10" a="1"/>
  <c r="O54" i="10" a="1"/>
  <c r="O42" i="10" a="1"/>
  <c r="O23" i="10" a="1"/>
  <c r="O16" i="10" a="1"/>
  <c r="O48" i="10" a="1"/>
  <c r="O55" i="10" a="1"/>
  <c r="O12" i="10" a="1"/>
  <c r="O22" i="10" a="1"/>
  <c r="O27" i="10" a="1"/>
  <c r="O29" i="10" a="1"/>
  <c r="O35" i="10" a="1"/>
  <c r="O26" i="10" a="1"/>
  <c r="O9" i="10" a="1"/>
  <c r="O20" i="10" a="1"/>
  <c r="O11" i="10" a="1"/>
  <c r="O58" i="10" a="1"/>
  <c r="O37" i="10" a="1"/>
  <c r="O34" i="10" a="1"/>
  <c r="O17" i="10" a="1"/>
  <c r="O50" i="10" a="1"/>
  <c r="O18" i="10" a="1"/>
  <c r="O59" i="10" a="1"/>
  <c r="O46" i="10" a="1"/>
  <c r="O53" i="10" a="1"/>
  <c r="O4" i="10" a="1"/>
  <c r="O10" i="10" a="1"/>
  <c r="O3" i="10" a="1"/>
  <c r="O56" i="10" a="1"/>
  <c r="O44" i="10" a="1"/>
  <c r="O57" i="10" a="1"/>
  <c r="O2" i="10" a="1"/>
  <c r="O14" i="10" a="1"/>
  <c r="O25" i="10" a="1"/>
  <c r="O7" i="10" a="1"/>
  <c r="O6" i="10" a="1"/>
  <c r="O32" i="10" a="1"/>
  <c r="O16" i="10" l="1"/>
  <c r="O44" i="10"/>
  <c r="O14" i="10"/>
  <c r="O20" i="10"/>
  <c r="O5" i="10"/>
  <c r="O6" i="10"/>
  <c r="O21" i="10"/>
  <c r="O49" i="10"/>
  <c r="O19" i="10"/>
  <c r="O18" i="10"/>
  <c r="O35" i="10"/>
  <c r="O24" i="10"/>
  <c r="O34" i="10"/>
  <c r="O42" i="10"/>
  <c r="O52" i="10"/>
  <c r="O46" i="10"/>
  <c r="O4" i="10"/>
  <c r="O58" i="10"/>
  <c r="O29" i="10"/>
  <c r="O31" i="10"/>
  <c r="O12" i="10"/>
  <c r="O54" i="10"/>
  <c r="O32" i="10"/>
  <c r="O56" i="10"/>
  <c r="O11" i="10"/>
  <c r="O27" i="10"/>
  <c r="O43" i="10"/>
  <c r="O26" i="10"/>
  <c r="O30" i="10"/>
  <c r="O37" i="10"/>
  <c r="O57" i="10"/>
  <c r="O59" i="10"/>
  <c r="O33" i="10"/>
  <c r="O45" i="10"/>
  <c r="O15" i="10"/>
  <c r="O8" i="10"/>
  <c r="O50" i="10"/>
  <c r="O41" i="10"/>
  <c r="O10" i="10"/>
  <c r="O9" i="10"/>
  <c r="O40" i="10"/>
  <c r="O17" i="10"/>
  <c r="O25" i="10"/>
  <c r="O28" i="10"/>
  <c r="O2" i="10"/>
  <c r="O51" i="10"/>
  <c r="O53" i="10"/>
  <c r="O48" i="10"/>
  <c r="O47" i="10"/>
  <c r="O13" i="10"/>
  <c r="O36" i="10"/>
  <c r="O3" i="10"/>
  <c r="O23" i="10"/>
  <c r="O55" i="10"/>
  <c r="O38" i="10"/>
  <c r="O22" i="10"/>
  <c r="O7" i="10"/>
  <c r="R12" i="5"/>
  <c r="S12" i="5"/>
  <c r="NU43" i="8" a="1"/>
  <c r="NU43" i="8" s="1"/>
  <c r="NU59" i="8" a="1"/>
  <c r="NU59" i="8" s="1"/>
  <c r="NU9" i="8" a="1"/>
  <c r="NU9" i="8" s="1"/>
  <c r="NU51" i="8" a="1"/>
  <c r="NU51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50" i="8" a="1"/>
  <c r="NU50" i="8" s="1"/>
  <c r="NU28" i="8" a="1"/>
  <c r="NU28" i="8" s="1"/>
  <c r="NU12" i="8" a="1"/>
  <c r="NU12" i="8" s="1"/>
  <c r="NU21" i="8" a="1"/>
  <c r="NU21" i="8" s="1"/>
  <c r="NU39" i="8" a="1"/>
  <c r="NU39" i="8" s="1"/>
  <c r="NU58" i="8" a="1"/>
  <c r="NU58" i="8" s="1"/>
  <c r="NU27" i="8" a="1"/>
  <c r="NU27" i="8" s="1"/>
  <c r="NU55" i="8" a="1"/>
  <c r="NU55" i="8" s="1"/>
  <c r="NU47" i="8" a="1"/>
  <c r="NU47" i="8" s="1"/>
  <c r="NU34" i="8" a="1"/>
  <c r="NU34" i="8" s="1"/>
  <c r="NU13" i="8" a="1"/>
  <c r="NU13" i="8" s="1"/>
  <c r="NU64" i="8" a="1"/>
  <c r="NU64" i="8" s="1"/>
  <c r="NU63" i="8" a="1"/>
  <c r="NU63" i="8" s="1"/>
  <c r="NU25" i="8" a="1"/>
  <c r="NU25" i="8" s="1"/>
  <c r="NU45" i="8" a="1"/>
  <c r="NU45" i="8" s="1"/>
  <c r="NU54" i="8" a="1"/>
  <c r="NU54" i="8" s="1"/>
  <c r="NU16" i="8" a="1"/>
  <c r="NU16" i="8" s="1"/>
  <c r="NU60" i="8" a="1"/>
  <c r="NU60" i="8" s="1"/>
  <c r="NU52" i="8" a="1"/>
  <c r="NU52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1" i="8" a="1"/>
  <c r="NU61" i="8" s="1"/>
  <c r="NU37" i="8" a="1"/>
  <c r="NU37" i="8" s="1"/>
  <c r="NU46" i="8" a="1"/>
  <c r="NU46" i="8" s="1"/>
  <c r="NU49" i="8" a="1"/>
  <c r="NU49" i="8" s="1"/>
  <c r="NU24" i="8" a="1"/>
  <c r="NU24" i="8" s="1"/>
  <c r="NU48" i="8" a="1"/>
  <c r="NU48" i="8" s="1"/>
  <c r="NU42" i="8" a="1"/>
  <c r="NU42" i="8" s="1"/>
  <c r="NU38" i="8" a="1"/>
  <c r="NU38" i="8" s="1"/>
  <c r="NU22" i="8" a="1"/>
  <c r="NU22" i="8" s="1"/>
  <c r="NU35" i="8" a="1"/>
  <c r="NU35" i="8" s="1"/>
  <c r="NU62" i="8" a="1"/>
  <c r="NU62" i="8" s="1"/>
  <c r="NU19" i="8" a="1"/>
  <c r="NU19" i="8" s="1"/>
  <c r="NU57" i="8" a="1"/>
  <c r="NU57" i="8" s="1"/>
  <c r="NU56" i="8" a="1"/>
  <c r="NU56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3" i="8" a="1"/>
  <c r="NU53" i="8" s="1"/>
  <c r="NU29" i="8" a="1"/>
  <c r="NU29" i="8" s="1"/>
  <c r="T11" i="5"/>
  <c r="U11" i="5"/>
  <c r="P13" i="10" a="1"/>
  <c r="P19" i="10" a="1"/>
  <c r="P57" i="10" a="1"/>
  <c r="P31" i="10" a="1"/>
  <c r="P7" i="10" a="1"/>
  <c r="P8" i="10" a="1"/>
  <c r="P59" i="10" a="1"/>
  <c r="P42" i="10" a="1"/>
  <c r="P34" i="10" a="1"/>
  <c r="P6" i="10" a="1"/>
  <c r="P36" i="10" a="1"/>
  <c r="P27" i="10" a="1"/>
  <c r="P15" i="10" a="1"/>
  <c r="P21" i="10" a="1"/>
  <c r="P12" i="10" a="1"/>
  <c r="P46" i="10" a="1"/>
  <c r="P58" i="10" a="1"/>
  <c r="P33" i="10" a="1"/>
  <c r="P17" i="10" a="1"/>
  <c r="P35" i="10" a="1"/>
  <c r="P54" i="10" a="1"/>
  <c r="P25" i="10" a="1"/>
  <c r="P32" i="10" a="1"/>
  <c r="P55" i="10" a="1"/>
  <c r="P3" i="10" a="1"/>
  <c r="P26" i="10" a="1"/>
  <c r="P22" i="10" a="1"/>
  <c r="P38" i="10" a="1"/>
  <c r="P23" i="10" a="1"/>
  <c r="P51" i="10" a="1"/>
  <c r="P37" i="10" a="1"/>
  <c r="P9" i="10" a="1"/>
  <c r="P18" i="10" a="1"/>
  <c r="P11" i="10" a="1"/>
  <c r="P10" i="10" a="1"/>
  <c r="P44" i="10" a="1"/>
  <c r="P5" i="10" a="1"/>
  <c r="P43" i="10" a="1"/>
  <c r="P30" i="10" a="1"/>
  <c r="P28" i="10" a="1"/>
  <c r="P53" i="10" a="1"/>
  <c r="P47" i="10" a="1"/>
  <c r="P40" i="10" a="1"/>
  <c r="P20" i="10" a="1"/>
  <c r="P45" i="10" a="1"/>
  <c r="P48" i="10" a="1"/>
  <c r="P29" i="10" a="1"/>
  <c r="P2" i="10" a="1"/>
  <c r="P4" i="10" a="1"/>
  <c r="P52" i="10" a="1"/>
  <c r="P50" i="10" a="1"/>
  <c r="P41" i="10" a="1"/>
  <c r="P49" i="10" a="1"/>
  <c r="P24" i="10" a="1"/>
  <c r="P56" i="10" a="1"/>
  <c r="P14" i="10" a="1"/>
  <c r="P16" i="10" a="1"/>
  <c r="P59" i="10" l="1"/>
  <c r="P34" i="10"/>
  <c r="P2" i="10"/>
  <c r="P4" i="10"/>
  <c r="P43" i="10"/>
  <c r="P50" i="10"/>
  <c r="P7" i="10"/>
  <c r="P48" i="10"/>
  <c r="P9" i="10"/>
  <c r="P5" i="10"/>
  <c r="P24" i="10"/>
  <c r="P55" i="10"/>
  <c r="P6" i="10"/>
  <c r="P56" i="10"/>
  <c r="P30" i="10"/>
  <c r="P12" i="10"/>
  <c r="P52" i="10"/>
  <c r="P14" i="10"/>
  <c r="P54" i="10"/>
  <c r="P57" i="10"/>
  <c r="P36" i="10"/>
  <c r="P51" i="10"/>
  <c r="P17" i="10"/>
  <c r="P19" i="10"/>
  <c r="P28" i="10"/>
  <c r="P20" i="10"/>
  <c r="P10" i="10"/>
  <c r="P47" i="10"/>
  <c r="P42" i="10"/>
  <c r="P27" i="10"/>
  <c r="P38" i="10"/>
  <c r="P53" i="10"/>
  <c r="P31" i="10"/>
  <c r="P35" i="10"/>
  <c r="P44" i="10"/>
  <c r="P13" i="10"/>
  <c r="P29" i="10"/>
  <c r="P37" i="10"/>
  <c r="P21" i="10"/>
  <c r="P49" i="10"/>
  <c r="P46" i="10"/>
  <c r="P33" i="10"/>
  <c r="P58" i="10"/>
  <c r="P23" i="10"/>
  <c r="P22" i="10"/>
  <c r="P11" i="10"/>
  <c r="P18" i="10"/>
  <c r="P41" i="10"/>
  <c r="P32" i="10"/>
  <c r="P16" i="10"/>
  <c r="P15" i="10"/>
  <c r="P40" i="10"/>
  <c r="P45" i="10"/>
  <c r="P8" i="10"/>
  <c r="P3" i="10"/>
  <c r="P26" i="10"/>
  <c r="P25" i="10"/>
  <c r="S13" i="5"/>
  <c r="R13" i="5"/>
  <c r="NV63" i="8" a="1"/>
  <c r="NV63" i="8" s="1"/>
  <c r="NV62" i="8" a="1"/>
  <c r="NV62" i="8" s="1"/>
  <c r="NV13" i="8" a="1"/>
  <c r="NV13" i="8" s="1"/>
  <c r="NV48" i="8" a="1"/>
  <c r="NV48" i="8" s="1"/>
  <c r="NV17" i="8" a="1"/>
  <c r="NV17" i="8" s="1"/>
  <c r="NV49" i="8" a="1"/>
  <c r="NV49" i="8" s="1"/>
  <c r="NV28" i="8" a="1"/>
  <c r="NV28" i="8" s="1"/>
  <c r="NV10" i="8" a="1"/>
  <c r="NV10" i="8" s="1"/>
  <c r="NV26" i="8" a="1"/>
  <c r="NV26" i="8" s="1"/>
  <c r="NV39" i="8" a="1"/>
  <c r="NV39" i="8" s="1"/>
  <c r="NV54" i="8" a="1"/>
  <c r="NV54" i="8" s="1"/>
  <c r="NV15" i="8" a="1"/>
  <c r="NV15" i="8" s="1"/>
  <c r="NV58" i="8" a="1"/>
  <c r="NV58" i="8" s="1"/>
  <c r="NV51" i="8" a="1"/>
  <c r="NV51" i="8" s="1"/>
  <c r="NV18" i="8" a="1"/>
  <c r="NV18" i="8" s="1"/>
  <c r="NV50" i="8" a="1"/>
  <c r="NV50" i="8" s="1"/>
  <c r="NV56" i="8" a="1"/>
  <c r="NV56" i="8" s="1"/>
  <c r="NV8" i="8" a="1"/>
  <c r="NV8" i="8" s="1"/>
  <c r="NV38" i="8" a="1"/>
  <c r="NV38" i="8" s="1"/>
  <c r="NV57" i="8" a="1"/>
  <c r="NV57" i="8" s="1"/>
  <c r="NV14" i="8" a="1"/>
  <c r="NV14" i="8" s="1"/>
  <c r="NV55" i="8" a="1"/>
  <c r="NV55" i="8" s="1"/>
  <c r="NV64" i="8" a="1"/>
  <c r="NV64" i="8" s="1"/>
  <c r="NV52" i="8" a="1"/>
  <c r="NV52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60" i="8" a="1"/>
  <c r="NV60" i="8" s="1"/>
  <c r="NV42" i="8" a="1"/>
  <c r="NV42" i="8" s="1"/>
  <c r="NV16" i="8" a="1"/>
  <c r="NV16" i="8" s="1"/>
  <c r="NV21" i="8" a="1"/>
  <c r="NV21" i="8" s="1"/>
  <c r="NV46" i="8" a="1"/>
  <c r="NV46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5" i="8" a="1"/>
  <c r="NV45" i="8" s="1"/>
  <c r="NV59" i="8" a="1"/>
  <c r="NV59" i="8" s="1"/>
  <c r="NV43" i="8" a="1"/>
  <c r="NV43" i="8" s="1"/>
  <c r="NV30" i="8" a="1"/>
  <c r="NV30" i="8" s="1"/>
  <c r="NV53" i="8" a="1"/>
  <c r="NV53" i="8" s="1"/>
  <c r="NV47" i="8" a="1"/>
  <c r="NV47" i="8" s="1"/>
  <c r="NV36" i="8" a="1"/>
  <c r="NV36" i="8" s="1"/>
  <c r="NV61" i="8" a="1"/>
  <c r="NV61" i="8" s="1"/>
  <c r="NV35" i="8" a="1"/>
  <c r="NV35" i="8" s="1"/>
  <c r="T12" i="5"/>
  <c r="U12" i="5"/>
  <c r="Q9" i="10" a="1"/>
  <c r="Q15" i="10" a="1"/>
  <c r="Q40" i="10" a="1"/>
  <c r="Q35" i="10" a="1"/>
  <c r="Q23" i="10" a="1"/>
  <c r="Q12" i="10" a="1"/>
  <c r="Q5" i="10" a="1"/>
  <c r="Q43" i="10" a="1"/>
  <c r="Q20" i="10" a="1"/>
  <c r="Q13" i="10" a="1"/>
  <c r="Q58" i="10" a="1"/>
  <c r="Q38" i="10" a="1"/>
  <c r="Q59" i="10" a="1"/>
  <c r="Q11" i="10" a="1"/>
  <c r="Q3" i="10" a="1"/>
  <c r="Q2" i="10" a="1"/>
  <c r="Q33" i="10" a="1"/>
  <c r="Q22" i="10" a="1"/>
  <c r="Q50" i="10" a="1"/>
  <c r="Q7" i="10" a="1"/>
  <c r="Q41" i="10" a="1"/>
  <c r="Q28" i="10" a="1"/>
  <c r="Q26" i="10" a="1"/>
  <c r="Q31" i="10" a="1"/>
  <c r="Q49" i="10" a="1"/>
  <c r="Q42" i="10" a="1"/>
  <c r="Q4" i="10" a="1"/>
  <c r="Q55" i="10" a="1"/>
  <c r="Q52" i="10" a="1"/>
  <c r="Q56" i="10" a="1"/>
  <c r="Q8" i="10" a="1"/>
  <c r="Q47" i="10" a="1"/>
  <c r="Q37" i="10" a="1"/>
  <c r="Q45" i="10" a="1"/>
  <c r="Q53" i="10" a="1"/>
  <c r="Q36" i="10" a="1"/>
  <c r="Q51" i="10" a="1"/>
  <c r="Q27" i="10" a="1"/>
  <c r="Q17" i="10" a="1"/>
  <c r="Q46" i="10" a="1"/>
  <c r="Q29" i="10" a="1"/>
  <c r="Q21" i="10" a="1"/>
  <c r="Q48" i="10" a="1"/>
  <c r="Q30" i="10" a="1"/>
  <c r="Q54" i="10" a="1"/>
  <c r="Q10" i="10" a="1"/>
  <c r="Q16" i="10" a="1"/>
  <c r="Q18" i="10" a="1"/>
  <c r="Q14" i="10" a="1"/>
  <c r="Q24" i="10" a="1"/>
  <c r="Q34" i="10" a="1"/>
  <c r="Q25" i="10" a="1"/>
  <c r="Q57" i="10" a="1"/>
  <c r="Q6" i="10" a="1"/>
  <c r="Q32" i="10" a="1"/>
  <c r="Q19" i="10" a="1"/>
  <c r="Q44" i="10" a="1"/>
  <c r="Q18" i="10" l="1"/>
  <c r="Q49" i="10"/>
  <c r="Q56" i="10"/>
  <c r="Q45" i="10"/>
  <c r="Q10" i="10"/>
  <c r="Q51" i="10"/>
  <c r="Q55" i="10"/>
  <c r="Q2" i="10"/>
  <c r="Q4" i="10"/>
  <c r="Q43" i="10"/>
  <c r="Q11" i="10"/>
  <c r="Q15" i="10"/>
  <c r="Q44" i="10"/>
  <c r="Q26" i="10"/>
  <c r="Q30" i="10"/>
  <c r="Q46" i="10"/>
  <c r="Q47" i="10"/>
  <c r="Q32" i="10"/>
  <c r="Q24" i="10"/>
  <c r="Q3" i="10"/>
  <c r="Q5" i="10"/>
  <c r="Q29" i="10"/>
  <c r="Q36" i="10"/>
  <c r="Q58" i="10"/>
  <c r="Q38" i="10"/>
  <c r="Q33" i="10"/>
  <c r="Q25" i="10"/>
  <c r="Q54" i="10"/>
  <c r="Q22" i="10"/>
  <c r="Q52" i="10"/>
  <c r="Q23" i="10"/>
  <c r="Q48" i="10"/>
  <c r="Q19" i="10"/>
  <c r="Q40" i="10"/>
  <c r="Q13" i="10"/>
  <c r="Q16" i="10"/>
  <c r="Q7" i="10"/>
  <c r="Q37" i="10"/>
  <c r="Q6" i="10"/>
  <c r="Q50" i="10"/>
  <c r="Q28" i="10"/>
  <c r="Q42" i="10"/>
  <c r="Q59" i="10"/>
  <c r="Q41" i="10"/>
  <c r="Q31" i="10"/>
  <c r="Q8" i="10"/>
  <c r="Q9" i="10"/>
  <c r="Q12" i="10"/>
  <c r="Q53" i="10"/>
  <c r="Q27" i="10"/>
  <c r="Q34" i="10"/>
  <c r="Q17" i="10"/>
  <c r="Q21" i="10"/>
  <c r="Q57" i="10"/>
  <c r="Q20" i="10"/>
  <c r="Q14" i="10"/>
  <c r="Q35" i="10"/>
  <c r="NW56" i="8" a="1"/>
  <c r="NW56" i="8" s="1"/>
  <c r="NW36" i="8" a="1"/>
  <c r="NW36" i="8" s="1"/>
  <c r="NW49" i="8" a="1"/>
  <c r="NW49" i="8" s="1"/>
  <c r="NW51" i="8" a="1"/>
  <c r="NW51" i="8" s="1"/>
  <c r="NW18" i="8" a="1"/>
  <c r="NW18" i="8" s="1"/>
  <c r="NW23" i="8" a="1"/>
  <c r="NW23" i="8" s="1"/>
  <c r="NW13" i="8" a="1"/>
  <c r="NW13" i="8" s="1"/>
  <c r="NW47" i="8" a="1"/>
  <c r="NW47" i="8" s="1"/>
  <c r="NW40" i="8" a="1"/>
  <c r="NW40" i="8" s="1"/>
  <c r="NW32" i="8" a="1"/>
  <c r="NW32" i="8" s="1"/>
  <c r="NW41" i="8" a="1"/>
  <c r="NW41" i="8" s="1"/>
  <c r="NW53" i="8" a="1"/>
  <c r="NW53" i="8" s="1"/>
  <c r="NW16" i="8" a="1"/>
  <c r="NW16" i="8" s="1"/>
  <c r="NW52" i="8" a="1"/>
  <c r="NW52" i="8" s="1"/>
  <c r="NW17" i="8" a="1"/>
  <c r="NW17" i="8" s="1"/>
  <c r="NW29" i="8" a="1"/>
  <c r="NW29" i="8" s="1"/>
  <c r="NW11" i="8" a="1"/>
  <c r="NW11" i="8" s="1"/>
  <c r="NW27" i="8" a="1"/>
  <c r="NW27" i="8" s="1"/>
  <c r="NW60" i="8" a="1"/>
  <c r="NW60" i="8" s="1"/>
  <c r="NW57" i="8" a="1"/>
  <c r="NW57" i="8" s="1"/>
  <c r="NW19" i="8" a="1"/>
  <c r="NW19" i="8" s="1"/>
  <c r="NW33" i="8" a="1"/>
  <c r="NW33" i="8" s="1"/>
  <c r="NW14" i="8" a="1"/>
  <c r="NW14" i="8" s="1"/>
  <c r="NW54" i="8" a="1"/>
  <c r="NW54" i="8" s="1"/>
  <c r="NW31" i="8" a="1"/>
  <c r="NW31" i="8" s="1"/>
  <c r="NW42" i="8" a="1"/>
  <c r="NW42" i="8" s="1"/>
  <c r="NW58" i="8" a="1"/>
  <c r="NW58" i="8" s="1"/>
  <c r="NW37" i="8" a="1"/>
  <c r="NW37" i="8" s="1"/>
  <c r="NW35" i="8" a="1"/>
  <c r="NW35" i="8" s="1"/>
  <c r="NW50" i="8" a="1"/>
  <c r="NW50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1" i="8" a="1"/>
  <c r="NW61" i="8" s="1"/>
  <c r="NW25" i="8" a="1"/>
  <c r="NW25" i="8" s="1"/>
  <c r="NW30" i="8" a="1"/>
  <c r="NW30" i="8" s="1"/>
  <c r="NW46" i="8" a="1"/>
  <c r="NW46" i="8" s="1"/>
  <c r="NW45" i="8" a="1"/>
  <c r="NW45" i="8" s="1"/>
  <c r="NW48" i="8" a="1"/>
  <c r="NW48" i="8" s="1"/>
  <c r="NW62" i="8" a="1"/>
  <c r="NW62" i="8" s="1"/>
  <c r="NW43" i="8" a="1"/>
  <c r="NW43" i="8" s="1"/>
  <c r="NW26" i="8" a="1"/>
  <c r="NW26" i="8" s="1"/>
  <c r="NW55" i="8" a="1"/>
  <c r="NW55" i="8" s="1"/>
  <c r="NW10" i="8" a="1"/>
  <c r="NW10" i="8" s="1"/>
  <c r="NW59" i="8" a="1"/>
  <c r="NW59" i="8" s="1"/>
  <c r="NW39" i="8" a="1"/>
  <c r="NW39" i="8" s="1"/>
  <c r="NW34" i="8" a="1"/>
  <c r="NW34" i="8" s="1"/>
  <c r="NW63" i="8" a="1"/>
  <c r="NW63" i="8" s="1"/>
  <c r="NW64" i="8" a="1"/>
  <c r="NW64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8" i="10" a="1"/>
  <c r="R40" i="10" a="1"/>
  <c r="R21" i="10" a="1"/>
  <c r="R23" i="10" a="1"/>
  <c r="R24" i="10" a="1"/>
  <c r="R7" i="10" a="1"/>
  <c r="R59" i="10" a="1"/>
  <c r="R42" i="10" a="1"/>
  <c r="R43" i="10" a="1"/>
  <c r="R25" i="10" a="1"/>
  <c r="R31" i="10" a="1"/>
  <c r="R10" i="10" a="1"/>
  <c r="R35" i="10" a="1"/>
  <c r="R34" i="10" a="1"/>
  <c r="R2" i="10" a="1"/>
  <c r="R38" i="10" a="1"/>
  <c r="R41" i="10" a="1"/>
  <c r="R53" i="10" a="1"/>
  <c r="R29" i="10" a="1"/>
  <c r="R14" i="10" a="1"/>
  <c r="R26" i="10" a="1"/>
  <c r="R16" i="10" a="1"/>
  <c r="R52" i="10" a="1"/>
  <c r="R6" i="10" a="1"/>
  <c r="R30" i="10" a="1"/>
  <c r="R48" i="10" a="1"/>
  <c r="R54" i="10" a="1"/>
  <c r="R33" i="10" a="1"/>
  <c r="R36" i="10" a="1"/>
  <c r="R22" i="10" a="1"/>
  <c r="R37" i="10" a="1"/>
  <c r="R5" i="10" a="1"/>
  <c r="R9" i="10" a="1"/>
  <c r="R57" i="10" a="1"/>
  <c r="R17" i="10" a="1"/>
  <c r="R55" i="10" a="1"/>
  <c r="R12" i="10" a="1"/>
  <c r="R27" i="10" a="1"/>
  <c r="R51" i="10" a="1"/>
  <c r="R45" i="10" a="1"/>
  <c r="R20" i="10" a="1"/>
  <c r="R11" i="10" a="1"/>
  <c r="R44" i="10" a="1"/>
  <c r="R46" i="10" a="1"/>
  <c r="R50" i="10" a="1"/>
  <c r="R47" i="10" a="1"/>
  <c r="R28" i="10" a="1"/>
  <c r="R58" i="10" a="1"/>
  <c r="R13" i="10" a="1"/>
  <c r="R4" i="10" a="1"/>
  <c r="R56" i="10" a="1"/>
  <c r="R49" i="10" a="1"/>
  <c r="R15" i="10" a="1"/>
  <c r="R18" i="10" a="1"/>
  <c r="R3" i="10" a="1"/>
  <c r="R19" i="10" a="1"/>
  <c r="R32" i="10" a="1"/>
  <c r="R36" i="10" l="1"/>
  <c r="R25" i="10"/>
  <c r="R33" i="10"/>
  <c r="R30" i="10"/>
  <c r="R59" i="10"/>
  <c r="R46" i="10"/>
  <c r="R51" i="10"/>
  <c r="R27" i="10"/>
  <c r="R50" i="10"/>
  <c r="R42" i="10"/>
  <c r="R16" i="10"/>
  <c r="R37" i="10"/>
  <c r="R31" i="10"/>
  <c r="R47" i="10"/>
  <c r="R49" i="10"/>
  <c r="R3" i="10"/>
  <c r="R54" i="10"/>
  <c r="R24" i="10"/>
  <c r="R45" i="10"/>
  <c r="R28" i="10"/>
  <c r="R29" i="10"/>
  <c r="R8" i="10"/>
  <c r="R44" i="10"/>
  <c r="R12" i="10"/>
  <c r="R5" i="10"/>
  <c r="R58" i="10"/>
  <c r="R41" i="10"/>
  <c r="R53" i="10"/>
  <c r="R43" i="10"/>
  <c r="R9" i="10"/>
  <c r="R7" i="10"/>
  <c r="R57" i="10"/>
  <c r="R48" i="10"/>
  <c r="R38" i="10"/>
  <c r="R55" i="10"/>
  <c r="R10" i="10"/>
  <c r="R34" i="10"/>
  <c r="R35" i="10"/>
  <c r="R56" i="10"/>
  <c r="R2" i="10"/>
  <c r="R23" i="10"/>
  <c r="R19" i="10"/>
  <c r="R22" i="10"/>
  <c r="R15" i="10"/>
  <c r="R14" i="10"/>
  <c r="R26" i="10"/>
  <c r="R13" i="10"/>
  <c r="R40" i="10"/>
  <c r="R17" i="10"/>
  <c r="R11" i="10"/>
  <c r="R4" i="10"/>
  <c r="R20" i="10"/>
  <c r="R6" i="10"/>
  <c r="R18" i="10"/>
  <c r="R52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6" i="8" a="1"/>
  <c r="NX46" i="8" s="1"/>
  <c r="NX34" i="8" a="1"/>
  <c r="NX34" i="8" s="1"/>
  <c r="NX13" i="8" a="1"/>
  <c r="NX13" i="8" s="1"/>
  <c r="NX49" i="8" a="1"/>
  <c r="NX49" i="8" s="1"/>
  <c r="NX45" i="8" a="1"/>
  <c r="NX45" i="8" s="1"/>
  <c r="NX12" i="8" a="1"/>
  <c r="NX12" i="8" s="1"/>
  <c r="NX57" i="8" a="1"/>
  <c r="NX57" i="8" s="1"/>
  <c r="NX9" i="8" a="1"/>
  <c r="NX9" i="8" s="1"/>
  <c r="NX35" i="8" a="1"/>
  <c r="NX35" i="8" s="1"/>
  <c r="NX32" i="8" a="1"/>
  <c r="NX32" i="8" s="1"/>
  <c r="NX17" i="8" a="1"/>
  <c r="NX17" i="8" s="1"/>
  <c r="NX51" i="8" a="1"/>
  <c r="NX51" i="8" s="1"/>
  <c r="NX55" i="8" a="1"/>
  <c r="NX55" i="8" s="1"/>
  <c r="NX62" i="8" a="1"/>
  <c r="NX62" i="8" s="1"/>
  <c r="NX37" i="8" a="1"/>
  <c r="NX37" i="8" s="1"/>
  <c r="NX26" i="8" a="1"/>
  <c r="NX26" i="8" s="1"/>
  <c r="NX60" i="8" a="1"/>
  <c r="NX60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8" i="8" a="1"/>
  <c r="NX48" i="8" s="1"/>
  <c r="NX33" i="8" a="1"/>
  <c r="NX33" i="8" s="1"/>
  <c r="NX53" i="8" a="1"/>
  <c r="NX53" i="8" s="1"/>
  <c r="NX25" i="8" a="1"/>
  <c r="NX25" i="8" s="1"/>
  <c r="NX54" i="8" a="1"/>
  <c r="NX54" i="8" s="1"/>
  <c r="NX52" i="8" a="1"/>
  <c r="NX52" i="8" s="1"/>
  <c r="NX27" i="8" a="1"/>
  <c r="NX27" i="8" s="1"/>
  <c r="NX41" i="8" a="1"/>
  <c r="NX41" i="8" s="1"/>
  <c r="NX47" i="8" a="1"/>
  <c r="NX47" i="8" s="1"/>
  <c r="NX29" i="8" a="1"/>
  <c r="NX29" i="8" s="1"/>
  <c r="NX15" i="8" a="1"/>
  <c r="NX15" i="8" s="1"/>
  <c r="NX61" i="8" a="1"/>
  <c r="NX61" i="8" s="1"/>
  <c r="NX64" i="8" a="1"/>
  <c r="NX64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3" i="8" a="1"/>
  <c r="NX63" i="8" s="1"/>
  <c r="NX38" i="8" a="1"/>
  <c r="NX38" i="8" s="1"/>
  <c r="NX59" i="8" a="1"/>
  <c r="NX59" i="8" s="1"/>
  <c r="NX22" i="8" a="1"/>
  <c r="NX22" i="8" s="1"/>
  <c r="NX56" i="8" a="1"/>
  <c r="NX56" i="8" s="1"/>
  <c r="NX43" i="8" a="1"/>
  <c r="NX43" i="8" s="1"/>
  <c r="NX50" i="8" a="1"/>
  <c r="NX50" i="8" s="1"/>
  <c r="NX58" i="8" a="1"/>
  <c r="NX58" i="8" s="1"/>
  <c r="NX19" i="8" a="1"/>
  <c r="NX19" i="8" s="1"/>
  <c r="NX16" i="8" a="1"/>
  <c r="NX16" i="8" s="1"/>
  <c r="NX24" i="8" a="1"/>
  <c r="NX24" i="8" s="1"/>
  <c r="NX10" i="8" a="1"/>
  <c r="NX10" i="8" s="1"/>
  <c r="S51" i="10" a="1"/>
  <c r="S42" i="10" a="1"/>
  <c r="S40" i="10" a="1"/>
  <c r="S23" i="10" a="1"/>
  <c r="S16" i="10" a="1"/>
  <c r="S28" i="10" a="1"/>
  <c r="S30" i="10" a="1"/>
  <c r="S2" i="10" a="1"/>
  <c r="S14" i="10" a="1"/>
  <c r="S24" i="10" a="1"/>
  <c r="S54" i="10" a="1"/>
  <c r="S48" i="10" a="1"/>
  <c r="S53" i="10" a="1"/>
  <c r="S43" i="10" a="1"/>
  <c r="S59" i="10" a="1"/>
  <c r="S55" i="10" a="1"/>
  <c r="S37" i="10" a="1"/>
  <c r="S38" i="10" a="1"/>
  <c r="S20" i="10" a="1"/>
  <c r="S46" i="10" a="1"/>
  <c r="S27" i="10" a="1"/>
  <c r="S50" i="10" a="1"/>
  <c r="S9" i="10" a="1"/>
  <c r="S10" i="10" a="1"/>
  <c r="S33" i="10" a="1"/>
  <c r="S29" i="10" a="1"/>
  <c r="S41" i="10" a="1"/>
  <c r="S58" i="10" a="1"/>
  <c r="S26" i="10" a="1"/>
  <c r="S8" i="10" a="1"/>
  <c r="S4" i="10" a="1"/>
  <c r="S7" i="10" a="1"/>
  <c r="S32" i="10" a="1"/>
  <c r="S57" i="10" a="1"/>
  <c r="S35" i="10" a="1"/>
  <c r="S11" i="10" a="1"/>
  <c r="S25" i="10" a="1"/>
  <c r="S3" i="10" a="1"/>
  <c r="S18" i="10" a="1"/>
  <c r="S17" i="10" a="1"/>
  <c r="S49" i="10" a="1"/>
  <c r="S5" i="10" a="1"/>
  <c r="S56" i="10" a="1"/>
  <c r="S36" i="10" a="1"/>
  <c r="S12" i="10" a="1"/>
  <c r="S52" i="10" a="1"/>
  <c r="S19" i="10" a="1"/>
  <c r="S15" i="10" a="1"/>
  <c r="S34" i="10" a="1"/>
  <c r="S44" i="10" a="1"/>
  <c r="S31" i="10" a="1"/>
  <c r="S6" i="10" a="1"/>
  <c r="S21" i="10" a="1"/>
  <c r="S47" i="10" a="1"/>
  <c r="S13" i="10" a="1"/>
  <c r="S45" i="10" a="1"/>
  <c r="S22" i="10" a="1"/>
  <c r="S25" i="10" l="1"/>
  <c r="S15" i="10"/>
  <c r="S50" i="10"/>
  <c r="S10" i="10"/>
  <c r="S51" i="10"/>
  <c r="S40" i="10"/>
  <c r="S22" i="10"/>
  <c r="S35" i="10"/>
  <c r="S14" i="10"/>
  <c r="S41" i="10"/>
  <c r="S59" i="10"/>
  <c r="S56" i="10"/>
  <c r="S26" i="10"/>
  <c r="S55" i="10"/>
  <c r="S12" i="10"/>
  <c r="S33" i="10"/>
  <c r="S57" i="10"/>
  <c r="S8" i="10"/>
  <c r="S16" i="10"/>
  <c r="S3" i="10"/>
  <c r="S47" i="10"/>
  <c r="S27" i="10"/>
  <c r="S32" i="10"/>
  <c r="S11" i="10"/>
  <c r="S36" i="10"/>
  <c r="S9" i="10"/>
  <c r="S5" i="10"/>
  <c r="S31" i="10"/>
  <c r="S17" i="10"/>
  <c r="S13" i="10"/>
  <c r="S2" i="10"/>
  <c r="S23" i="10"/>
  <c r="S54" i="10"/>
  <c r="S44" i="10"/>
  <c r="S20" i="10"/>
  <c r="S46" i="10"/>
  <c r="S49" i="10"/>
  <c r="S29" i="10"/>
  <c r="S48" i="10"/>
  <c r="S30" i="10"/>
  <c r="S18" i="10"/>
  <c r="S19" i="10"/>
  <c r="S6" i="10"/>
  <c r="S34" i="10"/>
  <c r="S58" i="10"/>
  <c r="S43" i="10"/>
  <c r="S4" i="10"/>
  <c r="S37" i="10"/>
  <c r="S53" i="10"/>
  <c r="S38" i="10"/>
  <c r="S42" i="10"/>
  <c r="S28" i="10"/>
  <c r="S24" i="10"/>
  <c r="S52" i="10"/>
  <c r="S21" i="10"/>
  <c r="S45" i="10"/>
  <c r="S7" i="10"/>
  <c r="T15" i="5"/>
  <c r="U15" i="5"/>
  <c r="NY48" i="8" a="1"/>
  <c r="NY48" i="8" s="1"/>
  <c r="NY11" i="8" a="1"/>
  <c r="NY11" i="8" s="1"/>
  <c r="NY30" i="8" a="1"/>
  <c r="NY30" i="8" s="1"/>
  <c r="NY52" i="8" a="1"/>
  <c r="NY52" i="8" s="1"/>
  <c r="NY8" i="8" a="1"/>
  <c r="NY8" i="8" s="1"/>
  <c r="NY34" i="8" a="1"/>
  <c r="NY34" i="8" s="1"/>
  <c r="NY33" i="8" a="1"/>
  <c r="NY33" i="8" s="1"/>
  <c r="NY56" i="8" a="1"/>
  <c r="NY56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1" i="8" a="1"/>
  <c r="NY51" i="8" s="1"/>
  <c r="NY31" i="8" a="1"/>
  <c r="NY31" i="8" s="1"/>
  <c r="NY23" i="8" a="1"/>
  <c r="NY23" i="8" s="1"/>
  <c r="NY40" i="8" a="1"/>
  <c r="NY40" i="8" s="1"/>
  <c r="NY16" i="8" a="1"/>
  <c r="NY16" i="8" s="1"/>
  <c r="NY63" i="8" a="1"/>
  <c r="NY63" i="8" s="1"/>
  <c r="NY47" i="8" a="1"/>
  <c r="NY47" i="8" s="1"/>
  <c r="NY39" i="8" a="1"/>
  <c r="NY39" i="8" s="1"/>
  <c r="NY45" i="8" a="1"/>
  <c r="NY45" i="8" s="1"/>
  <c r="NY25" i="8" a="1"/>
  <c r="NY25" i="8" s="1"/>
  <c r="NY20" i="8" a="1"/>
  <c r="NY20" i="8" s="1"/>
  <c r="NY60" i="8" a="1"/>
  <c r="NY60" i="8" s="1"/>
  <c r="NY17" i="8" a="1"/>
  <c r="NY17" i="8" s="1"/>
  <c r="NY35" i="8" a="1"/>
  <c r="NY35" i="8" s="1"/>
  <c r="NY55" i="8" a="1"/>
  <c r="NY55" i="8" s="1"/>
  <c r="NY32" i="8" a="1"/>
  <c r="NY32" i="8" s="1"/>
  <c r="NY26" i="8" a="1"/>
  <c r="NY26" i="8" s="1"/>
  <c r="NY36" i="8" a="1"/>
  <c r="NY36" i="8" s="1"/>
  <c r="NY53" i="8" a="1"/>
  <c r="NY53" i="8" s="1"/>
  <c r="NY49" i="8" a="1"/>
  <c r="NY49" i="8" s="1"/>
  <c r="NY64" i="8" a="1"/>
  <c r="NY64" i="8" s="1"/>
  <c r="NY15" i="8" a="1"/>
  <c r="NY15" i="8" s="1"/>
  <c r="NY57" i="8" a="1"/>
  <c r="NY57" i="8" s="1"/>
  <c r="NY59" i="8" a="1"/>
  <c r="NY59" i="8" s="1"/>
  <c r="NY62" i="8" a="1"/>
  <c r="NY62" i="8" s="1"/>
  <c r="NY50" i="8" a="1"/>
  <c r="NY50" i="8" s="1"/>
  <c r="NY18" i="8" a="1"/>
  <c r="NY18" i="8" s="1"/>
  <c r="NY58" i="8" a="1"/>
  <c r="NY58" i="8" s="1"/>
  <c r="NY22" i="8" a="1"/>
  <c r="NY22" i="8" s="1"/>
  <c r="NY27" i="8" a="1"/>
  <c r="NY27" i="8" s="1"/>
  <c r="NY38" i="8" a="1"/>
  <c r="NY38" i="8" s="1"/>
  <c r="NY61" i="8" a="1"/>
  <c r="NY61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4" i="8" a="1"/>
  <c r="NY54" i="8" s="1"/>
  <c r="NY43" i="8" a="1"/>
  <c r="NY43" i="8" s="1"/>
  <c r="NY46" i="8" a="1"/>
  <c r="NY46" i="8" s="1"/>
  <c r="NY37" i="8" a="1"/>
  <c r="NY37" i="8" s="1"/>
  <c r="NY9" i="8" a="1"/>
  <c r="NY9" i="8" s="1"/>
  <c r="NY29" i="8" a="1"/>
  <c r="NY29" i="8" s="1"/>
  <c r="T16" i="5"/>
  <c r="T30" i="10" a="1"/>
  <c r="U41" i="10" a="1"/>
  <c r="U55" i="10" a="1"/>
  <c r="U16" i="10" a="1"/>
  <c r="U19" i="10" a="1"/>
  <c r="T44" i="10" a="1"/>
  <c r="T55" i="10" a="1"/>
  <c r="U51" i="10" a="1"/>
  <c r="U50" i="10" a="1"/>
  <c r="T35" i="10" a="1"/>
  <c r="U59" i="10" a="1"/>
  <c r="T26" i="10" a="1"/>
  <c r="T12" i="10" a="1"/>
  <c r="U18" i="10" a="1"/>
  <c r="U36" i="10" a="1"/>
  <c r="U28" i="10" a="1"/>
  <c r="T29" i="10" a="1"/>
  <c r="T46" i="10" a="1"/>
  <c r="U54" i="10" a="1"/>
  <c r="T37" i="10" a="1"/>
  <c r="T14" i="10" a="1"/>
  <c r="T47" i="10" a="1"/>
  <c r="U37" i="10" a="1"/>
  <c r="U58" i="10" a="1"/>
  <c r="U33" i="10" a="1"/>
  <c r="U44" i="10" a="1"/>
  <c r="U35" i="10" a="1"/>
  <c r="U3" i="10" a="1"/>
  <c r="U27" i="10" a="1"/>
  <c r="U30" i="10" a="1"/>
  <c r="T25" i="10" a="1"/>
  <c r="U9" i="10" a="1"/>
  <c r="U17" i="10" a="1"/>
  <c r="U49" i="10" a="1"/>
  <c r="T48" i="10" a="1"/>
  <c r="U13" i="10" a="1"/>
  <c r="T56" i="10" a="1"/>
  <c r="T5" i="10" a="1"/>
  <c r="T31" i="10" a="1"/>
  <c r="U6" i="10" a="1"/>
  <c r="T51" i="10" a="1"/>
  <c r="T3" i="10" a="1"/>
  <c r="T57" i="10" a="1"/>
  <c r="U47" i="10" a="1"/>
  <c r="U23" i="10" a="1"/>
  <c r="T32" i="10" a="1"/>
  <c r="T36" i="10" a="1"/>
  <c r="U38" i="10" a="1"/>
  <c r="U2" i="10" a="1"/>
  <c r="T18" i="10" a="1"/>
  <c r="U57" i="10" a="1"/>
  <c r="U12" i="10" a="1"/>
  <c r="T50" i="10" a="1"/>
  <c r="T4" i="10" a="1"/>
  <c r="U4" i="10" a="1"/>
  <c r="U31" i="10" a="1"/>
  <c r="U26" i="10" a="1"/>
  <c r="U10" i="10" a="1"/>
  <c r="U21" i="10" a="1"/>
  <c r="T38" i="10" a="1"/>
  <c r="U25" i="10" a="1"/>
  <c r="T20" i="10" a="1"/>
  <c r="T9" i="10" a="1"/>
  <c r="T8" i="10" a="1"/>
  <c r="U32" i="10" a="1"/>
  <c r="T15" i="10" a="1"/>
  <c r="T54" i="10" a="1"/>
  <c r="T58" i="10" a="1"/>
  <c r="T43" i="10" a="1"/>
  <c r="U46" i="10" a="1"/>
  <c r="U43" i="10" a="1"/>
  <c r="U29" i="10" a="1"/>
  <c r="T41" i="10" a="1"/>
  <c r="U48" i="10" a="1"/>
  <c r="T42" i="10" a="1"/>
  <c r="T11" i="10" a="1"/>
  <c r="U14" i="10" a="1"/>
  <c r="T17" i="10" a="1"/>
  <c r="U34" i="10" a="1"/>
  <c r="U45" i="10" a="1"/>
  <c r="T24" i="10" a="1"/>
  <c r="T53" i="10" a="1"/>
  <c r="T28" i="10" a="1"/>
  <c r="U22" i="10" a="1"/>
  <c r="U40" i="10" a="1"/>
  <c r="U39" i="10" a="1"/>
  <c r="U42" i="10" a="1"/>
  <c r="T27" i="10" a="1"/>
  <c r="T2" i="10" a="1"/>
  <c r="T49" i="10" a="1"/>
  <c r="T40" i="10" a="1"/>
  <c r="U53" i="10" a="1"/>
  <c r="U7" i="10" a="1"/>
  <c r="U5" i="10" a="1"/>
  <c r="U8" i="10" a="1"/>
  <c r="T10" i="10" a="1"/>
  <c r="U15" i="10" a="1"/>
  <c r="T59" i="10" a="1"/>
  <c r="T7" i="10" a="1"/>
  <c r="U24" i="10" a="1"/>
  <c r="T52" i="10" a="1"/>
  <c r="T45" i="10" a="1"/>
  <c r="T34" i="10" a="1"/>
  <c r="T13" i="10" a="1"/>
  <c r="U56" i="10" a="1"/>
  <c r="T33" i="10" a="1"/>
  <c r="T23" i="10" a="1"/>
  <c r="T22" i="10" a="1"/>
  <c r="U11" i="10" a="1"/>
  <c r="T16" i="10" a="1"/>
  <c r="U20" i="10" a="1"/>
  <c r="T6" i="10" a="1"/>
  <c r="T21" i="10" a="1"/>
  <c r="U52" i="10" a="1"/>
  <c r="T19" i="10" a="1"/>
  <c r="U39" i="10" l="1"/>
  <c r="OA44" i="8" a="1"/>
  <c r="OA44" i="8" s="1"/>
  <c r="U41" i="10"/>
  <c r="U10" i="10"/>
  <c r="U5" i="10"/>
  <c r="U21" i="10"/>
  <c r="U52" i="10"/>
  <c r="U45" i="10"/>
  <c r="U14" i="10"/>
  <c r="T28" i="10"/>
  <c r="T20" i="10"/>
  <c r="T49" i="10"/>
  <c r="T43" i="10"/>
  <c r="T46" i="10"/>
  <c r="T9" i="10"/>
  <c r="T55" i="10"/>
  <c r="T5" i="10"/>
  <c r="U58" i="10"/>
  <c r="U36" i="10"/>
  <c r="U33" i="10"/>
  <c r="U22" i="10"/>
  <c r="U56" i="10"/>
  <c r="U2" i="10"/>
  <c r="U3" i="10"/>
  <c r="T16" i="10"/>
  <c r="T21" i="10"/>
  <c r="T42" i="10"/>
  <c r="T27" i="10"/>
  <c r="T12" i="10"/>
  <c r="T17" i="10"/>
  <c r="T47" i="10"/>
  <c r="T31" i="10"/>
  <c r="T2" i="10"/>
  <c r="T15" i="10"/>
  <c r="T13" i="10"/>
  <c r="T38" i="10"/>
  <c r="T51" i="10"/>
  <c r="T52" i="10"/>
  <c r="U4" i="10"/>
  <c r="U55" i="10"/>
  <c r="U31" i="10"/>
  <c r="U12" i="10"/>
  <c r="U17" i="10"/>
  <c r="U59" i="10"/>
  <c r="U35" i="10"/>
  <c r="U7" i="10"/>
  <c r="U18" i="10"/>
  <c r="U54" i="10"/>
  <c r="U9" i="10"/>
  <c r="U40" i="10"/>
  <c r="U42" i="10"/>
  <c r="U50" i="10"/>
  <c r="U23" i="10"/>
  <c r="T18" i="10"/>
  <c r="T6" i="10"/>
  <c r="T34" i="10"/>
  <c r="T29" i="10"/>
  <c r="T24" i="10"/>
  <c r="T40" i="10"/>
  <c r="T30" i="10"/>
  <c r="T32" i="10"/>
  <c r="T33" i="10"/>
  <c r="T3" i="10"/>
  <c r="T56" i="10"/>
  <c r="T11" i="10"/>
  <c r="T57" i="10"/>
  <c r="U8" i="10"/>
  <c r="U28" i="10"/>
  <c r="U26" i="10"/>
  <c r="U27" i="10"/>
  <c r="U19" i="10"/>
  <c r="U24" i="10"/>
  <c r="T50" i="10"/>
  <c r="T36" i="10"/>
  <c r="T22" i="10"/>
  <c r="T26" i="10"/>
  <c r="T53" i="10"/>
  <c r="T54" i="10"/>
  <c r="T8" i="10"/>
  <c r="U53" i="10"/>
  <c r="U49" i="10"/>
  <c r="U51" i="10"/>
  <c r="U11" i="10"/>
  <c r="U34" i="10"/>
  <c r="U48" i="10"/>
  <c r="U47" i="10"/>
  <c r="T19" i="10"/>
  <c r="U37" i="10"/>
  <c r="U30" i="10"/>
  <c r="U29" i="10"/>
  <c r="U46" i="10"/>
  <c r="U16" i="10"/>
  <c r="U20" i="10"/>
  <c r="U15" i="10"/>
  <c r="U38" i="10"/>
  <c r="U32" i="10"/>
  <c r="U6" i="10"/>
  <c r="U44" i="10"/>
  <c r="U43" i="10"/>
  <c r="U57" i="10"/>
  <c r="U25" i="10"/>
  <c r="U13" i="10"/>
  <c r="T59" i="10"/>
  <c r="T48" i="10"/>
  <c r="T7" i="10"/>
  <c r="T44" i="10"/>
  <c r="T35" i="10"/>
  <c r="T23" i="10"/>
  <c r="T4" i="10"/>
  <c r="T58" i="10"/>
  <c r="T10" i="10"/>
  <c r="T45" i="10"/>
  <c r="T14" i="10"/>
  <c r="T41" i="10"/>
  <c r="T25" i="10"/>
  <c r="T37" i="10"/>
  <c r="NZ64" i="8" a="1"/>
  <c r="NZ64" i="8" s="1"/>
  <c r="NZ15" i="8" a="1"/>
  <c r="NZ15" i="8" s="1"/>
  <c r="NZ43" i="8" a="1"/>
  <c r="NZ43" i="8" s="1"/>
  <c r="NZ57" i="8" a="1"/>
  <c r="NZ57" i="8" s="1"/>
  <c r="NZ53" i="8" a="1"/>
  <c r="NZ53" i="8" s="1"/>
  <c r="NZ11" i="8" a="1"/>
  <c r="NZ11" i="8" s="1"/>
  <c r="NZ20" i="8" a="1"/>
  <c r="NZ20" i="8" s="1"/>
  <c r="NZ51" i="8" a="1"/>
  <c r="NZ51" i="8" s="1"/>
  <c r="NZ55" i="8" a="1"/>
  <c r="NZ55" i="8" s="1"/>
  <c r="NZ22" i="8" a="1"/>
  <c r="NZ22" i="8" s="1"/>
  <c r="NZ40" i="8" a="1"/>
  <c r="NZ40" i="8" s="1"/>
  <c r="NZ39" i="8" a="1"/>
  <c r="NZ39" i="8" s="1"/>
  <c r="NZ56" i="8" a="1"/>
  <c r="NZ56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2" i="8" a="1"/>
  <c r="NZ62" i="8" s="1"/>
  <c r="NZ54" i="8" a="1"/>
  <c r="NZ54" i="8" s="1"/>
  <c r="NZ59" i="8" a="1"/>
  <c r="NZ59" i="8" s="1"/>
  <c r="NZ38" i="8" a="1"/>
  <c r="NZ38" i="8" s="1"/>
  <c r="NZ28" i="8" a="1"/>
  <c r="NZ28" i="8" s="1"/>
  <c r="NZ46" i="8" a="1"/>
  <c r="NZ46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5" i="8" a="1"/>
  <c r="NZ45" i="8" s="1"/>
  <c r="NZ50" i="8" a="1"/>
  <c r="NZ50" i="8" s="1"/>
  <c r="NZ58" i="8" a="1"/>
  <c r="NZ58" i="8" s="1"/>
  <c r="NZ47" i="8" a="1"/>
  <c r="NZ47" i="8" s="1"/>
  <c r="NZ12" i="8" a="1"/>
  <c r="NZ12" i="8" s="1"/>
  <c r="NZ25" i="8" a="1"/>
  <c r="NZ25" i="8" s="1"/>
  <c r="NZ8" i="8" a="1"/>
  <c r="NZ8" i="8" s="1"/>
  <c r="NZ34" i="8" a="1"/>
  <c r="NZ34" i="8" s="1"/>
  <c r="NZ63" i="8" a="1"/>
  <c r="NZ63" i="8" s="1"/>
  <c r="NZ41" i="8" a="1"/>
  <c r="NZ41" i="8" s="1"/>
  <c r="NZ60" i="8" a="1"/>
  <c r="NZ60" i="8" s="1"/>
  <c r="NZ61" i="8" a="1"/>
  <c r="NZ61" i="8" s="1"/>
  <c r="NZ42" i="8" a="1"/>
  <c r="NZ42" i="8" s="1"/>
  <c r="NZ48" i="8" a="1"/>
  <c r="NZ48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9" i="8" a="1"/>
  <c r="NZ49" i="8" s="1"/>
  <c r="NZ36" i="8" a="1"/>
  <c r="NZ36" i="8" s="1"/>
  <c r="NZ26" i="8" a="1"/>
  <c r="NZ26" i="8" s="1"/>
  <c r="NZ52" i="8" a="1"/>
  <c r="NZ52" i="8" s="1"/>
  <c r="OA64" i="8" a="1"/>
  <c r="OA64" i="8" s="1"/>
  <c r="OA42" i="8" a="1"/>
  <c r="OA42" i="8" s="1"/>
  <c r="OA17" i="8" a="1"/>
  <c r="OA17" i="8" s="1"/>
  <c r="OA31" i="8" a="1"/>
  <c r="OA31" i="8" s="1"/>
  <c r="OA53" i="8" a="1"/>
  <c r="OA53" i="8" s="1"/>
  <c r="OA54" i="8" a="1"/>
  <c r="OA54" i="8" s="1"/>
  <c r="OA29" i="8" a="1"/>
  <c r="OA29" i="8" s="1"/>
  <c r="OA20" i="8" a="1"/>
  <c r="OA20" i="8" s="1"/>
  <c r="OA56" i="8" a="1"/>
  <c r="OA56" i="8" s="1"/>
  <c r="OA36" i="8" a="1"/>
  <c r="OA36" i="8" s="1"/>
  <c r="OA51" i="8" a="1"/>
  <c r="OA51" i="8" s="1"/>
  <c r="OA22" i="8" a="1"/>
  <c r="OA22" i="8" s="1"/>
  <c r="OA52" i="8" a="1"/>
  <c r="OA52" i="8" s="1"/>
  <c r="OA45" i="8" a="1"/>
  <c r="OA45" i="8" s="1"/>
  <c r="OA58" i="8" a="1"/>
  <c r="OA58" i="8" s="1"/>
  <c r="OA13" i="8" a="1"/>
  <c r="OA13" i="8" s="1"/>
  <c r="OA10" i="8" a="1"/>
  <c r="OA10" i="8" s="1"/>
  <c r="OA27" i="8" a="1"/>
  <c r="OA27" i="8" s="1"/>
  <c r="OA49" i="8" a="1"/>
  <c r="OA49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1" i="8" a="1"/>
  <c r="OA61" i="8" s="1"/>
  <c r="OA46" i="8" a="1"/>
  <c r="OA46" i="8" s="1"/>
  <c r="OA18" i="8" a="1"/>
  <c r="OA18" i="8" s="1"/>
  <c r="OA40" i="8" a="1"/>
  <c r="OA40" i="8" s="1"/>
  <c r="OA60" i="8" a="1"/>
  <c r="OA60" i="8" s="1"/>
  <c r="OA11" i="8" a="1"/>
  <c r="OA11" i="8" s="1"/>
  <c r="OA43" i="8" a="1"/>
  <c r="OA43" i="8" s="1"/>
  <c r="OA48" i="8" a="1"/>
  <c r="OA48" i="8" s="1"/>
  <c r="OA28" i="8" a="1"/>
  <c r="OA28" i="8" s="1"/>
  <c r="OA59" i="8" a="1"/>
  <c r="OA59" i="8" s="1"/>
  <c r="OA63" i="8" a="1"/>
  <c r="OA63" i="8" s="1"/>
  <c r="OA21" i="8" a="1"/>
  <c r="OA21" i="8" s="1"/>
  <c r="OA50" i="8" a="1"/>
  <c r="OA50" i="8" s="1"/>
  <c r="OA55" i="8" a="1"/>
  <c r="OA55" i="8" s="1"/>
  <c r="OA39" i="8" a="1"/>
  <c r="OA39" i="8" s="1"/>
  <c r="OA62" i="8" a="1"/>
  <c r="OA62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7" i="8" a="1"/>
  <c r="OA57" i="8" s="1"/>
  <c r="OA47" i="8" a="1"/>
  <c r="OA47" i="8" s="1"/>
  <c r="U14" i="11" l="1"/>
  <c r="U12" i="11"/>
</calcChain>
</file>

<file path=xl/sharedStrings.xml><?xml version="1.0" encoding="utf-8"?>
<sst xmlns="http://schemas.openxmlformats.org/spreadsheetml/2006/main" count="3534" uniqueCount="184">
  <si>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</si>
  <si>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</si>
  <si>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</si>
  <si>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</si>
  <si>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</si>
  <si>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</si>
  <si>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</si>
  <si>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</si>
  <si>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</si>
  <si>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</si>
  <si>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</si>
  <si>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</si>
  <si>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</si>
  <si>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</si>
  <si>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</si>
  <si>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</si>
  <si>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</si>
  <si>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</si>
  <si>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</si>
  <si>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</si>
  <si>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</si>
  <si>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</si>
  <si>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</si>
  <si>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</si>
  <si>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</si>
  <si>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</si>
  <si>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</si>
  <si>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</si>
  <si>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</si>
  <si>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</si>
  <si>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</si>
  <si>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</si>
  <si>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</si>
  <si>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</si>
  <si>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</si>
  <si>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</si>
  <si>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</si>
  <si>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</si>
  <si>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</si>
  <si>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</si>
  <si>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</si>
  <si>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</si>
  <si>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</si>
  <si>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</si>
  <si>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</si>
  <si>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</si>
  <si>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</si>
  <si>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</si>
  <si>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</si>
  <si>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</si>
  <si>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</si>
  <si>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</si>
  <si>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</si>
  <si>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</si>
  <si>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</si>
  <si>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</si>
  <si>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</si>
  <si>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</si>
  <si>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</si>
  <si>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</si>
  <si>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</si>
  <si>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</si>
  <si>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</si>
  <si>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</si>
  <si>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</si>
  <si>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</si>
  <si>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</si>
  <si>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</si>
  <si>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</si>
  <si>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</si>
  <si>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</si>
  <si>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</si>
  <si>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</si>
  <si>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</si>
  <si>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</si>
  <si>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</si>
  <si>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</si>
  <si>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</si>
  <si>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</si>
  <si>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</si>
  <si>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</si>
  <si>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</si>
  <si>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</si>
  <si>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</si>
  <si>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</si>
  <si>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</si>
  <si>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</si>
  <si>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</si>
  <si>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</si>
  <si>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</si>
  <si>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</si>
  <si>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</si>
  <si>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</si>
  <si>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</si>
  <si>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</si>
  <si>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</si>
  <si>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</si>
  <si>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</si>
  <si>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</si>
  <si>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</si>
  <si>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</si>
  <si>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</si>
  <si>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</si>
  <si>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</si>
  <si>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</si>
  <si>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</si>
  <si>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</si>
  <si>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</si>
  <si>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</si>
  <si>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</si>
  <si>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</si>
  <si>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</si>
  <si>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</si>
  <si>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</si>
  <si>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</si>
  <si>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</si>
  <si>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</si>
  <si>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</si>
  <si>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</si>
  <si>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</si>
  <si>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</si>
  <si>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</si>
  <si>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</si>
  <si>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</si>
  <si>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</si>
  <si>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</si>
  <si>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</si>
  <si>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</si>
  <si>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</si>
  <si>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</si>
  <si>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</si>
  <si>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</si>
  <si>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</si>
  <si>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</si>
  <si>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</si>
  <si>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</si>
  <si>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</si>
  <si>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</si>
  <si>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</si>
  <si>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</si>
  <si>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</si>
  <si>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</si>
  <si>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</si>
  <si>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</si>
  <si>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</si>
  <si>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</si>
  <si>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</si>
  <si>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</si>
  <si>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</si>
  <si>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</si>
  <si>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</si>
  <si>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</si>
  <si>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</si>
  <si>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</si>
  <si>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</si>
  <si>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</si>
  <si>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</si>
  <si>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</si>
  <si>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</si>
  <si>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</si>
  <si>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</si>
  <si>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</si>
  <si>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</si>
  <si>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</si>
  <si>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</si>
  <si>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</si>
  <si>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</si>
  <si>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</si>
  <si>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</si>
  <si>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</si>
  <si>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</si>
  <si>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</si>
  <si>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</si>
  <si>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</si>
  <si>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</si>
  <si>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</si>
  <si>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</si>
  <si>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</si>
  <si>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</si>
  <si>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</si>
  <si>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</si>
  <si>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</si>
  <si>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`</t>
  </si>
  <si>
    <t>Jane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</si>
</sst>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6">
    <dxf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166</xdr:col>
      <xdr:colOff>177053</xdr:colOff>
      <xdr:row>2</xdr:row>
      <xdr:rowOff>152401</xdr:rowOff>
    </xdr:from>
    <xdr:to>
      <xdr:col>176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September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176</xdr:col>
      <xdr:colOff>7937</xdr:colOff>
      <xdr:row>2</xdr:row>
      <xdr:rowOff>100013</xdr:rowOff>
    </xdr:from>
    <xdr:to>
      <xdr:col>177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165</xdr:col>
      <xdr:colOff>157162</xdr:colOff>
      <xdr:row>2</xdr:row>
      <xdr:rowOff>100013</xdr:rowOff>
    </xdr:from>
    <xdr:to>
      <xdr:col>167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47.321135648148" createdVersion="6" refreshedVersion="6" minRefreshableVersion="3" recordCount="58" xr:uid="{00000000-000A-0000-FFFF-FFFF04000000}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12.600000000000001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1200000000000001"/>
    <n v="1.6000000000000003"/>
    <n v="0.80000000000000016"/>
    <n v="3.3600000000000008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3.6"/>
    <n v="3.6"/>
    <n v="2"/>
    <n v="2"/>
    <n v="6.4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12.600000000000001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2"/>
    <n v="4"/>
    <n v="2.8000000000000003"/>
    <n v="4"/>
    <n v="2"/>
    <n v="8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12.600000000000001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3.3600000000000008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2000000000000011"/>
    <n v="6.0000000000000009"/>
    <n v="5.4"/>
    <n v="6.0000000000000009"/>
    <n v="3.0000000000000004"/>
    <n v="12.600000000000001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2000000000000011"/>
    <n v="3.6000000000000005"/>
    <n v="6.0000000000000009"/>
    <n v="3.0000000000000004"/>
    <n v="12.600000000000001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12.600000000000001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12.600000000000001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12.600000000000001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0.6"/>
    <n v="0.96"/>
    <n v="1.08"/>
    <n v="1.2"/>
    <n v="0.6"/>
    <n v="2.52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12.600000000000001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12.600000000000001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3.6000000000000005"/>
    <n v="4.2000000000000011"/>
    <n v="3.0000000000000004"/>
    <n v="9.6000000000000014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5.4"/>
    <n v="6.0000000000000009"/>
    <n v="3.6000000000000005"/>
    <n v="6.0000000000000009"/>
    <n v="3.0000000000000004"/>
    <n v="12.600000000000001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2.8000000000000003"/>
    <n v="4"/>
    <n v="2"/>
    <n v="8.4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12.600000000000001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5.4"/>
    <n v="0"/>
    <n v="3.0000000000000004"/>
    <n v="3.0000000000000004"/>
    <n v="6.0000000000000009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4.5000000000000009"/>
    <n v="6.0000000000000009"/>
    <n v="4.8000000000000007"/>
    <n v="6.0000000000000009"/>
    <n v="3.0000000000000004"/>
    <n v="12.600000000000001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6.3000000000000007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6.3000000000000007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4.8000000000000007"/>
    <n v="5.4"/>
    <n v="3.0000000000000004"/>
    <n v="12.000000000000002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6.0000000000000009"/>
    <n v="3.0000000000000004"/>
    <n v="12.600000000000001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0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5600000000000005"/>
    <n v="3.2000000000000006"/>
    <n v="2.8800000000000008"/>
    <n v="3.2000000000000006"/>
    <n v="1.6000000000000003"/>
    <n v="6.7200000000000015"/>
  </r>
  <r>
    <s v="Jane Wang"/>
    <x v="2"/>
    <s v="Canada"/>
    <s v="QA"/>
    <x v="3"/>
    <n v="0.3"/>
    <n v="0"/>
    <n v="0"/>
    <n v="0"/>
    <n v="0"/>
    <n v="0"/>
    <n v="0"/>
    <n v="0"/>
    <n v="0"/>
    <n v="0"/>
    <n v="1.44"/>
    <n v="2.4"/>
    <n v="2.4"/>
    <n v="2.4"/>
    <n v="1.2"/>
    <n v="5.04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4400000000000004"/>
    <n v="1.4400000000000004"/>
    <n v="1.6000000000000003"/>
    <n v="0.80000000000000016"/>
    <n v="3.3600000000000008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10.0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6.0000000000000009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10.08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12.600000000000001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10.08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10.08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12.600000000000001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2.600000000000001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12.600000000000001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2.600000000000001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6.0000000000000009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12.600000000000001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12.600000000000001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2.600000000000001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2.52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2.600000000000001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2.6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58" headerRowBorderDxfId="57" tableBorderDxfId="56" totalsRowBorderDxfId="55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54"/>
    <tableColumn id="2" xr3:uid="{00000000-0010-0000-0000-000002000000}" name="Date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52" tableBorderDxfId="51" totalsRowBorderDxfId="50">
  <tableColumns count="3">
    <tableColumn id="1" xr3:uid="{00000000-0010-0000-0100-000001000000}" name="Column1" dataDxfId="49"/>
    <tableColumn id="2" xr3:uid="{00000000-0010-0000-0100-000002000000}" name="Column2" dataDxfId="48"/>
    <tableColumn id="3" xr3:uid="{00000000-0010-0000-0100-000003000000}" name="Column3" dataDxfId="47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46" dataDxfId="44" headerRowBorderDxfId="45" tableBorderDxfId="43" totalsRowBorderDxfId="42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41"/>
    <tableColumn id="2" xr3:uid="{00000000-0010-0000-0200-000002000000}" name="Dat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39" dataDxfId="37" headerRowBorderDxfId="38" tableBorderDxfId="36" totalsRowBorderDxfId="35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34"/>
    <tableColumn id="2" xr3:uid="{00000000-0010-0000-0300-000002000000}" name="Date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U59" totalsRowShown="0">
  <tableColumns count="21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32"/>
    <tableColumn id="6" xr3:uid="{00000000-0010-0000-0400-000006000000}" name="Q1" dataDxfId="31">
      <calculatedColumnFormula array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xr3:uid="{00000000-0010-0000-0400-000007000000}" name="Q2" dataDxfId="30">
      <calculatedColumnFormula array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xr3:uid="{00000000-0010-0000-0400-000008000000}" name="Q3" dataDxfId="29">
      <calculatedColumnFormula array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xr3:uid="{00000000-0010-0000-0400-000009000000}" name="Q4" dataDxfId="28">
      <calculatedColumnFormula array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xr3:uid="{00000000-0010-0000-0400-00000A000000}" name="Q5" dataDxfId="27">
      <calculatedColumnFormula array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xr3:uid="{00000000-0010-0000-0400-00000C000000}" name="Q6" dataDxfId="26">
      <calculatedColumnFormula array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xr3:uid="{00000000-0010-0000-0400-00000D000000}" name="Q7" dataDxfId="25">
      <calculatedColumnFormula array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xr3:uid="{00000000-0010-0000-0400-00000E000000}" name="Q8" dataDxfId="24">
      <calculatedColumnFormula array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xr3:uid="{00000000-0010-0000-0400-00000F000000}" name="Q9" dataDxfId="23">
      <calculatedColumnFormula array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xr3:uid="{00000000-0010-0000-0400-000010000000}" name="Q10" dataDxfId="22">
      <calculatedColumnFormula array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xr3:uid="{00000000-0010-0000-0400-000011000000}" name="Q11" dataDxfId="21">
      <calculatedColumnFormula array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xr3:uid="{00000000-0010-0000-0400-000012000000}" name="Q12" dataDxfId="20">
      <calculatedColumnFormula array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xr3:uid="{00000000-0010-0000-0400-000013000000}" name="Q13" dataDxfId="19">
      <calculatedColumnFormula array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xr3:uid="{00000000-0010-0000-0400-000014000000}" name="Q14" dataDxfId="18">
      <calculatedColumnFormula array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xr3:uid="{00000000-0010-0000-0400-000015000000}" name="Remaining" dataDxfId="17">
      <calculatedColumnFormula array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F8">
  <autoFilter ref="R2:AF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Team" totalsRowLabel="Total"/>
    <tableColumn id="2" xr3:uid="{00000000-0010-0000-0500-000002000000}" name="Q1" totalsRowFunction="sum"/>
    <tableColumn id="3" xr3:uid="{00000000-0010-0000-0500-000003000000}" name="Q2"/>
    <tableColumn id="4" xr3:uid="{00000000-0010-0000-0500-000004000000}" name="Q3"/>
    <tableColumn id="5" xr3:uid="{00000000-0010-0000-0500-000005000000}" name="Q4"/>
    <tableColumn id="6" xr3:uid="{00000000-0010-0000-0500-000006000000}" name="Q5"/>
    <tableColumn id="7" xr3:uid="{00000000-0010-0000-0500-000007000000}" name="Q6" dataDxfId="15">
      <calculatedColumnFormula>G2</calculatedColumnFormula>
    </tableColumn>
    <tableColumn id="8" xr3:uid="{00000000-0010-0000-0500-000008000000}" name="Q7" dataDxfId="14">
      <calculatedColumnFormula>H2</calculatedColumnFormula>
    </tableColumn>
    <tableColumn id="9" xr3:uid="{00000000-0010-0000-0500-000009000000}" name="Q9" dataDxfId="13">
      <calculatedColumnFormula>I2</calculatedColumnFormula>
    </tableColumn>
    <tableColumn id="10" xr3:uid="{00000000-0010-0000-0500-00000A000000}" name="Q10" dataDxfId="12">
      <calculatedColumnFormula>J2</calculatedColumnFormula>
    </tableColumn>
    <tableColumn id="11" xr3:uid="{00000000-0010-0000-0500-00000B000000}" name="Q11" dataDxfId="11">
      <calculatedColumnFormula>K2</calculatedColumnFormula>
    </tableColumn>
    <tableColumn id="12" xr3:uid="{00000000-0010-0000-0500-00000C000000}" name="Q12" dataDxfId="10">
      <calculatedColumnFormula>L2</calculatedColumnFormula>
    </tableColumn>
    <tableColumn id="13" xr3:uid="{00000000-0010-0000-0500-00000D000000}" name="Q13" dataDxfId="9">
      <calculatedColumnFormula>M2</calculatedColumnFormula>
    </tableColumn>
    <tableColumn id="14" xr3:uid="{00000000-0010-0000-0500-00000E000000}" name="Q14" dataDxfId="8">
      <calculatedColumnFormula>N2</calculatedColumnFormula>
    </tableColumn>
    <tableColumn id="15" xr3:uid="{00000000-0010-0000-0500-00000F000000}" name="Quasar" totalsRowFunction="count" dataDxfId="7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6" totalsRowShown="0">
  <autoFilter ref="Q1:U1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6"/>
    <tableColumn id="3" xr3:uid="{00000000-0010-0000-0A00-000003000000}" name="End Date" dataDxfId="5"/>
    <tableColumn id="4" xr3:uid="{00000000-0010-0000-0A00-000004000000}" name="Days (with 31 Days per Month)" dataDxfId="4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3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2">
  <autoFilter ref="W1:W2" xr:uid="{00000000-0009-0000-0100-00000A000000}">
    <filterColumn colId="0" hiddenButton="1"/>
  </autoFilter>
  <tableColumns count="1">
    <tableColumn id="1" xr3:uid="{00000000-0010-0000-0B00-000001000000}" name="Capacity Buffer" data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M66"/>
  <sheetViews>
    <sheetView showGridLines="0" showWhiteSpace="0" zoomScale="60" zoomScaleNormal="6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8.796875" defaultRowHeight="14.25" x14ac:dyDescent="0.45"/>
  <cols>
    <col min="1" max="1" width="19.59765625" customWidth="1"/>
    <col min="2" max="156" width="3.59765625" hidden="1" customWidth="1"/>
    <col min="157" max="187" width="3.59765625" customWidth="1"/>
    <col min="188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6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0</v>
      </c>
      <c r="DW4" s="15" t="b">
        <f>IFERROR(IF(AND(VLOOKUP(DW6,$OC$17:$OD$23,2,0)="Yes",NOT(ISNUMBER(VLOOKUP(DATE($A$2,$A$3+$A$1-1,DW5),HolidayList[Date],1,0)))),TRUE,FALSE),FALSE)</f>
        <v>0</v>
      </c>
      <c r="DX4" s="15" t="b">
        <f>IFERROR(IF(AND(VLOOKUP(DX6,$OC$17:$OD$23,2,0)="Yes",NOT(ISNUMBER(VLOOKUP(DATE($A$2,$A$3+$A$1-1,DX5),HolidayList[Date],1,0)))),TRUE,FALSE),FALSE)</f>
        <v>0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0</v>
      </c>
      <c r="EB4" s="15" t="b">
        <f>IFERROR(IF(AND(VLOOKUP(EB6,$OC$17:$OD$23,2,0)="Yes",NOT(ISNUMBER(VLOOKUP(DATE($A$2,$A$3+$A$1-1,EB5),HolidayList[Date],1,0)))),TRUE,FALSE),FALSE)</f>
        <v>0</v>
      </c>
      <c r="EC4" s="15" t="b">
        <f>IFERROR(IF(AND(VLOOKUP(EC6,$OC$17:$OD$23,2,0)="Yes",NOT(ISNUMBER(VLOOKUP(DATE($A$2,$A$3+$A$1-1,EC5),HolidayList[Date],1,0)))),TRUE,FALSE),FALSE)</f>
        <v>0</v>
      </c>
      <c r="ED4" s="15" t="b">
        <f>IFERROR(IF(AND(VLOOKUP(ED6,$OC$17:$OD$23,2,0)="Yes",NOT(ISNUMBER(VLOOKUP(DATE($A$2,$A$3+$A$1-1,ED5),HolidayList[Date],1,0)))),TRUE,FALSE),FALSE)</f>
        <v>0</v>
      </c>
      <c r="EE4" s="15" t="b">
        <f>IFERROR(IF(AND(VLOOKUP(EE6,$OC$17:$OD$23,2,0)="Yes",NOT(ISNUMBER(VLOOKUP(DATE($A$2,$A$3+$A$1-1,EE5),HolidayList[Date],1,0)))),TRUE,FALSE),FALSE)</f>
        <v>0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0</v>
      </c>
      <c r="EI4" s="15" t="b">
        <f>IFERROR(IF(AND(VLOOKUP(EI6,$OC$17:$OD$23,2,0)="Yes",NOT(ISNUMBER(VLOOKUP(DATE($A$2,$A$3+$A$1-1,EI5),HolidayList[Date],1,0)))),TRUE,FALSE),FALSE)</f>
        <v>0</v>
      </c>
      <c r="EJ4" s="15" t="b">
        <f>IFERROR(IF(AND(VLOOKUP(EJ6,$OC$17:$OD$23,2,0)="Yes",NOT(ISNUMBER(VLOOKUP(DATE($A$2,$A$3+$A$1-1,EJ5),HolidayList[Date],1,0)))),TRUE,FALSE),FALSE)</f>
        <v>0</v>
      </c>
      <c r="EK4" s="15" t="b">
        <f>IFERROR(IF(AND(VLOOKUP(EK6,$OC$17:$OD$23,2,0)="Yes",NOT(ISNUMBER(VLOOKUP(DATE($A$2,$A$3+$A$1-1,EK5),HolidayList[Date],1,0)))),TRUE,FALSE),FALSE)</f>
        <v>0</v>
      </c>
      <c r="EL4" s="15" t="b">
        <f>IFERROR(IF(AND(VLOOKUP(EL6,$OC$17:$OD$23,2,0)="Yes",NOT(ISNUMBER(VLOOKUP(DATE($A$2,$A$3+$A$1-1,EL5),HolidayList[Date],1,0)))),TRUE,FALSE),FALSE)</f>
        <v>0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0</v>
      </c>
      <c r="EP4" s="15" t="b">
        <f>IFERROR(IF(AND(VLOOKUP(EP6,$OC$17:$OD$23,2,0)="Yes",NOT(ISNUMBER(VLOOKUP(DATE($A$2,$A$3+$A$1-1,EP5),HolidayList[Date],1,0)))),TRUE,FALSE),FALSE)</f>
        <v>0</v>
      </c>
      <c r="EQ4" s="15" t="b">
        <f>IFERROR(IF(AND(VLOOKUP(EQ6,$OC$17:$OD$23,2,0)="Yes",NOT(ISNUMBER(VLOOKUP(DATE($A$2,$A$3+$A$1-1,EQ5),HolidayList[Date],1,0)))),TRUE,FALSE),FALSE)</f>
        <v>0</v>
      </c>
      <c r="ER4" s="15" t="b">
        <f>IFERROR(IF(AND(VLOOKUP(ER6,$OC$17:$OD$23,2,0)="Yes",NOT(ISNUMBER(VLOOKUP(DATE($A$2,$A$3+$A$1-1,ER5),HolidayList[Date],1,0)))),TRUE,FALSE),FALSE)</f>
        <v>0</v>
      </c>
      <c r="ES4" s="15" t="b">
        <f>IFERROR(IF(AND(VLOOKUP(ES6,$OC$17:$OD$23,2,0)="Yes",NOT(ISNUMBER(VLOOKUP(DATE($A$2,$A$3+$A$1-1,ES5),HolidayList[Date],1,0)))),TRUE,FALSE),FALSE)</f>
        <v>0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0</v>
      </c>
      <c r="EW4" s="15" t="b">
        <f>IFERROR(IF(AND(VLOOKUP(EW6,$OC$17:$OD$23,2,0)="Yes",NOT(ISNUMBER(VLOOKUP(DATE($A$2,$A$3+$A$1-1,EW5),HolidayList[Date],1,0)))),TRUE,FALSE),FALSE)</f>
        <v>0</v>
      </c>
      <c r="EX4" s="15" t="b">
        <f>IFERROR(IF(AND(VLOOKUP(EX6,$OC$17:$OD$23,2,0)="Yes",NOT(ISNUMBER(VLOOKUP(DATE($A$2,$A$3+$A$1-1,EX5),HolidayList[Date],1,0)))),TRUE,FALSE),FALSE)</f>
        <v>0</v>
      </c>
      <c r="EY4" s="15" t="b">
        <f>IFERROR(IF(AND(VLOOKUP(EY6,$OC$17:$OD$23,2,0)="Yes",NOT(ISNUMBER(VLOOKUP(DATE($A$2,$A$3+$A$1-1,EY5),HolidayList[Date],1,0)))),TRUE,FALSE),FALSE)</f>
        <v>0</v>
      </c>
      <c r="EZ4" s="15" t="b">
        <f>IFERROR(IF(AND(VLOOKUP(EZ6,$OC$17:$OD$23,2,0)="Yes",NOT(ISNUMBER(VLOOKUP(DATE($A$2,$A$3+$A$1-1,EZ5),HolidayList[Date],1,0)))),TRUE,FALSE),FALSE)</f>
        <v>0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1</v>
      </c>
      <c r="FD4" s="15" t="b">
        <f>IFERROR(IF(AND(VLOOKUP(FD6,$OC$17:$OD$23,2,0)="Yes",NOT(ISNUMBER(VLOOKUP(DATE($A$2,$A$3+$A$1-1,FD5),HolidayList[Date],1,0)))),TRUE,FALSE),FALSE)</f>
        <v>1</v>
      </c>
      <c r="FE4" s="15" t="b">
        <f>IFERROR(IF(AND(VLOOKUP(FE6,$OC$17:$OD$23,2,0)="Yes",NOT(ISNUMBER(VLOOKUP(DATE($A$2,$A$3+$A$1-1,FE5),HolidayList[Date],1,0)))),TRUE,FALSE),FALSE)</f>
        <v>1</v>
      </c>
      <c r="FF4" s="15" t="b">
        <f>IFERROR(IF(AND(VLOOKUP(FF6,$OC$17:$OD$23,2,0)="Yes",NOT(ISNUMBER(VLOOKUP(DATE($A$2,$A$3+$A$1-1,FF5),HolidayList[Date],1,0)))),TRUE,FALSE),FALSE)</f>
        <v>1</v>
      </c>
      <c r="FG4" s="15" t="b">
        <f>IFERROR(IF(AND(VLOOKUP(FG6,$OC$17:$OD$23,2,0)="Yes",NOT(ISNUMBER(VLOOKUP(DATE($A$2,$A$3+$A$1-1,FG5),HolidayList[Date],1,0)))),TRUE,FALSE),FALSE)</f>
        <v>1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1</v>
      </c>
      <c r="FK4" s="15" t="b">
        <f>IFERROR(IF(AND(VLOOKUP(FK6,$OC$17:$OD$23,2,0)="Yes",NOT(ISNUMBER(VLOOKUP(DATE($A$2,$A$3+$A$1-1,FK5),HolidayList[Date],1,0)))),TRUE,FALSE),FALSE)</f>
        <v>1</v>
      </c>
      <c r="FL4" s="15" t="b">
        <f>IFERROR(IF(AND(VLOOKUP(FL6,$OC$17:$OD$23,2,0)="Yes",NOT(ISNUMBER(VLOOKUP(DATE($A$2,$A$3+$A$1-1,FL5),HolidayList[Date],1,0)))),TRUE,FALSE),FALSE)</f>
        <v>1</v>
      </c>
      <c r="FM4" s="15" t="b">
        <f>IFERROR(IF(AND(VLOOKUP(FM6,$OC$17:$OD$23,2,0)="Yes",NOT(ISNUMBER(VLOOKUP(DATE($A$2,$A$3+$A$1-1,FM5),HolidayList[Date],1,0)))),TRUE,FALSE),FALSE)</f>
        <v>1</v>
      </c>
      <c r="FN4" s="15" t="b">
        <f>IFERROR(IF(AND(VLOOKUP(FN6,$OC$17:$OD$23,2,0)="Yes",NOT(ISNUMBER(VLOOKUP(DATE($A$2,$A$3+$A$1-1,FN5),HolidayList[Date],1,0)))),TRUE,FALSE),FALSE)</f>
        <v>1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1</v>
      </c>
      <c r="FR4" s="15" t="b">
        <f>IFERROR(IF(AND(VLOOKUP(FR6,$OC$17:$OD$23,2,0)="Yes",NOT(ISNUMBER(VLOOKUP(DATE($A$2,$A$3+$A$1-1,FR5),HolidayList[Date],1,0)))),TRUE,FALSE),FALSE)</f>
        <v>1</v>
      </c>
      <c r="FS4" s="15" t="b">
        <f>IFERROR(IF(AND(VLOOKUP(FS6,$OC$17:$OD$23,2,0)="Yes",NOT(ISNUMBER(VLOOKUP(DATE($A$2,$A$3+$A$1-1,FS5),HolidayList[Date],1,0)))),TRUE,FALSE),FALSE)</f>
        <v>1</v>
      </c>
      <c r="FT4" s="15" t="b">
        <f>IFERROR(IF(AND(VLOOKUP(FT6,$OC$17:$OD$23,2,0)="Yes",NOT(ISNUMBER(VLOOKUP(DATE($A$2,$A$3+$A$1-1,FT5),HolidayList[Date],1,0)))),TRUE,FALSE),FALSE)</f>
        <v>1</v>
      </c>
      <c r="FU4" s="15" t="b">
        <f>IFERROR(IF(AND(VLOOKUP(FU6,$OC$17:$OD$23,2,0)="Yes",NOT(ISNUMBER(VLOOKUP(DATE($A$2,$A$3+$A$1-1,FU5),HolidayList[Date],1,0)))),TRUE,FALSE),FALSE)</f>
        <v>1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1</v>
      </c>
      <c r="FY4" s="15" t="b">
        <f>IFERROR(IF(AND(VLOOKUP(FY6,$OC$17:$OD$23,2,0)="Yes",NOT(ISNUMBER(VLOOKUP(DATE($A$2,$A$3+$A$1-1,FY5),HolidayList[Date],1,0)))),TRUE,FALSE),FALSE)</f>
        <v>1</v>
      </c>
      <c r="FZ4" s="15" t="b">
        <f>IFERROR(IF(AND(VLOOKUP(FZ6,$OC$17:$OD$23,2,0)="Yes",NOT(ISNUMBER(VLOOKUP(DATE($A$2,$A$3+$A$1-1,FZ5),HolidayList[Date],1,0)))),TRUE,FALSE),FALSE)</f>
        <v>1</v>
      </c>
      <c r="GA4" s="15" t="b">
        <f>IFERROR(IF(AND(VLOOKUP(GA6,$OC$17:$OD$23,2,0)="Yes",NOT(ISNUMBER(VLOOKUP(DATE($A$2,$A$3+$A$1-1,GA5),HolidayList[Date],1,0)))),TRUE,FALSE),FALSE)</f>
        <v>1</v>
      </c>
      <c r="GB4" s="15" t="b">
        <f>IFERROR(IF(AND(VLOOKUP(GB6,$OC$17:$OD$23,2,0)="Yes",NOT(ISNUMBER(VLOOKUP(DATE($A$2,$A$3+$A$1-1,GB5),HolidayList[Date],1,0)))),TRUE,FALSE),FALSE)</f>
        <v>1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>
        <f t="shared" si="2"/>
        <v>1</v>
      </c>
      <c r="FB5" s="7">
        <f t="shared" si="2"/>
        <v>2</v>
      </c>
      <c r="FC5" s="7">
        <f t="shared" si="2"/>
        <v>3</v>
      </c>
      <c r="FD5" s="7">
        <f t="shared" si="2"/>
        <v>4</v>
      </c>
      <c r="FE5" s="7">
        <f t="shared" si="2"/>
        <v>5</v>
      </c>
      <c r="FF5" s="7">
        <f t="shared" si="2"/>
        <v>6</v>
      </c>
      <c r="FG5" s="7">
        <f t="shared" si="2"/>
        <v>7</v>
      </c>
      <c r="FH5" s="7">
        <f t="shared" si="2"/>
        <v>8</v>
      </c>
      <c r="FI5" s="7">
        <f t="shared" si="2"/>
        <v>9</v>
      </c>
      <c r="FJ5" s="7">
        <f t="shared" si="2"/>
        <v>10</v>
      </c>
      <c r="FK5" s="7">
        <f t="shared" si="2"/>
        <v>11</v>
      </c>
      <c r="FL5" s="7">
        <f t="shared" si="2"/>
        <v>12</v>
      </c>
      <c r="FM5" s="7">
        <f t="shared" si="2"/>
        <v>13</v>
      </c>
      <c r="FN5" s="7">
        <f t="shared" si="2"/>
        <v>14</v>
      </c>
      <c r="FO5" s="7">
        <f t="shared" si="2"/>
        <v>15</v>
      </c>
      <c r="FP5" s="7">
        <f t="shared" si="2"/>
        <v>16</v>
      </c>
      <c r="FQ5" s="7">
        <f t="shared" si="2"/>
        <v>17</v>
      </c>
      <c r="FR5" s="7">
        <f t="shared" si="2"/>
        <v>18</v>
      </c>
      <c r="FS5" s="7">
        <f t="shared" si="2"/>
        <v>19</v>
      </c>
      <c r="FT5" s="7">
        <f t="shared" si="2"/>
        <v>20</v>
      </c>
      <c r="FU5" s="7">
        <f t="shared" si="2"/>
        <v>21</v>
      </c>
      <c r="FV5" s="7">
        <f t="shared" si="2"/>
        <v>22</v>
      </c>
      <c r="FW5" s="7">
        <f t="shared" si="2"/>
        <v>23</v>
      </c>
      <c r="FX5" s="7">
        <f t="shared" si="2"/>
        <v>24</v>
      </c>
      <c r="FY5" s="7">
        <f t="shared" si="2"/>
        <v>25</v>
      </c>
      <c r="FZ5" s="7">
        <f t="shared" si="2"/>
        <v>26</v>
      </c>
      <c r="GA5" s="7">
        <f t="shared" si="2"/>
        <v>27</v>
      </c>
      <c r="GB5" s="7">
        <f t="shared" si="2"/>
        <v>28</v>
      </c>
      <c r="GC5" s="7">
        <f t="shared" si="2"/>
        <v>29</v>
      </c>
      <c r="GD5" s="7">
        <f t="shared" si="2"/>
        <v>30</v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>Sat</v>
      </c>
      <c r="FB6" s="8" t="str">
        <f>IF(FB$5="","",VLOOKUP(WEEKDAY(DATE($A$2,$A$3+$A$1-1,FB5),2),Sheet3!$D$1:$E$7,2,0))</f>
        <v>Sun</v>
      </c>
      <c r="FC6" s="8" t="str">
        <f>IF(FC$5="","",VLOOKUP(WEEKDAY(DATE($A$2,$A$3+$A$1-1,FC5),2),Sheet3!$D$1:$E$7,2,0))</f>
        <v>Mon</v>
      </c>
      <c r="FD6" s="8" t="str">
        <f>IF(FD$5="","",VLOOKUP(WEEKDAY(DATE($A$2,$A$3+$A$1-1,FD5),2),Sheet3!$D$1:$E$7,2,0))</f>
        <v>Tue</v>
      </c>
      <c r="FE6" s="8" t="str">
        <f>IF(FE$5="","",VLOOKUP(WEEKDAY(DATE($A$2,$A$3+$A$1-1,FE5),2),Sheet3!$D$1:$E$7,2,0))</f>
        <v>Wed</v>
      </c>
      <c r="FF6" s="8" t="str">
        <f>IF(FF$5="","",VLOOKUP(WEEKDAY(DATE($A$2,$A$3+$A$1-1,FF5),2),Sheet3!$D$1:$E$7,2,0))</f>
        <v>Thu</v>
      </c>
      <c r="FG6" s="8" t="str">
        <f>IF(FG$5="","",VLOOKUP(WEEKDAY(DATE($A$2,$A$3+$A$1-1,FG5),2),Sheet3!$D$1:$E$7,2,0))</f>
        <v>Fri</v>
      </c>
      <c r="FH6" s="8" t="str">
        <f>IF(FH$5="","",VLOOKUP(WEEKDAY(DATE($A$2,$A$3+$A$1-1,FH5),2),Sheet3!$D$1:$E$7,2,0))</f>
        <v>Sat</v>
      </c>
      <c r="FI6" s="8" t="str">
        <f>IF(FI$5="","",VLOOKUP(WEEKDAY(DATE($A$2,$A$3+$A$1-1,FI5),2),Sheet3!$D$1:$E$7,2,0))</f>
        <v>Sun</v>
      </c>
      <c r="FJ6" s="8" t="str">
        <f>IF(FJ$5="","",VLOOKUP(WEEKDAY(DATE($A$2,$A$3+$A$1-1,FJ5),2),Sheet3!$D$1:$E$7,2,0))</f>
        <v>Mon</v>
      </c>
      <c r="FK6" s="8" t="str">
        <f>IF(FK$5="","",VLOOKUP(WEEKDAY(DATE($A$2,$A$3+$A$1-1,FK5),2),Sheet3!$D$1:$E$7,2,0))</f>
        <v>Tue</v>
      </c>
      <c r="FL6" s="8" t="str">
        <f>IF(FL$5="","",VLOOKUP(WEEKDAY(DATE($A$2,$A$3+$A$1-1,FL5),2),Sheet3!$D$1:$E$7,2,0))</f>
        <v>Wed</v>
      </c>
      <c r="FM6" s="8" t="str">
        <f>IF(FM$5="","",VLOOKUP(WEEKDAY(DATE($A$2,$A$3+$A$1-1,FM5),2),Sheet3!$D$1:$E$7,2,0))</f>
        <v>Thu</v>
      </c>
      <c r="FN6" s="8" t="str">
        <f>IF(FN$5="","",VLOOKUP(WEEKDAY(DATE($A$2,$A$3+$A$1-1,FN5),2),Sheet3!$D$1:$E$7,2,0))</f>
        <v>Fri</v>
      </c>
      <c r="FO6" s="8" t="str">
        <f>IF(FO$5="","",VLOOKUP(WEEKDAY(DATE($A$2,$A$3+$A$1-1,FO5),2),Sheet3!$D$1:$E$7,2,0))</f>
        <v>Sat</v>
      </c>
      <c r="FP6" s="8" t="str">
        <f>IF(FP$5="","",VLOOKUP(WEEKDAY(DATE($A$2,$A$3+$A$1-1,FP5),2),Sheet3!$D$1:$E$7,2,0))</f>
        <v>Sun</v>
      </c>
      <c r="FQ6" s="8" t="str">
        <f>IF(FQ$5="","",VLOOKUP(WEEKDAY(DATE($A$2,$A$3+$A$1-1,FQ5),2),Sheet3!$D$1:$E$7,2,0))</f>
        <v>Mon</v>
      </c>
      <c r="FR6" s="8" t="str">
        <f>IF(FR$5="","",VLOOKUP(WEEKDAY(DATE($A$2,$A$3+$A$1-1,FR5),2),Sheet3!$D$1:$E$7,2,0))</f>
        <v>Tue</v>
      </c>
      <c r="FS6" s="8" t="str">
        <f>IF(FS$5="","",VLOOKUP(WEEKDAY(DATE($A$2,$A$3+$A$1-1,FS5),2),Sheet3!$D$1:$E$7,2,0))</f>
        <v>Wed</v>
      </c>
      <c r="FT6" s="8" t="str">
        <f>IF(FT$5="","",VLOOKUP(WEEKDAY(DATE($A$2,$A$3+$A$1-1,FT5),2),Sheet3!$D$1:$E$7,2,0))</f>
        <v>Thu</v>
      </c>
      <c r="FU6" s="8" t="str">
        <f>IF(FU$5="","",VLOOKUP(WEEKDAY(DATE($A$2,$A$3+$A$1-1,FU5),2),Sheet3!$D$1:$E$7,2,0))</f>
        <v>Fri</v>
      </c>
      <c r="FV6" s="8" t="str">
        <f>IF(FV$5="","",VLOOKUP(WEEKDAY(DATE($A$2,$A$3+$A$1-1,FV5),2),Sheet3!$D$1:$E$7,2,0))</f>
        <v>Sat</v>
      </c>
      <c r="FW6" s="8" t="str">
        <f>IF(FW$5="","",VLOOKUP(WEEKDAY(DATE($A$2,$A$3+$A$1-1,FW5),2),Sheet3!$D$1:$E$7,2,0))</f>
        <v>Sun</v>
      </c>
      <c r="FX6" s="8" t="str">
        <f>IF(FX$5="","",VLOOKUP(WEEKDAY(DATE($A$2,$A$3+$A$1-1,FX5),2),Sheet3!$D$1:$E$7,2,0))</f>
        <v>Mon</v>
      </c>
      <c r="FY6" s="8" t="str">
        <f>IF(FY$5="","",VLOOKUP(WEEKDAY(DATE($A$2,$A$3+$A$1-1,FY5),2),Sheet3!$D$1:$E$7,2,0))</f>
        <v>Tue</v>
      </c>
      <c r="FZ6" s="8" t="str">
        <f>IF(FZ$5="","",VLOOKUP(WEEKDAY(DATE($A$2,$A$3+$A$1-1,FZ5),2),Sheet3!$D$1:$E$7,2,0))</f>
        <v>Wed</v>
      </c>
      <c r="GA6" s="8" t="str">
        <f>IF(GA$5="","",VLOOKUP(WEEKDAY(DATE($A$2,$A$3+$A$1-1,GA5),2),Sheet3!$D$1:$E$7,2,0))</f>
        <v>Thu</v>
      </c>
      <c r="GB6" s="8" t="str">
        <f>IF(GB$5="","",VLOOKUP(WEEKDAY(DATE($A$2,$A$3+$A$1-1,GB5),2),Sheet3!$D$1:$E$7,2,0))</f>
        <v>Fri</v>
      </c>
      <c r="GC6" s="8" t="str">
        <f>IF(GC$5="","",VLOOKUP(WEEKDAY(DATE($A$2,$A$3+$A$1-1,GC5),2),Sheet3!$D$1:$E$7,2,0))</f>
        <v>Sat</v>
      </c>
      <c r="GD6" s="8" t="str">
        <f>IF(GD$5="","",VLOOKUP(WEEKDAY(DATE($A$2,$A$3+$A$1-1,GD5),2),Sheet3!$D$1:$E$7,2,0))</f>
        <v>Sun</v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1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 t="s">
        <v>33</v>
      </c>
      <c r="EZ9" s="2" t="s">
        <v>33</v>
      </c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1</v>
      </c>
      <c r="NK9" s="20">
        <f t="array" aca="1" ref="NK9" ca="1">SUMPRODUCT((OFFSET($A9,0,1,1,372)&lt;&gt;"")*(IF(OFFSET($A9,0,1,1,372)=$OD$12,0.5,1)*(OFFSET($A$3,0,1,1,372))))</f>
        <v>36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29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20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 t="s">
        <v>33</v>
      </c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6</v>
      </c>
      <c r="NK11" s="20">
        <f t="array" aca="1" ref="NK11" ca="1">SUMPRODUCT((OFFSET($A11,0,1,1,372)&lt;&gt;"")*(IF(OFFSET($A11,0,1,1,372)=$OD$12,0.5,1)*(OFFSET($A$3,0,1,1,372))))</f>
        <v>28.5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22.5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 t="s">
        <v>33</v>
      </c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 t="s">
        <v>33</v>
      </c>
      <c r="EY13" s="2"/>
      <c r="EZ13" s="2"/>
      <c r="FA13" s="2"/>
      <c r="FB13" s="2"/>
      <c r="FC13" s="2" t="s">
        <v>35</v>
      </c>
      <c r="FD13" s="2" t="s">
        <v>33</v>
      </c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2</v>
      </c>
      <c r="NK13" s="20">
        <f t="array" aca="1" ref="NK13" ca="1">SUMPRODUCT((OFFSET($A13,0,1,1,372)&lt;&gt;"")*(IF(OFFSET($A13,0,1,1,372)=$OD$12,0.5,1)*(OFFSET($A$3,0,1,1,372))))</f>
        <v>23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17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1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20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20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 t="s">
        <v>33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1</v>
      </c>
      <c r="NK18" s="20">
        <f t="array" aca="1" ref="NK18" ca="1">SUMPRODUCT((OFFSET($A18,0,1,1,372)&lt;&gt;"")*(IF(OFFSET($A18,0,1,1,372)=$OD$12,0.5,1)*(OFFSET($A$3,0,1,1,372))))</f>
        <v>24.5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19.5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 t="s">
        <v>33</v>
      </c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1</v>
      </c>
      <c r="NK19" s="20">
        <f t="array" aca="1" ref="NK19" ca="1">SUMPRODUCT((OFFSET($A19,0,1,1,372)&lt;&gt;"")*(IF(OFFSET($A19,0,1,1,372)=$OD$12,0.5,1)*(OFFSET($A$3,0,1,1,372))))</f>
        <v>26.5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1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1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20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 t="s">
        <v>33</v>
      </c>
      <c r="EC24" s="2" t="s">
        <v>33</v>
      </c>
      <c r="ED24" s="2"/>
      <c r="EE24" s="2"/>
      <c r="EF24" s="2"/>
      <c r="EG24" s="2"/>
      <c r="EH24" s="2" t="s">
        <v>33</v>
      </c>
      <c r="EI24" s="2" t="s">
        <v>33</v>
      </c>
      <c r="EJ24" s="2" t="s">
        <v>33</v>
      </c>
      <c r="EK24" s="2" t="s">
        <v>33</v>
      </c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1</v>
      </c>
      <c r="NK24" s="20">
        <f t="array" aca="1" ref="NK24" ca="1">SUMPRODUCT((OFFSET($A24,0,1,1,372)&lt;&gt;"")*(IF(OFFSET($A24,0,1,1,372)=$OD$12,0.5,1)*(OFFSET($A$3,0,1,1,372))))</f>
        <v>20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15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5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 t="s">
        <v>33</v>
      </c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 t="s">
        <v>33</v>
      </c>
      <c r="FK27" s="2" t="s">
        <v>33</v>
      </c>
      <c r="FL27" s="2"/>
      <c r="FM27" s="2"/>
      <c r="FN27" s="2"/>
      <c r="FO27" s="2"/>
      <c r="FP27" s="2"/>
      <c r="FQ27" s="2"/>
      <c r="FR27" s="2"/>
      <c r="FS27" s="2" t="s">
        <v>33</v>
      </c>
      <c r="FT27" s="2"/>
      <c r="FU27" s="2"/>
      <c r="FV27" s="2"/>
      <c r="FW27" s="2"/>
      <c r="FX27" s="2" t="s">
        <v>33</v>
      </c>
      <c r="FY27" s="2" t="s">
        <v>33</v>
      </c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6</v>
      </c>
      <c r="NK27" s="20">
        <f t="array" aca="1" ref="NK27" ca="1">SUMPRODUCT((OFFSET($A27,0,1,1,372)&lt;&gt;"")*(IF(OFFSET($A27,0,1,1,372)=$OD$12,0.5,1)*(OFFSET($A$3,0,1,1,372))))</f>
        <v>22.5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16.5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3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 t="s">
        <v>35</v>
      </c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 t="s">
        <v>33</v>
      </c>
      <c r="EY28" s="2" t="s">
        <v>33</v>
      </c>
      <c r="EZ28" s="2" t="s">
        <v>33</v>
      </c>
      <c r="FA28" s="2"/>
      <c r="FB28" s="2"/>
      <c r="FC28" s="2" t="s">
        <v>35</v>
      </c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1</v>
      </c>
      <c r="NK28" s="20">
        <f t="array" aca="1" ref="NK28" ca="1">SUMPRODUCT((OFFSET($A28,0,1,1,372)&lt;&gt;"")*(IF(OFFSET($A28,0,1,1,372)=$OD$12,0.5,1)*(OFFSET($A$3,0,1,1,372))))</f>
        <v>18.5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13.5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20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20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20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20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 t="s">
        <v>33</v>
      </c>
      <c r="EZ33" s="2" t="s">
        <v>33</v>
      </c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1</v>
      </c>
      <c r="NK33" s="20">
        <f t="array" aca="1" ref="NK33" ca="1">SUMPRODUCT((OFFSET($A33,0,1,1,372)&lt;&gt;"")*(IF(OFFSET($A33,0,1,1,372)=$OD$12,0.5,1)*(OFFSET($A$3,0,1,1,372))))</f>
        <v>29.5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24.5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1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 t="s">
        <v>33</v>
      </c>
      <c r="EQ35" s="2"/>
      <c r="ER35" s="2"/>
      <c r="ES35" s="2"/>
      <c r="ET35" s="2"/>
      <c r="EU35" s="2"/>
      <c r="EV35" s="2"/>
      <c r="EW35" s="2"/>
      <c r="EX35" s="2" t="s">
        <v>33</v>
      </c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12</v>
      </c>
      <c r="NK35" s="20">
        <f t="array" aca="1" ref="NK35" ca="1">SUMPRODUCT((OFFSET($A35,0,1,1,372)&lt;&gt;"")*(IF(OFFSET($A35,0,1,1,372)=$OD$12,0.5,1)*(OFFSET($A$3,0,1,1,372))))</f>
        <v>44.5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37.5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20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20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 t="s">
        <v>33</v>
      </c>
      <c r="DY38" s="2"/>
      <c r="DZ38" s="2"/>
      <c r="EA38" s="2" t="s">
        <v>35</v>
      </c>
      <c r="EB38" s="2"/>
      <c r="EC38" s="2" t="s">
        <v>31</v>
      </c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 t="s">
        <v>33</v>
      </c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1</v>
      </c>
      <c r="NK38" s="20">
        <f t="array" aca="1" ref="NK38" ca="1">SUMPRODUCT((OFFSET($A38,0,1,1,372)&lt;&gt;"")*(IF(OFFSET($A38,0,1,1,372)=$OD$12,0.5,1)*(OFFSET($A$3,0,1,1,372))))</f>
        <v>19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13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2.5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1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 t="s">
        <v>33</v>
      </c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 t="s">
        <v>33</v>
      </c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2</v>
      </c>
      <c r="NK40" s="20">
        <f t="array" aca="1" ref="NK40" ca="1">SUMPRODUCT((OFFSET($A40,0,1,1,372)&lt;&gt;"")*(IF(OFFSET($A40,0,1,1,372)=$OD$12,0.5,1)*(OFFSET($A$3,0,1,1,372))))</f>
        <v>19.5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14.5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</v>
      </c>
      <c r="NK41" s="20">
        <f t="array" aca="1" ref="NK41" ca="1">SUMPRODUCT((OFFSET($A41,0,1,1,372)&lt;&gt;"")*(IF(OFFSET($A41,0,1,1,372)=$OD$12,0.5,1)*(OFFSET($A$3,0,1,1,372))))</f>
        <v>28.5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18.5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20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 t="s">
        <v>182</v>
      </c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1</v>
      </c>
      <c r="NK43" s="73">
        <f t="array" aca="1" ref="NK43" ca="1">SUMPRODUCT((OFFSET($A43,0,1,1,372)&lt;&gt;"")*(IF(OFFSET($A43,0,1,1,372)=$OD$12,0.5,1)*(OFFSET($A$3,0,1,1,372))))</f>
        <v>41.5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4" spans="1:391" s="45" customFormat="1" x14ac:dyDescent="0.45">
      <c r="A44" s="70" t="s">
        <v>183</v>
      </c>
      <c r="B44" s="71"/>
      <c r="C44" s="2" t="s">
        <v>49</v>
      </c>
      <c r="D44" s="2" t="s">
        <v>49</v>
      </c>
      <c r="E44" s="2" t="s">
        <v>49</v>
      </c>
      <c r="F44" s="2" t="s">
        <v>49</v>
      </c>
      <c r="G44" s="2" t="s">
        <v>49</v>
      </c>
      <c r="H44" s="71"/>
      <c r="I44" s="71"/>
      <c r="J44" s="2" t="s">
        <v>49</v>
      </c>
      <c r="K44" s="2" t="s">
        <v>49</v>
      </c>
      <c r="L44" s="2" t="s">
        <v>49</v>
      </c>
      <c r="M44" s="2" t="s">
        <v>49</v>
      </c>
      <c r="N44" s="2" t="s">
        <v>49</v>
      </c>
      <c r="O44" s="71"/>
      <c r="P44" s="71"/>
      <c r="Q44" s="2" t="s">
        <v>49</v>
      </c>
      <c r="R44" s="2" t="s">
        <v>49</v>
      </c>
      <c r="S44" s="2" t="s">
        <v>49</v>
      </c>
      <c r="T44" s="2" t="s">
        <v>49</v>
      </c>
      <c r="U44" s="2" t="s">
        <v>49</v>
      </c>
      <c r="V44" s="71"/>
      <c r="W44" s="71"/>
      <c r="X44" s="2" t="s">
        <v>49</v>
      </c>
      <c r="Y44" s="2" t="s">
        <v>49</v>
      </c>
      <c r="Z44" s="2" t="s">
        <v>49</v>
      </c>
      <c r="AA44" s="2" t="s">
        <v>49</v>
      </c>
      <c r="AB44" s="2" t="s">
        <v>49</v>
      </c>
      <c r="AC44" s="71"/>
      <c r="AD44" s="71"/>
      <c r="AE44" s="2" t="s">
        <v>49</v>
      </c>
      <c r="AF44" s="71"/>
      <c r="AG44" s="2" t="s">
        <v>49</v>
      </c>
      <c r="AH44" s="2" t="s">
        <v>49</v>
      </c>
      <c r="AI44" s="2" t="s">
        <v>49</v>
      </c>
      <c r="AJ44" s="2" t="s">
        <v>49</v>
      </c>
      <c r="AK44" s="71"/>
      <c r="AL44" s="71"/>
      <c r="AM44" s="2" t="s">
        <v>49</v>
      </c>
      <c r="AN44" s="2" t="s">
        <v>49</v>
      </c>
      <c r="AO44" s="2" t="s">
        <v>49</v>
      </c>
      <c r="AP44" s="2" t="s">
        <v>49</v>
      </c>
      <c r="AQ44" s="2" t="s">
        <v>49</v>
      </c>
      <c r="AR44" s="71"/>
      <c r="AS44" s="71"/>
      <c r="AT44" s="2" t="s">
        <v>49</v>
      </c>
      <c r="AU44" s="2" t="s">
        <v>49</v>
      </c>
      <c r="AV44" s="2" t="s">
        <v>49</v>
      </c>
      <c r="AW44" s="2" t="s">
        <v>49</v>
      </c>
      <c r="AX44" s="2" t="s">
        <v>49</v>
      </c>
      <c r="AY44" s="71"/>
      <c r="AZ44" s="71"/>
      <c r="BA44" s="2" t="s">
        <v>35</v>
      </c>
      <c r="BB44" s="2" t="s">
        <v>49</v>
      </c>
      <c r="BC44" s="2" t="s">
        <v>49</v>
      </c>
      <c r="BD44" s="2" t="s">
        <v>49</v>
      </c>
      <c r="BE44" s="2" t="s">
        <v>49</v>
      </c>
      <c r="BF44" s="71"/>
      <c r="BG44" s="71"/>
      <c r="BH44" s="2" t="s">
        <v>49</v>
      </c>
      <c r="BI44" s="2" t="s">
        <v>49</v>
      </c>
      <c r="BJ44" s="2" t="s">
        <v>49</v>
      </c>
      <c r="BK44" s="2" t="s">
        <v>49</v>
      </c>
      <c r="BL44" s="2" t="s">
        <v>49</v>
      </c>
      <c r="BM44" s="71"/>
      <c r="BN44" s="71"/>
      <c r="BO44" s="2" t="s">
        <v>49</v>
      </c>
      <c r="BP44" s="2" t="s">
        <v>49</v>
      </c>
      <c r="BQ44" s="2" t="s">
        <v>49</v>
      </c>
      <c r="BR44" s="2" t="s">
        <v>49</v>
      </c>
      <c r="BS44" s="2" t="s">
        <v>49</v>
      </c>
      <c r="BT44" s="71"/>
      <c r="BU44" s="71"/>
      <c r="BV44" s="2" t="s">
        <v>49</v>
      </c>
      <c r="BW44" s="2" t="s">
        <v>49</v>
      </c>
      <c r="BX44" s="2" t="s">
        <v>49</v>
      </c>
      <c r="BY44" s="2" t="s">
        <v>49</v>
      </c>
      <c r="BZ44" s="2" t="s">
        <v>49</v>
      </c>
      <c r="CA44" s="71"/>
      <c r="CB44" s="71"/>
      <c r="CC44" s="2" t="s">
        <v>49</v>
      </c>
      <c r="CD44" s="2" t="s">
        <v>49</v>
      </c>
      <c r="CE44" s="2" t="s">
        <v>49</v>
      </c>
      <c r="CF44" s="2" t="s">
        <v>49</v>
      </c>
      <c r="CG44" s="2" t="s">
        <v>49</v>
      </c>
      <c r="CH44" s="71"/>
      <c r="CI44" s="71"/>
      <c r="CJ44" s="2" t="s">
        <v>49</v>
      </c>
      <c r="CK44" s="2" t="s">
        <v>49</v>
      </c>
      <c r="CL44" s="2" t="s">
        <v>49</v>
      </c>
      <c r="CM44" s="2" t="s">
        <v>49</v>
      </c>
      <c r="CN44" s="2" t="s">
        <v>49</v>
      </c>
      <c r="CO44" s="71"/>
      <c r="CP44" s="71"/>
      <c r="CQ44" s="71"/>
      <c r="CR44" s="2" t="s">
        <v>35</v>
      </c>
      <c r="CS44" s="2" t="s">
        <v>49</v>
      </c>
      <c r="CT44" s="2" t="s">
        <v>49</v>
      </c>
      <c r="CU44" s="2" t="s">
        <v>49</v>
      </c>
      <c r="CV44" s="2" t="s">
        <v>49</v>
      </c>
      <c r="CW44" s="71"/>
      <c r="CX44" s="71"/>
      <c r="CY44" s="2" t="s">
        <v>49</v>
      </c>
      <c r="CZ44" s="2" t="s">
        <v>49</v>
      </c>
      <c r="DA44" s="2" t="s">
        <v>49</v>
      </c>
      <c r="DB44" s="2" t="s">
        <v>49</v>
      </c>
      <c r="DC44" s="2" t="s">
        <v>49</v>
      </c>
      <c r="DD44" s="71"/>
      <c r="DE44" s="71"/>
      <c r="DF44" s="2" t="s">
        <v>49</v>
      </c>
      <c r="DG44" s="2" t="s">
        <v>49</v>
      </c>
      <c r="DH44" s="2" t="s">
        <v>49</v>
      </c>
      <c r="DI44" s="2" t="s">
        <v>49</v>
      </c>
      <c r="DJ44" s="2" t="s">
        <v>49</v>
      </c>
      <c r="DK44" s="71"/>
      <c r="DL44" s="71"/>
      <c r="DM44" s="2" t="s">
        <v>49</v>
      </c>
      <c r="DN44" s="2" t="s">
        <v>49</v>
      </c>
      <c r="DO44" s="2" t="s">
        <v>49</v>
      </c>
      <c r="DP44" s="2" t="s">
        <v>49</v>
      </c>
      <c r="DQ44" s="2" t="s">
        <v>49</v>
      </c>
      <c r="DR44" s="71"/>
      <c r="DS44" s="71"/>
      <c r="DT44" s="2" t="s">
        <v>49</v>
      </c>
      <c r="DU44" s="2" t="s">
        <v>49</v>
      </c>
      <c r="DV44" s="2" t="s">
        <v>49</v>
      </c>
      <c r="DW44" s="2" t="s">
        <v>49</v>
      </c>
      <c r="DX44" s="2" t="s">
        <v>49</v>
      </c>
      <c r="DY44" s="71"/>
      <c r="DZ44" s="71"/>
      <c r="EA44" s="2" t="s">
        <v>35</v>
      </c>
      <c r="EB44" s="71"/>
      <c r="EC44" s="71"/>
      <c r="ED44" s="71"/>
      <c r="EE44" s="71"/>
      <c r="EF44" s="71"/>
      <c r="EG44" s="71"/>
      <c r="EH44" s="2"/>
      <c r="EI44" s="2"/>
      <c r="EJ44" s="2"/>
      <c r="EK44" s="2"/>
      <c r="EL44" s="2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/>
      <c r="EZ44" s="71"/>
      <c r="FA44" s="71"/>
      <c r="FB44" s="71"/>
      <c r="FC44" s="2"/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2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2"/>
      <c r="JO44" s="2"/>
      <c r="JP44" s="71"/>
      <c r="JQ44" s="71"/>
      <c r="JR44" s="71"/>
      <c r="JS44" s="71"/>
      <c r="JT44" s="71"/>
      <c r="JU44" s="2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2"/>
      <c r="LR44" s="71"/>
      <c r="LS44" s="71"/>
      <c r="LT44" s="71"/>
      <c r="LU44" s="71"/>
      <c r="LV44" s="71"/>
      <c r="LW44" s="71"/>
      <c r="LX44" s="71"/>
      <c r="LY44" s="71"/>
      <c r="LZ44" s="71"/>
      <c r="MA44" s="71"/>
      <c r="MB44" s="71"/>
      <c r="MC44" s="71"/>
      <c r="MD44" s="71"/>
      <c r="ME44" s="71"/>
      <c r="MF44" s="71"/>
      <c r="MG44" s="71"/>
      <c r="MH44" s="71"/>
      <c r="MI44" s="71"/>
      <c r="MJ44" s="71"/>
      <c r="MK44" s="71"/>
      <c r="ML44" s="71"/>
      <c r="MM44" s="71"/>
      <c r="MN44" s="71"/>
      <c r="MO44" s="71"/>
      <c r="MP44" s="71"/>
      <c r="MQ44" s="71"/>
      <c r="MR44" s="71"/>
      <c r="MS44" s="71"/>
      <c r="MT44" s="71"/>
      <c r="MU44" s="71"/>
      <c r="MV44" s="71"/>
      <c r="MW44" s="71"/>
      <c r="MX44" s="71"/>
      <c r="MY44" s="71"/>
      <c r="MZ44" s="71"/>
      <c r="NA44" s="71"/>
      <c r="NB44" s="71"/>
      <c r="NC44" s="71"/>
      <c r="ND44" s="71"/>
      <c r="NE44" s="71"/>
      <c r="NF44" s="71"/>
      <c r="NG44" s="71"/>
      <c r="NH44" s="71"/>
      <c r="NI44" s="71"/>
      <c r="NJ44" s="72">
        <f t="array" aca="1" ref="NJ44" ca="1">SUMPRODUCT((OFFSET($A44,0,31*($A$3-1)+1,1,31)&lt;&gt;"")*(IF(OFFSET($A44,0,31*($A$3-1)+1,1,31)=$OD$12,0.5,1)*(OFFSET($A$4,0,31*($A$3-1)+1,1,31))))</f>
        <v>0</v>
      </c>
      <c r="NK44" s="73">
        <f t="array" aca="1" ref="NK44" ca="1">SUMPRODUCT((OFFSET($A44,0,1,1,372)&lt;&gt;"")*(IF(OFFSET($A44,0,1,1,372)=$OD$12,0.5,1)*(OFFSET($A$3,0,1,1,372))))</f>
        <v>91</v>
      </c>
      <c r="NL44" s="74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84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5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10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10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2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5" spans="1:391" ht="14.65" thickBot="1" x14ac:dyDescent="0.5">
      <c r="A45" s="41" t="s">
        <v>93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2" t="s">
        <v>33</v>
      </c>
      <c r="AX45" s="2" t="s">
        <v>33</v>
      </c>
      <c r="AY45" s="37"/>
      <c r="AZ45" s="37"/>
      <c r="BA45" s="2" t="s">
        <v>35</v>
      </c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 t="s">
        <v>31</v>
      </c>
      <c r="CD45" s="37"/>
      <c r="CE45" s="37" t="s">
        <v>33</v>
      </c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2" t="s">
        <v>35</v>
      </c>
      <c r="CS45" s="37"/>
      <c r="CT45" s="37"/>
      <c r="CU45" s="37"/>
      <c r="CV45" s="37"/>
      <c r="CW45" s="37"/>
      <c r="CX45" s="37"/>
      <c r="CY45" s="37"/>
      <c r="CZ45" s="37"/>
      <c r="DA45" s="37"/>
      <c r="DB45" s="37" t="s">
        <v>31</v>
      </c>
      <c r="DC45" s="37"/>
      <c r="DD45" s="37"/>
      <c r="DE45" s="37"/>
      <c r="DF45" s="37" t="s">
        <v>33</v>
      </c>
      <c r="DG45" s="37" t="s">
        <v>33</v>
      </c>
      <c r="DH45" s="37"/>
      <c r="DI45" s="37"/>
      <c r="DJ45" s="37"/>
      <c r="DK45" s="37"/>
      <c r="DL45" s="37"/>
      <c r="DM45" s="37" t="s">
        <v>31</v>
      </c>
      <c r="DN45" s="37" t="s">
        <v>33</v>
      </c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2" t="s">
        <v>35</v>
      </c>
      <c r="EB45" s="37"/>
      <c r="EC45" s="37"/>
      <c r="ED45" s="37"/>
      <c r="EE45" s="37"/>
      <c r="EF45" s="37"/>
      <c r="EG45" s="37"/>
      <c r="EH45" s="2"/>
      <c r="EI45" s="2"/>
      <c r="EJ45" s="2"/>
      <c r="EK45" s="2"/>
      <c r="EL45" s="2"/>
      <c r="EM45" s="37"/>
      <c r="EN45" s="37"/>
      <c r="EO45" s="37" t="s">
        <v>33</v>
      </c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2" t="s">
        <v>35</v>
      </c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2" t="s">
        <v>35</v>
      </c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2" t="s">
        <v>35</v>
      </c>
      <c r="JO45" s="2" t="s">
        <v>35</v>
      </c>
      <c r="JP45" s="37"/>
      <c r="JQ45" s="37"/>
      <c r="JR45" s="37"/>
      <c r="JS45" s="37"/>
      <c r="JT45" s="37"/>
      <c r="JU45" s="2" t="s">
        <v>35</v>
      </c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2" t="s">
        <v>35</v>
      </c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59">
        <f t="array" aca="1" ref="NJ45" ca="1">SUMPRODUCT((OFFSET($A45,0,31*($A$3-1)+1,1,31)&lt;&gt;"")*(IF(OFFSET($A45,0,31*($A$3-1)+1,1,31)=$OD$12,0.5,1)*(OFFSET($A$4,0,31*($A$3-1)+1,1,31))))</f>
        <v>1</v>
      </c>
      <c r="NK45" s="55">
        <f t="array" aca="1" ref="NK45" ca="1">SUMPRODUCT((OFFSET($A45,0,1,1,372)&lt;&gt;"")*(IF(OFFSET($A45,0,1,1,372)=$OD$12,0.5,1)*(OFFSET($A$3,0,1,1,372))))</f>
        <v>17.5</v>
      </c>
      <c r="NL45" s="43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12.5</v>
      </c>
      <c r="NM45" s="53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0</v>
      </c>
      <c r="NN45" s="53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0</v>
      </c>
      <c r="NO45" s="53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3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3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3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5" s="53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3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5" s="53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5" s="53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5" s="53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45" s="53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5" s="53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3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6" spans="1:391" ht="14.65" thickTop="1" x14ac:dyDescent="0.45">
      <c r="A46" s="46" t="s">
        <v>94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 t="s">
        <v>35</v>
      </c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 t="s">
        <v>35</v>
      </c>
      <c r="AH46" s="36"/>
      <c r="AI46" s="36"/>
      <c r="AJ46" s="36"/>
      <c r="AK46" s="36"/>
      <c r="AL46" s="36"/>
      <c r="AM46" s="36" t="s">
        <v>33</v>
      </c>
      <c r="AN46" s="36" t="s">
        <v>33</v>
      </c>
      <c r="AO46" s="36" t="s">
        <v>35</v>
      </c>
      <c r="AP46" s="36" t="s">
        <v>33</v>
      </c>
      <c r="AQ46" s="36" t="s">
        <v>33</v>
      </c>
      <c r="AR46" s="36"/>
      <c r="AS46" s="36"/>
      <c r="AT46" s="36" t="s">
        <v>33</v>
      </c>
      <c r="AU46" s="36" t="s">
        <v>33</v>
      </c>
      <c r="AV46" s="36" t="s">
        <v>33</v>
      </c>
      <c r="AW46" s="36" t="s">
        <v>33</v>
      </c>
      <c r="AX46" s="36" t="s">
        <v>33</v>
      </c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2" t="s">
        <v>35</v>
      </c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2" t="s">
        <v>35</v>
      </c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2" t="s">
        <v>35</v>
      </c>
      <c r="JO46" s="36"/>
      <c r="JP46" s="36"/>
      <c r="JQ46" s="36"/>
      <c r="JR46" s="36"/>
      <c r="JS46" s="36"/>
      <c r="JT46" s="36"/>
      <c r="JU46" s="2" t="s">
        <v>35</v>
      </c>
      <c r="JV46" s="36"/>
      <c r="JW46" s="36"/>
      <c r="JX46" s="36"/>
      <c r="JY46" s="36"/>
      <c r="JZ46" s="36"/>
      <c r="KA46" s="2" t="s">
        <v>35</v>
      </c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2" t="s">
        <v>35</v>
      </c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58">
        <f t="array" aca="1" ref="NJ46" ca="1">SUMPRODUCT((OFFSET($A46,0,31*($A$3-1)+1,1,31)&lt;&gt;"")*(IF(OFFSET($A46,0,31*($A$3-1)+1,1,31)=$OD$12,0.5,1)*(OFFSET($A$4,0,31*($A$3-1)+1,1,31))))</f>
        <v>0</v>
      </c>
      <c r="NK46" s="56">
        <f t="array" aca="1" ref="NK46" ca="1">SUMPRODUCT((OFFSET($A46,0,1,1,372)&lt;&gt;"")*(IF(OFFSET($A46,0,1,1,372)=$OD$12,0.5,1)*(OFFSET($A$3,0,1,1,372))))</f>
        <v>18</v>
      </c>
      <c r="NL46" s="42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13</v>
      </c>
      <c r="NM46" s="54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4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4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4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6" s="54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4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6" s="54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6" s="54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6" s="54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6" s="54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6" s="54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6" s="54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6" s="54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6" s="54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7" spans="1:391" x14ac:dyDescent="0.45">
      <c r="A47" s="44" t="s">
        <v>95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 t="s">
        <v>33</v>
      </c>
      <c r="BB47" s="2" t="s">
        <v>33</v>
      </c>
      <c r="BC47" s="2" t="s">
        <v>33</v>
      </c>
      <c r="BD47" s="2" t="s">
        <v>33</v>
      </c>
      <c r="BE47" s="2" t="s">
        <v>33</v>
      </c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 t="s">
        <v>49</v>
      </c>
      <c r="BY47" s="2" t="s">
        <v>49</v>
      </c>
      <c r="BZ47" s="2" t="s">
        <v>49</v>
      </c>
      <c r="CA47" s="2"/>
      <c r="CB47" s="2"/>
      <c r="CC47" s="2" t="s">
        <v>49</v>
      </c>
      <c r="CD47" s="2" t="s">
        <v>49</v>
      </c>
      <c r="CE47" s="2" t="s">
        <v>49</v>
      </c>
      <c r="CF47" s="2" t="s">
        <v>49</v>
      </c>
      <c r="CG47" s="2" t="s">
        <v>49</v>
      </c>
      <c r="CH47" s="2"/>
      <c r="CI47" s="2"/>
      <c r="CJ47" s="2" t="s">
        <v>49</v>
      </c>
      <c r="CK47" s="2" t="s">
        <v>49</v>
      </c>
      <c r="CL47" s="2" t="s">
        <v>49</v>
      </c>
      <c r="CM47" s="2" t="s">
        <v>49</v>
      </c>
      <c r="CN47" s="2" t="s">
        <v>49</v>
      </c>
      <c r="CO47" s="2"/>
      <c r="CP47" s="2"/>
      <c r="CQ47" s="2"/>
      <c r="CR47" s="2" t="s">
        <v>49</v>
      </c>
      <c r="CS47" s="2" t="s">
        <v>35</v>
      </c>
      <c r="CT47" s="2" t="s">
        <v>49</v>
      </c>
      <c r="CU47" s="2" t="s">
        <v>49</v>
      </c>
      <c r="CV47" s="2" t="s">
        <v>49</v>
      </c>
      <c r="CW47" s="2"/>
      <c r="CX47" s="2"/>
      <c r="CY47" s="2" t="s">
        <v>49</v>
      </c>
      <c r="CZ47" s="2" t="s">
        <v>49</v>
      </c>
      <c r="DA47" s="2" t="s">
        <v>49</v>
      </c>
      <c r="DB47" s="2" t="s">
        <v>49</v>
      </c>
      <c r="DC47" s="2" t="s">
        <v>49</v>
      </c>
      <c r="DD47" s="2"/>
      <c r="DE47" s="2"/>
      <c r="DF47" s="2" t="s">
        <v>49</v>
      </c>
      <c r="DG47" s="2" t="s">
        <v>49</v>
      </c>
      <c r="DH47" s="2" t="s">
        <v>49</v>
      </c>
      <c r="DI47" s="2" t="s">
        <v>49</v>
      </c>
      <c r="DJ47" s="2" t="s">
        <v>49</v>
      </c>
      <c r="DK47" s="2"/>
      <c r="DL47" s="2"/>
      <c r="DM47" s="2" t="s">
        <v>49</v>
      </c>
      <c r="DN47" s="2" t="s">
        <v>49</v>
      </c>
      <c r="DO47" s="2" t="s">
        <v>49</v>
      </c>
      <c r="DP47" s="2" t="s">
        <v>49</v>
      </c>
      <c r="DQ47" s="2" t="s">
        <v>49</v>
      </c>
      <c r="DR47" s="2"/>
      <c r="DS47" s="2"/>
      <c r="DT47" s="2" t="s">
        <v>49</v>
      </c>
      <c r="DU47" s="2" t="s">
        <v>49</v>
      </c>
      <c r="DV47" s="2" t="s">
        <v>49</v>
      </c>
      <c r="DW47" s="2" t="s">
        <v>49</v>
      </c>
      <c r="DX47" s="2" t="s">
        <v>49</v>
      </c>
      <c r="DY47" s="2"/>
      <c r="DZ47" s="2"/>
      <c r="EA47" s="2" t="s">
        <v>49</v>
      </c>
      <c r="EB47" s="2" t="s">
        <v>49</v>
      </c>
      <c r="EC47" s="2" t="s">
        <v>49</v>
      </c>
      <c r="ED47" s="2" t="s">
        <v>49</v>
      </c>
      <c r="EE47" s="2" t="s">
        <v>49</v>
      </c>
      <c r="EF47" s="2"/>
      <c r="EG47" s="2"/>
      <c r="EH47" s="2" t="s">
        <v>49</v>
      </c>
      <c r="EI47" s="2" t="s">
        <v>49</v>
      </c>
      <c r="EJ47" s="2" t="s">
        <v>49</v>
      </c>
      <c r="EK47" s="2" t="s">
        <v>49</v>
      </c>
      <c r="EL47" s="2" t="s">
        <v>49</v>
      </c>
      <c r="EM47" s="2"/>
      <c r="EN47" s="2"/>
      <c r="EO47" s="2" t="s">
        <v>49</v>
      </c>
      <c r="EP47" s="2" t="s">
        <v>49</v>
      </c>
      <c r="EQ47" s="2" t="s">
        <v>49</v>
      </c>
      <c r="ER47" s="2" t="s">
        <v>49</v>
      </c>
      <c r="ES47" s="2" t="s">
        <v>49</v>
      </c>
      <c r="ET47" s="2"/>
      <c r="EU47" s="2"/>
      <c r="EV47" s="2" t="s">
        <v>49</v>
      </c>
      <c r="EW47" s="2" t="s">
        <v>49</v>
      </c>
      <c r="EX47" s="2" t="s">
        <v>49</v>
      </c>
      <c r="EY47" s="2" t="s">
        <v>49</v>
      </c>
      <c r="EZ47" s="2" t="s">
        <v>49</v>
      </c>
      <c r="FA47" s="2"/>
      <c r="FB47" s="2"/>
      <c r="FC47" s="2" t="s">
        <v>49</v>
      </c>
      <c r="FD47" s="2" t="s">
        <v>49</v>
      </c>
      <c r="FE47" s="2" t="s">
        <v>49</v>
      </c>
      <c r="FF47" s="2" t="s">
        <v>49</v>
      </c>
      <c r="FG47" s="2" t="s">
        <v>49</v>
      </c>
      <c r="FH47" s="2"/>
      <c r="FI47" s="2"/>
      <c r="FJ47" s="2" t="s">
        <v>49</v>
      </c>
      <c r="FK47" s="2" t="s">
        <v>49</v>
      </c>
      <c r="FL47" s="2" t="s">
        <v>49</v>
      </c>
      <c r="FM47" s="2" t="s">
        <v>49</v>
      </c>
      <c r="FN47" s="2" t="s">
        <v>49</v>
      </c>
      <c r="FO47" s="2"/>
      <c r="FP47" s="2"/>
      <c r="FQ47" s="2" t="s">
        <v>49</v>
      </c>
      <c r="FR47" s="2" t="s">
        <v>49</v>
      </c>
      <c r="FS47" s="2" t="s">
        <v>49</v>
      </c>
      <c r="FT47" s="2" t="s">
        <v>49</v>
      </c>
      <c r="FU47" s="2" t="s">
        <v>49</v>
      </c>
      <c r="FV47" s="2"/>
      <c r="FW47" s="2"/>
      <c r="FX47" s="2" t="s">
        <v>49</v>
      </c>
      <c r="FY47" s="2" t="s">
        <v>49</v>
      </c>
      <c r="FZ47" s="2" t="s">
        <v>49</v>
      </c>
      <c r="GA47" s="2" t="s">
        <v>49</v>
      </c>
      <c r="GB47" s="2" t="s">
        <v>49</v>
      </c>
      <c r="GC47" s="2"/>
      <c r="GD47" s="2"/>
      <c r="GE47" s="2"/>
      <c r="GF47" s="2" t="s">
        <v>49</v>
      </c>
      <c r="GG47" s="2" t="s">
        <v>49</v>
      </c>
      <c r="GH47" s="2" t="s">
        <v>49</v>
      </c>
      <c r="GI47" s="2" t="s">
        <v>49</v>
      </c>
      <c r="GJ47" s="2" t="s">
        <v>49</v>
      </c>
      <c r="GK47" s="2"/>
      <c r="GL47" s="2"/>
      <c r="GM47" s="2" t="s">
        <v>49</v>
      </c>
      <c r="GN47" s="2" t="s">
        <v>49</v>
      </c>
      <c r="GO47" s="2" t="s">
        <v>49</v>
      </c>
      <c r="GP47" s="2" t="s">
        <v>49</v>
      </c>
      <c r="GQ47" s="2" t="s">
        <v>49</v>
      </c>
      <c r="GR47" s="2"/>
      <c r="GS47" s="2"/>
      <c r="GT47" s="2" t="s">
        <v>49</v>
      </c>
      <c r="GU47" s="2" t="s">
        <v>49</v>
      </c>
      <c r="GV47" s="2" t="s">
        <v>49</v>
      </c>
      <c r="GW47" s="2" t="s">
        <v>49</v>
      </c>
      <c r="GX47" s="2" t="s">
        <v>49</v>
      </c>
      <c r="GY47" s="2"/>
      <c r="GZ47" s="2"/>
      <c r="HA47" s="2" t="s">
        <v>49</v>
      </c>
      <c r="HB47" s="2" t="s">
        <v>49</v>
      </c>
      <c r="HC47" s="2" t="s">
        <v>49</v>
      </c>
      <c r="HD47" s="2" t="s">
        <v>49</v>
      </c>
      <c r="HE47" s="2" t="s">
        <v>49</v>
      </c>
      <c r="HF47" s="2"/>
      <c r="HG47" s="2"/>
      <c r="HH47" s="2" t="s">
        <v>49</v>
      </c>
      <c r="HI47" s="2" t="s">
        <v>49</v>
      </c>
      <c r="HJ47" s="2" t="s">
        <v>49</v>
      </c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20</v>
      </c>
      <c r="NK47" s="20">
        <f t="array" aca="1" ref="NK47" ca="1">SUMPRODUCT((OFFSET($A47,0,1,1,372)&lt;&gt;"")*(IF(OFFSET($A47,0,1,1,372)=$OD$12,0.5,1)*(OFFSET($A$3,0,1,1,372))))</f>
        <v>114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88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48" spans="1:391" x14ac:dyDescent="0.45">
      <c r="A48" s="44" t="s">
        <v>96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 t="s">
        <v>33</v>
      </c>
      <c r="FD48" s="2" t="s">
        <v>33</v>
      </c>
      <c r="FE48" s="2" t="s">
        <v>33</v>
      </c>
      <c r="FF48" s="2" t="s">
        <v>33</v>
      </c>
      <c r="FG48" s="2" t="s">
        <v>33</v>
      </c>
      <c r="FH48" s="2"/>
      <c r="FI48" s="2"/>
      <c r="FJ48" s="2" t="s">
        <v>33</v>
      </c>
      <c r="FK48" s="2" t="s">
        <v>33</v>
      </c>
      <c r="FL48" s="2" t="s">
        <v>33</v>
      </c>
      <c r="FM48" s="2" t="s">
        <v>33</v>
      </c>
      <c r="FN48" s="2" t="s">
        <v>33</v>
      </c>
      <c r="FO48" s="2"/>
      <c r="FP48" s="2"/>
      <c r="FQ48" s="2" t="s">
        <v>33</v>
      </c>
      <c r="FR48" s="2" t="s">
        <v>33</v>
      </c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12</v>
      </c>
      <c r="NK48" s="20">
        <f t="array" aca="1" ref="NK48" ca="1">SUMPRODUCT((OFFSET($A48,0,1,1,372)&lt;&gt;"")*(IF(OFFSET($A48,0,1,1,372)=$OD$12,0.5,1)*(OFFSET($A$3,0,1,1,372))))</f>
        <v>21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16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49" spans="1:391" x14ac:dyDescent="0.45">
      <c r="A49" s="44" t="s">
        <v>97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 t="s">
        <v>33</v>
      </c>
      <c r="EI49" s="2" t="s">
        <v>33</v>
      </c>
      <c r="EJ49" s="2" t="s">
        <v>33</v>
      </c>
      <c r="EK49" s="2" t="s">
        <v>33</v>
      </c>
      <c r="EL49" s="2" t="s">
        <v>33</v>
      </c>
      <c r="EM49" s="2"/>
      <c r="EN49" s="2"/>
      <c r="EO49" s="2" t="s">
        <v>33</v>
      </c>
      <c r="EP49" s="2" t="s">
        <v>33</v>
      </c>
      <c r="EQ49" s="2" t="s">
        <v>33</v>
      </c>
      <c r="ER49" s="2" t="s">
        <v>33</v>
      </c>
      <c r="ES49" s="2" t="s">
        <v>33</v>
      </c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0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0" spans="1:391" x14ac:dyDescent="0.45">
      <c r="A50" s="44" t="s">
        <v>98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 t="s">
        <v>33</v>
      </c>
      <c r="DU50" s="2" t="s">
        <v>33</v>
      </c>
      <c r="DV50" s="2" t="s">
        <v>33</v>
      </c>
      <c r="DW50" s="2" t="s">
        <v>33</v>
      </c>
      <c r="DX50" s="2" t="s">
        <v>33</v>
      </c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0</v>
      </c>
      <c r="NK50" s="20">
        <f t="array" aca="1" ref="NK50" ca="1">SUMPRODUCT((OFFSET($A50,0,1,1,372)&lt;&gt;"")*(IF(OFFSET($A50,0,1,1,372)=$OD$12,0.5,1)*(OFFSET($A$3,0,1,1,372))))</f>
        <v>19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14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1" spans="1:391" x14ac:dyDescent="0.45">
      <c r="A51" s="44" t="s">
        <v>99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 t="s">
        <v>33</v>
      </c>
      <c r="AN51" s="2" t="s">
        <v>33</v>
      </c>
      <c r="AO51" s="36" t="s">
        <v>35</v>
      </c>
      <c r="AP51" s="2" t="s">
        <v>33</v>
      </c>
      <c r="AQ51" s="2" t="s">
        <v>33</v>
      </c>
      <c r="AR51" s="2"/>
      <c r="AS51" s="2"/>
      <c r="AT51" s="2" t="s">
        <v>33</v>
      </c>
      <c r="AU51" s="2" t="s">
        <v>33</v>
      </c>
      <c r="AV51" s="2" t="s">
        <v>33</v>
      </c>
      <c r="AW51" s="2" t="s">
        <v>33</v>
      </c>
      <c r="AX51" s="2" t="s">
        <v>33</v>
      </c>
      <c r="AY51" s="2"/>
      <c r="AZ51" s="2"/>
      <c r="BA51" s="2" t="s">
        <v>33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 t="s">
        <v>33</v>
      </c>
      <c r="EB51" s="2" t="s">
        <v>33</v>
      </c>
      <c r="EC51" s="2" t="s">
        <v>33</v>
      </c>
      <c r="ED51" s="2" t="s">
        <v>33</v>
      </c>
      <c r="EE51" s="2" t="s">
        <v>33</v>
      </c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0</v>
      </c>
      <c r="NK51" s="20">
        <f t="array" aca="1" ref="NK51" ca="1">SUMPRODUCT((OFFSET($A51,0,1,1,372)&lt;&gt;"")*(IF(OFFSET($A51,0,1,1,372)=$OD$12,0.5,1)*(OFFSET($A$3,0,1,1,372))))</f>
        <v>29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24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2" spans="1:391" x14ac:dyDescent="0.45">
      <c r="A52" s="44" t="s">
        <v>100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 t="s">
        <v>33</v>
      </c>
      <c r="EI52" s="2" t="s">
        <v>33</v>
      </c>
      <c r="EJ52" s="2" t="s">
        <v>33</v>
      </c>
      <c r="EK52" s="2" t="s">
        <v>33</v>
      </c>
      <c r="EL52" s="2" t="s">
        <v>33</v>
      </c>
      <c r="EM52" s="2"/>
      <c r="EN52" s="2"/>
      <c r="EO52" s="2" t="s">
        <v>33</v>
      </c>
      <c r="EP52" s="2" t="s">
        <v>33</v>
      </c>
      <c r="EQ52" s="2" t="s">
        <v>33</v>
      </c>
      <c r="ER52" s="2" t="s">
        <v>33</v>
      </c>
      <c r="ES52" s="2" t="s">
        <v>33</v>
      </c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0</v>
      </c>
      <c r="NK52" s="20">
        <f t="array" aca="1" ref="NK52" ca="1">SUMPRODUCT((OFFSET($A52,0,1,1,372)&lt;&gt;"")*(IF(OFFSET($A52,0,1,1,372)=$OD$12,0.5,1)*(OFFSET($A$3,0,1,1,372))))</f>
        <v>19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14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3" spans="1:391" x14ac:dyDescent="0.45">
      <c r="A53" s="44" t="s">
        <v>101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 t="s">
        <v>49</v>
      </c>
      <c r="BY53" s="2" t="s">
        <v>49</v>
      </c>
      <c r="BZ53" s="2" t="s">
        <v>49</v>
      </c>
      <c r="CA53" s="2"/>
      <c r="CB53" s="2"/>
      <c r="CC53" s="2" t="s">
        <v>49</v>
      </c>
      <c r="CD53" s="2" t="s">
        <v>49</v>
      </c>
      <c r="CE53" s="2" t="s">
        <v>49</v>
      </c>
      <c r="CF53" s="2" t="s">
        <v>49</v>
      </c>
      <c r="CG53" s="2" t="s">
        <v>49</v>
      </c>
      <c r="CH53" s="2"/>
      <c r="CI53" s="2"/>
      <c r="CJ53" s="2" t="s">
        <v>49</v>
      </c>
      <c r="CK53" s="2" t="s">
        <v>49</v>
      </c>
      <c r="CL53" s="2" t="s">
        <v>49</v>
      </c>
      <c r="CM53" s="2" t="s">
        <v>49</v>
      </c>
      <c r="CN53" s="2" t="s">
        <v>49</v>
      </c>
      <c r="CO53" s="2"/>
      <c r="CP53" s="2"/>
      <c r="CQ53" s="2"/>
      <c r="CR53" s="2" t="s">
        <v>49</v>
      </c>
      <c r="CS53" s="2" t="s">
        <v>35</v>
      </c>
      <c r="CT53" s="2" t="s">
        <v>49</v>
      </c>
      <c r="CU53" s="2" t="s">
        <v>49</v>
      </c>
      <c r="CV53" s="2" t="s">
        <v>49</v>
      </c>
      <c r="CW53" s="2"/>
      <c r="CX53" s="2"/>
      <c r="CY53" s="2" t="s">
        <v>49</v>
      </c>
      <c r="CZ53" s="2" t="s">
        <v>49</v>
      </c>
      <c r="DA53" s="2" t="s">
        <v>49</v>
      </c>
      <c r="DB53" s="2" t="s">
        <v>49</v>
      </c>
      <c r="DC53" s="2" t="s">
        <v>49</v>
      </c>
      <c r="DD53" s="2"/>
      <c r="DE53" s="2"/>
      <c r="DF53" s="2" t="s">
        <v>49</v>
      </c>
      <c r="DG53" s="2" t="s">
        <v>49</v>
      </c>
      <c r="DH53" s="2" t="s">
        <v>49</v>
      </c>
      <c r="DI53" s="2" t="s">
        <v>49</v>
      </c>
      <c r="DJ53" s="2" t="s">
        <v>49</v>
      </c>
      <c r="DK53" s="2"/>
      <c r="DL53" s="2"/>
      <c r="DM53" s="2" t="s">
        <v>49</v>
      </c>
      <c r="DN53" s="2" t="s">
        <v>49</v>
      </c>
      <c r="DO53" s="2" t="s">
        <v>49</v>
      </c>
      <c r="DP53" s="2" t="s">
        <v>49</v>
      </c>
      <c r="DQ53" s="2" t="s">
        <v>49</v>
      </c>
      <c r="DR53" s="2"/>
      <c r="DS53" s="2"/>
      <c r="DT53" s="2" t="s">
        <v>49</v>
      </c>
      <c r="DU53" s="2" t="s">
        <v>49</v>
      </c>
      <c r="DV53" s="2" t="s">
        <v>49</v>
      </c>
      <c r="DW53" s="2" t="s">
        <v>49</v>
      </c>
      <c r="DX53" s="2" t="s">
        <v>49</v>
      </c>
      <c r="DY53" s="2"/>
      <c r="DZ53" s="2"/>
      <c r="EA53" s="2" t="s">
        <v>49</v>
      </c>
      <c r="EB53" s="2" t="s">
        <v>49</v>
      </c>
      <c r="EC53" s="2" t="s">
        <v>49</v>
      </c>
      <c r="ED53" s="2" t="s">
        <v>49</v>
      </c>
      <c r="EE53" s="2" t="s">
        <v>49</v>
      </c>
      <c r="EF53" s="2"/>
      <c r="EG53" s="2"/>
      <c r="EH53" s="2" t="s">
        <v>49</v>
      </c>
      <c r="EI53" s="2" t="s">
        <v>49</v>
      </c>
      <c r="EJ53" s="2" t="s">
        <v>49</v>
      </c>
      <c r="EK53" s="2" t="s">
        <v>49</v>
      </c>
      <c r="EL53" s="2" t="s">
        <v>49</v>
      </c>
      <c r="EM53" s="2"/>
      <c r="EN53" s="2"/>
      <c r="EO53" s="2" t="s">
        <v>49</v>
      </c>
      <c r="EP53" s="2" t="s">
        <v>49</v>
      </c>
      <c r="EQ53" s="2" t="s">
        <v>49</v>
      </c>
      <c r="ER53" s="2" t="s">
        <v>49</v>
      </c>
      <c r="ES53" s="2" t="s">
        <v>49</v>
      </c>
      <c r="ET53" s="2"/>
      <c r="EU53" s="2"/>
      <c r="EV53" s="2" t="s">
        <v>49</v>
      </c>
      <c r="EW53" s="2" t="s">
        <v>49</v>
      </c>
      <c r="EX53" s="2" t="s">
        <v>49</v>
      </c>
      <c r="EY53" s="2" t="s">
        <v>49</v>
      </c>
      <c r="EZ53" s="2" t="s">
        <v>49</v>
      </c>
      <c r="FA53" s="2"/>
      <c r="FB53" s="2"/>
      <c r="FC53" s="2" t="s">
        <v>49</v>
      </c>
      <c r="FD53" s="2" t="s">
        <v>49</v>
      </c>
      <c r="FE53" s="2" t="s">
        <v>49</v>
      </c>
      <c r="FF53" s="2" t="s">
        <v>49</v>
      </c>
      <c r="FG53" s="2" t="s">
        <v>49</v>
      </c>
      <c r="FH53" s="2"/>
      <c r="FI53" s="2"/>
      <c r="FJ53" s="2" t="s">
        <v>49</v>
      </c>
      <c r="FK53" s="2" t="s">
        <v>49</v>
      </c>
      <c r="FL53" s="2" t="s">
        <v>49</v>
      </c>
      <c r="FM53" s="2" t="s">
        <v>49</v>
      </c>
      <c r="FN53" s="2" t="s">
        <v>49</v>
      </c>
      <c r="FO53" s="2"/>
      <c r="FP53" s="2"/>
      <c r="FQ53" s="2" t="s">
        <v>49</v>
      </c>
      <c r="FR53" s="2" t="s">
        <v>49</v>
      </c>
      <c r="FS53" s="2" t="s">
        <v>49</v>
      </c>
      <c r="FT53" s="2" t="s">
        <v>49</v>
      </c>
      <c r="FU53" s="2" t="s">
        <v>49</v>
      </c>
      <c r="FV53" s="2"/>
      <c r="FW53" s="2"/>
      <c r="FX53" s="2" t="s">
        <v>49</v>
      </c>
      <c r="FY53" s="2" t="s">
        <v>49</v>
      </c>
      <c r="FZ53" s="2" t="s">
        <v>49</v>
      </c>
      <c r="GA53" s="2" t="s">
        <v>49</v>
      </c>
      <c r="GB53" s="2" t="s">
        <v>49</v>
      </c>
      <c r="GC53" s="2"/>
      <c r="GD53" s="2"/>
      <c r="GE53" s="2"/>
      <c r="GF53" s="2" t="s">
        <v>49</v>
      </c>
      <c r="GG53" s="2" t="s">
        <v>49</v>
      </c>
      <c r="GH53" s="2" t="s">
        <v>49</v>
      </c>
      <c r="GI53" s="2" t="s">
        <v>49</v>
      </c>
      <c r="GJ53" s="2" t="s">
        <v>49</v>
      </c>
      <c r="GK53" s="2"/>
      <c r="GL53" s="2"/>
      <c r="GM53" s="2" t="s">
        <v>49</v>
      </c>
      <c r="GN53" s="2" t="s">
        <v>49</v>
      </c>
      <c r="GO53" s="2" t="s">
        <v>49</v>
      </c>
      <c r="GP53" s="2" t="s">
        <v>49</v>
      </c>
      <c r="GQ53" s="2" t="s">
        <v>49</v>
      </c>
      <c r="GR53" s="2"/>
      <c r="GS53" s="2"/>
      <c r="GT53" s="2" t="s">
        <v>49</v>
      </c>
      <c r="GU53" s="2" t="s">
        <v>49</v>
      </c>
      <c r="GV53" s="2" t="s">
        <v>49</v>
      </c>
      <c r="GW53" s="2" t="s">
        <v>49</v>
      </c>
      <c r="GX53" s="2" t="s">
        <v>49</v>
      </c>
      <c r="GY53" s="2"/>
      <c r="GZ53" s="2"/>
      <c r="HA53" s="2" t="s">
        <v>49</v>
      </c>
      <c r="HB53" s="2" t="s">
        <v>49</v>
      </c>
      <c r="HC53" s="2" t="s">
        <v>49</v>
      </c>
      <c r="HD53" s="2" t="s">
        <v>49</v>
      </c>
      <c r="HE53" s="2" t="s">
        <v>49</v>
      </c>
      <c r="HF53" s="2"/>
      <c r="HG53" s="2"/>
      <c r="HH53" s="2" t="s">
        <v>49</v>
      </c>
      <c r="HI53" s="2" t="s">
        <v>49</v>
      </c>
      <c r="HJ53" s="2" t="s">
        <v>49</v>
      </c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20</v>
      </c>
      <c r="NK53" s="20">
        <f t="array" aca="1" ref="NK53" ca="1">SUMPRODUCT((OFFSET($A53,0,1,1,372)&lt;&gt;"")*(IF(OFFSET($A53,0,1,1,372)=$OD$12,0.5,1)*(OFFSET($A$3,0,1,1,372))))</f>
        <v>109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83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21</v>
      </c>
    </row>
    <row r="54" spans="1:391" x14ac:dyDescent="0.45">
      <c r="A54" s="1" t="s">
        <v>102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 t="s">
        <v>33</v>
      </c>
      <c r="DR54" s="2"/>
      <c r="DS54" s="2"/>
      <c r="DT54" s="2" t="s">
        <v>33</v>
      </c>
      <c r="DU54" s="2" t="s">
        <v>33</v>
      </c>
      <c r="DV54" s="2" t="s">
        <v>33</v>
      </c>
      <c r="DW54" s="2" t="s">
        <v>33</v>
      </c>
      <c r="DX54" s="2" t="s">
        <v>33</v>
      </c>
      <c r="DY54" s="2"/>
      <c r="DZ54" s="2"/>
      <c r="EA54" s="2" t="s">
        <v>33</v>
      </c>
      <c r="EB54" s="2" t="s">
        <v>33</v>
      </c>
      <c r="EC54" s="2" t="s">
        <v>33</v>
      </c>
      <c r="ED54" s="2" t="s">
        <v>33</v>
      </c>
      <c r="EE54" s="2" t="s">
        <v>33</v>
      </c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0</v>
      </c>
      <c r="NK54" s="20">
        <f t="array" aca="1" ref="NK54" ca="1">SUMPRODUCT((OFFSET($A54,0,1,1,372)&lt;&gt;"")*(IF(OFFSET($A54,0,1,1,372)=$OD$12,0.5,1)*(OFFSET($A$3,0,1,1,372))))</f>
        <v>20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15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103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 t="s">
        <v>33</v>
      </c>
      <c r="BI55" s="2" t="s">
        <v>33</v>
      </c>
      <c r="BJ55" s="2" t="s">
        <v>33</v>
      </c>
      <c r="BK55" s="2" t="s">
        <v>33</v>
      </c>
      <c r="BL55" s="2" t="s">
        <v>33</v>
      </c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14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9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104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 t="s">
        <v>33</v>
      </c>
      <c r="CV56" s="2" t="s">
        <v>33</v>
      </c>
      <c r="CW56" s="2"/>
      <c r="CX56" s="2"/>
      <c r="CY56" s="2" t="s">
        <v>33</v>
      </c>
      <c r="CZ56" s="2" t="s">
        <v>33</v>
      </c>
      <c r="DA56" s="2" t="s">
        <v>33</v>
      </c>
      <c r="DB56" s="2" t="s">
        <v>33</v>
      </c>
      <c r="DC56" s="2" t="s">
        <v>33</v>
      </c>
      <c r="DD56" s="2"/>
      <c r="DE56" s="2"/>
      <c r="DF56" s="2" t="s">
        <v>33</v>
      </c>
      <c r="DG56" s="2" t="s">
        <v>33</v>
      </c>
      <c r="DH56" s="2" t="s">
        <v>33</v>
      </c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19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14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105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9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4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8" spans="1:391" x14ac:dyDescent="0.45">
      <c r="A58" s="44" t="s">
        <v>106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 t="s">
        <v>33</v>
      </c>
      <c r="FH58" s="2"/>
      <c r="FI58" s="2"/>
      <c r="FJ58" s="2" t="s">
        <v>33</v>
      </c>
      <c r="FK58" s="2" t="s">
        <v>33</v>
      </c>
      <c r="FL58" s="2" t="s">
        <v>33</v>
      </c>
      <c r="FM58" s="2" t="s">
        <v>33</v>
      </c>
      <c r="FN58" s="2" t="s">
        <v>33</v>
      </c>
      <c r="FO58" s="2"/>
      <c r="FP58" s="2"/>
      <c r="FQ58" s="2" t="s">
        <v>33</v>
      </c>
      <c r="FR58" s="2" t="s">
        <v>33</v>
      </c>
      <c r="FS58" s="2" t="s">
        <v>33</v>
      </c>
      <c r="FT58" s="2" t="s">
        <v>33</v>
      </c>
      <c r="FU58" s="2" t="s">
        <v>33</v>
      </c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11</v>
      </c>
      <c r="NK58" s="20">
        <f t="array" aca="1" ref="NK58" ca="1">SUMPRODUCT((OFFSET($A58,0,1,1,372)&lt;&gt;"")*(IF(OFFSET($A58,0,1,1,372)=$OD$12,0.5,1)*(OFFSET($A$3,0,1,1,372))))</f>
        <v>20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15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9" spans="1:391" x14ac:dyDescent="0.45">
      <c r="A59" s="44" t="s">
        <v>107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19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14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0" spans="1:391" x14ac:dyDescent="0.45">
      <c r="A60" s="44" t="s">
        <v>108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 t="s">
        <v>33</v>
      </c>
      <c r="DB60" s="2" t="s">
        <v>33</v>
      </c>
      <c r="DC60" s="2" t="s">
        <v>33</v>
      </c>
      <c r="DD60" s="2"/>
      <c r="DE60" s="2"/>
      <c r="DF60" s="2" t="s">
        <v>33</v>
      </c>
      <c r="DG60" s="2" t="s">
        <v>33</v>
      </c>
      <c r="DH60" s="2" t="s">
        <v>33</v>
      </c>
      <c r="DI60" s="2" t="s">
        <v>33</v>
      </c>
      <c r="DJ60" s="2" t="s">
        <v>33</v>
      </c>
      <c r="DK60" s="2"/>
      <c r="DL60" s="2"/>
      <c r="DM60" s="2" t="s">
        <v>33</v>
      </c>
      <c r="DN60" s="2" t="s">
        <v>33</v>
      </c>
      <c r="DO60" s="2" t="s">
        <v>33</v>
      </c>
      <c r="DP60" s="2" t="s">
        <v>33</v>
      </c>
      <c r="DQ60" s="2" t="s">
        <v>33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22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17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x14ac:dyDescent="0.45">
      <c r="A61" s="44" t="s">
        <v>109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6"/>
      <c r="R61" s="36" t="s">
        <v>35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36"/>
      <c r="AF61" s="2"/>
      <c r="AG61" s="36" t="s">
        <v>35</v>
      </c>
      <c r="AH61" s="2"/>
      <c r="AI61" s="2"/>
      <c r="AJ61" s="2"/>
      <c r="AK61" s="2"/>
      <c r="AL61" s="2"/>
      <c r="AM61" s="2"/>
      <c r="AN61" s="2"/>
      <c r="AO61" s="36" t="s">
        <v>35</v>
      </c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0</v>
      </c>
      <c r="NK61" s="20">
        <f t="array" aca="1" ref="NK61" ca="1">SUMPRODUCT((OFFSET($A61,0,1,1,372)&lt;&gt;"")*(IF(OFFSET($A61,0,1,1,372)=$OD$12,0.5,1)*(OFFSET($A$3,0,1,1,372))))</f>
        <v>9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4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1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s="45" customFormat="1" x14ac:dyDescent="0.45">
      <c r="A62" s="44" t="s">
        <v>179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 t="s">
        <v>33</v>
      </c>
      <c r="DN62" s="2" t="s">
        <v>33</v>
      </c>
      <c r="DO62" s="2" t="s">
        <v>33</v>
      </c>
      <c r="DP62" s="2" t="s">
        <v>33</v>
      </c>
      <c r="DQ62" s="2" t="s">
        <v>33</v>
      </c>
      <c r="DR62" s="2"/>
      <c r="DS62" s="2"/>
      <c r="DT62" s="2" t="s">
        <v>33</v>
      </c>
      <c r="DU62" s="2" t="s">
        <v>33</v>
      </c>
      <c r="DV62" s="2" t="s">
        <v>33</v>
      </c>
      <c r="DW62" s="2" t="s">
        <v>33</v>
      </c>
      <c r="DX62" s="2" t="s">
        <v>33</v>
      </c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0</v>
      </c>
      <c r="NK62" s="20">
        <f t="array" aca="1" ref="NK62" ca="1">SUMPRODUCT((OFFSET($A62,0,1,1,372)&lt;&gt;"")*(IF(OFFSET($A62,0,1,1,372)=$OD$12,0.5,1)*(OFFSET($A$3,0,1,1,372))))</f>
        <v>68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56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180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4" spans="1:391" s="45" customFormat="1" x14ac:dyDescent="0.45">
      <c r="A64" s="44" t="s">
        <v>181</v>
      </c>
      <c r="B64" s="2"/>
      <c r="C64" s="2" t="s">
        <v>49</v>
      </c>
      <c r="D64" s="2" t="s">
        <v>49</v>
      </c>
      <c r="E64" s="2" t="s">
        <v>49</v>
      </c>
      <c r="F64" s="2" t="s">
        <v>49</v>
      </c>
      <c r="G64" s="2" t="s">
        <v>49</v>
      </c>
      <c r="H64" s="2"/>
      <c r="I64" s="2"/>
      <c r="J64" s="2" t="s">
        <v>49</v>
      </c>
      <c r="K64" s="2" t="s">
        <v>49</v>
      </c>
      <c r="L64" s="2" t="s">
        <v>49</v>
      </c>
      <c r="M64" s="2" t="s">
        <v>49</v>
      </c>
      <c r="N64" s="2" t="s">
        <v>49</v>
      </c>
      <c r="O64" s="2"/>
      <c r="P64" s="2"/>
      <c r="Q64" s="2" t="s">
        <v>49</v>
      </c>
      <c r="R64" s="36" t="s">
        <v>35</v>
      </c>
      <c r="S64" s="2" t="s">
        <v>49</v>
      </c>
      <c r="T64" s="2" t="s">
        <v>49</v>
      </c>
      <c r="U64" s="2" t="s">
        <v>49</v>
      </c>
      <c r="V64" s="2"/>
      <c r="W64" s="2"/>
      <c r="X64" s="2" t="s">
        <v>49</v>
      </c>
      <c r="Y64" s="2" t="s">
        <v>49</v>
      </c>
      <c r="Z64" s="2" t="s">
        <v>49</v>
      </c>
      <c r="AA64" s="2" t="s">
        <v>49</v>
      </c>
      <c r="AB64" s="2" t="s">
        <v>49</v>
      </c>
      <c r="AC64" s="2"/>
      <c r="AD64" s="2"/>
      <c r="AE64" s="2" t="s">
        <v>49</v>
      </c>
      <c r="AF64" s="2"/>
      <c r="AG64" s="36" t="s">
        <v>35</v>
      </c>
      <c r="AH64" s="2" t="s">
        <v>49</v>
      </c>
      <c r="AI64" s="2" t="s">
        <v>49</v>
      </c>
      <c r="AJ64" s="2" t="s">
        <v>49</v>
      </c>
      <c r="AK64" s="2"/>
      <c r="AL64" s="2"/>
      <c r="AM64" s="2" t="s">
        <v>49</v>
      </c>
      <c r="AN64" s="2" t="s">
        <v>49</v>
      </c>
      <c r="AO64" s="36" t="s">
        <v>35</v>
      </c>
      <c r="AP64" s="2" t="s">
        <v>49</v>
      </c>
      <c r="AQ64" s="2" t="s">
        <v>49</v>
      </c>
      <c r="AR64" s="2"/>
      <c r="AS64" s="2"/>
      <c r="AT64" s="2" t="s">
        <v>49</v>
      </c>
      <c r="AU64" s="2" t="s">
        <v>49</v>
      </c>
      <c r="AV64" s="2" t="s">
        <v>49</v>
      </c>
      <c r="AW64" s="2" t="s">
        <v>49</v>
      </c>
      <c r="AX64" s="2" t="s">
        <v>49</v>
      </c>
      <c r="AY64" s="2"/>
      <c r="AZ64" s="2"/>
      <c r="BA64" s="2" t="s">
        <v>49</v>
      </c>
      <c r="BB64" s="2" t="s">
        <v>49</v>
      </c>
      <c r="BC64" s="2" t="s">
        <v>49</v>
      </c>
      <c r="BD64" s="2" t="s">
        <v>49</v>
      </c>
      <c r="BE64" s="2" t="s">
        <v>49</v>
      </c>
      <c r="BF64" s="2"/>
      <c r="BG64" s="2"/>
      <c r="BH64" s="2" t="s">
        <v>49</v>
      </c>
      <c r="BI64" s="2" t="s">
        <v>49</v>
      </c>
      <c r="BJ64" s="2" t="s">
        <v>49</v>
      </c>
      <c r="BK64" s="2" t="s">
        <v>49</v>
      </c>
      <c r="BL64" s="2" t="s">
        <v>49</v>
      </c>
      <c r="BM64" s="2"/>
      <c r="BN64" s="2"/>
      <c r="BO64" s="2" t="s">
        <v>49</v>
      </c>
      <c r="BP64" s="2" t="s">
        <v>49</v>
      </c>
      <c r="BQ64" s="2" t="s">
        <v>49</v>
      </c>
      <c r="BR64" s="2" t="s">
        <v>49</v>
      </c>
      <c r="BS64" s="2" t="s">
        <v>49</v>
      </c>
      <c r="BT64" s="2"/>
      <c r="BU64" s="2"/>
      <c r="BV64" s="2" t="s">
        <v>49</v>
      </c>
      <c r="BW64" s="2" t="s">
        <v>49</v>
      </c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 t="s">
        <v>35</v>
      </c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 t="s">
        <v>35</v>
      </c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 t="s">
        <v>35</v>
      </c>
      <c r="JO64" s="2"/>
      <c r="JP64" s="2"/>
      <c r="JQ64" s="2"/>
      <c r="JR64" s="2"/>
      <c r="JS64" s="2"/>
      <c r="JT64" s="2"/>
      <c r="JU64" s="2" t="s">
        <v>35</v>
      </c>
      <c r="JV64" s="2"/>
      <c r="JW64" s="2"/>
      <c r="JX64" s="2"/>
      <c r="JY64" s="2"/>
      <c r="JZ64" s="2"/>
      <c r="KA64" s="2" t="s">
        <v>35</v>
      </c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 t="s">
        <v>35</v>
      </c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14">
        <f t="array" aca="1" ref="NJ64" ca="1">SUMPRODUCT((OFFSET($A64,0,31*($A$3-1)+1,1,31)&lt;&gt;"")*(IF(OFFSET($A64,0,31*($A$3-1)+1,1,31)=$OD$12,0.5,1)*(OFFSET($A$4,0,31*($A$3-1)+1,1,31))))</f>
        <v>0</v>
      </c>
      <c r="NK64" s="20">
        <f t="array" aca="1" ref="NK64" ca="1">SUMPRODUCT((OFFSET($A64,0,1,1,372)&lt;&gt;"")*(IF(OFFSET($A64,0,1,1,372)=$OD$12,0.5,1)*(OFFSET($A$3,0,1,1,372))))</f>
        <v>58</v>
      </c>
      <c r="NL64" s="28">
        <f t="array" aca="1" ref="NL64" ca="1">SUMPRODUCT((OFFSET($A64,0,31*($A$4)+DAY(Holidays!$E$2),1,Holidays!$G$2)&lt;&gt;"")*(IF(OFFSET($A64,0,31*($A$4)+DAY(Holidays!$E$2),1,Holidays!$G$2)=$OD$12,0.5,1)*(OFFSET($A$3,0,31*($A$4)+DAY(Holidays!$E$2),1,Holidays!$G$2))))</f>
        <v>46</v>
      </c>
      <c r="NM64" s="52">
        <f t="array" aca="1" ref="NM64" ca="1">SUMPRODUCT((OFFSET($A64,0,31*($A$4)+DAY(VLOOKUP(NM$5,Sprints[],2,FALSE)),1,VLOOKUP(NM$5,Sprints[],4,FALSE))&lt;&gt;"")*(IF(OFFSET($A64,0,31*($A$4)+DAY(VLOOKUP(NM$5,Sprints[],2,FALSE)),1,VLOOKUP(NM$5,Sprints[],4,FALSE))=$OD$12,0.5,1)*(OFFSET($A$3,0,31*($A$4)+DAY(VLOOKUP(NM$5,Sprints[],2,FALSE)),1,VLOOKUP(NM$5,Sprints[],4,FALSE)))))</f>
        <v>5</v>
      </c>
      <c r="NN64" s="52">
        <f t="array" aca="1" ref="NN64" ca="1">SUMPRODUCT((OFFSET($A64,0,31*($A$4)+DAY(VLOOKUP(NN$5,Sprints[],2,FALSE)),1,VLOOKUP(NN$5,Sprints[],4,FALSE))&lt;&gt;"")*(IF(OFFSET($A64,0,31*($A$4)+DAY(VLOOKUP(NN$5,Sprints[],2,FALSE)),1,VLOOKUP(NN$5,Sprints[],4,FALSE))=$OD$12,0.5,1)*(OFFSET($A$3,0,31*($A$4)+DAY(VLOOKUP(NN$5,Sprints[],2,FALSE)),1,VLOOKUP(NN$5,Sprints[],4,FALSE)))))</f>
        <v>10</v>
      </c>
      <c r="NO64" s="52">
        <f t="array" aca="1" ref="NO64" ca="1">SUMPRODUCT((OFFSET($A64,0,31*($A$4)+DAY(VLOOKUP(NO$5,Sprints[],2,FALSE)),1,VLOOKUP(NO$5,Sprints[],4,FALSE))&lt;&gt;"")*(IF(OFFSET($A64,0,31*($A$4)+DAY(VLOOKUP(NO$5,Sprints[],2,FALSE)),1,VLOOKUP(NO$5,Sprints[],4,FALSE))=$OD$12,0.5,1)*(OFFSET($A$3,0,31*($A$4)+DAY(VLOOKUP(NO$5,Sprints[],2,FALSE)),1,VLOOKUP(NO$5,Sprints[],4,FALSE)))))</f>
        <v>10</v>
      </c>
      <c r="NP64" s="52">
        <f t="array" aca="1" ref="NP64" ca="1">SUMPRODUCT((OFFSET($A64,0,31*(VLOOKUP(NP$5,Sprints[],5,FALSE))+DAY(VLOOKUP(NP$5,Sprints[],2,FALSE)),1,VLOOKUP(NP$5,Sprints[],4,FALSE))&lt;&gt;"")*(IF(OFFSET($A64,0,31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4" s="52">
        <f t="array" aca="1" ref="NQ64" ca="1">SUMPRODUCT((OFFSET($A64,0,31*(VLOOKUP(NQ$5,Sprints[],5,FALSE))+DAY(VLOOKUP(NQ$5,Sprints[],2,FALSE)),1,VLOOKUP(NQ$5,Sprints[],4,FALSE))&lt;&gt;"")*(IF(OFFSET($A64,0,31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4" s="52">
        <f t="array" aca="1" ref="NR64" ca="1">SUMPRODUCT((OFFSET($A64,0,31*(VLOOKUP(NR$5,Sprints[],5,FALSE))+DAY(VLOOKUP(NR$5,Sprints[],2,FALSE)),1,VLOOKUP(NR$5,Sprints[],4,FALSE))&lt;&gt;"")*(IF(OFFSET($A64,0,31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4" s="52">
        <f t="array" aca="1" ref="NS64" ca="1">SUMPRODUCT((OFFSET($A64,0,31*(VLOOKUP(NS$5,Sprints[],5,FALSE))+DAY(VLOOKUP(NS$5,Sprints[],2,FALSE)),1,VLOOKUP(NS$5,Sprints[],4,FALSE))&lt;&gt;"")*(IF(OFFSET($A64,0,31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4" s="52">
        <f t="array" aca="1" ref="NT64" ca="1">SUMPRODUCT((OFFSET($A64,0,31*(VLOOKUP(NT$5,Sprints[],5,FALSE))+DAY(VLOOKUP(NT$5,Sprints[],2,FALSE)),1,VLOOKUP(NT$5,Sprints[],4,FALSE))&lt;&gt;"")*(IF(OFFSET($A64,0,31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4" s="52">
        <f t="array" aca="1" ref="NU64" ca="1">SUMPRODUCT((OFFSET($A64,0,31*(VLOOKUP(NU$5,Sprints[],5,FALSE))+DAY(VLOOKUP(NU$5,Sprints[],2,FALSE)),1,VLOOKUP(NU$5,Sprints[],4,FALSE))&lt;&gt;"")*(IF(OFFSET($A64,0,31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4" s="52">
        <f t="array" aca="1" ref="NV64" ca="1">SUMPRODUCT((OFFSET($A64,0,31*(VLOOKUP(NV$5,Sprints[],5,FALSE))+DAY(VLOOKUP(NV$5,Sprints[],2,FALSE)),1,VLOOKUP(NV$5,Sprints[],4,FALSE))&lt;&gt;"")*(IF(OFFSET($A64,0,31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4" s="52">
        <f t="array" aca="1" ref="NW64" ca="1">SUMPRODUCT((OFFSET($A64,0,31*(VLOOKUP(NW$5,Sprints[],5,FALSE))+DAY(VLOOKUP(NW$5,Sprints[],2,FALSE)),1,VLOOKUP(NW$5,Sprints[],4,FALSE))&lt;&gt;"")*(IF(OFFSET($A64,0,31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4" s="52">
        <f t="array" aca="1" ref="NX64" ca="1">SUMPRODUCT((OFFSET($A64,0,31*(VLOOKUP(NX$5,Sprints[],5,FALSE))+DAY(VLOOKUP(NX$5,Sprints[],2,FALSE)),1,VLOOKUP(NX$5,Sprints[],4,FALSE))&lt;&gt;"")*(IF(OFFSET($A64,0,31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4" s="52">
        <f t="array" aca="1" ref="NY64" ca="1">SUMPRODUCT((OFFSET($A64,0,31*(VLOOKUP(NY$5,Sprints[],5,FALSE))+DAY(VLOOKUP(NY$5,Sprints[],2,FALSE)),1,VLOOKUP(NY$5,Sprints[],4,FALSE))&lt;&gt;"")*(IF(OFFSET($A64,0,31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4" s="52">
        <f t="array" aca="1" ref="NZ64" ca="1">SUMPRODUCT((OFFSET($A64,0,31*(VLOOKUP(NZ$5,Sprints[],5,FALSE))+DAY(VLOOKUP(NZ$5,Sprints[],2,FALSE)),1,VLOOKUP(NZ$5,Sprints[],4,FALSE))&lt;&gt;"")*(IF(OFFSET($A64,0,31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4" s="52">
        <f t="array" aca="1" ref="OA64" ca="1">SUMPRODUCT((OFFSET($A64,0,31*(VLOOKUP(OA$5,Sprints[],5,FALSE))+DAY(VLOOKUP(OA$5,Sprints[],2,FALSE)),1,VLOOKUP(OA$5,Sprints[],4,FALSE))&lt;&gt;"")*(IF(OFFSET($A64,0,31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6" spans="358:358" x14ac:dyDescent="0.45">
      <c r="MT66">
        <f>COUNTBLANK(CQ5:JU5)</f>
        <v>157</v>
      </c>
    </row>
  </sheetData>
  <mergeCells count="18">
    <mergeCell ref="NV5:NV6"/>
    <mergeCell ref="NW5:NW6"/>
    <mergeCell ref="NX5:NX6"/>
    <mergeCell ref="NY5:NY6"/>
    <mergeCell ref="OA5:OA6"/>
    <mergeCell ref="NZ5:NZ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D17:OD23">
    <cfRule type="expression" dxfId="125" priority="1301">
      <formula>OD17="No"</formula>
    </cfRule>
  </conditionalFormatting>
  <conditionalFormatting sqref="B6:NI6">
    <cfRule type="expression" dxfId="124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AY11:DM11 AY12:DL12 AY15:NI17 DO33:NI35 DO11:JM13 B36:NI64 DO23:NI28">
    <cfRule type="expression" dxfId="123" priority="1346" stopIfTrue="1">
      <formula>AND(B$5&lt;&gt;"",VLOOKUP(B$6,$OC$17:$OD$23,2,0)&lt;&gt;"Yes")</formula>
    </cfRule>
    <cfRule type="expression" dxfId="122" priority="1347" stopIfTrue="1">
      <formula>ISNUMBER(MATCH(DATE($A$2,$A$1+$A$3-1,B$5),HolidayListNamedRange,0))</formula>
    </cfRule>
    <cfRule type="expression" dxfId="121" priority="1348">
      <formula>OR(B8=$OD$11)</formula>
    </cfRule>
    <cfRule type="expression" dxfId="120" priority="1349">
      <formula>OR(B8=$OD$8,B8=$OD$9,B8=$OD$10)</formula>
    </cfRule>
    <cfRule type="expression" dxfId="119" priority="1350">
      <formula>OR(B8=$OD$12)</formula>
    </cfRule>
  </conditionalFormatting>
  <conditionalFormatting sqref="CG13 CD19:CG19 CF8:CG8 CE28:CG28 CC33:CG33">
    <cfRule type="expression" dxfId="118" priority="1576" stopIfTrue="1">
      <formula>AND(CJ$5&lt;&gt;"",VLOOKUP(CJ$6,$OC$17:$OD$23,2,0)&lt;&gt;"Yes")</formula>
    </cfRule>
    <cfRule type="expression" dxfId="117" priority="1577" stopIfTrue="1">
      <formula>ISNUMBER(MATCH(DATE($A$2,$A$1+$A$3-1,CJ$5),HolidayListNamedRange,0))</formula>
    </cfRule>
    <cfRule type="expression" dxfId="116" priority="1578">
      <formula>OR(CC8=$OD$11)</formula>
    </cfRule>
    <cfRule type="expression" dxfId="115" priority="1579">
      <formula>OR(CC8=$OD$8,CC8=$OD$9,CC8=$OD$10)</formula>
    </cfRule>
    <cfRule type="expression" dxfId="114" priority="1580">
      <formula>OR(CC8=$OD$12)</formula>
    </cfRule>
  </conditionalFormatting>
  <conditionalFormatting sqref="CJ26:CN26 CJ25">
    <cfRule type="expression" dxfId="113" priority="2141" stopIfTrue="1">
      <formula>AND(CC$5&lt;&gt;"",VLOOKUP(CC$6,$OC$17:$OD$23,2,0)&lt;&gt;"Yes")</formula>
    </cfRule>
    <cfRule type="expression" dxfId="112" priority="2142" stopIfTrue="1">
      <formula>ISNUMBER(MATCH(DATE($A$2,$A$1+$A$3-1,CC$5),HolidayListNamedRange,0))</formula>
    </cfRule>
    <cfRule type="expression" dxfId="111" priority="2143">
      <formula>OR(CJ25=$OD$11)</formula>
    </cfRule>
    <cfRule type="expression" dxfId="110" priority="2144">
      <formula>OR(CJ25=$OD$8,CJ25=$OD$9,CJ25=$OD$10)</formula>
    </cfRule>
    <cfRule type="expression" dxfId="109" priority="2145">
      <formula>OR(CJ25=$OD$12)</formula>
    </cfRule>
  </conditionalFormatting>
  <conditionalFormatting sqref="BV25:BZ25 CC25:CG25 CC26">
    <cfRule type="expression" dxfId="108" priority="2146" stopIfTrue="1">
      <formula>AND(CJ$5&lt;&gt;"",VLOOKUP(CJ$6,$OC$17:$OD$23,2,0)&lt;&gt;"Yes")</formula>
    </cfRule>
    <cfRule type="expression" dxfId="107" priority="2147" stopIfTrue="1">
      <formula>ISNUMBER(MATCH(DATE($A$2,$A$1+$A$3-1,CJ$5),HolidayListNamedRange,0))</formula>
    </cfRule>
    <cfRule type="expression" dxfId="106" priority="2148">
      <formula>OR(BV25=$OD$11)</formula>
    </cfRule>
    <cfRule type="expression" dxfId="105" priority="2149">
      <formula>OR(BV25=$OD$8,BV25=$OD$9,BV25=$OD$10)</formula>
    </cfRule>
    <cfRule type="expression" dxfId="104" priority="2150">
      <formula>OR(BV25=$OD$12)</formula>
    </cfRule>
  </conditionalFormatting>
  <conditionalFormatting sqref="EV14:EZ14">
    <cfRule type="expression" dxfId="103" priority="41" stopIfTrue="1">
      <formula>AND(EV$5&lt;&gt;"",VLOOKUP(EV$6,$OC$17:$OD$23,2,0)&lt;&gt;"Yes")</formula>
    </cfRule>
    <cfRule type="expression" dxfId="102" priority="42" stopIfTrue="1">
      <formula>ISNUMBER(MATCH(DATE($A$2,$A$1+$A$3-1,EV$5),HolidayListNamedRange,0))</formula>
    </cfRule>
    <cfRule type="expression" dxfId="101" priority="43">
      <formula>OR(EV14=$OD$11)</formula>
    </cfRule>
    <cfRule type="expression" dxfId="100" priority="44">
      <formula>OR(EV14=$OD$8,EV14=$OD$9,EV14=$OD$10)</formula>
    </cfRule>
    <cfRule type="expression" dxfId="99" priority="45">
      <formula>OR(EV14=$OD$12)</formula>
    </cfRule>
  </conditionalFormatting>
  <conditionalFormatting sqref="DN11:DN14">
    <cfRule type="expression" dxfId="98" priority="36" stopIfTrue="1">
      <formula>AND(DN$5&lt;&gt;"",VLOOKUP(DN$6,$OC$17:$OD$23,2,0)&lt;&gt;"Yes")</formula>
    </cfRule>
    <cfRule type="expression" dxfId="97" priority="37" stopIfTrue="1">
      <formula>ISNUMBER(MATCH(DATE($A$2,$A$1+$A$3-1,DN$5),HolidayListNamedRange,0))</formula>
    </cfRule>
    <cfRule type="expression" dxfId="96" priority="38">
      <formula>OR(DN11=$OD$11)</formula>
    </cfRule>
    <cfRule type="expression" dxfId="95" priority="39">
      <formula>OR(DN11=$OD$8,DN11=$OD$9,DN11=$OD$10)</formula>
    </cfRule>
    <cfRule type="expression" dxfId="94" priority="40">
      <formula>OR(DN11=$OD$12)</formula>
    </cfRule>
  </conditionalFormatting>
  <conditionalFormatting sqref="DN18:DN21">
    <cfRule type="expression" dxfId="93" priority="31" stopIfTrue="1">
      <formula>AND(DN$5&lt;&gt;"",VLOOKUP(DN$6,$OC$17:$OD$23,2,0)&lt;&gt;"Yes")</formula>
    </cfRule>
    <cfRule type="expression" dxfId="92" priority="32" stopIfTrue="1">
      <formula>ISNUMBER(MATCH(DATE($A$2,$A$1+$A$3-1,DN$5),HolidayListNamedRange,0))</formula>
    </cfRule>
    <cfRule type="expression" dxfId="91" priority="33">
      <formula>OR(DN18=$OD$11)</formula>
    </cfRule>
    <cfRule type="expression" dxfId="90" priority="34">
      <formula>OR(DN18=$OD$8,DN18=$OD$9,DN18=$OD$10)</formula>
    </cfRule>
    <cfRule type="expression" dxfId="89" priority="35">
      <formula>OR(DN18=$OD$12)</formula>
    </cfRule>
  </conditionalFormatting>
  <conditionalFormatting sqref="DN23:DN28">
    <cfRule type="expression" dxfId="88" priority="26" stopIfTrue="1">
      <formula>AND(DN$5&lt;&gt;"",VLOOKUP(DN$6,$OC$17:$OD$23,2,0)&lt;&gt;"Yes")</formula>
    </cfRule>
    <cfRule type="expression" dxfId="87" priority="27" stopIfTrue="1">
      <formula>ISNUMBER(MATCH(DATE($A$2,$A$1+$A$3-1,DN$5),HolidayListNamedRange,0))</formula>
    </cfRule>
    <cfRule type="expression" dxfId="86" priority="28">
      <formula>OR(DN23=$OD$11)</formula>
    </cfRule>
    <cfRule type="expression" dxfId="85" priority="29">
      <formula>OR(DN23=$OD$8,DN23=$OD$9,DN23=$OD$10)</formula>
    </cfRule>
    <cfRule type="expression" dxfId="84" priority="30">
      <formula>OR(DN23=$OD$12)</formula>
    </cfRule>
  </conditionalFormatting>
  <conditionalFormatting sqref="DN33:DN35">
    <cfRule type="expression" dxfId="83" priority="21" stopIfTrue="1">
      <formula>AND(DN$5&lt;&gt;"",VLOOKUP(DN$6,$OC$17:$OD$23,2,0)&lt;&gt;"Yes")</formula>
    </cfRule>
    <cfRule type="expression" dxfId="82" priority="22" stopIfTrue="1">
      <formula>ISNUMBER(MATCH(DATE($A$2,$A$1+$A$3-1,DN$5),HolidayListNamedRange,0))</formula>
    </cfRule>
    <cfRule type="expression" dxfId="81" priority="23">
      <formula>OR(DN33=$OD$11)</formula>
    </cfRule>
    <cfRule type="expression" dxfId="80" priority="24">
      <formula>OR(DN33=$OD$8,DN33=$OD$9,DN33=$OD$10)</formula>
    </cfRule>
    <cfRule type="expression" dxfId="79" priority="25">
      <formula>OR(DN33=$OD$12)</formula>
    </cfRule>
  </conditionalFormatting>
  <conditionalFormatting sqref="DM12:DM14">
    <cfRule type="expression" dxfId="78" priority="16" stopIfTrue="1">
      <formula>AND(DM$5&lt;&gt;"",VLOOKUP(DM$6,$OC$17:$OD$23,2,0)&lt;&gt;"Yes")</formula>
    </cfRule>
    <cfRule type="expression" dxfId="77" priority="17" stopIfTrue="1">
      <formula>ISNUMBER(MATCH(DATE($A$2,$A$1+$A$3-1,DM$5),HolidayListNamedRange,0))</formula>
    </cfRule>
    <cfRule type="expression" dxfId="76" priority="18">
      <formula>OR(DM12=$OD$11)</formula>
    </cfRule>
    <cfRule type="expression" dxfId="75" priority="19">
      <formula>OR(DM12=$OD$8,DM12=$OD$9,DM12=$OD$10)</formula>
    </cfRule>
    <cfRule type="expression" dxfId="74" priority="20">
      <formula>OR(DM12=$OD$12)</formula>
    </cfRule>
  </conditionalFormatting>
  <conditionalFormatting sqref="DM18:DM21">
    <cfRule type="expression" dxfId="73" priority="11" stopIfTrue="1">
      <formula>AND(DM$5&lt;&gt;"",VLOOKUP(DM$6,$OC$17:$OD$23,2,0)&lt;&gt;"Yes")</formula>
    </cfRule>
    <cfRule type="expression" dxfId="72" priority="12" stopIfTrue="1">
      <formula>ISNUMBER(MATCH(DATE($A$2,$A$1+$A$3-1,DM$5),HolidayListNamedRange,0))</formula>
    </cfRule>
    <cfRule type="expression" dxfId="71" priority="13">
      <formula>OR(DM18=$OD$11)</formula>
    </cfRule>
    <cfRule type="expression" dxfId="70" priority="14">
      <formula>OR(DM18=$OD$8,DM18=$OD$9,DM18=$OD$10)</formula>
    </cfRule>
    <cfRule type="expression" dxfId="69" priority="15">
      <formula>OR(DM18=$OD$12)</formula>
    </cfRule>
  </conditionalFormatting>
  <conditionalFormatting sqref="DM23:DM28">
    <cfRule type="expression" dxfId="68" priority="6" stopIfTrue="1">
      <formula>AND(DM$5&lt;&gt;"",VLOOKUP(DM$6,$OC$17:$OD$23,2,0)&lt;&gt;"Yes")</formula>
    </cfRule>
    <cfRule type="expression" dxfId="67" priority="7" stopIfTrue="1">
      <formula>ISNUMBER(MATCH(DATE($A$2,$A$1+$A$3-1,DM$5),HolidayListNamedRange,0))</formula>
    </cfRule>
    <cfRule type="expression" dxfId="66" priority="8">
      <formula>OR(DM23=$OD$11)</formula>
    </cfRule>
    <cfRule type="expression" dxfId="65" priority="9">
      <formula>OR(DM23=$OD$8,DM23=$OD$9,DM23=$OD$10)</formula>
    </cfRule>
    <cfRule type="expression" dxfId="64" priority="10">
      <formula>OR(DM23=$OD$12)</formula>
    </cfRule>
  </conditionalFormatting>
  <conditionalFormatting sqref="DM33:DM35">
    <cfRule type="expression" dxfId="63" priority="1" stopIfTrue="1">
      <formula>AND(DM$5&lt;&gt;"",VLOOKUP(DM$6,$OC$17:$OD$23,2,0)&lt;&gt;"Yes")</formula>
    </cfRule>
    <cfRule type="expression" dxfId="62" priority="2" stopIfTrue="1">
      <formula>ISNUMBER(MATCH(DATE($A$2,$A$1+$A$3-1,DM$5),HolidayListNamedRange,0))</formula>
    </cfRule>
    <cfRule type="expression" dxfId="61" priority="3">
      <formula>OR(DM33=$OD$11)</formula>
    </cfRule>
    <cfRule type="expression" dxfId="60" priority="4">
      <formula>OR(DM33=$OD$8,DM33=$OD$9,DM33=$OD$10)</formula>
    </cfRule>
    <cfRule type="expression" dxfId="59" priority="5">
      <formula>OR(DM33=$OD$12)</formula>
    </cfRule>
  </conditionalFormatting>
  <dataValidations count="6">
    <dataValidation type="list" allowBlank="1" showInputMessage="1" showErrorMessage="1" sqref="OD17:OD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B36:NI64 DM9:NI31" xr:uid="{00000000-0002-0000-0000-000002000000}">
      <formula1>B$6&lt;&gt;""</formula1>
    </dataValidation>
    <dataValidation type="custom" allowBlank="1" showErrorMessage="1" errorTitle="Not a Valid Date" error="This isn't a valid Date" sqref="CF8:CG8 CG13 CD19:CG19 CE28:CG28 CC33:CG33" xr:uid="{00000000-0002-0000-0000-000003000000}">
      <formula1>CJ$6&lt;&gt;""</formula1>
    </dataValidation>
    <dataValidation type="custom" allowBlank="1" showErrorMessage="1" errorTitle="Not a Valid Date" error="This isn't a valid Date" sqref="CJ26:CN26 CJ25" xr:uid="{00000000-0002-0000-0000-000004000000}">
      <formula1>CC$6&lt;&gt;""</formula1>
    </dataValidation>
    <dataValidation type="custom" allowBlank="1" showErrorMessage="1" errorTitle="Not a Valid Date" error="This isn't a valid Date" sqref="BV25:BZ25 CC25:CG25 CC26" xr:uid="{00000000-0002-0000-0000-000005000000}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72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Tracker'!$A$8:$A$106,MATCH($A3,'Leave Tracker'!$A$8:$A$106,0)))),0,31*(VLOOKUP(G$1,Sprints[],5,FALSE))+DAY(VLOOKUP(G$1,Sprints[],2,FALSE)),1,VLOOKUP(G$1,Sprints[],4,FALSE))&lt;&gt;"")*(IF(OFFSET(INDIRECT(CELL("address",INDEX('Leave Tracker'!$A$8:$A$106,MATCH($A3,'Leave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Tracker'!$A$8:$A$106,MATCH($A3,'Leave Tracker'!$A$8:$A$106,0)))),0,31*(VLOOKUP(H$1,Sprints[],5,FALSE))+DAY(VLOOKUP(H$1,Sprints[],2,FALSE)),1,VLOOKUP(H$1,Sprints[],4,FALSE))&lt;&gt;"")*(IF(OFFSET(INDIRECT(CELL("address",INDEX('Leave Tracker'!$A$8:$A$106,MATCH($A3,'Leave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Tracker'!$A$8:$A$106,MATCH($A3,'Leave Tracker'!$A$8:$A$106,0)))),0,31*(VLOOKUP(I$1,Sprints[],5,FALSE))+DAY(VLOOKUP(I$1,Sprints[],2,FALSE)),1,VLOOKUP(I$1,Sprints[],4,FALSE))&lt;&gt;"")*(IF(OFFSET(INDIRECT(CELL("address",INDEX('Leave Tracker'!$A$8:$A$106,MATCH($A3,'Leave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Tracker'!$A$8:$A$106,MATCH($A3,'Leave Tracker'!$A$8:$A$106,0)))),0,31*(VLOOKUP(J$1,Sprints[],5,FALSE))+DAY(VLOOKUP(J$1,Sprints[],2,FALSE)),1,VLOOKUP(J$1,Sprints[],4,FALSE))&lt;&gt;"")*(IF(OFFSET(INDIRECT(CELL("address",INDEX('Leave Tracker'!$A$8:$A$106,MATCH($A3,'Leave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Tracker'!$A$8:$A$106,MATCH($A3,'Leave Tracker'!$A$8:$A$106,0)))),0,31*(VLOOKUP(K$1,Sprints[],5,FALSE))+DAY(VLOOKUP(K$1,Sprints[],2,FALSE)),1,VLOOKUP(K$1,Sprints[],4,FALSE))&lt;&gt;"")*(IF(OFFSET(INDIRECT(CELL("address",INDEX('Leave Tracker'!$A$8:$A$106,MATCH($A3,'Leave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Tracker'!$A$8:$A$106,MATCH($A3,'Leave Tracker'!$A$8:$A$106,0)))),0,31*(VLOOKUP(L$1,Sprints[],5,FALSE))+DAY(VLOOKUP(L$1,Sprints[],2,FALSE)),1,VLOOKUP(L$1,Sprints[],4,FALSE))&lt;&gt;"")*(IF(OFFSET(INDIRECT(CELL("address",INDEX('Leave Tracker'!$A$8:$A$106,MATCH($A3,'Leave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Tracker'!$A$8:$A$106,MATCH($A3,'Leave Tracker'!$A$8:$A$106,0)))),0,31*(VLOOKUP(M$1,Sprints[],5,FALSE))+DAY(VLOOKUP(M$1,Sprints[],2,FALSE)),1,VLOOKUP(M$1,Sprints[],4,FALSE))&lt;&gt;"")*(IF(OFFSET(INDIRECT(CELL("address",INDEX('Leave Tracker'!$A$8:$A$106,MATCH($A3,'Leave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Tracker'!$A$8:$A$106,MATCH($A3,'Leave Tracker'!$A$8:$A$106,0)))),0,31*(VLOOKUP(N$1,Sprints[],5,FALSE))+DAY(VLOOKUP(N$1,Sprints[],2,FALSE)),1,VLOOKUP(N$1,Sprints[],4,FALSE))&lt;&gt;"")*(IF(OFFSET(INDIRECT(CELL("address",INDEX('Leave Tracker'!$A$8:$A$106,MATCH($A3,'Leave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Tracker'!$A$8:$A$106,MATCH($A3,'Leave Tracker'!$A$8:$A$106,0)))),0,31*(VLOOKUP(O$1,Sprints[],5,FALSE))+DAY(VLOOKUP(O$1,Sprints[],2,FALSE)),1,VLOOKUP(O$1,Sprints[],4,FALSE))&lt;&gt;"")*(IF(OFFSET(INDIRECT(CELL("address",INDEX('Leave Tracker'!$A$8:$A$106,MATCH($A3,'Leave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Tracker'!$A$8:$A$106,MATCH($A3,'Leave Tracker'!$A$8:$A$106,0)))),0,31*(VLOOKUP(P$1,Sprints[],5,FALSE))+DAY(VLOOKUP(P$1,Sprints[],2,FALSE)),1,VLOOKUP(P$1,Sprints[],4,FALSE))&lt;&gt;"")*(IF(OFFSET(INDIRECT(CELL("address",INDEX('Leave Tracker'!$A$8:$A$106,MATCH($A3,'Leave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Tracker'!$A$8:$A$106,MATCH($A3,'Leave Tracker'!$A$8:$A$106,0)))),0,31*(VLOOKUP(Q$1,Sprints[],5,FALSE))+DAY(VLOOKUP(Q$1,Sprints[],2,FALSE)),1,VLOOKUP(Q$1,Sprints[],4,FALSE))&lt;&gt;"")*(IF(OFFSET(INDIRECT(CELL("address",INDEX('Leave Tracker'!$A$8:$A$106,MATCH($A3,'Leave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Tracker'!$A$8:$A$106,MATCH($A3,'Leave Tracker'!$A$8:$A$106,0)))),0,31*(VLOOKUP(R$1,Sprints[],5,FALSE))+DAY(VLOOKUP(R$1,Sprints[],2,FALSE)),1,VLOOKUP(R$1,Sprints[],4,FALSE))&lt;&gt;"")*(IF(OFFSET(INDIRECT(CELL("address",INDEX('Leave Tracker'!$A$8:$A$106,MATCH($A3,'Leave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1.1200000000000001</v>
      </c>
      <c r="S3" s="31">
        <f t="array" aca="1" ref="S3" ca="1">Sheet3!$W$2*$F3*(NETWORKDAYS(VLOOKUP(S$1,Sprints[],2,FALSE), VLOOKUP(S$1,Sprints[],3,FALSE))-SUMPRODUCT((OFFSET(INDIRECT(CELL("address",INDEX('Leave Tracker'!$A$8:$A$106,MATCH($A3,'Leave Tracker'!$A$8:$A$106,0)))),0,31*(VLOOKUP(S$1,Sprints[],5,FALSE))+DAY(VLOOKUP(S$1,Sprints[],2,FALSE)),1,VLOOKUP(S$1,Sprints[],4,FALSE))&lt;&gt;"")*(IF(OFFSET(INDIRECT(CELL("address",INDEX('Leave Tracker'!$A$8:$A$106,MATCH($A3,'Leave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Tracker'!$A$8:$A$106,MATCH($A3,'Leave Tracker'!$A$8:$A$106,0)))),0,31*(VLOOKUP(T$1,Sprints[],5,FALSE))+DAY(VLOOKUP(T$1,Sprints[],2,FALSE)),1,VLOOKUP(T$1,Sprints[],4,FALSE))&lt;&gt;"")*(IF(OFFSET(INDIRECT(CELL("address",INDEX('Leave Tracker'!$A$8:$A$106,MATCH($A3,'Leave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Tracker'!$A$8:$A$106,MATCH($A3,'Leave Tracker'!$A$8:$A$106,0)))),0,31*(VLOOKUP(U$1,Sprints[],5,FALSE))+DAY(VLOOKUP(U$1,Sprints[],2,FALSE)),1,VLOOKUP(U$1,Sprints[],4,FALSE))&lt;&gt;"")*(IF(OFFSET(INDIRECT(CELL("address",INDEX('Leave Tracker'!$A$8:$A$106,MATCH($A3,'Leave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3.3600000000000008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Tracker'!$A$8:$A$106,MATCH($A4,'Leave Tracker'!$A$8:$A$106,0)))),0,31*(VLOOKUP(G$1,Sprints[],5,FALSE))+DAY(VLOOKUP(G$1,Sprints[],2,FALSE)),1,VLOOKUP(G$1,Sprints[],4,FALSE))&lt;&gt;"")*(IF(OFFSET(INDIRECT(CELL("address",INDEX('Leave Tracker'!$A$8:$A$106,MATCH($A4,'Leave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Tracker'!$A$8:$A$106,MATCH($A4,'Leave Tracker'!$A$8:$A$106,0)))),0,31*(VLOOKUP(H$1,Sprints[],5,FALSE))+DAY(VLOOKUP(H$1,Sprints[],2,FALSE)),1,VLOOKUP(H$1,Sprints[],4,FALSE))&lt;&gt;"")*(IF(OFFSET(INDIRECT(CELL("address",INDEX('Leave Tracker'!$A$8:$A$106,MATCH($A4,'Leave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Tracker'!$A$8:$A$106,MATCH($A4,'Leave Tracker'!$A$8:$A$106,0)))),0,31*(VLOOKUP(I$1,Sprints[],5,FALSE))+DAY(VLOOKUP(I$1,Sprints[],2,FALSE)),1,VLOOKUP(I$1,Sprints[],4,FALSE))&lt;&gt;"")*(IF(OFFSET(INDIRECT(CELL("address",INDEX('Leave Tracker'!$A$8:$A$106,MATCH($A4,'Leave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Tracker'!$A$8:$A$106,MATCH($A4,'Leave Tracker'!$A$8:$A$106,0)))),0,31*(VLOOKUP(J$1,Sprints[],5,FALSE))+DAY(VLOOKUP(J$1,Sprints[],2,FALSE)),1,VLOOKUP(J$1,Sprints[],4,FALSE))&lt;&gt;"")*(IF(OFFSET(INDIRECT(CELL("address",INDEX('Leave Tracker'!$A$8:$A$106,MATCH($A4,'Leave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Tracker'!$A$8:$A$106,MATCH($A4,'Leave Tracker'!$A$8:$A$106,0)))),0,31*(VLOOKUP(K$1,Sprints[],5,FALSE))+DAY(VLOOKUP(K$1,Sprints[],2,FALSE)),1,VLOOKUP(K$1,Sprints[],4,FALSE))&lt;&gt;"")*(IF(OFFSET(INDIRECT(CELL("address",INDEX('Leave Tracker'!$A$8:$A$106,MATCH($A4,'Leave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Tracker'!$A$8:$A$106,MATCH($A4,'Leave Tracker'!$A$8:$A$106,0)))),0,31*(VLOOKUP(L$1,Sprints[],5,FALSE))+DAY(VLOOKUP(L$1,Sprints[],2,FALSE)),1,VLOOKUP(L$1,Sprints[],4,FALSE))&lt;&gt;"")*(IF(OFFSET(INDIRECT(CELL("address",INDEX('Leave Tracker'!$A$8:$A$106,MATCH($A4,'Leave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Tracker'!$A$8:$A$106,MATCH($A4,'Leave Tracker'!$A$8:$A$106,0)))),0,31*(VLOOKUP(M$1,Sprints[],5,FALSE))+DAY(VLOOKUP(M$1,Sprints[],2,FALSE)),1,VLOOKUP(M$1,Sprints[],4,FALSE))&lt;&gt;"")*(IF(OFFSET(INDIRECT(CELL("address",INDEX('Leave Tracker'!$A$8:$A$106,MATCH($A4,'Leave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Tracker'!$A$8:$A$106,MATCH($A4,'Leave Tracker'!$A$8:$A$106,0)))),0,31*(VLOOKUP(N$1,Sprints[],5,FALSE))+DAY(VLOOKUP(N$1,Sprints[],2,FALSE)),1,VLOOKUP(N$1,Sprints[],4,FALSE))&lt;&gt;"")*(IF(OFFSET(INDIRECT(CELL("address",INDEX('Leave Tracker'!$A$8:$A$106,MATCH($A4,'Leave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Tracker'!$A$8:$A$106,MATCH($A4,'Leave Tracker'!$A$8:$A$106,0)))),0,31*(VLOOKUP(O$1,Sprints[],5,FALSE))+DAY(VLOOKUP(O$1,Sprints[],2,FALSE)),1,VLOOKUP(O$1,Sprints[],4,FALSE))&lt;&gt;"")*(IF(OFFSET(INDIRECT(CELL("address",INDEX('Leave Tracker'!$A$8:$A$106,MATCH($A4,'Leave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Tracker'!$A$8:$A$106,MATCH($A4,'Leave Tracker'!$A$8:$A$106,0)))),0,31*(VLOOKUP(P$1,Sprints[],5,FALSE))+DAY(VLOOKUP(P$1,Sprints[],2,FALSE)),1,VLOOKUP(P$1,Sprints[],4,FALSE))&lt;&gt;"")*(IF(OFFSET(INDIRECT(CELL("address",INDEX('Leave Tracker'!$A$8:$A$106,MATCH($A4,'Leave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Tracker'!$A$8:$A$106,MATCH($A4,'Leave Tracker'!$A$8:$A$106,0)))),0,31*(VLOOKUP(Q$1,Sprints[],5,FALSE))+DAY(VLOOKUP(Q$1,Sprints[],2,FALSE)),1,VLOOKUP(Q$1,Sprints[],4,FALSE))&lt;&gt;"")*(IF(OFFSET(INDIRECT(CELL("address",INDEX('Leave Tracker'!$A$8:$A$106,MATCH($A4,'Leave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Tracker'!$A$8:$A$106,MATCH($A4,'Leave Tracker'!$A$8:$A$106,0)))),0,31*(VLOOKUP(R$1,Sprints[],5,FALSE))+DAY(VLOOKUP(R$1,Sprints[],2,FALSE)),1,VLOOKUP(R$1,Sprints[],4,FALSE))&lt;&gt;"")*(IF(OFFSET(INDIRECT(CELL("address",INDEX('Leave Tracker'!$A$8:$A$106,MATCH($A4,'Leave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Tracker'!$A$8:$A$106,MATCH($A4,'Leave Tracker'!$A$8:$A$106,0)))),0,31*(VLOOKUP(S$1,Sprints[],5,FALSE))+DAY(VLOOKUP(S$1,Sprints[],2,FALSE)),1,VLOOKUP(S$1,Sprints[],4,FALSE))&lt;&gt;"")*(IF(OFFSET(INDIRECT(CELL("address",INDEX('Leave Tracker'!$A$8:$A$106,MATCH($A4,'Leave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Tracker'!$A$8:$A$106,MATCH($A4,'Leave Tracker'!$A$8:$A$106,0)))),0,31*(VLOOKUP(T$1,Sprints[],5,FALSE))+DAY(VLOOKUP(T$1,Sprints[],2,FALSE)),1,VLOOKUP(T$1,Sprints[],4,FALSE))&lt;&gt;"")*(IF(OFFSET(INDIRECT(CELL("address",INDEX('Leave Tracker'!$A$8:$A$106,MATCH($A4,'Leave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Tracker'!$A$8:$A$106,MATCH($A4,'Leave Tracker'!$A$8:$A$106,0)))),0,31*(VLOOKUP(U$1,Sprints[],5,FALSE))+DAY(VLOOKUP(U$1,Sprints[],2,FALSE)),1,VLOOKUP(U$1,Sprints[],4,FALSE))&lt;&gt;"")*(IF(OFFSET(INDIRECT(CELL("address",INDEX('Leave Tracker'!$A$8:$A$106,MATCH($A4,'Leave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Tracker'!$A$8:$A$106,MATCH($A5,'Leave Tracker'!$A$8:$A$106,0)))),0,31*(VLOOKUP(G$1,Sprints[],5,FALSE))+DAY(VLOOKUP(G$1,Sprints[],2,FALSE)),1,VLOOKUP(G$1,Sprints[],4,FALSE))&lt;&gt;"")*(IF(OFFSET(INDIRECT(CELL("address",INDEX('Leave Tracker'!$A$8:$A$106,MATCH($A5,'Leave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Tracker'!$A$8:$A$106,MATCH($A5,'Leave Tracker'!$A$8:$A$106,0)))),0,31*(VLOOKUP(H$1,Sprints[],5,FALSE))+DAY(VLOOKUP(H$1,Sprints[],2,FALSE)),1,VLOOKUP(H$1,Sprints[],4,FALSE))&lt;&gt;"")*(IF(OFFSET(INDIRECT(CELL("address",INDEX('Leave Tracker'!$A$8:$A$106,MATCH($A5,'Leave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Tracker'!$A$8:$A$106,MATCH($A5,'Leave Tracker'!$A$8:$A$106,0)))),0,31*(VLOOKUP(I$1,Sprints[],5,FALSE))+DAY(VLOOKUP(I$1,Sprints[],2,FALSE)),1,VLOOKUP(I$1,Sprints[],4,FALSE))&lt;&gt;"")*(IF(OFFSET(INDIRECT(CELL("address",INDEX('Leave Tracker'!$A$8:$A$106,MATCH($A5,'Leave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Tracker'!$A$8:$A$106,MATCH($A5,'Leave Tracker'!$A$8:$A$106,0)))),0,31*(VLOOKUP(J$1,Sprints[],5,FALSE))+DAY(VLOOKUP(J$1,Sprints[],2,FALSE)),1,VLOOKUP(J$1,Sprints[],4,FALSE))&lt;&gt;"")*(IF(OFFSET(INDIRECT(CELL("address",INDEX('Leave Tracker'!$A$8:$A$106,MATCH($A5,'Leave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Tracker'!$A$8:$A$106,MATCH($A5,'Leave Tracker'!$A$8:$A$106,0)))),0,31*(VLOOKUP(K$1,Sprints[],5,FALSE))+DAY(VLOOKUP(K$1,Sprints[],2,FALSE)),1,VLOOKUP(K$1,Sprints[],4,FALSE))&lt;&gt;"")*(IF(OFFSET(INDIRECT(CELL("address",INDEX('Leave Tracker'!$A$8:$A$106,MATCH($A5,'Leave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Tracker'!$A$8:$A$106,MATCH($A5,'Leave Tracker'!$A$8:$A$106,0)))),0,31*(VLOOKUP(L$1,Sprints[],5,FALSE))+DAY(VLOOKUP(L$1,Sprints[],2,FALSE)),1,VLOOKUP(L$1,Sprints[],4,FALSE))&lt;&gt;"")*(IF(OFFSET(INDIRECT(CELL("address",INDEX('Leave Tracker'!$A$8:$A$106,MATCH($A5,'Leave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Tracker'!$A$8:$A$106,MATCH($A5,'Leave Tracker'!$A$8:$A$106,0)))),0,31*(VLOOKUP(M$1,Sprints[],5,FALSE))+DAY(VLOOKUP(M$1,Sprints[],2,FALSE)),1,VLOOKUP(M$1,Sprints[],4,FALSE))&lt;&gt;"")*(IF(OFFSET(INDIRECT(CELL("address",INDEX('Leave Tracker'!$A$8:$A$106,MATCH($A5,'Leave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Tracker'!$A$8:$A$106,MATCH($A5,'Leave Tracker'!$A$8:$A$106,0)))),0,31*(VLOOKUP(N$1,Sprints[],5,FALSE))+DAY(VLOOKUP(N$1,Sprints[],2,FALSE)),1,VLOOKUP(N$1,Sprints[],4,FALSE))&lt;&gt;"")*(IF(OFFSET(INDIRECT(CELL("address",INDEX('Leave Tracker'!$A$8:$A$106,MATCH($A5,'Leave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Tracker'!$A$8:$A$106,MATCH($A5,'Leave Tracker'!$A$8:$A$106,0)))),0,31*(VLOOKUP(O$1,Sprints[],5,FALSE))+DAY(VLOOKUP(O$1,Sprints[],2,FALSE)),1,VLOOKUP(O$1,Sprints[],4,FALSE))&lt;&gt;"")*(IF(OFFSET(INDIRECT(CELL("address",INDEX('Leave Tracker'!$A$8:$A$106,MATCH($A5,'Leave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Tracker'!$A$8:$A$106,MATCH($A5,'Leave Tracker'!$A$8:$A$106,0)))),0,31*(VLOOKUP(P$1,Sprints[],5,FALSE))+DAY(VLOOKUP(P$1,Sprints[],2,FALSE)),1,VLOOKUP(P$1,Sprints[],4,FALSE))&lt;&gt;"")*(IF(OFFSET(INDIRECT(CELL("address",INDEX('Leave Tracker'!$A$8:$A$106,MATCH($A5,'Leave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Tracker'!$A$8:$A$106,MATCH($A5,'Leave Tracker'!$A$8:$A$106,0)))),0,31*(VLOOKUP(Q$1,Sprints[],5,FALSE))+DAY(VLOOKUP(Q$1,Sprints[],2,FALSE)),1,VLOOKUP(Q$1,Sprints[],4,FALSE))&lt;&gt;"")*(IF(OFFSET(INDIRECT(CELL("address",INDEX('Leave Tracker'!$A$8:$A$106,MATCH($A5,'Leave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3.6</v>
      </c>
      <c r="R5">
        <f t="array" aca="1" ref="R5" ca="1">Sheet3!$W$2*$F5*(NETWORKDAYS(VLOOKUP(R$1,Sprints[],2,FALSE), VLOOKUP(R$1,Sprints[],3,FALSE))-SUMPRODUCT((OFFSET(INDIRECT(CELL("address",INDEX('Leave Tracker'!$A$8:$A$106,MATCH($A5,'Leave Tracker'!$A$8:$A$106,0)))),0,31*(VLOOKUP(R$1,Sprints[],5,FALSE))+DAY(VLOOKUP(R$1,Sprints[],2,FALSE)),1,VLOOKUP(R$1,Sprints[],4,FALSE))&lt;&gt;"")*(IF(OFFSET(INDIRECT(CELL("address",INDEX('Leave Tracker'!$A$8:$A$106,MATCH($A5,'Leave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Tracker'!$A$8:$A$106,MATCH($A5,'Leave Tracker'!$A$8:$A$106,0)))),0,31*(VLOOKUP(S$1,Sprints[],5,FALSE))+DAY(VLOOKUP(S$1,Sprints[],2,FALSE)),1,VLOOKUP(S$1,Sprints[],4,FALSE))&lt;&gt;"")*(IF(OFFSET(INDIRECT(CELL("address",INDEX('Leave Tracker'!$A$8:$A$106,MATCH($A5,'Leave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Tracker'!$A$8:$A$106,MATCH($A5,'Leave Tracker'!$A$8:$A$106,0)))),0,31*(VLOOKUP(T$1,Sprints[],5,FALSE))+DAY(VLOOKUP(T$1,Sprints[],2,FALSE)),1,VLOOKUP(T$1,Sprints[],4,FALSE))&lt;&gt;"")*(IF(OFFSET(INDIRECT(CELL("address",INDEX('Leave Tracker'!$A$8:$A$106,MATCH($A5,'Leave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Tracker'!$A$8:$A$106,MATCH($A5,'Leave Tracker'!$A$8:$A$106,0)))),0,31*(VLOOKUP(U$1,Sprints[],5,FALSE))+DAY(VLOOKUP(U$1,Sprints[],2,FALSE)),1,VLOOKUP(U$1,Sprints[],4,FALSE))&lt;&gt;"")*(IF(OFFSET(INDIRECT(CELL("address",INDEX('Leave Tracker'!$A$8:$A$106,MATCH($A5,'Leave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6.4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Tracker'!$A$8:$A$106,MATCH($A6,'Leave Tracker'!$A$8:$A$106,0)))),0,31*(VLOOKUP(G$1,Sprints[],5,FALSE))+DAY(VLOOKUP(G$1,Sprints[],2,FALSE)),1,VLOOKUP(G$1,Sprints[],4,FALSE))&lt;&gt;"")*(IF(OFFSET(INDIRECT(CELL("address",INDEX('Leave Tracker'!$A$8:$A$106,MATCH($A6,'Leave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Tracker'!$A$8:$A$106,MATCH($A6,'Leave Tracker'!$A$8:$A$106,0)))),0,31*(VLOOKUP(H$1,Sprints[],5,FALSE))+DAY(VLOOKUP(H$1,Sprints[],2,FALSE)),1,VLOOKUP(H$1,Sprints[],4,FALSE))&lt;&gt;"")*(IF(OFFSET(INDIRECT(CELL("address",INDEX('Leave Tracker'!$A$8:$A$106,MATCH($A6,'Leave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Tracker'!$A$8:$A$106,MATCH($A6,'Leave Tracker'!$A$8:$A$106,0)))),0,31*(VLOOKUP(I$1,Sprints[],5,FALSE))+DAY(VLOOKUP(I$1,Sprints[],2,FALSE)),1,VLOOKUP(I$1,Sprints[],4,FALSE))&lt;&gt;"")*(IF(OFFSET(INDIRECT(CELL("address",INDEX('Leave Tracker'!$A$8:$A$106,MATCH($A6,'Leave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Tracker'!$A$8:$A$106,MATCH($A6,'Leave Tracker'!$A$8:$A$106,0)))),0,31*(VLOOKUP(J$1,Sprints[],5,FALSE))+DAY(VLOOKUP(J$1,Sprints[],2,FALSE)),1,VLOOKUP(J$1,Sprints[],4,FALSE))&lt;&gt;"")*(IF(OFFSET(INDIRECT(CELL("address",INDEX('Leave Tracker'!$A$8:$A$106,MATCH($A6,'Leave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Tracker'!$A$8:$A$106,MATCH($A6,'Leave Tracker'!$A$8:$A$106,0)))),0,31*(VLOOKUP(K$1,Sprints[],5,FALSE))+DAY(VLOOKUP(K$1,Sprints[],2,FALSE)),1,VLOOKUP(K$1,Sprints[],4,FALSE))&lt;&gt;"")*(IF(OFFSET(INDIRECT(CELL("address",INDEX('Leave Tracker'!$A$8:$A$106,MATCH($A6,'Leave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Tracker'!$A$8:$A$106,MATCH($A6,'Leave Tracker'!$A$8:$A$106,0)))),0,31*(VLOOKUP(L$1,Sprints[],5,FALSE))+DAY(VLOOKUP(L$1,Sprints[],2,FALSE)),1,VLOOKUP(L$1,Sprints[],4,FALSE))&lt;&gt;"")*(IF(OFFSET(INDIRECT(CELL("address",INDEX('Leave Tracker'!$A$8:$A$106,MATCH($A6,'Leave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Tracker'!$A$8:$A$106,MATCH($A6,'Leave Tracker'!$A$8:$A$106,0)))),0,31*(VLOOKUP(M$1,Sprints[],5,FALSE))+DAY(VLOOKUP(M$1,Sprints[],2,FALSE)),1,VLOOKUP(M$1,Sprints[],4,FALSE))&lt;&gt;"")*(IF(OFFSET(INDIRECT(CELL("address",INDEX('Leave Tracker'!$A$8:$A$106,MATCH($A6,'Leave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Tracker'!$A$8:$A$106,MATCH($A6,'Leave Tracker'!$A$8:$A$106,0)))),0,31*(VLOOKUP(N$1,Sprints[],5,FALSE))+DAY(VLOOKUP(N$1,Sprints[],2,FALSE)),1,VLOOKUP(N$1,Sprints[],4,FALSE))&lt;&gt;"")*(IF(OFFSET(INDIRECT(CELL("address",INDEX('Leave Tracker'!$A$8:$A$106,MATCH($A6,'Leave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Tracker'!$A$8:$A$106,MATCH($A6,'Leave Tracker'!$A$8:$A$106,0)))),0,31*(VLOOKUP(O$1,Sprints[],5,FALSE))+DAY(VLOOKUP(O$1,Sprints[],2,FALSE)),1,VLOOKUP(O$1,Sprints[],4,FALSE))&lt;&gt;"")*(IF(OFFSET(INDIRECT(CELL("address",INDEX('Leave Tracker'!$A$8:$A$106,MATCH($A6,'Leave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Tracker'!$A$8:$A$106,MATCH($A6,'Leave Tracker'!$A$8:$A$106,0)))),0,31*(VLOOKUP(P$1,Sprints[],5,FALSE))+DAY(VLOOKUP(P$1,Sprints[],2,FALSE)),1,VLOOKUP(P$1,Sprints[],4,FALSE))&lt;&gt;"")*(IF(OFFSET(INDIRECT(CELL("address",INDEX('Leave Tracker'!$A$8:$A$106,MATCH($A6,'Leave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Tracker'!$A$8:$A$106,MATCH($A6,'Leave Tracker'!$A$8:$A$106,0)))),0,31*(VLOOKUP(Q$1,Sprints[],5,FALSE))+DAY(VLOOKUP(Q$1,Sprints[],2,FALSE)),1,VLOOKUP(Q$1,Sprints[],4,FALSE))&lt;&gt;"")*(IF(OFFSET(INDIRECT(CELL("address",INDEX('Leave Tracker'!$A$8:$A$106,MATCH($A6,'Leave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Tracker'!$A$8:$A$106,MATCH($A6,'Leave Tracker'!$A$8:$A$106,0)))),0,31*(VLOOKUP(R$1,Sprints[],5,FALSE))+DAY(VLOOKUP(R$1,Sprints[],2,FALSE)),1,VLOOKUP(R$1,Sprints[],4,FALSE))&lt;&gt;"")*(IF(OFFSET(INDIRECT(CELL("address",INDEX('Leave Tracker'!$A$8:$A$106,MATCH($A6,'Leave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Tracker'!$A$8:$A$106,MATCH($A6,'Leave Tracker'!$A$8:$A$106,0)))),0,31*(VLOOKUP(S$1,Sprints[],5,FALSE))+DAY(VLOOKUP(S$1,Sprints[],2,FALSE)),1,VLOOKUP(S$1,Sprints[],4,FALSE))&lt;&gt;"")*(IF(OFFSET(INDIRECT(CELL("address",INDEX('Leave Tracker'!$A$8:$A$106,MATCH($A6,'Leave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Tracker'!$A$8:$A$106,MATCH($A6,'Leave Tracker'!$A$8:$A$106,0)))),0,31*(VLOOKUP(T$1,Sprints[],5,FALSE))+DAY(VLOOKUP(T$1,Sprints[],2,FALSE)),1,VLOOKUP(T$1,Sprints[],4,FALSE))&lt;&gt;"")*(IF(OFFSET(INDIRECT(CELL("address",INDEX('Leave Tracker'!$A$8:$A$106,MATCH($A6,'Leave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Tracker'!$A$8:$A$106,MATCH($A6,'Leave Tracker'!$A$8:$A$106,0)))),0,31*(VLOOKUP(U$1,Sprints[],5,FALSE))+DAY(VLOOKUP(U$1,Sprints[],2,FALSE)),1,VLOOKUP(U$1,Sprints[],4,FALSE))&lt;&gt;"")*(IF(OFFSET(INDIRECT(CELL("address",INDEX('Leave Tracker'!$A$8:$A$106,MATCH($A6,'Leave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Tracker'!$A$8:$A$106,MATCH($A7,'Leave Tracker'!$A$8:$A$106,0)))),0,31*(VLOOKUP(G$1,Sprints[],5,FALSE))+DAY(VLOOKUP(G$1,Sprints[],2,FALSE)),1,VLOOKUP(G$1,Sprints[],4,FALSE))&lt;&gt;"")*(IF(OFFSET(INDIRECT(CELL("address",INDEX('Leave Tracker'!$A$8:$A$106,MATCH($A7,'Leave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Tracker'!$A$8:$A$106,MATCH($A7,'Leave Tracker'!$A$8:$A$106,0)))),0,31*(VLOOKUP(H$1,Sprints[],5,FALSE))+DAY(VLOOKUP(H$1,Sprints[],2,FALSE)),1,VLOOKUP(H$1,Sprints[],4,FALSE))&lt;&gt;"")*(IF(OFFSET(INDIRECT(CELL("address",INDEX('Leave Tracker'!$A$8:$A$106,MATCH($A7,'Leave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Tracker'!$A$8:$A$106,MATCH($A7,'Leave Tracker'!$A$8:$A$106,0)))),0,31*(VLOOKUP(I$1,Sprints[],5,FALSE))+DAY(VLOOKUP(I$1,Sprints[],2,FALSE)),1,VLOOKUP(I$1,Sprints[],4,FALSE))&lt;&gt;"")*(IF(OFFSET(INDIRECT(CELL("address",INDEX('Leave Tracker'!$A$8:$A$106,MATCH($A7,'Leave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Tracker'!$A$8:$A$106,MATCH($A7,'Leave Tracker'!$A$8:$A$106,0)))),0,31*(VLOOKUP(J$1,Sprints[],5,FALSE))+DAY(VLOOKUP(J$1,Sprints[],2,FALSE)),1,VLOOKUP(J$1,Sprints[],4,FALSE))&lt;&gt;"")*(IF(OFFSET(INDIRECT(CELL("address",INDEX('Leave Tracker'!$A$8:$A$106,MATCH($A7,'Leave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Tracker'!$A$8:$A$106,MATCH($A7,'Leave Tracker'!$A$8:$A$106,0)))),0,31*(VLOOKUP(K$1,Sprints[],5,FALSE))+DAY(VLOOKUP(K$1,Sprints[],2,FALSE)),1,VLOOKUP(K$1,Sprints[],4,FALSE))&lt;&gt;"")*(IF(OFFSET(INDIRECT(CELL("address",INDEX('Leave Tracker'!$A$8:$A$106,MATCH($A7,'Leave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Tracker'!$A$8:$A$106,MATCH($A7,'Leave Tracker'!$A$8:$A$106,0)))),0,31*(VLOOKUP(L$1,Sprints[],5,FALSE))+DAY(VLOOKUP(L$1,Sprints[],2,FALSE)),1,VLOOKUP(L$1,Sprints[],4,FALSE))&lt;&gt;"")*(IF(OFFSET(INDIRECT(CELL("address",INDEX('Leave Tracker'!$A$8:$A$106,MATCH($A7,'Leave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Tracker'!$A$8:$A$106,MATCH($A7,'Leave Tracker'!$A$8:$A$106,0)))),0,31*(VLOOKUP(M$1,Sprints[],5,FALSE))+DAY(VLOOKUP(M$1,Sprints[],2,FALSE)),1,VLOOKUP(M$1,Sprints[],4,FALSE))&lt;&gt;"")*(IF(OFFSET(INDIRECT(CELL("address",INDEX('Leave Tracker'!$A$8:$A$106,MATCH($A7,'Leave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Tracker'!$A$8:$A$106,MATCH($A7,'Leave Tracker'!$A$8:$A$106,0)))),0,31*(VLOOKUP(N$1,Sprints[],5,FALSE))+DAY(VLOOKUP(N$1,Sprints[],2,FALSE)),1,VLOOKUP(N$1,Sprints[],4,FALSE))&lt;&gt;"")*(IF(OFFSET(INDIRECT(CELL("address",INDEX('Leave Tracker'!$A$8:$A$106,MATCH($A7,'Leave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Tracker'!$A$8:$A$106,MATCH($A7,'Leave Tracker'!$A$8:$A$106,0)))),0,31*(VLOOKUP(O$1,Sprints[],5,FALSE))+DAY(VLOOKUP(O$1,Sprints[],2,FALSE)),1,VLOOKUP(O$1,Sprints[],4,FALSE))&lt;&gt;"")*(IF(OFFSET(INDIRECT(CELL("address",INDEX('Leave Tracker'!$A$8:$A$106,MATCH($A7,'Leave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Tracker'!$A$8:$A$106,MATCH($A7,'Leave Tracker'!$A$8:$A$106,0)))),0,31*(VLOOKUP(P$1,Sprints[],5,FALSE))+DAY(VLOOKUP(P$1,Sprints[],2,FALSE)),1,VLOOKUP(P$1,Sprints[],4,FALSE))&lt;&gt;"")*(IF(OFFSET(INDIRECT(CELL("address",INDEX('Leave Tracker'!$A$8:$A$106,MATCH($A7,'Leave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3.2</v>
      </c>
      <c r="Q7" s="31">
        <f t="array" aca="1" ref="Q7" ca="1">Sheet3!$W$2*$F7*(NETWORKDAYS(VLOOKUP(Q$1,Sprints[],2,FALSE), VLOOKUP(Q$1,Sprints[],3,FALSE))-SUMPRODUCT((OFFSET(INDIRECT(CELL("address",INDEX('Leave Tracker'!$A$8:$A$106,MATCH($A7,'Leave Tracker'!$A$8:$A$106,0)))),0,31*(VLOOKUP(Q$1,Sprints[],5,FALSE))+DAY(VLOOKUP(Q$1,Sprints[],2,FALSE)),1,VLOOKUP(Q$1,Sprints[],4,FALSE))&lt;&gt;"")*(IF(OFFSET(INDIRECT(CELL("address",INDEX('Leave Tracker'!$A$8:$A$106,MATCH($A7,'Leave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Tracker'!$A$8:$A$106,MATCH($A7,'Leave Tracker'!$A$8:$A$106,0)))),0,31*(VLOOKUP(R$1,Sprints[],5,FALSE))+DAY(VLOOKUP(R$1,Sprints[],2,FALSE)),1,VLOOKUP(R$1,Sprints[],4,FALSE))&lt;&gt;"")*(IF(OFFSET(INDIRECT(CELL("address",INDEX('Leave Tracker'!$A$8:$A$106,MATCH($A7,'Leave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2.8000000000000003</v>
      </c>
      <c r="S7" s="31">
        <f t="array" aca="1" ref="S7" ca="1">Sheet3!$W$2*$F7*(NETWORKDAYS(VLOOKUP(S$1,Sprints[],2,FALSE), VLOOKUP(S$1,Sprints[],3,FALSE))-SUMPRODUCT((OFFSET(INDIRECT(CELL("address",INDEX('Leave Tracker'!$A$8:$A$106,MATCH($A7,'Leave Tracker'!$A$8:$A$106,0)))),0,31*(VLOOKUP(S$1,Sprints[],5,FALSE))+DAY(VLOOKUP(S$1,Sprints[],2,FALSE)),1,VLOOKUP(S$1,Sprints[],4,FALSE))&lt;&gt;"")*(IF(OFFSET(INDIRECT(CELL("address",INDEX('Leave Tracker'!$A$8:$A$106,MATCH($A7,'Leave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Tracker'!$A$8:$A$106,MATCH($A7,'Leave Tracker'!$A$8:$A$106,0)))),0,31*(VLOOKUP(T$1,Sprints[],5,FALSE))+DAY(VLOOKUP(T$1,Sprints[],2,FALSE)),1,VLOOKUP(T$1,Sprints[],4,FALSE))&lt;&gt;"")*(IF(OFFSET(INDIRECT(CELL("address",INDEX('Leave Tracker'!$A$8:$A$106,MATCH($A7,'Leave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Tracker'!$A$8:$A$106,MATCH($A7,'Leave Tracker'!$A$8:$A$106,0)))),0,31*(VLOOKUP(U$1,Sprints[],5,FALSE))+DAY(VLOOKUP(U$1,Sprints[],2,FALSE)),1,VLOOKUP(U$1,Sprints[],4,FALSE))&lt;&gt;"")*(IF(OFFSET(INDIRECT(CELL("address",INDEX('Leave Tracker'!$A$8:$A$106,MATCH($A7,'Leave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Tracker'!$A$8:$A$106,MATCH($A8,'Leave Tracker'!$A$8:$A$106,0)))),0,31*(VLOOKUP(G$1,Sprints[],5,FALSE))+DAY(VLOOKUP(G$1,Sprints[],2,FALSE)),1,VLOOKUP(G$1,Sprints[],4,FALSE))&lt;&gt;"")*(IF(OFFSET(INDIRECT(CELL("address",INDEX('Leave Tracker'!$A$8:$A$106,MATCH($A8,'Leave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Tracker'!$A$8:$A$106,MATCH($A8,'Leave Tracker'!$A$8:$A$106,0)))),0,31*(VLOOKUP(H$1,Sprints[],5,FALSE))+DAY(VLOOKUP(H$1,Sprints[],2,FALSE)),1,VLOOKUP(H$1,Sprints[],4,FALSE))&lt;&gt;"")*(IF(OFFSET(INDIRECT(CELL("address",INDEX('Leave Tracker'!$A$8:$A$106,MATCH($A8,'Leave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Tracker'!$A$8:$A$106,MATCH($A8,'Leave Tracker'!$A$8:$A$106,0)))),0,31*(VLOOKUP(I$1,Sprints[],5,FALSE))+DAY(VLOOKUP(I$1,Sprints[],2,FALSE)),1,VLOOKUP(I$1,Sprints[],4,FALSE))&lt;&gt;"")*(IF(OFFSET(INDIRECT(CELL("address",INDEX('Leave Tracker'!$A$8:$A$106,MATCH($A8,'Leave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Tracker'!$A$8:$A$106,MATCH($A8,'Leave Tracker'!$A$8:$A$106,0)))),0,31*(VLOOKUP(J$1,Sprints[],5,FALSE))+DAY(VLOOKUP(J$1,Sprints[],2,FALSE)),1,VLOOKUP(J$1,Sprints[],4,FALSE))&lt;&gt;"")*(IF(OFFSET(INDIRECT(CELL("address",INDEX('Leave Tracker'!$A$8:$A$106,MATCH($A8,'Leave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Tracker'!$A$8:$A$106,MATCH($A8,'Leave Tracker'!$A$8:$A$106,0)))),0,31*(VLOOKUP(K$1,Sprints[],5,FALSE))+DAY(VLOOKUP(K$1,Sprints[],2,FALSE)),1,VLOOKUP(K$1,Sprints[],4,FALSE))&lt;&gt;"")*(IF(OFFSET(INDIRECT(CELL("address",INDEX('Leave Tracker'!$A$8:$A$106,MATCH($A8,'Leave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Tracker'!$A$8:$A$106,MATCH($A8,'Leave Tracker'!$A$8:$A$106,0)))),0,31*(VLOOKUP(L$1,Sprints[],5,FALSE))+DAY(VLOOKUP(L$1,Sprints[],2,FALSE)),1,VLOOKUP(L$1,Sprints[],4,FALSE))&lt;&gt;"")*(IF(OFFSET(INDIRECT(CELL("address",INDEX('Leave Tracker'!$A$8:$A$106,MATCH($A8,'Leave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Tracker'!$A$8:$A$106,MATCH($A8,'Leave Tracker'!$A$8:$A$106,0)))),0,31*(VLOOKUP(M$1,Sprints[],5,FALSE))+DAY(VLOOKUP(M$1,Sprints[],2,FALSE)),1,VLOOKUP(M$1,Sprints[],4,FALSE))&lt;&gt;"")*(IF(OFFSET(INDIRECT(CELL("address",INDEX('Leave Tracker'!$A$8:$A$106,MATCH($A8,'Leave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Tracker'!$A$8:$A$106,MATCH($A8,'Leave Tracker'!$A$8:$A$106,0)))),0,31*(VLOOKUP(N$1,Sprints[],5,FALSE))+DAY(VLOOKUP(N$1,Sprints[],2,FALSE)),1,VLOOKUP(N$1,Sprints[],4,FALSE))&lt;&gt;"")*(IF(OFFSET(INDIRECT(CELL("address",INDEX('Leave Tracker'!$A$8:$A$106,MATCH($A8,'Leave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Tracker'!$A$8:$A$106,MATCH($A8,'Leave Tracker'!$A$8:$A$106,0)))),0,31*(VLOOKUP(O$1,Sprints[],5,FALSE))+DAY(VLOOKUP(O$1,Sprints[],2,FALSE)),1,VLOOKUP(O$1,Sprints[],4,FALSE))&lt;&gt;"")*(IF(OFFSET(INDIRECT(CELL("address",INDEX('Leave Tracker'!$A$8:$A$106,MATCH($A8,'Leave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Tracker'!$A$8:$A$106,MATCH($A8,'Leave Tracker'!$A$8:$A$106,0)))),0,31*(VLOOKUP(P$1,Sprints[],5,FALSE))+DAY(VLOOKUP(P$1,Sprints[],2,FALSE)),1,VLOOKUP(P$1,Sprints[],4,FALSE))&lt;&gt;"")*(IF(OFFSET(INDIRECT(CELL("address",INDEX('Leave Tracker'!$A$8:$A$106,MATCH($A8,'Leave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Tracker'!$A$8:$A$106,MATCH($A8,'Leave Tracker'!$A$8:$A$106,0)))),0,31*(VLOOKUP(Q$1,Sprints[],5,FALSE))+DAY(VLOOKUP(Q$1,Sprints[],2,FALSE)),1,VLOOKUP(Q$1,Sprints[],4,FALSE))&lt;&gt;"")*(IF(OFFSET(INDIRECT(CELL("address",INDEX('Leave Tracker'!$A$8:$A$106,MATCH($A8,'Leave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Tracker'!$A$8:$A$106,MATCH($A8,'Leave Tracker'!$A$8:$A$106,0)))),0,31*(VLOOKUP(R$1,Sprints[],5,FALSE))+DAY(VLOOKUP(R$1,Sprints[],2,FALSE)),1,VLOOKUP(R$1,Sprints[],4,FALSE))&lt;&gt;"")*(IF(OFFSET(INDIRECT(CELL("address",INDEX('Leave Tracker'!$A$8:$A$106,MATCH($A8,'Leave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Tracker'!$A$8:$A$106,MATCH($A8,'Leave Tracker'!$A$8:$A$106,0)))),0,31*(VLOOKUP(S$1,Sprints[],5,FALSE))+DAY(VLOOKUP(S$1,Sprints[],2,FALSE)),1,VLOOKUP(S$1,Sprints[],4,FALSE))&lt;&gt;"")*(IF(OFFSET(INDIRECT(CELL("address",INDEX('Leave Tracker'!$A$8:$A$106,MATCH($A8,'Leave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Tracker'!$A$8:$A$106,MATCH($A8,'Leave Tracker'!$A$8:$A$106,0)))),0,31*(VLOOKUP(T$1,Sprints[],5,FALSE))+DAY(VLOOKUP(T$1,Sprints[],2,FALSE)),1,VLOOKUP(T$1,Sprints[],4,FALSE))&lt;&gt;"")*(IF(OFFSET(INDIRECT(CELL("address",INDEX('Leave Tracker'!$A$8:$A$106,MATCH($A8,'Leave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Tracker'!$A$8:$A$106,MATCH($A8,'Leave Tracker'!$A$8:$A$106,0)))),0,31*(VLOOKUP(U$1,Sprints[],5,FALSE))+DAY(VLOOKUP(U$1,Sprints[],2,FALSE)),1,VLOOKUP(U$1,Sprints[],4,FALSE))&lt;&gt;"")*(IF(OFFSET(INDIRECT(CELL("address",INDEX('Leave Tracker'!$A$8:$A$106,MATCH($A8,'Leave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Tracker'!$A$8:$A$106,MATCH($A9,'Leave Tracker'!$A$8:$A$106,0)))),0,31*(VLOOKUP(G$1,Sprints[],5,FALSE))+DAY(VLOOKUP(G$1,Sprints[],2,FALSE)),1,VLOOKUP(G$1,Sprints[],4,FALSE))&lt;&gt;"")*(IF(OFFSET(INDIRECT(CELL("address",INDEX('Leave Tracker'!$A$8:$A$106,MATCH($A9,'Leave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Tracker'!$A$8:$A$106,MATCH($A9,'Leave Tracker'!$A$8:$A$106,0)))),0,31*(VLOOKUP(H$1,Sprints[],5,FALSE))+DAY(VLOOKUP(H$1,Sprints[],2,FALSE)),1,VLOOKUP(H$1,Sprints[],4,FALSE))&lt;&gt;"")*(IF(OFFSET(INDIRECT(CELL("address",INDEX('Leave Tracker'!$A$8:$A$106,MATCH($A9,'Leave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Tracker'!$A$8:$A$106,MATCH($A9,'Leave Tracker'!$A$8:$A$106,0)))),0,31*(VLOOKUP(I$1,Sprints[],5,FALSE))+DAY(VLOOKUP(I$1,Sprints[],2,FALSE)),1,VLOOKUP(I$1,Sprints[],4,FALSE))&lt;&gt;"")*(IF(OFFSET(INDIRECT(CELL("address",INDEX('Leave Tracker'!$A$8:$A$106,MATCH($A9,'Leave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Tracker'!$A$8:$A$106,MATCH($A9,'Leave Tracker'!$A$8:$A$106,0)))),0,31*(VLOOKUP(J$1,Sprints[],5,FALSE))+DAY(VLOOKUP(J$1,Sprints[],2,FALSE)),1,VLOOKUP(J$1,Sprints[],4,FALSE))&lt;&gt;"")*(IF(OFFSET(INDIRECT(CELL("address",INDEX('Leave Tracker'!$A$8:$A$106,MATCH($A9,'Leave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Tracker'!$A$8:$A$106,MATCH($A9,'Leave Tracker'!$A$8:$A$106,0)))),0,31*(VLOOKUP(K$1,Sprints[],5,FALSE))+DAY(VLOOKUP(K$1,Sprints[],2,FALSE)),1,VLOOKUP(K$1,Sprints[],4,FALSE))&lt;&gt;"")*(IF(OFFSET(INDIRECT(CELL("address",INDEX('Leave Tracker'!$A$8:$A$106,MATCH($A9,'Leave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Tracker'!$A$8:$A$106,MATCH($A9,'Leave Tracker'!$A$8:$A$106,0)))),0,31*(VLOOKUP(L$1,Sprints[],5,FALSE))+DAY(VLOOKUP(L$1,Sprints[],2,FALSE)),1,VLOOKUP(L$1,Sprints[],4,FALSE))&lt;&gt;"")*(IF(OFFSET(INDIRECT(CELL("address",INDEX('Leave Tracker'!$A$8:$A$106,MATCH($A9,'Leave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Tracker'!$A$8:$A$106,MATCH($A9,'Leave Tracker'!$A$8:$A$106,0)))),0,31*(VLOOKUP(M$1,Sprints[],5,FALSE))+DAY(VLOOKUP(M$1,Sprints[],2,FALSE)),1,VLOOKUP(M$1,Sprints[],4,FALSE))&lt;&gt;"")*(IF(OFFSET(INDIRECT(CELL("address",INDEX('Leave Tracker'!$A$8:$A$106,MATCH($A9,'Leave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Tracker'!$A$8:$A$106,MATCH($A9,'Leave Tracker'!$A$8:$A$106,0)))),0,31*(VLOOKUP(N$1,Sprints[],5,FALSE))+DAY(VLOOKUP(N$1,Sprints[],2,FALSE)),1,VLOOKUP(N$1,Sprints[],4,FALSE))&lt;&gt;"")*(IF(OFFSET(INDIRECT(CELL("address",INDEX('Leave Tracker'!$A$8:$A$106,MATCH($A9,'Leave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Tracker'!$A$8:$A$106,MATCH($A9,'Leave Tracker'!$A$8:$A$106,0)))),0,31*(VLOOKUP(O$1,Sprints[],5,FALSE))+DAY(VLOOKUP(O$1,Sprints[],2,FALSE)),1,VLOOKUP(O$1,Sprints[],4,FALSE))&lt;&gt;"")*(IF(OFFSET(INDIRECT(CELL("address",INDEX('Leave Tracker'!$A$8:$A$106,MATCH($A9,'Leave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Tracker'!$A$8:$A$106,MATCH($A9,'Leave Tracker'!$A$8:$A$106,0)))),0,31*(VLOOKUP(P$1,Sprints[],5,FALSE))+DAY(VLOOKUP(P$1,Sprints[],2,FALSE)),1,VLOOKUP(P$1,Sprints[],4,FALSE))&lt;&gt;"")*(IF(OFFSET(INDIRECT(CELL("address",INDEX('Leave Tracker'!$A$8:$A$106,MATCH($A9,'Leave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Tracker'!$A$8:$A$106,MATCH($A9,'Leave Tracker'!$A$8:$A$106,0)))),0,31*(VLOOKUP(Q$1,Sprints[],5,FALSE))+DAY(VLOOKUP(Q$1,Sprints[],2,FALSE)),1,VLOOKUP(Q$1,Sprints[],4,FALSE))&lt;&gt;"")*(IF(OFFSET(INDIRECT(CELL("address",INDEX('Leave Tracker'!$A$8:$A$106,MATCH($A9,'Leave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Tracker'!$A$8:$A$106,MATCH($A9,'Leave Tracker'!$A$8:$A$106,0)))),0,31*(VLOOKUP(R$1,Sprints[],5,FALSE))+DAY(VLOOKUP(R$1,Sprints[],2,FALSE)),1,VLOOKUP(R$1,Sprints[],4,FALSE))&lt;&gt;"")*(IF(OFFSET(INDIRECT(CELL("address",INDEX('Leave Tracker'!$A$8:$A$106,MATCH($A9,'Leave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Tracker'!$A$8:$A$106,MATCH($A9,'Leave Tracker'!$A$8:$A$106,0)))),0,31*(VLOOKUP(S$1,Sprints[],5,FALSE))+DAY(VLOOKUP(S$1,Sprints[],2,FALSE)),1,VLOOKUP(S$1,Sprints[],4,FALSE))&lt;&gt;"")*(IF(OFFSET(INDIRECT(CELL("address",INDEX('Leave Tracker'!$A$8:$A$106,MATCH($A9,'Leave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Tracker'!$A$8:$A$106,MATCH($A9,'Leave Tracker'!$A$8:$A$106,0)))),0,31*(VLOOKUP(T$1,Sprints[],5,FALSE))+DAY(VLOOKUP(T$1,Sprints[],2,FALSE)),1,VLOOKUP(T$1,Sprints[],4,FALSE))&lt;&gt;"")*(IF(OFFSET(INDIRECT(CELL("address",INDEX('Leave Tracker'!$A$8:$A$106,MATCH($A9,'Leave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Tracker'!$A$8:$A$106,MATCH($A9,'Leave Tracker'!$A$8:$A$106,0)))),0,31*(VLOOKUP(U$1,Sprints[],5,FALSE))+DAY(VLOOKUP(U$1,Sprints[],2,FALSE)),1,VLOOKUP(U$1,Sprints[],4,FALSE))&lt;&gt;"")*(IF(OFFSET(INDIRECT(CELL("address",INDEX('Leave Tracker'!$A$8:$A$106,MATCH($A9,'Leave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Tracker'!$A$8:$A$106,MATCH($A10,'Leave Tracker'!$A$8:$A$106,0)))),0,31*(VLOOKUP(G$1,Sprints[],5,FALSE))+DAY(VLOOKUP(G$1,Sprints[],2,FALSE)),1,VLOOKUP(G$1,Sprints[],4,FALSE))&lt;&gt;"")*(IF(OFFSET(INDIRECT(CELL("address",INDEX('Leave Tracker'!$A$8:$A$106,MATCH($A10,'Leave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Tracker'!$A$8:$A$106,MATCH($A10,'Leave Tracker'!$A$8:$A$106,0)))),0,31*(VLOOKUP(H$1,Sprints[],5,FALSE))+DAY(VLOOKUP(H$1,Sprints[],2,FALSE)),1,VLOOKUP(H$1,Sprints[],4,FALSE))&lt;&gt;"")*(IF(OFFSET(INDIRECT(CELL("address",INDEX('Leave Tracker'!$A$8:$A$106,MATCH($A10,'Leave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Tracker'!$A$8:$A$106,MATCH($A10,'Leave Tracker'!$A$8:$A$106,0)))),0,31*(VLOOKUP(I$1,Sprints[],5,FALSE))+DAY(VLOOKUP(I$1,Sprints[],2,FALSE)),1,VLOOKUP(I$1,Sprints[],4,FALSE))&lt;&gt;"")*(IF(OFFSET(INDIRECT(CELL("address",INDEX('Leave Tracker'!$A$8:$A$106,MATCH($A10,'Leave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Tracker'!$A$8:$A$106,MATCH($A10,'Leave Tracker'!$A$8:$A$106,0)))),0,31*(VLOOKUP(J$1,Sprints[],5,FALSE))+DAY(VLOOKUP(J$1,Sprints[],2,FALSE)),1,VLOOKUP(J$1,Sprints[],4,FALSE))&lt;&gt;"")*(IF(OFFSET(INDIRECT(CELL("address",INDEX('Leave Tracker'!$A$8:$A$106,MATCH($A10,'Leave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Tracker'!$A$8:$A$106,MATCH($A10,'Leave Tracker'!$A$8:$A$106,0)))),0,31*(VLOOKUP(K$1,Sprints[],5,FALSE))+DAY(VLOOKUP(K$1,Sprints[],2,FALSE)),1,VLOOKUP(K$1,Sprints[],4,FALSE))&lt;&gt;"")*(IF(OFFSET(INDIRECT(CELL("address",INDEX('Leave Tracker'!$A$8:$A$106,MATCH($A10,'Leave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Tracker'!$A$8:$A$106,MATCH($A10,'Leave Tracker'!$A$8:$A$106,0)))),0,31*(VLOOKUP(L$1,Sprints[],5,FALSE))+DAY(VLOOKUP(L$1,Sprints[],2,FALSE)),1,VLOOKUP(L$1,Sprints[],4,FALSE))&lt;&gt;"")*(IF(OFFSET(INDIRECT(CELL("address",INDEX('Leave Tracker'!$A$8:$A$106,MATCH($A10,'Leave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Tracker'!$A$8:$A$106,MATCH($A10,'Leave Tracker'!$A$8:$A$106,0)))),0,31*(VLOOKUP(M$1,Sprints[],5,FALSE))+DAY(VLOOKUP(M$1,Sprints[],2,FALSE)),1,VLOOKUP(M$1,Sprints[],4,FALSE))&lt;&gt;"")*(IF(OFFSET(INDIRECT(CELL("address",INDEX('Leave Tracker'!$A$8:$A$106,MATCH($A10,'Leave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Tracker'!$A$8:$A$106,MATCH($A10,'Leave Tracker'!$A$8:$A$106,0)))),0,31*(VLOOKUP(N$1,Sprints[],5,FALSE))+DAY(VLOOKUP(N$1,Sprints[],2,FALSE)),1,VLOOKUP(N$1,Sprints[],4,FALSE))&lt;&gt;"")*(IF(OFFSET(INDIRECT(CELL("address",INDEX('Leave Tracker'!$A$8:$A$106,MATCH($A10,'Leave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Tracker'!$A$8:$A$106,MATCH($A10,'Leave Tracker'!$A$8:$A$106,0)))),0,31*(VLOOKUP(O$1,Sprints[],5,FALSE))+DAY(VLOOKUP(O$1,Sprints[],2,FALSE)),1,VLOOKUP(O$1,Sprints[],4,FALSE))&lt;&gt;"")*(IF(OFFSET(INDIRECT(CELL("address",INDEX('Leave Tracker'!$A$8:$A$106,MATCH($A10,'Leave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Tracker'!$A$8:$A$106,MATCH($A10,'Leave Tracker'!$A$8:$A$106,0)))),0,31*(VLOOKUP(P$1,Sprints[],5,FALSE))+DAY(VLOOKUP(P$1,Sprints[],2,FALSE)),1,VLOOKUP(P$1,Sprints[],4,FALSE))&lt;&gt;"")*(IF(OFFSET(INDIRECT(CELL("address",INDEX('Leave Tracker'!$A$8:$A$106,MATCH($A10,'Leave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Tracker'!$A$8:$A$106,MATCH($A10,'Leave Tracker'!$A$8:$A$106,0)))),0,31*(VLOOKUP(Q$1,Sprints[],5,FALSE))+DAY(VLOOKUP(Q$1,Sprints[],2,FALSE)),1,VLOOKUP(Q$1,Sprints[],4,FALSE))&lt;&gt;"")*(IF(OFFSET(INDIRECT(CELL("address",INDEX('Leave Tracker'!$A$8:$A$106,MATCH($A10,'Leave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Tracker'!$A$8:$A$106,MATCH($A10,'Leave Tracker'!$A$8:$A$106,0)))),0,31*(VLOOKUP(R$1,Sprints[],5,FALSE))+DAY(VLOOKUP(R$1,Sprints[],2,FALSE)),1,VLOOKUP(R$1,Sprints[],4,FALSE))&lt;&gt;"")*(IF(OFFSET(INDIRECT(CELL("address",INDEX('Leave Tracker'!$A$8:$A$106,MATCH($A10,'Leave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Tracker'!$A$8:$A$106,MATCH($A10,'Leave Tracker'!$A$8:$A$106,0)))),0,31*(VLOOKUP(S$1,Sprints[],5,FALSE))+DAY(VLOOKUP(S$1,Sprints[],2,FALSE)),1,VLOOKUP(S$1,Sprints[],4,FALSE))&lt;&gt;"")*(IF(OFFSET(INDIRECT(CELL("address",INDEX('Leave Tracker'!$A$8:$A$106,MATCH($A10,'Leave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Tracker'!$A$8:$A$106,MATCH($A10,'Leave Tracker'!$A$8:$A$106,0)))),0,31*(VLOOKUP(T$1,Sprints[],5,FALSE))+DAY(VLOOKUP(T$1,Sprints[],2,FALSE)),1,VLOOKUP(T$1,Sprints[],4,FALSE))&lt;&gt;"")*(IF(OFFSET(INDIRECT(CELL("address",INDEX('Leave Tracker'!$A$8:$A$106,MATCH($A10,'Leave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Tracker'!$A$8:$A$106,MATCH($A10,'Leave Tracker'!$A$8:$A$106,0)))),0,31*(VLOOKUP(U$1,Sprints[],5,FALSE))+DAY(VLOOKUP(U$1,Sprints[],2,FALSE)),1,VLOOKUP(U$1,Sprints[],4,FALSE))&lt;&gt;"")*(IF(OFFSET(INDIRECT(CELL("address",INDEX('Leave Tracker'!$A$8:$A$106,MATCH($A10,'Leave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3.3600000000000008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Tracker'!$A$8:$A$106,MATCH($A11,'Leave Tracker'!$A$8:$A$106,0)))),0,31*(VLOOKUP(G$1,Sprints[],5,FALSE))+DAY(VLOOKUP(G$1,Sprints[],2,FALSE)),1,VLOOKUP(G$1,Sprints[],4,FALSE))&lt;&gt;"")*(IF(OFFSET(INDIRECT(CELL("address",INDEX('Leave Tracker'!$A$8:$A$106,MATCH($A11,'Leave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Tracker'!$A$8:$A$106,MATCH($A11,'Leave Tracker'!$A$8:$A$106,0)))),0,31*(VLOOKUP(H$1,Sprints[],5,FALSE))+DAY(VLOOKUP(H$1,Sprints[],2,FALSE)),1,VLOOKUP(H$1,Sprints[],4,FALSE))&lt;&gt;"")*(IF(OFFSET(INDIRECT(CELL("address",INDEX('Leave Tracker'!$A$8:$A$106,MATCH($A11,'Leave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Tracker'!$A$8:$A$106,MATCH($A11,'Leave Tracker'!$A$8:$A$106,0)))),0,31*(VLOOKUP(I$1,Sprints[],5,FALSE))+DAY(VLOOKUP(I$1,Sprints[],2,FALSE)),1,VLOOKUP(I$1,Sprints[],4,FALSE))&lt;&gt;"")*(IF(OFFSET(INDIRECT(CELL("address",INDEX('Leave Tracker'!$A$8:$A$106,MATCH($A11,'Leave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Tracker'!$A$8:$A$106,MATCH($A11,'Leave Tracker'!$A$8:$A$106,0)))),0,31*(VLOOKUP(J$1,Sprints[],5,FALSE))+DAY(VLOOKUP(J$1,Sprints[],2,FALSE)),1,VLOOKUP(J$1,Sprints[],4,FALSE))&lt;&gt;"")*(IF(OFFSET(INDIRECT(CELL("address",INDEX('Leave Tracker'!$A$8:$A$106,MATCH($A11,'Leave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Tracker'!$A$8:$A$106,MATCH($A11,'Leave Tracker'!$A$8:$A$106,0)))),0,31*(VLOOKUP(K$1,Sprints[],5,FALSE))+DAY(VLOOKUP(K$1,Sprints[],2,FALSE)),1,VLOOKUP(K$1,Sprints[],4,FALSE))&lt;&gt;"")*(IF(OFFSET(INDIRECT(CELL("address",INDEX('Leave Tracker'!$A$8:$A$106,MATCH($A11,'Leave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Tracker'!$A$8:$A$106,MATCH($A11,'Leave Tracker'!$A$8:$A$106,0)))),0,31*(VLOOKUP(L$1,Sprints[],5,FALSE))+DAY(VLOOKUP(L$1,Sprints[],2,FALSE)),1,VLOOKUP(L$1,Sprints[],4,FALSE))&lt;&gt;"")*(IF(OFFSET(INDIRECT(CELL("address",INDEX('Leave Tracker'!$A$8:$A$106,MATCH($A11,'Leave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Tracker'!$A$8:$A$106,MATCH($A11,'Leave Tracker'!$A$8:$A$106,0)))),0,31*(VLOOKUP(M$1,Sprints[],5,FALSE))+DAY(VLOOKUP(M$1,Sprints[],2,FALSE)),1,VLOOKUP(M$1,Sprints[],4,FALSE))&lt;&gt;"")*(IF(OFFSET(INDIRECT(CELL("address",INDEX('Leave Tracker'!$A$8:$A$106,MATCH($A11,'Leave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Tracker'!$A$8:$A$106,MATCH($A11,'Leave Tracker'!$A$8:$A$106,0)))),0,31*(VLOOKUP(N$1,Sprints[],5,FALSE))+DAY(VLOOKUP(N$1,Sprints[],2,FALSE)),1,VLOOKUP(N$1,Sprints[],4,FALSE))&lt;&gt;"")*(IF(OFFSET(INDIRECT(CELL("address",INDEX('Leave Tracker'!$A$8:$A$106,MATCH($A11,'Leave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Tracker'!$A$8:$A$106,MATCH($A11,'Leave Tracker'!$A$8:$A$106,0)))),0,31*(VLOOKUP(O$1,Sprints[],5,FALSE))+DAY(VLOOKUP(O$1,Sprints[],2,FALSE)),1,VLOOKUP(O$1,Sprints[],4,FALSE))&lt;&gt;"")*(IF(OFFSET(INDIRECT(CELL("address",INDEX('Leave Tracker'!$A$8:$A$106,MATCH($A11,'Leave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Tracker'!$A$8:$A$106,MATCH($A11,'Leave Tracker'!$A$8:$A$106,0)))),0,31*(VLOOKUP(P$1,Sprints[],5,FALSE))+DAY(VLOOKUP(P$1,Sprints[],2,FALSE)),1,VLOOKUP(P$1,Sprints[],4,FALSE))&lt;&gt;"")*(IF(OFFSET(INDIRECT(CELL("address",INDEX('Leave Tracker'!$A$8:$A$106,MATCH($A11,'Leave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Tracker'!$A$8:$A$106,MATCH($A11,'Leave Tracker'!$A$8:$A$106,0)))),0,31*(VLOOKUP(Q$1,Sprints[],5,FALSE))+DAY(VLOOKUP(Q$1,Sprints[],2,FALSE)),1,VLOOKUP(Q$1,Sprints[],4,FALSE))&lt;&gt;"")*(IF(OFFSET(INDIRECT(CELL("address",INDEX('Leave Tracker'!$A$8:$A$106,MATCH($A11,'Leave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Tracker'!$A$8:$A$106,MATCH($A11,'Leave Tracker'!$A$8:$A$106,0)))),0,31*(VLOOKUP(R$1,Sprints[],5,FALSE))+DAY(VLOOKUP(R$1,Sprints[],2,FALSE)),1,VLOOKUP(R$1,Sprints[],4,FALSE))&lt;&gt;"")*(IF(OFFSET(INDIRECT(CELL("address",INDEX('Leave Tracker'!$A$8:$A$106,MATCH($A11,'Leave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Tracker'!$A$8:$A$106,MATCH($A11,'Leave Tracker'!$A$8:$A$106,0)))),0,31*(VLOOKUP(S$1,Sprints[],5,FALSE))+DAY(VLOOKUP(S$1,Sprints[],2,FALSE)),1,VLOOKUP(S$1,Sprints[],4,FALSE))&lt;&gt;"")*(IF(OFFSET(INDIRECT(CELL("address",INDEX('Leave Tracker'!$A$8:$A$106,MATCH($A11,'Leave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Tracker'!$A$8:$A$106,MATCH($A11,'Leave Tracker'!$A$8:$A$106,0)))),0,31*(VLOOKUP(T$1,Sprints[],5,FALSE))+DAY(VLOOKUP(T$1,Sprints[],2,FALSE)),1,VLOOKUP(T$1,Sprints[],4,FALSE))&lt;&gt;"")*(IF(OFFSET(INDIRECT(CELL("address",INDEX('Leave Tracker'!$A$8:$A$106,MATCH($A11,'Leave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Tracker'!$A$8:$A$106,MATCH($A11,'Leave Tracker'!$A$8:$A$106,0)))),0,31*(VLOOKUP(U$1,Sprints[],5,FALSE))+DAY(VLOOKUP(U$1,Sprints[],2,FALSE)),1,VLOOKUP(U$1,Sprints[],4,FALSE))&lt;&gt;"")*(IF(OFFSET(INDIRECT(CELL("address",INDEX('Leave Tracker'!$A$8:$A$106,MATCH($A11,'Leave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Tracker'!$A$8:$A$106,MATCH($A12,'Leave Tracker'!$A$8:$A$106,0)))),0,31*(VLOOKUP(G$1,Sprints[],5,FALSE))+DAY(VLOOKUP(G$1,Sprints[],2,FALSE)),1,VLOOKUP(G$1,Sprints[],4,FALSE))&lt;&gt;"")*(IF(OFFSET(INDIRECT(CELL("address",INDEX('Leave Tracker'!$A$8:$A$106,MATCH($A12,'Leave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Tracker'!$A$8:$A$106,MATCH($A12,'Leave Tracker'!$A$8:$A$106,0)))),0,31*(VLOOKUP(H$1,Sprints[],5,FALSE))+DAY(VLOOKUP(H$1,Sprints[],2,FALSE)),1,VLOOKUP(H$1,Sprints[],4,FALSE))&lt;&gt;"")*(IF(OFFSET(INDIRECT(CELL("address",INDEX('Leave Tracker'!$A$8:$A$106,MATCH($A12,'Leave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Tracker'!$A$8:$A$106,MATCH($A12,'Leave Tracker'!$A$8:$A$106,0)))),0,31*(VLOOKUP(I$1,Sprints[],5,FALSE))+DAY(VLOOKUP(I$1,Sprints[],2,FALSE)),1,VLOOKUP(I$1,Sprints[],4,FALSE))&lt;&gt;"")*(IF(OFFSET(INDIRECT(CELL("address",INDEX('Leave Tracker'!$A$8:$A$106,MATCH($A12,'Leave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Tracker'!$A$8:$A$106,MATCH($A12,'Leave Tracker'!$A$8:$A$106,0)))),0,31*(VLOOKUP(J$1,Sprints[],5,FALSE))+DAY(VLOOKUP(J$1,Sprints[],2,FALSE)),1,VLOOKUP(J$1,Sprints[],4,FALSE))&lt;&gt;"")*(IF(OFFSET(INDIRECT(CELL("address",INDEX('Leave Tracker'!$A$8:$A$106,MATCH($A12,'Leave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Tracker'!$A$8:$A$106,MATCH($A12,'Leave Tracker'!$A$8:$A$106,0)))),0,31*(VLOOKUP(K$1,Sprints[],5,FALSE))+DAY(VLOOKUP(K$1,Sprints[],2,FALSE)),1,VLOOKUP(K$1,Sprints[],4,FALSE))&lt;&gt;"")*(IF(OFFSET(INDIRECT(CELL("address",INDEX('Leave Tracker'!$A$8:$A$106,MATCH($A12,'Leave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Tracker'!$A$8:$A$106,MATCH($A12,'Leave Tracker'!$A$8:$A$106,0)))),0,31*(VLOOKUP(L$1,Sprints[],5,FALSE))+DAY(VLOOKUP(L$1,Sprints[],2,FALSE)),1,VLOOKUP(L$1,Sprints[],4,FALSE))&lt;&gt;"")*(IF(OFFSET(INDIRECT(CELL("address",INDEX('Leave Tracker'!$A$8:$A$106,MATCH($A12,'Leave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Tracker'!$A$8:$A$106,MATCH($A12,'Leave Tracker'!$A$8:$A$106,0)))),0,31*(VLOOKUP(M$1,Sprints[],5,FALSE))+DAY(VLOOKUP(M$1,Sprints[],2,FALSE)),1,VLOOKUP(M$1,Sprints[],4,FALSE))&lt;&gt;"")*(IF(OFFSET(INDIRECT(CELL("address",INDEX('Leave Tracker'!$A$8:$A$106,MATCH($A12,'Leave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Tracker'!$A$8:$A$106,MATCH($A12,'Leave Tracker'!$A$8:$A$106,0)))),0,31*(VLOOKUP(N$1,Sprints[],5,FALSE))+DAY(VLOOKUP(N$1,Sprints[],2,FALSE)),1,VLOOKUP(N$1,Sprints[],4,FALSE))&lt;&gt;"")*(IF(OFFSET(INDIRECT(CELL("address",INDEX('Leave Tracker'!$A$8:$A$106,MATCH($A12,'Leave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Tracker'!$A$8:$A$106,MATCH($A12,'Leave Tracker'!$A$8:$A$106,0)))),0,31*(VLOOKUP(O$1,Sprints[],5,FALSE))+DAY(VLOOKUP(O$1,Sprints[],2,FALSE)),1,VLOOKUP(O$1,Sprints[],4,FALSE))&lt;&gt;"")*(IF(OFFSET(INDIRECT(CELL("address",INDEX('Leave Tracker'!$A$8:$A$106,MATCH($A12,'Leave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Tracker'!$A$8:$A$106,MATCH($A12,'Leave Tracker'!$A$8:$A$106,0)))),0,31*(VLOOKUP(P$1,Sprints[],5,FALSE))+DAY(VLOOKUP(P$1,Sprints[],2,FALSE)),1,VLOOKUP(P$1,Sprints[],4,FALSE))&lt;&gt;"")*(IF(OFFSET(INDIRECT(CELL("address",INDEX('Leave Tracker'!$A$8:$A$106,MATCH($A12,'Leave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4.2000000000000011</v>
      </c>
      <c r="Q12">
        <f t="array" aca="1" ref="Q12" ca="1">Sheet3!$W$2*$F12*(NETWORKDAYS(VLOOKUP(Q$1,Sprints[],2,FALSE), VLOOKUP(Q$1,Sprints[],3,FALSE))-SUMPRODUCT((OFFSET(INDIRECT(CELL("address",INDEX('Leave Tracker'!$A$8:$A$106,MATCH($A12,'Leave Tracker'!$A$8:$A$106,0)))),0,31*(VLOOKUP(Q$1,Sprints[],5,FALSE))+DAY(VLOOKUP(Q$1,Sprints[],2,FALSE)),1,VLOOKUP(Q$1,Sprints[],4,FALSE))&lt;&gt;"")*(IF(OFFSET(INDIRECT(CELL("address",INDEX('Leave Tracker'!$A$8:$A$106,MATCH($A12,'Leave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Tracker'!$A$8:$A$106,MATCH($A12,'Leave Tracker'!$A$8:$A$106,0)))),0,31*(VLOOKUP(R$1,Sprints[],5,FALSE))+DAY(VLOOKUP(R$1,Sprints[],2,FALSE)),1,VLOOKUP(R$1,Sprints[],4,FALSE))&lt;&gt;"")*(IF(OFFSET(INDIRECT(CELL("address",INDEX('Leave Tracker'!$A$8:$A$106,MATCH($A12,'Leave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Tracker'!$A$8:$A$106,MATCH($A12,'Leave Tracker'!$A$8:$A$106,0)))),0,31*(VLOOKUP(S$1,Sprints[],5,FALSE))+DAY(VLOOKUP(S$1,Sprints[],2,FALSE)),1,VLOOKUP(S$1,Sprints[],4,FALSE))&lt;&gt;"")*(IF(OFFSET(INDIRECT(CELL("address",INDEX('Leave Tracker'!$A$8:$A$106,MATCH($A12,'Leave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Tracker'!$A$8:$A$106,MATCH($A12,'Leave Tracker'!$A$8:$A$106,0)))),0,31*(VLOOKUP(T$1,Sprints[],5,FALSE))+DAY(VLOOKUP(T$1,Sprints[],2,FALSE)),1,VLOOKUP(T$1,Sprints[],4,FALSE))&lt;&gt;"")*(IF(OFFSET(INDIRECT(CELL("address",INDEX('Leave Tracker'!$A$8:$A$106,MATCH($A12,'Leave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Tracker'!$A$8:$A$106,MATCH($A12,'Leave Tracker'!$A$8:$A$106,0)))),0,31*(VLOOKUP(U$1,Sprints[],5,FALSE))+DAY(VLOOKUP(U$1,Sprints[],2,FALSE)),1,VLOOKUP(U$1,Sprints[],4,FALSE))&lt;&gt;"")*(IF(OFFSET(INDIRECT(CELL("address",INDEX('Leave Tracker'!$A$8:$A$106,MATCH($A12,'Leave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Tracker'!$A$8:$A$106,MATCH($A13,'Leave Tracker'!$A$8:$A$106,0)))),0,31*(VLOOKUP(G$1,Sprints[],5,FALSE))+DAY(VLOOKUP(G$1,Sprints[],2,FALSE)),1,VLOOKUP(G$1,Sprints[],4,FALSE))&lt;&gt;"")*(IF(OFFSET(INDIRECT(CELL("address",INDEX('Leave Tracker'!$A$8:$A$106,MATCH($A13,'Leave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Tracker'!$A$8:$A$106,MATCH($A13,'Leave Tracker'!$A$8:$A$106,0)))),0,31*(VLOOKUP(H$1,Sprints[],5,FALSE))+DAY(VLOOKUP(H$1,Sprints[],2,FALSE)),1,VLOOKUP(H$1,Sprints[],4,FALSE))&lt;&gt;"")*(IF(OFFSET(INDIRECT(CELL("address",INDEX('Leave Tracker'!$A$8:$A$106,MATCH($A13,'Leave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Tracker'!$A$8:$A$106,MATCH($A13,'Leave Tracker'!$A$8:$A$106,0)))),0,31*(VLOOKUP(I$1,Sprints[],5,FALSE))+DAY(VLOOKUP(I$1,Sprints[],2,FALSE)),1,VLOOKUP(I$1,Sprints[],4,FALSE))&lt;&gt;"")*(IF(OFFSET(INDIRECT(CELL("address",INDEX('Leave Tracker'!$A$8:$A$106,MATCH($A13,'Leave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Tracker'!$A$8:$A$106,MATCH($A13,'Leave Tracker'!$A$8:$A$106,0)))),0,31*(VLOOKUP(J$1,Sprints[],5,FALSE))+DAY(VLOOKUP(J$1,Sprints[],2,FALSE)),1,VLOOKUP(J$1,Sprints[],4,FALSE))&lt;&gt;"")*(IF(OFFSET(INDIRECT(CELL("address",INDEX('Leave Tracker'!$A$8:$A$106,MATCH($A13,'Leave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Tracker'!$A$8:$A$106,MATCH($A13,'Leave Tracker'!$A$8:$A$106,0)))),0,31*(VLOOKUP(K$1,Sprints[],5,FALSE))+DAY(VLOOKUP(K$1,Sprints[],2,FALSE)),1,VLOOKUP(K$1,Sprints[],4,FALSE))&lt;&gt;"")*(IF(OFFSET(INDIRECT(CELL("address",INDEX('Leave Tracker'!$A$8:$A$106,MATCH($A13,'Leave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Tracker'!$A$8:$A$106,MATCH($A13,'Leave Tracker'!$A$8:$A$106,0)))),0,31*(VLOOKUP(L$1,Sprints[],5,FALSE))+DAY(VLOOKUP(L$1,Sprints[],2,FALSE)),1,VLOOKUP(L$1,Sprints[],4,FALSE))&lt;&gt;"")*(IF(OFFSET(INDIRECT(CELL("address",INDEX('Leave Tracker'!$A$8:$A$106,MATCH($A13,'Leave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Tracker'!$A$8:$A$106,MATCH($A13,'Leave Tracker'!$A$8:$A$106,0)))),0,31*(VLOOKUP(M$1,Sprints[],5,FALSE))+DAY(VLOOKUP(M$1,Sprints[],2,FALSE)),1,VLOOKUP(M$1,Sprints[],4,FALSE))&lt;&gt;"")*(IF(OFFSET(INDIRECT(CELL("address",INDEX('Leave Tracker'!$A$8:$A$106,MATCH($A13,'Leave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Tracker'!$A$8:$A$106,MATCH($A13,'Leave Tracker'!$A$8:$A$106,0)))),0,31*(VLOOKUP(N$1,Sprints[],5,FALSE))+DAY(VLOOKUP(N$1,Sprints[],2,FALSE)),1,VLOOKUP(N$1,Sprints[],4,FALSE))&lt;&gt;"")*(IF(OFFSET(INDIRECT(CELL("address",INDEX('Leave Tracker'!$A$8:$A$106,MATCH($A13,'Leave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Tracker'!$A$8:$A$106,MATCH($A13,'Leave Tracker'!$A$8:$A$106,0)))),0,31*(VLOOKUP(O$1,Sprints[],5,FALSE))+DAY(VLOOKUP(O$1,Sprints[],2,FALSE)),1,VLOOKUP(O$1,Sprints[],4,FALSE))&lt;&gt;"")*(IF(OFFSET(INDIRECT(CELL("address",INDEX('Leave Tracker'!$A$8:$A$106,MATCH($A13,'Leave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Tracker'!$A$8:$A$106,MATCH($A13,'Leave Tracker'!$A$8:$A$106,0)))),0,31*(VLOOKUP(P$1,Sprints[],5,FALSE))+DAY(VLOOKUP(P$1,Sprints[],2,FALSE)),1,VLOOKUP(P$1,Sprints[],4,FALSE))&lt;&gt;"")*(IF(OFFSET(INDIRECT(CELL("address",INDEX('Leave Tracker'!$A$8:$A$106,MATCH($A13,'Leave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Tracker'!$A$8:$A$106,MATCH($A13,'Leave Tracker'!$A$8:$A$106,0)))),0,31*(VLOOKUP(Q$1,Sprints[],5,FALSE))+DAY(VLOOKUP(Q$1,Sprints[],2,FALSE)),1,VLOOKUP(Q$1,Sprints[],4,FALSE))&lt;&gt;"")*(IF(OFFSET(INDIRECT(CELL("address",INDEX('Leave Tracker'!$A$8:$A$106,MATCH($A13,'Leave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13">
        <f t="array" aca="1" ref="R13" ca="1">Sheet3!$W$2*$F13*(NETWORKDAYS(VLOOKUP(R$1,Sprints[],2,FALSE), VLOOKUP(R$1,Sprints[],3,FALSE))-SUMPRODUCT((OFFSET(INDIRECT(CELL("address",INDEX('Leave Tracker'!$A$8:$A$106,MATCH($A13,'Leave Tracker'!$A$8:$A$106,0)))),0,31*(VLOOKUP(R$1,Sprints[],5,FALSE))+DAY(VLOOKUP(R$1,Sprints[],2,FALSE)),1,VLOOKUP(R$1,Sprints[],4,FALSE))&lt;&gt;"")*(IF(OFFSET(INDIRECT(CELL("address",INDEX('Leave Tracker'!$A$8:$A$106,MATCH($A13,'Leave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Tracker'!$A$8:$A$106,MATCH($A13,'Leave Tracker'!$A$8:$A$106,0)))),0,31*(VLOOKUP(S$1,Sprints[],5,FALSE))+DAY(VLOOKUP(S$1,Sprints[],2,FALSE)),1,VLOOKUP(S$1,Sprints[],4,FALSE))&lt;&gt;"")*(IF(OFFSET(INDIRECT(CELL("address",INDEX('Leave Tracker'!$A$8:$A$106,MATCH($A13,'Leave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Tracker'!$A$8:$A$106,MATCH($A13,'Leave Tracker'!$A$8:$A$106,0)))),0,31*(VLOOKUP(T$1,Sprints[],5,FALSE))+DAY(VLOOKUP(T$1,Sprints[],2,FALSE)),1,VLOOKUP(T$1,Sprints[],4,FALSE))&lt;&gt;"")*(IF(OFFSET(INDIRECT(CELL("address",INDEX('Leave Tracker'!$A$8:$A$106,MATCH($A13,'Leave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Tracker'!$A$8:$A$106,MATCH($A13,'Leave Tracker'!$A$8:$A$106,0)))),0,31*(VLOOKUP(U$1,Sprints[],5,FALSE))+DAY(VLOOKUP(U$1,Sprints[],2,FALSE)),1,VLOOKUP(U$1,Sprints[],4,FALSE))&lt;&gt;"")*(IF(OFFSET(INDIRECT(CELL("address",INDEX('Leave Tracker'!$A$8:$A$106,MATCH($A13,'Leave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Tracker'!$A$8:$A$106,MATCH($A14,'Leave Tracker'!$A$8:$A$106,0)))),0,31*(VLOOKUP(G$1,Sprints[],5,FALSE))+DAY(VLOOKUP(G$1,Sprints[],2,FALSE)),1,VLOOKUP(G$1,Sprints[],4,FALSE))&lt;&gt;"")*(IF(OFFSET(INDIRECT(CELL("address",INDEX('Leave Tracker'!$A$8:$A$106,MATCH($A14,'Leave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Tracker'!$A$8:$A$106,MATCH($A14,'Leave Tracker'!$A$8:$A$106,0)))),0,31*(VLOOKUP(H$1,Sprints[],5,FALSE))+DAY(VLOOKUP(H$1,Sprints[],2,FALSE)),1,VLOOKUP(H$1,Sprints[],4,FALSE))&lt;&gt;"")*(IF(OFFSET(INDIRECT(CELL("address",INDEX('Leave Tracker'!$A$8:$A$106,MATCH($A14,'Leave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Tracker'!$A$8:$A$106,MATCH($A14,'Leave Tracker'!$A$8:$A$106,0)))),0,31*(VLOOKUP(I$1,Sprints[],5,FALSE))+DAY(VLOOKUP(I$1,Sprints[],2,FALSE)),1,VLOOKUP(I$1,Sprints[],4,FALSE))&lt;&gt;"")*(IF(OFFSET(INDIRECT(CELL("address",INDEX('Leave Tracker'!$A$8:$A$106,MATCH($A14,'Leave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Tracker'!$A$8:$A$106,MATCH($A14,'Leave Tracker'!$A$8:$A$106,0)))),0,31*(VLOOKUP(J$1,Sprints[],5,FALSE))+DAY(VLOOKUP(J$1,Sprints[],2,FALSE)),1,VLOOKUP(J$1,Sprints[],4,FALSE))&lt;&gt;"")*(IF(OFFSET(INDIRECT(CELL("address",INDEX('Leave Tracker'!$A$8:$A$106,MATCH($A14,'Leave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Tracker'!$A$8:$A$106,MATCH($A14,'Leave Tracker'!$A$8:$A$106,0)))),0,31*(VLOOKUP(K$1,Sprints[],5,FALSE))+DAY(VLOOKUP(K$1,Sprints[],2,FALSE)),1,VLOOKUP(K$1,Sprints[],4,FALSE))&lt;&gt;"")*(IF(OFFSET(INDIRECT(CELL("address",INDEX('Leave Tracker'!$A$8:$A$106,MATCH($A14,'Leave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Tracker'!$A$8:$A$106,MATCH($A14,'Leave Tracker'!$A$8:$A$106,0)))),0,31*(VLOOKUP(L$1,Sprints[],5,FALSE))+DAY(VLOOKUP(L$1,Sprints[],2,FALSE)),1,VLOOKUP(L$1,Sprints[],4,FALSE))&lt;&gt;"")*(IF(OFFSET(INDIRECT(CELL("address",INDEX('Leave Tracker'!$A$8:$A$106,MATCH($A14,'Leave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Tracker'!$A$8:$A$106,MATCH($A14,'Leave Tracker'!$A$8:$A$106,0)))),0,31*(VLOOKUP(M$1,Sprints[],5,FALSE))+DAY(VLOOKUP(M$1,Sprints[],2,FALSE)),1,VLOOKUP(M$1,Sprints[],4,FALSE))&lt;&gt;"")*(IF(OFFSET(INDIRECT(CELL("address",INDEX('Leave Tracker'!$A$8:$A$106,MATCH($A14,'Leave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Tracker'!$A$8:$A$106,MATCH($A14,'Leave Tracker'!$A$8:$A$106,0)))),0,31*(VLOOKUP(N$1,Sprints[],5,FALSE))+DAY(VLOOKUP(N$1,Sprints[],2,FALSE)),1,VLOOKUP(N$1,Sprints[],4,FALSE))&lt;&gt;"")*(IF(OFFSET(INDIRECT(CELL("address",INDEX('Leave Tracker'!$A$8:$A$106,MATCH($A14,'Leave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Tracker'!$A$8:$A$106,MATCH($A14,'Leave Tracker'!$A$8:$A$106,0)))),0,31*(VLOOKUP(O$1,Sprints[],5,FALSE))+DAY(VLOOKUP(O$1,Sprints[],2,FALSE)),1,VLOOKUP(O$1,Sprints[],4,FALSE))&lt;&gt;"")*(IF(OFFSET(INDIRECT(CELL("address",INDEX('Leave Tracker'!$A$8:$A$106,MATCH($A14,'Leave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Tracker'!$A$8:$A$106,MATCH($A14,'Leave Tracker'!$A$8:$A$106,0)))),0,31*(VLOOKUP(P$1,Sprints[],5,FALSE))+DAY(VLOOKUP(P$1,Sprints[],2,FALSE)),1,VLOOKUP(P$1,Sprints[],4,FALSE))&lt;&gt;"")*(IF(OFFSET(INDIRECT(CELL("address",INDEX('Leave Tracker'!$A$8:$A$106,MATCH($A14,'Leave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Tracker'!$A$8:$A$106,MATCH($A14,'Leave Tracker'!$A$8:$A$106,0)))),0,31*(VLOOKUP(Q$1,Sprints[],5,FALSE))+DAY(VLOOKUP(Q$1,Sprints[],2,FALSE)),1,VLOOKUP(Q$1,Sprints[],4,FALSE))&lt;&gt;"")*(IF(OFFSET(INDIRECT(CELL("address",INDEX('Leave Tracker'!$A$8:$A$106,MATCH($A14,'Leave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Tracker'!$A$8:$A$106,MATCH($A14,'Leave Tracker'!$A$8:$A$106,0)))),0,31*(VLOOKUP(R$1,Sprints[],5,FALSE))+DAY(VLOOKUP(R$1,Sprints[],2,FALSE)),1,VLOOKUP(R$1,Sprints[],4,FALSE))&lt;&gt;"")*(IF(OFFSET(INDIRECT(CELL("address",INDEX('Leave Tracker'!$A$8:$A$106,MATCH($A14,'Leave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Tracker'!$A$8:$A$106,MATCH($A14,'Leave Tracker'!$A$8:$A$106,0)))),0,31*(VLOOKUP(S$1,Sprints[],5,FALSE))+DAY(VLOOKUP(S$1,Sprints[],2,FALSE)),1,VLOOKUP(S$1,Sprints[],4,FALSE))&lt;&gt;"")*(IF(OFFSET(INDIRECT(CELL("address",INDEX('Leave Tracker'!$A$8:$A$106,MATCH($A14,'Leave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Tracker'!$A$8:$A$106,MATCH($A14,'Leave Tracker'!$A$8:$A$106,0)))),0,31*(VLOOKUP(T$1,Sprints[],5,FALSE))+DAY(VLOOKUP(T$1,Sprints[],2,FALSE)),1,VLOOKUP(T$1,Sprints[],4,FALSE))&lt;&gt;"")*(IF(OFFSET(INDIRECT(CELL("address",INDEX('Leave Tracker'!$A$8:$A$106,MATCH($A14,'Leave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Tracker'!$A$8:$A$106,MATCH($A14,'Leave Tracker'!$A$8:$A$106,0)))),0,31*(VLOOKUP(U$1,Sprints[],5,FALSE))+DAY(VLOOKUP(U$1,Sprints[],2,FALSE)),1,VLOOKUP(U$1,Sprints[],4,FALSE))&lt;&gt;"")*(IF(OFFSET(INDIRECT(CELL("address",INDEX('Leave Tracker'!$A$8:$A$106,MATCH($A14,'Leave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Tracker'!$A$8:$A$106,MATCH($A15,'Leave Tracker'!$A$8:$A$106,0)))),0,31*(VLOOKUP(G$1,Sprints[],5,FALSE))+DAY(VLOOKUP(G$1,Sprints[],2,FALSE)),1,VLOOKUP(G$1,Sprints[],4,FALSE))&lt;&gt;"")*(IF(OFFSET(INDIRECT(CELL("address",INDEX('Leave Tracker'!$A$8:$A$106,MATCH($A15,'Leave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Tracker'!$A$8:$A$106,MATCH($A15,'Leave Tracker'!$A$8:$A$106,0)))),0,31*(VLOOKUP(H$1,Sprints[],5,FALSE))+DAY(VLOOKUP(H$1,Sprints[],2,FALSE)),1,VLOOKUP(H$1,Sprints[],4,FALSE))&lt;&gt;"")*(IF(OFFSET(INDIRECT(CELL("address",INDEX('Leave Tracker'!$A$8:$A$106,MATCH($A15,'Leave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Tracker'!$A$8:$A$106,MATCH($A15,'Leave Tracker'!$A$8:$A$106,0)))),0,31*(VLOOKUP(I$1,Sprints[],5,FALSE))+DAY(VLOOKUP(I$1,Sprints[],2,FALSE)),1,VLOOKUP(I$1,Sprints[],4,FALSE))&lt;&gt;"")*(IF(OFFSET(INDIRECT(CELL("address",INDEX('Leave Tracker'!$A$8:$A$106,MATCH($A15,'Leave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Tracker'!$A$8:$A$106,MATCH($A15,'Leave Tracker'!$A$8:$A$106,0)))),0,31*(VLOOKUP(J$1,Sprints[],5,FALSE))+DAY(VLOOKUP(J$1,Sprints[],2,FALSE)),1,VLOOKUP(J$1,Sprints[],4,FALSE))&lt;&gt;"")*(IF(OFFSET(INDIRECT(CELL("address",INDEX('Leave Tracker'!$A$8:$A$106,MATCH($A15,'Leave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Tracker'!$A$8:$A$106,MATCH($A15,'Leave Tracker'!$A$8:$A$106,0)))),0,31*(VLOOKUP(K$1,Sprints[],5,FALSE))+DAY(VLOOKUP(K$1,Sprints[],2,FALSE)),1,VLOOKUP(K$1,Sprints[],4,FALSE))&lt;&gt;"")*(IF(OFFSET(INDIRECT(CELL("address",INDEX('Leave Tracker'!$A$8:$A$106,MATCH($A15,'Leave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Tracker'!$A$8:$A$106,MATCH($A15,'Leave Tracker'!$A$8:$A$106,0)))),0,31*(VLOOKUP(L$1,Sprints[],5,FALSE))+DAY(VLOOKUP(L$1,Sprints[],2,FALSE)),1,VLOOKUP(L$1,Sprints[],4,FALSE))&lt;&gt;"")*(IF(OFFSET(INDIRECT(CELL("address",INDEX('Leave Tracker'!$A$8:$A$106,MATCH($A15,'Leave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Tracker'!$A$8:$A$106,MATCH($A15,'Leave Tracker'!$A$8:$A$106,0)))),0,31*(VLOOKUP(M$1,Sprints[],5,FALSE))+DAY(VLOOKUP(M$1,Sprints[],2,FALSE)),1,VLOOKUP(M$1,Sprints[],4,FALSE))&lt;&gt;"")*(IF(OFFSET(INDIRECT(CELL("address",INDEX('Leave Tracker'!$A$8:$A$106,MATCH($A15,'Leave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Tracker'!$A$8:$A$106,MATCH($A15,'Leave Tracker'!$A$8:$A$106,0)))),0,31*(VLOOKUP(N$1,Sprints[],5,FALSE))+DAY(VLOOKUP(N$1,Sprints[],2,FALSE)),1,VLOOKUP(N$1,Sprints[],4,FALSE))&lt;&gt;"")*(IF(OFFSET(INDIRECT(CELL("address",INDEX('Leave Tracker'!$A$8:$A$106,MATCH($A15,'Leave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Tracker'!$A$8:$A$106,MATCH($A15,'Leave Tracker'!$A$8:$A$106,0)))),0,31*(VLOOKUP(O$1,Sprints[],5,FALSE))+DAY(VLOOKUP(O$1,Sprints[],2,FALSE)),1,VLOOKUP(O$1,Sprints[],4,FALSE))&lt;&gt;"")*(IF(OFFSET(INDIRECT(CELL("address",INDEX('Leave Tracker'!$A$8:$A$106,MATCH($A15,'Leave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Tracker'!$A$8:$A$106,MATCH($A15,'Leave Tracker'!$A$8:$A$106,0)))),0,31*(VLOOKUP(P$1,Sprints[],5,FALSE))+DAY(VLOOKUP(P$1,Sprints[],2,FALSE)),1,VLOOKUP(P$1,Sprints[],4,FALSE))&lt;&gt;"")*(IF(OFFSET(INDIRECT(CELL("address",INDEX('Leave Tracker'!$A$8:$A$106,MATCH($A15,'Leave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Tracker'!$A$8:$A$106,MATCH($A15,'Leave Tracker'!$A$8:$A$106,0)))),0,31*(VLOOKUP(Q$1,Sprints[],5,FALSE))+DAY(VLOOKUP(Q$1,Sprints[],2,FALSE)),1,VLOOKUP(Q$1,Sprints[],4,FALSE))&lt;&gt;"")*(IF(OFFSET(INDIRECT(CELL("address",INDEX('Leave Tracker'!$A$8:$A$106,MATCH($A15,'Leave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Tracker'!$A$8:$A$106,MATCH($A15,'Leave Tracker'!$A$8:$A$106,0)))),0,31*(VLOOKUP(R$1,Sprints[],5,FALSE))+DAY(VLOOKUP(R$1,Sprints[],2,FALSE)),1,VLOOKUP(R$1,Sprints[],4,FALSE))&lt;&gt;"")*(IF(OFFSET(INDIRECT(CELL("address",INDEX('Leave Tracker'!$A$8:$A$106,MATCH($A15,'Leave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Tracker'!$A$8:$A$106,MATCH($A15,'Leave Tracker'!$A$8:$A$106,0)))),0,31*(VLOOKUP(S$1,Sprints[],5,FALSE))+DAY(VLOOKUP(S$1,Sprints[],2,FALSE)),1,VLOOKUP(S$1,Sprints[],4,FALSE))&lt;&gt;"")*(IF(OFFSET(INDIRECT(CELL("address",INDEX('Leave Tracker'!$A$8:$A$106,MATCH($A15,'Leave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Tracker'!$A$8:$A$106,MATCH($A15,'Leave Tracker'!$A$8:$A$106,0)))),0,31*(VLOOKUP(T$1,Sprints[],5,FALSE))+DAY(VLOOKUP(T$1,Sprints[],2,FALSE)),1,VLOOKUP(T$1,Sprints[],4,FALSE))&lt;&gt;"")*(IF(OFFSET(INDIRECT(CELL("address",INDEX('Leave Tracker'!$A$8:$A$106,MATCH($A15,'Leave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Tracker'!$A$8:$A$106,MATCH($A15,'Leave Tracker'!$A$8:$A$106,0)))),0,31*(VLOOKUP(U$1,Sprints[],5,FALSE))+DAY(VLOOKUP(U$1,Sprints[],2,FALSE)),1,VLOOKUP(U$1,Sprints[],4,FALSE))&lt;&gt;"")*(IF(OFFSET(INDIRECT(CELL("address",INDEX('Leave Tracker'!$A$8:$A$106,MATCH($A15,'Leave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Tracker'!$A$8:$A$106,MATCH($A16,'Leave Tracker'!$A$8:$A$106,0)))),0,31*(VLOOKUP(G$1,Sprints[],5,FALSE))+DAY(VLOOKUP(G$1,Sprints[],2,FALSE)),1,VLOOKUP(G$1,Sprints[],4,FALSE))&lt;&gt;"")*(IF(OFFSET(INDIRECT(CELL("address",INDEX('Leave Tracker'!$A$8:$A$106,MATCH($A16,'Leave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Tracker'!$A$8:$A$106,MATCH($A16,'Leave Tracker'!$A$8:$A$106,0)))),0,31*(VLOOKUP(H$1,Sprints[],5,FALSE))+DAY(VLOOKUP(H$1,Sprints[],2,FALSE)),1,VLOOKUP(H$1,Sprints[],4,FALSE))&lt;&gt;"")*(IF(OFFSET(INDIRECT(CELL("address",INDEX('Leave Tracker'!$A$8:$A$106,MATCH($A16,'Leave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Tracker'!$A$8:$A$106,MATCH($A16,'Leave Tracker'!$A$8:$A$106,0)))),0,31*(VLOOKUP(I$1,Sprints[],5,FALSE))+DAY(VLOOKUP(I$1,Sprints[],2,FALSE)),1,VLOOKUP(I$1,Sprints[],4,FALSE))&lt;&gt;"")*(IF(OFFSET(INDIRECT(CELL("address",INDEX('Leave Tracker'!$A$8:$A$106,MATCH($A16,'Leave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Tracker'!$A$8:$A$106,MATCH($A16,'Leave Tracker'!$A$8:$A$106,0)))),0,31*(VLOOKUP(J$1,Sprints[],5,FALSE))+DAY(VLOOKUP(J$1,Sprints[],2,FALSE)),1,VLOOKUP(J$1,Sprints[],4,FALSE))&lt;&gt;"")*(IF(OFFSET(INDIRECT(CELL("address",INDEX('Leave Tracker'!$A$8:$A$106,MATCH($A16,'Leave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Tracker'!$A$8:$A$106,MATCH($A16,'Leave Tracker'!$A$8:$A$106,0)))),0,31*(VLOOKUP(K$1,Sprints[],5,FALSE))+DAY(VLOOKUP(K$1,Sprints[],2,FALSE)),1,VLOOKUP(K$1,Sprints[],4,FALSE))&lt;&gt;"")*(IF(OFFSET(INDIRECT(CELL("address",INDEX('Leave Tracker'!$A$8:$A$106,MATCH($A16,'Leave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Tracker'!$A$8:$A$106,MATCH($A16,'Leave Tracker'!$A$8:$A$106,0)))),0,31*(VLOOKUP(L$1,Sprints[],5,FALSE))+DAY(VLOOKUP(L$1,Sprints[],2,FALSE)),1,VLOOKUP(L$1,Sprints[],4,FALSE))&lt;&gt;"")*(IF(OFFSET(INDIRECT(CELL("address",INDEX('Leave Tracker'!$A$8:$A$106,MATCH($A16,'Leave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Tracker'!$A$8:$A$106,MATCH($A16,'Leave Tracker'!$A$8:$A$106,0)))),0,31*(VLOOKUP(M$1,Sprints[],5,FALSE))+DAY(VLOOKUP(M$1,Sprints[],2,FALSE)),1,VLOOKUP(M$1,Sprints[],4,FALSE))&lt;&gt;"")*(IF(OFFSET(INDIRECT(CELL("address",INDEX('Leave Tracker'!$A$8:$A$106,MATCH($A16,'Leave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Tracker'!$A$8:$A$106,MATCH($A16,'Leave Tracker'!$A$8:$A$106,0)))),0,31*(VLOOKUP(N$1,Sprints[],5,FALSE))+DAY(VLOOKUP(N$1,Sprints[],2,FALSE)),1,VLOOKUP(N$1,Sprints[],4,FALSE))&lt;&gt;"")*(IF(OFFSET(INDIRECT(CELL("address",INDEX('Leave Tracker'!$A$8:$A$106,MATCH($A16,'Leave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Tracker'!$A$8:$A$106,MATCH($A16,'Leave Tracker'!$A$8:$A$106,0)))),0,31*(VLOOKUP(O$1,Sprints[],5,FALSE))+DAY(VLOOKUP(O$1,Sprints[],2,FALSE)),1,VLOOKUP(O$1,Sprints[],4,FALSE))&lt;&gt;"")*(IF(OFFSET(INDIRECT(CELL("address",INDEX('Leave Tracker'!$A$8:$A$106,MATCH($A16,'Leave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Tracker'!$A$8:$A$106,MATCH($A16,'Leave Tracker'!$A$8:$A$106,0)))),0,31*(VLOOKUP(P$1,Sprints[],5,FALSE))+DAY(VLOOKUP(P$1,Sprints[],2,FALSE)),1,VLOOKUP(P$1,Sprints[],4,FALSE))&lt;&gt;"")*(IF(OFFSET(INDIRECT(CELL("address",INDEX('Leave Tracker'!$A$8:$A$106,MATCH($A16,'Leave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Tracker'!$A$8:$A$106,MATCH($A16,'Leave Tracker'!$A$8:$A$106,0)))),0,31*(VLOOKUP(Q$1,Sprints[],5,FALSE))+DAY(VLOOKUP(Q$1,Sprints[],2,FALSE)),1,VLOOKUP(Q$1,Sprints[],4,FALSE))&lt;&gt;"")*(IF(OFFSET(INDIRECT(CELL("address",INDEX('Leave Tracker'!$A$8:$A$106,MATCH($A16,'Leave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Tracker'!$A$8:$A$106,MATCH($A16,'Leave Tracker'!$A$8:$A$106,0)))),0,31*(VLOOKUP(R$1,Sprints[],5,FALSE))+DAY(VLOOKUP(R$1,Sprints[],2,FALSE)),1,VLOOKUP(R$1,Sprints[],4,FALSE))&lt;&gt;"")*(IF(OFFSET(INDIRECT(CELL("address",INDEX('Leave Tracker'!$A$8:$A$106,MATCH($A16,'Leave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Tracker'!$A$8:$A$106,MATCH($A16,'Leave Tracker'!$A$8:$A$106,0)))),0,31*(VLOOKUP(S$1,Sprints[],5,FALSE))+DAY(VLOOKUP(S$1,Sprints[],2,FALSE)),1,VLOOKUP(S$1,Sprints[],4,FALSE))&lt;&gt;"")*(IF(OFFSET(INDIRECT(CELL("address",INDEX('Leave Tracker'!$A$8:$A$106,MATCH($A16,'Leave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Tracker'!$A$8:$A$106,MATCH($A16,'Leave Tracker'!$A$8:$A$106,0)))),0,31*(VLOOKUP(T$1,Sprints[],5,FALSE))+DAY(VLOOKUP(T$1,Sprints[],2,FALSE)),1,VLOOKUP(T$1,Sprints[],4,FALSE))&lt;&gt;"")*(IF(OFFSET(INDIRECT(CELL("address",INDEX('Leave Tracker'!$A$8:$A$106,MATCH($A16,'Leave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Tracker'!$A$8:$A$106,MATCH($A16,'Leave Tracker'!$A$8:$A$106,0)))),0,31*(VLOOKUP(U$1,Sprints[],5,FALSE))+DAY(VLOOKUP(U$1,Sprints[],2,FALSE)),1,VLOOKUP(U$1,Sprints[],4,FALSE))&lt;&gt;"")*(IF(OFFSET(INDIRECT(CELL("address",INDEX('Leave Tracker'!$A$8:$A$106,MATCH($A16,'Leave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Tracker'!$A$8:$A$106,MATCH($A17,'Leave Tracker'!$A$8:$A$106,0)))),0,31*(VLOOKUP(G$1,Sprints[],5,FALSE))+DAY(VLOOKUP(G$1,Sprints[],2,FALSE)),1,VLOOKUP(G$1,Sprints[],4,FALSE))&lt;&gt;"")*(IF(OFFSET(INDIRECT(CELL("address",INDEX('Leave Tracker'!$A$8:$A$106,MATCH($A17,'Leave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Tracker'!$A$8:$A$106,MATCH($A17,'Leave Tracker'!$A$8:$A$106,0)))),0,31*(VLOOKUP(H$1,Sprints[],5,FALSE))+DAY(VLOOKUP(H$1,Sprints[],2,FALSE)),1,VLOOKUP(H$1,Sprints[],4,FALSE))&lt;&gt;"")*(IF(OFFSET(INDIRECT(CELL("address",INDEX('Leave Tracker'!$A$8:$A$106,MATCH($A17,'Leave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Tracker'!$A$8:$A$106,MATCH($A17,'Leave Tracker'!$A$8:$A$106,0)))),0,31*(VLOOKUP(I$1,Sprints[],5,FALSE))+DAY(VLOOKUP(I$1,Sprints[],2,FALSE)),1,VLOOKUP(I$1,Sprints[],4,FALSE))&lt;&gt;"")*(IF(OFFSET(INDIRECT(CELL("address",INDEX('Leave Tracker'!$A$8:$A$106,MATCH($A17,'Leave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Tracker'!$A$8:$A$106,MATCH($A17,'Leave Tracker'!$A$8:$A$106,0)))),0,31*(VLOOKUP(J$1,Sprints[],5,FALSE))+DAY(VLOOKUP(J$1,Sprints[],2,FALSE)),1,VLOOKUP(J$1,Sprints[],4,FALSE))&lt;&gt;"")*(IF(OFFSET(INDIRECT(CELL("address",INDEX('Leave Tracker'!$A$8:$A$106,MATCH($A17,'Leave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Tracker'!$A$8:$A$106,MATCH($A17,'Leave Tracker'!$A$8:$A$106,0)))),0,31*(VLOOKUP(K$1,Sprints[],5,FALSE))+DAY(VLOOKUP(K$1,Sprints[],2,FALSE)),1,VLOOKUP(K$1,Sprints[],4,FALSE))&lt;&gt;"")*(IF(OFFSET(INDIRECT(CELL("address",INDEX('Leave Tracker'!$A$8:$A$106,MATCH($A17,'Leave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Tracker'!$A$8:$A$106,MATCH($A17,'Leave Tracker'!$A$8:$A$106,0)))),0,31*(VLOOKUP(L$1,Sprints[],5,FALSE))+DAY(VLOOKUP(L$1,Sprints[],2,FALSE)),1,VLOOKUP(L$1,Sprints[],4,FALSE))&lt;&gt;"")*(IF(OFFSET(INDIRECT(CELL("address",INDEX('Leave Tracker'!$A$8:$A$106,MATCH($A17,'Leave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Tracker'!$A$8:$A$106,MATCH($A17,'Leave Tracker'!$A$8:$A$106,0)))),0,31*(VLOOKUP(M$1,Sprints[],5,FALSE))+DAY(VLOOKUP(M$1,Sprints[],2,FALSE)),1,VLOOKUP(M$1,Sprints[],4,FALSE))&lt;&gt;"")*(IF(OFFSET(INDIRECT(CELL("address",INDEX('Leave Tracker'!$A$8:$A$106,MATCH($A17,'Leave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Tracker'!$A$8:$A$106,MATCH($A17,'Leave Tracker'!$A$8:$A$106,0)))),0,31*(VLOOKUP(N$1,Sprints[],5,FALSE))+DAY(VLOOKUP(N$1,Sprints[],2,FALSE)),1,VLOOKUP(N$1,Sprints[],4,FALSE))&lt;&gt;"")*(IF(OFFSET(INDIRECT(CELL("address",INDEX('Leave Tracker'!$A$8:$A$106,MATCH($A17,'Leave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Tracker'!$A$8:$A$106,MATCH($A17,'Leave Tracker'!$A$8:$A$106,0)))),0,31*(VLOOKUP(O$1,Sprints[],5,FALSE))+DAY(VLOOKUP(O$1,Sprints[],2,FALSE)),1,VLOOKUP(O$1,Sprints[],4,FALSE))&lt;&gt;"")*(IF(OFFSET(INDIRECT(CELL("address",INDEX('Leave Tracker'!$A$8:$A$106,MATCH($A17,'Leave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Tracker'!$A$8:$A$106,MATCH($A17,'Leave Tracker'!$A$8:$A$106,0)))),0,31*(VLOOKUP(P$1,Sprints[],5,FALSE))+DAY(VLOOKUP(P$1,Sprints[],2,FALSE)),1,VLOOKUP(P$1,Sprints[],4,FALSE))&lt;&gt;"")*(IF(OFFSET(INDIRECT(CELL("address",INDEX('Leave Tracker'!$A$8:$A$106,MATCH($A17,'Leave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Tracker'!$A$8:$A$106,MATCH($A17,'Leave Tracker'!$A$8:$A$106,0)))),0,31*(VLOOKUP(Q$1,Sprints[],5,FALSE))+DAY(VLOOKUP(Q$1,Sprints[],2,FALSE)),1,VLOOKUP(Q$1,Sprints[],4,FALSE))&lt;&gt;"")*(IF(OFFSET(INDIRECT(CELL("address",INDEX('Leave Tracker'!$A$8:$A$106,MATCH($A17,'Leave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Tracker'!$A$8:$A$106,MATCH($A17,'Leave Tracker'!$A$8:$A$106,0)))),0,31*(VLOOKUP(R$1,Sprints[],5,FALSE))+DAY(VLOOKUP(R$1,Sprints[],2,FALSE)),1,VLOOKUP(R$1,Sprints[],4,FALSE))&lt;&gt;"")*(IF(OFFSET(INDIRECT(CELL("address",INDEX('Leave Tracker'!$A$8:$A$106,MATCH($A17,'Leave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Tracker'!$A$8:$A$106,MATCH($A17,'Leave Tracker'!$A$8:$A$106,0)))),0,31*(VLOOKUP(S$1,Sprints[],5,FALSE))+DAY(VLOOKUP(S$1,Sprints[],2,FALSE)),1,VLOOKUP(S$1,Sprints[],4,FALSE))&lt;&gt;"")*(IF(OFFSET(INDIRECT(CELL("address",INDEX('Leave Tracker'!$A$8:$A$106,MATCH($A17,'Leave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Tracker'!$A$8:$A$106,MATCH($A17,'Leave Tracker'!$A$8:$A$106,0)))),0,31*(VLOOKUP(T$1,Sprints[],5,FALSE))+DAY(VLOOKUP(T$1,Sprints[],2,FALSE)),1,VLOOKUP(T$1,Sprints[],4,FALSE))&lt;&gt;"")*(IF(OFFSET(INDIRECT(CELL("address",INDEX('Leave Tracker'!$A$8:$A$106,MATCH($A17,'Leave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Tracker'!$A$8:$A$106,MATCH($A17,'Leave Tracker'!$A$8:$A$106,0)))),0,31*(VLOOKUP(U$1,Sprints[],5,FALSE))+DAY(VLOOKUP(U$1,Sprints[],2,FALSE)),1,VLOOKUP(U$1,Sprints[],4,FALSE))&lt;&gt;"")*(IF(OFFSET(INDIRECT(CELL("address",INDEX('Leave Tracker'!$A$8:$A$106,MATCH($A17,'Leave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Tracker'!$A$8:$A$106,MATCH($A18,'Leave Tracker'!$A$8:$A$106,0)))),0,31*(VLOOKUP(G$1,Sprints[],5,FALSE))+DAY(VLOOKUP(G$1,Sprints[],2,FALSE)),1,VLOOKUP(G$1,Sprints[],4,FALSE))&lt;&gt;"")*(IF(OFFSET(INDIRECT(CELL("address",INDEX('Leave Tracker'!$A$8:$A$106,MATCH($A18,'Leave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Tracker'!$A$8:$A$106,MATCH($A18,'Leave Tracker'!$A$8:$A$106,0)))),0,31*(VLOOKUP(H$1,Sprints[],5,FALSE))+DAY(VLOOKUP(H$1,Sprints[],2,FALSE)),1,VLOOKUP(H$1,Sprints[],4,FALSE))&lt;&gt;"")*(IF(OFFSET(INDIRECT(CELL("address",INDEX('Leave Tracker'!$A$8:$A$106,MATCH($A18,'Leave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Tracker'!$A$8:$A$106,MATCH($A18,'Leave Tracker'!$A$8:$A$106,0)))),0,31*(VLOOKUP(I$1,Sprints[],5,FALSE))+DAY(VLOOKUP(I$1,Sprints[],2,FALSE)),1,VLOOKUP(I$1,Sprints[],4,FALSE))&lt;&gt;"")*(IF(OFFSET(INDIRECT(CELL("address",INDEX('Leave Tracker'!$A$8:$A$106,MATCH($A18,'Leave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Tracker'!$A$8:$A$106,MATCH($A18,'Leave Tracker'!$A$8:$A$106,0)))),0,31*(VLOOKUP(J$1,Sprints[],5,FALSE))+DAY(VLOOKUP(J$1,Sprints[],2,FALSE)),1,VLOOKUP(J$1,Sprints[],4,FALSE))&lt;&gt;"")*(IF(OFFSET(INDIRECT(CELL("address",INDEX('Leave Tracker'!$A$8:$A$106,MATCH($A18,'Leave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Tracker'!$A$8:$A$106,MATCH($A18,'Leave Tracker'!$A$8:$A$106,0)))),0,31*(VLOOKUP(K$1,Sprints[],5,FALSE))+DAY(VLOOKUP(K$1,Sprints[],2,FALSE)),1,VLOOKUP(K$1,Sprints[],4,FALSE))&lt;&gt;"")*(IF(OFFSET(INDIRECT(CELL("address",INDEX('Leave Tracker'!$A$8:$A$106,MATCH($A18,'Leave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Tracker'!$A$8:$A$106,MATCH($A18,'Leave Tracker'!$A$8:$A$106,0)))),0,31*(VLOOKUP(L$1,Sprints[],5,FALSE))+DAY(VLOOKUP(L$1,Sprints[],2,FALSE)),1,VLOOKUP(L$1,Sprints[],4,FALSE))&lt;&gt;"")*(IF(OFFSET(INDIRECT(CELL("address",INDEX('Leave Tracker'!$A$8:$A$106,MATCH($A18,'Leave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Tracker'!$A$8:$A$106,MATCH($A18,'Leave Tracker'!$A$8:$A$106,0)))),0,31*(VLOOKUP(M$1,Sprints[],5,FALSE))+DAY(VLOOKUP(M$1,Sprints[],2,FALSE)),1,VLOOKUP(M$1,Sprints[],4,FALSE))&lt;&gt;"")*(IF(OFFSET(INDIRECT(CELL("address",INDEX('Leave Tracker'!$A$8:$A$106,MATCH($A18,'Leave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Tracker'!$A$8:$A$106,MATCH($A18,'Leave Tracker'!$A$8:$A$106,0)))),0,31*(VLOOKUP(N$1,Sprints[],5,FALSE))+DAY(VLOOKUP(N$1,Sprints[],2,FALSE)),1,VLOOKUP(N$1,Sprints[],4,FALSE))&lt;&gt;"")*(IF(OFFSET(INDIRECT(CELL("address",INDEX('Leave Tracker'!$A$8:$A$106,MATCH($A18,'Leave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Tracker'!$A$8:$A$106,MATCH($A18,'Leave Tracker'!$A$8:$A$106,0)))),0,31*(VLOOKUP(O$1,Sprints[],5,FALSE))+DAY(VLOOKUP(O$1,Sprints[],2,FALSE)),1,VLOOKUP(O$1,Sprints[],4,FALSE))&lt;&gt;"")*(IF(OFFSET(INDIRECT(CELL("address",INDEX('Leave Tracker'!$A$8:$A$106,MATCH($A18,'Leave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Tracker'!$A$8:$A$106,MATCH($A18,'Leave Tracker'!$A$8:$A$106,0)))),0,31*(VLOOKUP(P$1,Sprints[],5,FALSE))+DAY(VLOOKUP(P$1,Sprints[],2,FALSE)),1,VLOOKUP(P$1,Sprints[],4,FALSE))&lt;&gt;"")*(IF(OFFSET(INDIRECT(CELL("address",INDEX('Leave Tracker'!$A$8:$A$106,MATCH($A18,'Leave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0.6</v>
      </c>
      <c r="Q18">
        <f t="array" aca="1" ref="Q18" ca="1">Sheet3!$W$2*$F18*(NETWORKDAYS(VLOOKUP(Q$1,Sprints[],2,FALSE), VLOOKUP(Q$1,Sprints[],3,FALSE))-SUMPRODUCT((OFFSET(INDIRECT(CELL("address",INDEX('Leave Tracker'!$A$8:$A$106,MATCH($A18,'Leave Tracker'!$A$8:$A$106,0)))),0,31*(VLOOKUP(Q$1,Sprints[],5,FALSE))+DAY(VLOOKUP(Q$1,Sprints[],2,FALSE)),1,VLOOKUP(Q$1,Sprints[],4,FALSE))&lt;&gt;"")*(IF(OFFSET(INDIRECT(CELL("address",INDEX('Leave Tracker'!$A$8:$A$106,MATCH($A18,'Leave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18">
        <f t="array" aca="1" ref="R18" ca="1">Sheet3!$W$2*$F18*(NETWORKDAYS(VLOOKUP(R$1,Sprints[],2,FALSE), VLOOKUP(R$1,Sprints[],3,FALSE))-SUMPRODUCT((OFFSET(INDIRECT(CELL("address",INDEX('Leave Tracker'!$A$8:$A$106,MATCH($A18,'Leave Tracker'!$A$8:$A$106,0)))),0,31*(VLOOKUP(R$1,Sprints[],5,FALSE))+DAY(VLOOKUP(R$1,Sprints[],2,FALSE)),1,VLOOKUP(R$1,Sprints[],4,FALSE))&lt;&gt;"")*(IF(OFFSET(INDIRECT(CELL("address",INDEX('Leave Tracker'!$A$8:$A$106,MATCH($A18,'Leave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Tracker'!$A$8:$A$106,MATCH($A18,'Leave Tracker'!$A$8:$A$106,0)))),0,31*(VLOOKUP(S$1,Sprints[],5,FALSE))+DAY(VLOOKUP(S$1,Sprints[],2,FALSE)),1,VLOOKUP(S$1,Sprints[],4,FALSE))&lt;&gt;"")*(IF(OFFSET(INDIRECT(CELL("address",INDEX('Leave Tracker'!$A$8:$A$106,MATCH($A18,'Leave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Tracker'!$A$8:$A$106,MATCH($A18,'Leave Tracker'!$A$8:$A$106,0)))),0,31*(VLOOKUP(T$1,Sprints[],5,FALSE))+DAY(VLOOKUP(T$1,Sprints[],2,FALSE)),1,VLOOKUP(T$1,Sprints[],4,FALSE))&lt;&gt;"")*(IF(OFFSET(INDIRECT(CELL("address",INDEX('Leave Tracker'!$A$8:$A$106,MATCH($A18,'Leave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Tracker'!$A$8:$A$106,MATCH($A18,'Leave Tracker'!$A$8:$A$106,0)))),0,31*(VLOOKUP(U$1,Sprints[],5,FALSE))+DAY(VLOOKUP(U$1,Sprints[],2,FALSE)),1,VLOOKUP(U$1,Sprints[],4,FALSE))&lt;&gt;"")*(IF(OFFSET(INDIRECT(CELL("address",INDEX('Leave Tracker'!$A$8:$A$106,MATCH($A18,'Leave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2.52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Tracker'!$A$8:$A$106,MATCH($A19,'Leave Tracker'!$A$8:$A$106,0)))),0,31*(VLOOKUP(G$1,Sprints[],5,FALSE))+DAY(VLOOKUP(G$1,Sprints[],2,FALSE)),1,VLOOKUP(G$1,Sprints[],4,FALSE))&lt;&gt;"")*(IF(OFFSET(INDIRECT(CELL("address",INDEX('Leave Tracker'!$A$8:$A$106,MATCH($A19,'Leave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Tracker'!$A$8:$A$106,MATCH($A19,'Leave Tracker'!$A$8:$A$106,0)))),0,31*(VLOOKUP(H$1,Sprints[],5,FALSE))+DAY(VLOOKUP(H$1,Sprints[],2,FALSE)),1,VLOOKUP(H$1,Sprints[],4,FALSE))&lt;&gt;"")*(IF(OFFSET(INDIRECT(CELL("address",INDEX('Leave Tracker'!$A$8:$A$106,MATCH($A19,'Leave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Tracker'!$A$8:$A$106,MATCH($A19,'Leave Tracker'!$A$8:$A$106,0)))),0,31*(VLOOKUP(I$1,Sprints[],5,FALSE))+DAY(VLOOKUP(I$1,Sprints[],2,FALSE)),1,VLOOKUP(I$1,Sprints[],4,FALSE))&lt;&gt;"")*(IF(OFFSET(INDIRECT(CELL("address",INDEX('Leave Tracker'!$A$8:$A$106,MATCH($A19,'Leave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Tracker'!$A$8:$A$106,MATCH($A19,'Leave Tracker'!$A$8:$A$106,0)))),0,31*(VLOOKUP(J$1,Sprints[],5,FALSE))+DAY(VLOOKUP(J$1,Sprints[],2,FALSE)),1,VLOOKUP(J$1,Sprints[],4,FALSE))&lt;&gt;"")*(IF(OFFSET(INDIRECT(CELL("address",INDEX('Leave Tracker'!$A$8:$A$106,MATCH($A19,'Leave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Tracker'!$A$8:$A$106,MATCH($A19,'Leave Tracker'!$A$8:$A$106,0)))),0,31*(VLOOKUP(K$1,Sprints[],5,FALSE))+DAY(VLOOKUP(K$1,Sprints[],2,FALSE)),1,VLOOKUP(K$1,Sprints[],4,FALSE))&lt;&gt;"")*(IF(OFFSET(INDIRECT(CELL("address",INDEX('Leave Tracker'!$A$8:$A$106,MATCH($A19,'Leave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Tracker'!$A$8:$A$106,MATCH($A19,'Leave Tracker'!$A$8:$A$106,0)))),0,31*(VLOOKUP(L$1,Sprints[],5,FALSE))+DAY(VLOOKUP(L$1,Sprints[],2,FALSE)),1,VLOOKUP(L$1,Sprints[],4,FALSE))&lt;&gt;"")*(IF(OFFSET(INDIRECT(CELL("address",INDEX('Leave Tracker'!$A$8:$A$106,MATCH($A19,'Leave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Tracker'!$A$8:$A$106,MATCH($A19,'Leave Tracker'!$A$8:$A$106,0)))),0,31*(VLOOKUP(M$1,Sprints[],5,FALSE))+DAY(VLOOKUP(M$1,Sprints[],2,FALSE)),1,VLOOKUP(M$1,Sprints[],4,FALSE))&lt;&gt;"")*(IF(OFFSET(INDIRECT(CELL("address",INDEX('Leave Tracker'!$A$8:$A$106,MATCH($A19,'Leave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Tracker'!$A$8:$A$106,MATCH($A19,'Leave Tracker'!$A$8:$A$106,0)))),0,31*(VLOOKUP(N$1,Sprints[],5,FALSE))+DAY(VLOOKUP(N$1,Sprints[],2,FALSE)),1,VLOOKUP(N$1,Sprints[],4,FALSE))&lt;&gt;"")*(IF(OFFSET(INDIRECT(CELL("address",INDEX('Leave Tracker'!$A$8:$A$106,MATCH($A19,'Leave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Tracker'!$A$8:$A$106,MATCH($A19,'Leave Tracker'!$A$8:$A$106,0)))),0,31*(VLOOKUP(O$1,Sprints[],5,FALSE))+DAY(VLOOKUP(O$1,Sprints[],2,FALSE)),1,VLOOKUP(O$1,Sprints[],4,FALSE))&lt;&gt;"")*(IF(OFFSET(INDIRECT(CELL("address",INDEX('Leave Tracker'!$A$8:$A$106,MATCH($A19,'Leave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Tracker'!$A$8:$A$106,MATCH($A19,'Leave Tracker'!$A$8:$A$106,0)))),0,31*(VLOOKUP(P$1,Sprints[],5,FALSE))+DAY(VLOOKUP(P$1,Sprints[],2,FALSE)),1,VLOOKUP(P$1,Sprints[],4,FALSE))&lt;&gt;"")*(IF(OFFSET(INDIRECT(CELL("address",INDEX('Leave Tracker'!$A$8:$A$106,MATCH($A19,'Leave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Tracker'!$A$8:$A$106,MATCH($A19,'Leave Tracker'!$A$8:$A$106,0)))),0,31*(VLOOKUP(Q$1,Sprints[],5,FALSE))+DAY(VLOOKUP(Q$1,Sprints[],2,FALSE)),1,VLOOKUP(Q$1,Sprints[],4,FALSE))&lt;&gt;"")*(IF(OFFSET(INDIRECT(CELL("address",INDEX('Leave Tracker'!$A$8:$A$106,MATCH($A19,'Leave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Tracker'!$A$8:$A$106,MATCH($A19,'Leave Tracker'!$A$8:$A$106,0)))),0,31*(VLOOKUP(R$1,Sprints[],5,FALSE))+DAY(VLOOKUP(R$1,Sprints[],2,FALSE)),1,VLOOKUP(R$1,Sprints[],4,FALSE))&lt;&gt;"")*(IF(OFFSET(INDIRECT(CELL("address",INDEX('Leave Tracker'!$A$8:$A$106,MATCH($A19,'Leave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Tracker'!$A$8:$A$106,MATCH($A19,'Leave Tracker'!$A$8:$A$106,0)))),0,31*(VLOOKUP(S$1,Sprints[],5,FALSE))+DAY(VLOOKUP(S$1,Sprints[],2,FALSE)),1,VLOOKUP(S$1,Sprints[],4,FALSE))&lt;&gt;"")*(IF(OFFSET(INDIRECT(CELL("address",INDEX('Leave Tracker'!$A$8:$A$106,MATCH($A19,'Leave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Tracker'!$A$8:$A$106,MATCH($A19,'Leave Tracker'!$A$8:$A$106,0)))),0,31*(VLOOKUP(T$1,Sprints[],5,FALSE))+DAY(VLOOKUP(T$1,Sprints[],2,FALSE)),1,VLOOKUP(T$1,Sprints[],4,FALSE))&lt;&gt;"")*(IF(OFFSET(INDIRECT(CELL("address",INDEX('Leave Tracker'!$A$8:$A$106,MATCH($A19,'Leave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Tracker'!$A$8:$A$106,MATCH($A19,'Leave Tracker'!$A$8:$A$106,0)))),0,31*(VLOOKUP(U$1,Sprints[],5,FALSE))+DAY(VLOOKUP(U$1,Sprints[],2,FALSE)),1,VLOOKUP(U$1,Sprints[],4,FALSE))&lt;&gt;"")*(IF(OFFSET(INDIRECT(CELL("address",INDEX('Leave Tracker'!$A$8:$A$106,MATCH($A19,'Leave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Tracker'!$A$8:$A$106,MATCH($A20,'Leave Tracker'!$A$8:$A$106,0)))),0,31*(VLOOKUP(G$1,Sprints[],5,FALSE))+DAY(VLOOKUP(G$1,Sprints[],2,FALSE)),1,VLOOKUP(G$1,Sprints[],4,FALSE))&lt;&gt;"")*(IF(OFFSET(INDIRECT(CELL("address",INDEX('Leave Tracker'!$A$8:$A$106,MATCH($A20,'Leave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Tracker'!$A$8:$A$106,MATCH($A20,'Leave Tracker'!$A$8:$A$106,0)))),0,31*(VLOOKUP(H$1,Sprints[],5,FALSE))+DAY(VLOOKUP(H$1,Sprints[],2,FALSE)),1,VLOOKUP(H$1,Sprints[],4,FALSE))&lt;&gt;"")*(IF(OFFSET(INDIRECT(CELL("address",INDEX('Leave Tracker'!$A$8:$A$106,MATCH($A20,'Leave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Tracker'!$A$8:$A$106,MATCH($A20,'Leave Tracker'!$A$8:$A$106,0)))),0,31*(VLOOKUP(I$1,Sprints[],5,FALSE))+DAY(VLOOKUP(I$1,Sprints[],2,FALSE)),1,VLOOKUP(I$1,Sprints[],4,FALSE))&lt;&gt;"")*(IF(OFFSET(INDIRECT(CELL("address",INDEX('Leave Tracker'!$A$8:$A$106,MATCH($A20,'Leave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Tracker'!$A$8:$A$106,MATCH($A20,'Leave Tracker'!$A$8:$A$106,0)))),0,31*(VLOOKUP(J$1,Sprints[],5,FALSE))+DAY(VLOOKUP(J$1,Sprints[],2,FALSE)),1,VLOOKUP(J$1,Sprints[],4,FALSE))&lt;&gt;"")*(IF(OFFSET(INDIRECT(CELL("address",INDEX('Leave Tracker'!$A$8:$A$106,MATCH($A20,'Leave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Tracker'!$A$8:$A$106,MATCH($A20,'Leave Tracker'!$A$8:$A$106,0)))),0,31*(VLOOKUP(K$1,Sprints[],5,FALSE))+DAY(VLOOKUP(K$1,Sprints[],2,FALSE)),1,VLOOKUP(K$1,Sprints[],4,FALSE))&lt;&gt;"")*(IF(OFFSET(INDIRECT(CELL("address",INDEX('Leave Tracker'!$A$8:$A$106,MATCH($A20,'Leave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Tracker'!$A$8:$A$106,MATCH($A20,'Leave Tracker'!$A$8:$A$106,0)))),0,31*(VLOOKUP(L$1,Sprints[],5,FALSE))+DAY(VLOOKUP(L$1,Sprints[],2,FALSE)),1,VLOOKUP(L$1,Sprints[],4,FALSE))&lt;&gt;"")*(IF(OFFSET(INDIRECT(CELL("address",INDEX('Leave Tracker'!$A$8:$A$106,MATCH($A20,'Leave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Tracker'!$A$8:$A$106,MATCH($A20,'Leave Tracker'!$A$8:$A$106,0)))),0,31*(VLOOKUP(M$1,Sprints[],5,FALSE))+DAY(VLOOKUP(M$1,Sprints[],2,FALSE)),1,VLOOKUP(M$1,Sprints[],4,FALSE))&lt;&gt;"")*(IF(OFFSET(INDIRECT(CELL("address",INDEX('Leave Tracker'!$A$8:$A$106,MATCH($A20,'Leave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Tracker'!$A$8:$A$106,MATCH($A20,'Leave Tracker'!$A$8:$A$106,0)))),0,31*(VLOOKUP(N$1,Sprints[],5,FALSE))+DAY(VLOOKUP(N$1,Sprints[],2,FALSE)),1,VLOOKUP(N$1,Sprints[],4,FALSE))&lt;&gt;"")*(IF(OFFSET(INDIRECT(CELL("address",INDEX('Leave Tracker'!$A$8:$A$106,MATCH($A20,'Leave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Tracker'!$A$8:$A$106,MATCH($A20,'Leave Tracker'!$A$8:$A$106,0)))),0,31*(VLOOKUP(O$1,Sprints[],5,FALSE))+DAY(VLOOKUP(O$1,Sprints[],2,FALSE)),1,VLOOKUP(O$1,Sprints[],4,FALSE))&lt;&gt;"")*(IF(OFFSET(INDIRECT(CELL("address",INDEX('Leave Tracker'!$A$8:$A$106,MATCH($A20,'Leave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Tracker'!$A$8:$A$106,MATCH($A20,'Leave Tracker'!$A$8:$A$106,0)))),0,31*(VLOOKUP(P$1,Sprints[],5,FALSE))+DAY(VLOOKUP(P$1,Sprints[],2,FALSE)),1,VLOOKUP(P$1,Sprints[],4,FALSE))&lt;&gt;"")*(IF(OFFSET(INDIRECT(CELL("address",INDEX('Leave Tracker'!$A$8:$A$106,MATCH($A20,'Leave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Tracker'!$A$8:$A$106,MATCH($A20,'Leave Tracker'!$A$8:$A$106,0)))),0,31*(VLOOKUP(Q$1,Sprints[],5,FALSE))+DAY(VLOOKUP(Q$1,Sprints[],2,FALSE)),1,VLOOKUP(Q$1,Sprints[],4,FALSE))&lt;&gt;"")*(IF(OFFSET(INDIRECT(CELL("address",INDEX('Leave Tracker'!$A$8:$A$106,MATCH($A20,'Leave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Tracker'!$A$8:$A$106,MATCH($A20,'Leave Tracker'!$A$8:$A$106,0)))),0,31*(VLOOKUP(R$1,Sprints[],5,FALSE))+DAY(VLOOKUP(R$1,Sprints[],2,FALSE)),1,VLOOKUP(R$1,Sprints[],4,FALSE))&lt;&gt;"")*(IF(OFFSET(INDIRECT(CELL("address",INDEX('Leave Tracker'!$A$8:$A$106,MATCH($A20,'Leave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Tracker'!$A$8:$A$106,MATCH($A20,'Leave Tracker'!$A$8:$A$106,0)))),0,31*(VLOOKUP(S$1,Sprints[],5,FALSE))+DAY(VLOOKUP(S$1,Sprints[],2,FALSE)),1,VLOOKUP(S$1,Sprints[],4,FALSE))&lt;&gt;"")*(IF(OFFSET(INDIRECT(CELL("address",INDEX('Leave Tracker'!$A$8:$A$106,MATCH($A20,'Leave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Tracker'!$A$8:$A$106,MATCH($A20,'Leave Tracker'!$A$8:$A$106,0)))),0,31*(VLOOKUP(T$1,Sprints[],5,FALSE))+DAY(VLOOKUP(T$1,Sprints[],2,FALSE)),1,VLOOKUP(T$1,Sprints[],4,FALSE))&lt;&gt;"")*(IF(OFFSET(INDIRECT(CELL("address",INDEX('Leave Tracker'!$A$8:$A$106,MATCH($A20,'Leave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Tracker'!$A$8:$A$106,MATCH($A20,'Leave Tracker'!$A$8:$A$106,0)))),0,31*(VLOOKUP(U$1,Sprints[],5,FALSE))+DAY(VLOOKUP(U$1,Sprints[],2,FALSE)),1,VLOOKUP(U$1,Sprints[],4,FALSE))&lt;&gt;"")*(IF(OFFSET(INDIRECT(CELL("address",INDEX('Leave Tracker'!$A$8:$A$106,MATCH($A20,'Leave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Tracker'!$A$8:$A$106,MATCH($A21,'Leave Tracker'!$A$8:$A$106,0)))),0,31*(VLOOKUP(G$1,Sprints[],5,FALSE))+DAY(VLOOKUP(G$1,Sprints[],2,FALSE)),1,VLOOKUP(G$1,Sprints[],4,FALSE))&lt;&gt;"")*(IF(OFFSET(INDIRECT(CELL("address",INDEX('Leave Tracker'!$A$8:$A$106,MATCH($A21,'Leave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Tracker'!$A$8:$A$106,MATCH($A21,'Leave Tracker'!$A$8:$A$106,0)))),0,31*(VLOOKUP(H$1,Sprints[],5,FALSE))+DAY(VLOOKUP(H$1,Sprints[],2,FALSE)),1,VLOOKUP(H$1,Sprints[],4,FALSE))&lt;&gt;"")*(IF(OFFSET(INDIRECT(CELL("address",INDEX('Leave Tracker'!$A$8:$A$106,MATCH($A21,'Leave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Tracker'!$A$8:$A$106,MATCH($A21,'Leave Tracker'!$A$8:$A$106,0)))),0,31*(VLOOKUP(I$1,Sprints[],5,FALSE))+DAY(VLOOKUP(I$1,Sprints[],2,FALSE)),1,VLOOKUP(I$1,Sprints[],4,FALSE))&lt;&gt;"")*(IF(OFFSET(INDIRECT(CELL("address",INDEX('Leave Tracker'!$A$8:$A$106,MATCH($A21,'Leave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Tracker'!$A$8:$A$106,MATCH($A21,'Leave Tracker'!$A$8:$A$106,0)))),0,31*(VLOOKUP(J$1,Sprints[],5,FALSE))+DAY(VLOOKUP(J$1,Sprints[],2,FALSE)),1,VLOOKUP(J$1,Sprints[],4,FALSE))&lt;&gt;"")*(IF(OFFSET(INDIRECT(CELL("address",INDEX('Leave Tracker'!$A$8:$A$106,MATCH($A21,'Leave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Tracker'!$A$8:$A$106,MATCH($A21,'Leave Tracker'!$A$8:$A$106,0)))),0,31*(VLOOKUP(K$1,Sprints[],5,FALSE))+DAY(VLOOKUP(K$1,Sprints[],2,FALSE)),1,VLOOKUP(K$1,Sprints[],4,FALSE))&lt;&gt;"")*(IF(OFFSET(INDIRECT(CELL("address",INDEX('Leave Tracker'!$A$8:$A$106,MATCH($A21,'Leave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Tracker'!$A$8:$A$106,MATCH($A21,'Leave Tracker'!$A$8:$A$106,0)))),0,31*(VLOOKUP(L$1,Sprints[],5,FALSE))+DAY(VLOOKUP(L$1,Sprints[],2,FALSE)),1,VLOOKUP(L$1,Sprints[],4,FALSE))&lt;&gt;"")*(IF(OFFSET(INDIRECT(CELL("address",INDEX('Leave Tracker'!$A$8:$A$106,MATCH($A21,'Leave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Tracker'!$A$8:$A$106,MATCH($A21,'Leave Tracker'!$A$8:$A$106,0)))),0,31*(VLOOKUP(M$1,Sprints[],5,FALSE))+DAY(VLOOKUP(M$1,Sprints[],2,FALSE)),1,VLOOKUP(M$1,Sprints[],4,FALSE))&lt;&gt;"")*(IF(OFFSET(INDIRECT(CELL("address",INDEX('Leave Tracker'!$A$8:$A$106,MATCH($A21,'Leave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Tracker'!$A$8:$A$106,MATCH($A21,'Leave Tracker'!$A$8:$A$106,0)))),0,31*(VLOOKUP(N$1,Sprints[],5,FALSE))+DAY(VLOOKUP(N$1,Sprints[],2,FALSE)),1,VLOOKUP(N$1,Sprints[],4,FALSE))&lt;&gt;"")*(IF(OFFSET(INDIRECT(CELL("address",INDEX('Leave Tracker'!$A$8:$A$106,MATCH($A21,'Leave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Tracker'!$A$8:$A$106,MATCH($A21,'Leave Tracker'!$A$8:$A$106,0)))),0,31*(VLOOKUP(O$1,Sprints[],5,FALSE))+DAY(VLOOKUP(O$1,Sprints[],2,FALSE)),1,VLOOKUP(O$1,Sprints[],4,FALSE))&lt;&gt;"")*(IF(OFFSET(INDIRECT(CELL("address",INDEX('Leave Tracker'!$A$8:$A$106,MATCH($A21,'Leave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Tracker'!$A$8:$A$106,MATCH($A21,'Leave Tracker'!$A$8:$A$106,0)))),0,31*(VLOOKUP(P$1,Sprints[],5,FALSE))+DAY(VLOOKUP(P$1,Sprints[],2,FALSE)),1,VLOOKUP(P$1,Sprints[],4,FALSE))&lt;&gt;"")*(IF(OFFSET(INDIRECT(CELL("address",INDEX('Leave Tracker'!$A$8:$A$106,MATCH($A21,'Leave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Tracker'!$A$8:$A$106,MATCH($A21,'Leave Tracker'!$A$8:$A$106,0)))),0,31*(VLOOKUP(Q$1,Sprints[],5,FALSE))+DAY(VLOOKUP(Q$1,Sprints[],2,FALSE)),1,VLOOKUP(Q$1,Sprints[],4,FALSE))&lt;&gt;"")*(IF(OFFSET(INDIRECT(CELL("address",INDEX('Leave Tracker'!$A$8:$A$106,MATCH($A21,'Leave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Tracker'!$A$8:$A$106,MATCH($A21,'Leave Tracker'!$A$8:$A$106,0)))),0,31*(VLOOKUP(R$1,Sprints[],5,FALSE))+DAY(VLOOKUP(R$1,Sprints[],2,FALSE)),1,VLOOKUP(R$1,Sprints[],4,FALSE))&lt;&gt;"")*(IF(OFFSET(INDIRECT(CELL("address",INDEX('Leave Tracker'!$A$8:$A$106,MATCH($A21,'Leave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21" s="31">
        <f t="array" aca="1" ref="S21" ca="1">Sheet3!$W$2*$F21*(NETWORKDAYS(VLOOKUP(S$1,Sprints[],2,FALSE), VLOOKUP(S$1,Sprints[],3,FALSE))-SUMPRODUCT((OFFSET(INDIRECT(CELL("address",INDEX('Leave Tracker'!$A$8:$A$106,MATCH($A21,'Leave Tracker'!$A$8:$A$106,0)))),0,31*(VLOOKUP(S$1,Sprints[],5,FALSE))+DAY(VLOOKUP(S$1,Sprints[],2,FALSE)),1,VLOOKUP(S$1,Sprints[],4,FALSE))&lt;&gt;"")*(IF(OFFSET(INDIRECT(CELL("address",INDEX('Leave Tracker'!$A$8:$A$106,MATCH($A21,'Leave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4.2000000000000011</v>
      </c>
      <c r="T21" s="31">
        <f t="array" aca="1" ref="T21" ca="1">Sheet3!$W$2*$F21*(NETWORKDAYS(VLOOKUP(T$1,Sprints[],2,FALSE), VLOOKUP(T$1,Sprints[],3,FALSE))-SUMPRODUCT((OFFSET(INDIRECT(CELL("address",INDEX('Leave Tracker'!$A$8:$A$106,MATCH($A21,'Leave Tracker'!$A$8:$A$106,0)))),0,31*(VLOOKUP(T$1,Sprints[],5,FALSE))+DAY(VLOOKUP(T$1,Sprints[],2,FALSE)),1,VLOOKUP(T$1,Sprints[],4,FALSE))&lt;&gt;"")*(IF(OFFSET(INDIRECT(CELL("address",INDEX('Leave Tracker'!$A$8:$A$106,MATCH($A21,'Leave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Tracker'!$A$8:$A$106,MATCH($A21,'Leave Tracker'!$A$8:$A$106,0)))),0,31*(VLOOKUP(U$1,Sprints[],5,FALSE))+DAY(VLOOKUP(U$1,Sprints[],2,FALSE)),1,VLOOKUP(U$1,Sprints[],4,FALSE))&lt;&gt;"")*(IF(OFFSET(INDIRECT(CELL("address",INDEX('Leave Tracker'!$A$8:$A$106,MATCH($A21,'Leave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9.6000000000000014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Tracker'!$A$8:$A$106,MATCH($A22,'Leave Tracker'!$A$8:$A$106,0)))),0,31*(VLOOKUP(G$1,Sprints[],5,FALSE))+DAY(VLOOKUP(G$1,Sprints[],2,FALSE)),1,VLOOKUP(G$1,Sprints[],4,FALSE))&lt;&gt;"")*(IF(OFFSET(INDIRECT(CELL("address",INDEX('Leave Tracker'!$A$8:$A$106,MATCH($A22,'Leave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Tracker'!$A$8:$A$106,MATCH($A22,'Leave Tracker'!$A$8:$A$106,0)))),0,31*(VLOOKUP(H$1,Sprints[],5,FALSE))+DAY(VLOOKUP(H$1,Sprints[],2,FALSE)),1,VLOOKUP(H$1,Sprints[],4,FALSE))&lt;&gt;"")*(IF(OFFSET(INDIRECT(CELL("address",INDEX('Leave Tracker'!$A$8:$A$106,MATCH($A22,'Leave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Tracker'!$A$8:$A$106,MATCH($A22,'Leave Tracker'!$A$8:$A$106,0)))),0,31*(VLOOKUP(I$1,Sprints[],5,FALSE))+DAY(VLOOKUP(I$1,Sprints[],2,FALSE)),1,VLOOKUP(I$1,Sprints[],4,FALSE))&lt;&gt;"")*(IF(OFFSET(INDIRECT(CELL("address",INDEX('Leave Tracker'!$A$8:$A$106,MATCH($A22,'Leave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Tracker'!$A$8:$A$106,MATCH($A22,'Leave Tracker'!$A$8:$A$106,0)))),0,31*(VLOOKUP(J$1,Sprints[],5,FALSE))+DAY(VLOOKUP(J$1,Sprints[],2,FALSE)),1,VLOOKUP(J$1,Sprints[],4,FALSE))&lt;&gt;"")*(IF(OFFSET(INDIRECT(CELL("address",INDEX('Leave Tracker'!$A$8:$A$106,MATCH($A22,'Leave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Tracker'!$A$8:$A$106,MATCH($A22,'Leave Tracker'!$A$8:$A$106,0)))),0,31*(VLOOKUP(K$1,Sprints[],5,FALSE))+DAY(VLOOKUP(K$1,Sprints[],2,FALSE)),1,VLOOKUP(K$1,Sprints[],4,FALSE))&lt;&gt;"")*(IF(OFFSET(INDIRECT(CELL("address",INDEX('Leave Tracker'!$A$8:$A$106,MATCH($A22,'Leave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Tracker'!$A$8:$A$106,MATCH($A22,'Leave Tracker'!$A$8:$A$106,0)))),0,31*(VLOOKUP(L$1,Sprints[],5,FALSE))+DAY(VLOOKUP(L$1,Sprints[],2,FALSE)),1,VLOOKUP(L$1,Sprints[],4,FALSE))&lt;&gt;"")*(IF(OFFSET(INDIRECT(CELL("address",INDEX('Leave Tracker'!$A$8:$A$106,MATCH($A22,'Leave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Tracker'!$A$8:$A$106,MATCH($A22,'Leave Tracker'!$A$8:$A$106,0)))),0,31*(VLOOKUP(M$1,Sprints[],5,FALSE))+DAY(VLOOKUP(M$1,Sprints[],2,FALSE)),1,VLOOKUP(M$1,Sprints[],4,FALSE))&lt;&gt;"")*(IF(OFFSET(INDIRECT(CELL("address",INDEX('Leave Tracker'!$A$8:$A$106,MATCH($A22,'Leave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Tracker'!$A$8:$A$106,MATCH($A22,'Leave Tracker'!$A$8:$A$106,0)))),0,31*(VLOOKUP(N$1,Sprints[],5,FALSE))+DAY(VLOOKUP(N$1,Sprints[],2,FALSE)),1,VLOOKUP(N$1,Sprints[],4,FALSE))&lt;&gt;"")*(IF(OFFSET(INDIRECT(CELL("address",INDEX('Leave Tracker'!$A$8:$A$106,MATCH($A22,'Leave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Tracker'!$A$8:$A$106,MATCH($A22,'Leave Tracker'!$A$8:$A$106,0)))),0,31*(VLOOKUP(O$1,Sprints[],5,FALSE))+DAY(VLOOKUP(O$1,Sprints[],2,FALSE)),1,VLOOKUP(O$1,Sprints[],4,FALSE))&lt;&gt;"")*(IF(OFFSET(INDIRECT(CELL("address",INDEX('Leave Tracker'!$A$8:$A$106,MATCH($A22,'Leave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Tracker'!$A$8:$A$106,MATCH($A22,'Leave Tracker'!$A$8:$A$106,0)))),0,31*(VLOOKUP(P$1,Sprints[],5,FALSE))+DAY(VLOOKUP(P$1,Sprints[],2,FALSE)),1,VLOOKUP(P$1,Sprints[],4,FALSE))&lt;&gt;"")*(IF(OFFSET(INDIRECT(CELL("address",INDEX('Leave Tracker'!$A$8:$A$106,MATCH($A22,'Leave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2">
        <f t="array" aca="1" ref="Q22" ca="1">Sheet3!$W$2*$F22*(NETWORKDAYS(VLOOKUP(Q$1,Sprints[],2,FALSE), VLOOKUP(Q$1,Sprints[],3,FALSE))-SUMPRODUCT((OFFSET(INDIRECT(CELL("address",INDEX('Leave Tracker'!$A$8:$A$106,MATCH($A22,'Leave Tracker'!$A$8:$A$106,0)))),0,31*(VLOOKUP(Q$1,Sprints[],5,FALSE))+DAY(VLOOKUP(Q$1,Sprints[],2,FALSE)),1,VLOOKUP(Q$1,Sprints[],4,FALSE))&lt;&gt;"")*(IF(OFFSET(INDIRECT(CELL("address",INDEX('Leave Tracker'!$A$8:$A$106,MATCH($A22,'Leave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2">
        <f t="array" aca="1" ref="R22" ca="1">Sheet3!$W$2*$F22*(NETWORKDAYS(VLOOKUP(R$1,Sprints[],2,FALSE), VLOOKUP(R$1,Sprints[],3,FALSE))-SUMPRODUCT((OFFSET(INDIRECT(CELL("address",INDEX('Leave Tracker'!$A$8:$A$106,MATCH($A22,'Leave Tracker'!$A$8:$A$106,0)))),0,31*(VLOOKUP(R$1,Sprints[],5,FALSE))+DAY(VLOOKUP(R$1,Sprints[],2,FALSE)),1,VLOOKUP(R$1,Sprints[],4,FALSE))&lt;&gt;"")*(IF(OFFSET(INDIRECT(CELL("address",INDEX('Leave Tracker'!$A$8:$A$106,MATCH($A22,'Leave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22" s="31">
        <f t="array" aca="1" ref="S22" ca="1">Sheet3!$W$2*$F22*(NETWORKDAYS(VLOOKUP(S$1,Sprints[],2,FALSE), VLOOKUP(S$1,Sprints[],3,FALSE))-SUMPRODUCT((OFFSET(INDIRECT(CELL("address",INDEX('Leave Tracker'!$A$8:$A$106,MATCH($A22,'Leave Tracker'!$A$8:$A$106,0)))),0,31*(VLOOKUP(S$1,Sprints[],5,FALSE))+DAY(VLOOKUP(S$1,Sprints[],2,FALSE)),1,VLOOKUP(S$1,Sprints[],4,FALSE))&lt;&gt;"")*(IF(OFFSET(INDIRECT(CELL("address",INDEX('Leave Tracker'!$A$8:$A$106,MATCH($A22,'Leave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2" s="31">
        <f t="array" aca="1" ref="T22" ca="1">Sheet3!$W$2*$F22*(NETWORKDAYS(VLOOKUP(T$1,Sprints[],2,FALSE), VLOOKUP(T$1,Sprints[],3,FALSE))-SUMPRODUCT((OFFSET(INDIRECT(CELL("address",INDEX('Leave Tracker'!$A$8:$A$106,MATCH($A22,'Leave Tracker'!$A$8:$A$106,0)))),0,31*(VLOOKUP(T$1,Sprints[],5,FALSE))+DAY(VLOOKUP(T$1,Sprints[],2,FALSE)),1,VLOOKUP(T$1,Sprints[],4,FALSE))&lt;&gt;"")*(IF(OFFSET(INDIRECT(CELL("address",INDEX('Leave Tracker'!$A$8:$A$106,MATCH($A22,'Leave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2" s="78">
        <f t="array" aca="1" ref="U22" ca="1">Sheet3!$W$2*$F22*(NETWORKDAYS(VLOOKUP(U$1,Sprints[],2,FALSE), VLOOKUP(U$1,Sprints[],3,FALSE))-SUMPRODUCT((OFFSET(INDIRECT(CELL("address",INDEX('Leave Tracker'!$A$8:$A$106,MATCH($A22,'Leave Tracker'!$A$8:$A$106,0)))),0,31*(VLOOKUP(U$1,Sprints[],5,FALSE))+DAY(VLOOKUP(U$1,Sprints[],2,FALSE)),1,VLOOKUP(U$1,Sprints[],4,FALSE))&lt;&gt;"")*(IF(OFFSET(INDIRECT(CELL("address",INDEX('Leave Tracker'!$A$8:$A$106,MATCH($A22,'Leave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Tracker'!$A$8:$A$106,MATCH($A23,'Leave Tracker'!$A$8:$A$106,0)))),0,31*(VLOOKUP(G$1,Sprints[],5,FALSE))+DAY(VLOOKUP(G$1,Sprints[],2,FALSE)),1,VLOOKUP(G$1,Sprints[],4,FALSE))&lt;&gt;"")*(IF(OFFSET(INDIRECT(CELL("address",INDEX('Leave Tracker'!$A$8:$A$106,MATCH($A23,'Leave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Tracker'!$A$8:$A$106,MATCH($A23,'Leave Tracker'!$A$8:$A$106,0)))),0,31*(VLOOKUP(H$1,Sprints[],5,FALSE))+DAY(VLOOKUP(H$1,Sprints[],2,FALSE)),1,VLOOKUP(H$1,Sprints[],4,FALSE))&lt;&gt;"")*(IF(OFFSET(INDIRECT(CELL("address",INDEX('Leave Tracker'!$A$8:$A$106,MATCH($A23,'Leave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Tracker'!$A$8:$A$106,MATCH($A23,'Leave Tracker'!$A$8:$A$106,0)))),0,31*(VLOOKUP(I$1,Sprints[],5,FALSE))+DAY(VLOOKUP(I$1,Sprints[],2,FALSE)),1,VLOOKUP(I$1,Sprints[],4,FALSE))&lt;&gt;"")*(IF(OFFSET(INDIRECT(CELL("address",INDEX('Leave Tracker'!$A$8:$A$106,MATCH($A23,'Leave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Tracker'!$A$8:$A$106,MATCH($A23,'Leave Tracker'!$A$8:$A$106,0)))),0,31*(VLOOKUP(J$1,Sprints[],5,FALSE))+DAY(VLOOKUP(J$1,Sprints[],2,FALSE)),1,VLOOKUP(J$1,Sprints[],4,FALSE))&lt;&gt;"")*(IF(OFFSET(INDIRECT(CELL("address",INDEX('Leave Tracker'!$A$8:$A$106,MATCH($A23,'Leave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Tracker'!$A$8:$A$106,MATCH($A23,'Leave Tracker'!$A$8:$A$106,0)))),0,31*(VLOOKUP(K$1,Sprints[],5,FALSE))+DAY(VLOOKUP(K$1,Sprints[],2,FALSE)),1,VLOOKUP(K$1,Sprints[],4,FALSE))&lt;&gt;"")*(IF(OFFSET(INDIRECT(CELL("address",INDEX('Leave Tracker'!$A$8:$A$106,MATCH($A23,'Leave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Tracker'!$A$8:$A$106,MATCH($A23,'Leave Tracker'!$A$8:$A$106,0)))),0,31*(VLOOKUP(L$1,Sprints[],5,FALSE))+DAY(VLOOKUP(L$1,Sprints[],2,FALSE)),1,VLOOKUP(L$1,Sprints[],4,FALSE))&lt;&gt;"")*(IF(OFFSET(INDIRECT(CELL("address",INDEX('Leave Tracker'!$A$8:$A$106,MATCH($A23,'Leave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Tracker'!$A$8:$A$106,MATCH($A23,'Leave Tracker'!$A$8:$A$106,0)))),0,31*(VLOOKUP(M$1,Sprints[],5,FALSE))+DAY(VLOOKUP(M$1,Sprints[],2,FALSE)),1,VLOOKUP(M$1,Sprints[],4,FALSE))&lt;&gt;"")*(IF(OFFSET(INDIRECT(CELL("address",INDEX('Leave Tracker'!$A$8:$A$106,MATCH($A23,'Leave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Tracker'!$A$8:$A$106,MATCH($A23,'Leave Tracker'!$A$8:$A$106,0)))),0,31*(VLOOKUP(N$1,Sprints[],5,FALSE))+DAY(VLOOKUP(N$1,Sprints[],2,FALSE)),1,VLOOKUP(N$1,Sprints[],4,FALSE))&lt;&gt;"")*(IF(OFFSET(INDIRECT(CELL("address",INDEX('Leave Tracker'!$A$8:$A$106,MATCH($A23,'Leave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Tracker'!$A$8:$A$106,MATCH($A23,'Leave Tracker'!$A$8:$A$106,0)))),0,31*(VLOOKUP(O$1,Sprints[],5,FALSE))+DAY(VLOOKUP(O$1,Sprints[],2,FALSE)),1,VLOOKUP(O$1,Sprints[],4,FALSE))&lt;&gt;"")*(IF(OFFSET(INDIRECT(CELL("address",INDEX('Leave Tracker'!$A$8:$A$106,MATCH($A23,'Leave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Tracker'!$A$8:$A$106,MATCH($A23,'Leave Tracker'!$A$8:$A$106,0)))),0,31*(VLOOKUP(P$1,Sprints[],5,FALSE))+DAY(VLOOKUP(P$1,Sprints[],2,FALSE)),1,VLOOKUP(P$1,Sprints[],4,FALSE))&lt;&gt;"")*(IF(OFFSET(INDIRECT(CELL("address",INDEX('Leave Tracker'!$A$8:$A$106,MATCH($A23,'Leave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Tracker'!$A$8:$A$106,MATCH($A23,'Leave Tracker'!$A$8:$A$106,0)))),0,31*(VLOOKUP(Q$1,Sprints[],5,FALSE))+DAY(VLOOKUP(Q$1,Sprints[],2,FALSE)),1,VLOOKUP(Q$1,Sprints[],4,FALSE))&lt;&gt;"")*(IF(OFFSET(INDIRECT(CELL("address",INDEX('Leave Tracker'!$A$8:$A$106,MATCH($A23,'Leave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Tracker'!$A$8:$A$106,MATCH($A23,'Leave Tracker'!$A$8:$A$106,0)))),0,31*(VLOOKUP(R$1,Sprints[],5,FALSE))+DAY(VLOOKUP(R$1,Sprints[],2,FALSE)),1,VLOOKUP(R$1,Sprints[],4,FALSE))&lt;&gt;"")*(IF(OFFSET(INDIRECT(CELL("address",INDEX('Leave Tracker'!$A$8:$A$106,MATCH($A23,'Leave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Tracker'!$A$8:$A$106,MATCH($A23,'Leave Tracker'!$A$8:$A$106,0)))),0,31*(VLOOKUP(S$1,Sprints[],5,FALSE))+DAY(VLOOKUP(S$1,Sprints[],2,FALSE)),1,VLOOKUP(S$1,Sprints[],4,FALSE))&lt;&gt;"")*(IF(OFFSET(INDIRECT(CELL("address",INDEX('Leave Tracker'!$A$8:$A$106,MATCH($A23,'Leave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Tracker'!$A$8:$A$106,MATCH($A23,'Leave Tracker'!$A$8:$A$106,0)))),0,31*(VLOOKUP(T$1,Sprints[],5,FALSE))+DAY(VLOOKUP(T$1,Sprints[],2,FALSE)),1,VLOOKUP(T$1,Sprints[],4,FALSE))&lt;&gt;"")*(IF(OFFSET(INDIRECT(CELL("address",INDEX('Leave Tracker'!$A$8:$A$106,MATCH($A23,'Leave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Tracker'!$A$8:$A$106,MATCH($A23,'Leave Tracker'!$A$8:$A$106,0)))),0,31*(VLOOKUP(U$1,Sprints[],5,FALSE))+DAY(VLOOKUP(U$1,Sprints[],2,FALSE)),1,VLOOKUP(U$1,Sprints[],4,FALSE))&lt;&gt;"")*(IF(OFFSET(INDIRECT(CELL("address",INDEX('Leave Tracker'!$A$8:$A$106,MATCH($A23,'Leave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Tracker'!$A$8:$A$106,MATCH($A24,'Leave Tracker'!$A$8:$A$106,0)))),0,31*(VLOOKUP(G$1,Sprints[],5,FALSE))+DAY(VLOOKUP(G$1,Sprints[],2,FALSE)),1,VLOOKUP(G$1,Sprints[],4,FALSE))&lt;&gt;"")*(IF(OFFSET(INDIRECT(CELL("address",INDEX('Leave Tracker'!$A$8:$A$106,MATCH($A24,'Leave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Tracker'!$A$8:$A$106,MATCH($A24,'Leave Tracker'!$A$8:$A$106,0)))),0,31*(VLOOKUP(H$1,Sprints[],5,FALSE))+DAY(VLOOKUP(H$1,Sprints[],2,FALSE)),1,VLOOKUP(H$1,Sprints[],4,FALSE))&lt;&gt;"")*(IF(OFFSET(INDIRECT(CELL("address",INDEX('Leave Tracker'!$A$8:$A$106,MATCH($A24,'Leave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Tracker'!$A$8:$A$106,MATCH($A24,'Leave Tracker'!$A$8:$A$106,0)))),0,31*(VLOOKUP(I$1,Sprints[],5,FALSE))+DAY(VLOOKUP(I$1,Sprints[],2,FALSE)),1,VLOOKUP(I$1,Sprints[],4,FALSE))&lt;&gt;"")*(IF(OFFSET(INDIRECT(CELL("address",INDEX('Leave Tracker'!$A$8:$A$106,MATCH($A24,'Leave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Tracker'!$A$8:$A$106,MATCH($A24,'Leave Tracker'!$A$8:$A$106,0)))),0,31*(VLOOKUP(J$1,Sprints[],5,FALSE))+DAY(VLOOKUP(J$1,Sprints[],2,FALSE)),1,VLOOKUP(J$1,Sprints[],4,FALSE))&lt;&gt;"")*(IF(OFFSET(INDIRECT(CELL("address",INDEX('Leave Tracker'!$A$8:$A$106,MATCH($A24,'Leave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Tracker'!$A$8:$A$106,MATCH($A24,'Leave Tracker'!$A$8:$A$106,0)))),0,31*(VLOOKUP(K$1,Sprints[],5,FALSE))+DAY(VLOOKUP(K$1,Sprints[],2,FALSE)),1,VLOOKUP(K$1,Sprints[],4,FALSE))&lt;&gt;"")*(IF(OFFSET(INDIRECT(CELL("address",INDEX('Leave Tracker'!$A$8:$A$106,MATCH($A24,'Leave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Tracker'!$A$8:$A$106,MATCH($A24,'Leave Tracker'!$A$8:$A$106,0)))),0,31*(VLOOKUP(L$1,Sprints[],5,FALSE))+DAY(VLOOKUP(L$1,Sprints[],2,FALSE)),1,VLOOKUP(L$1,Sprints[],4,FALSE))&lt;&gt;"")*(IF(OFFSET(INDIRECT(CELL("address",INDEX('Leave Tracker'!$A$8:$A$106,MATCH($A24,'Leave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Tracker'!$A$8:$A$106,MATCH($A24,'Leave Tracker'!$A$8:$A$106,0)))),0,31*(VLOOKUP(M$1,Sprints[],5,FALSE))+DAY(VLOOKUP(M$1,Sprints[],2,FALSE)),1,VLOOKUP(M$1,Sprints[],4,FALSE))&lt;&gt;"")*(IF(OFFSET(INDIRECT(CELL("address",INDEX('Leave Tracker'!$A$8:$A$106,MATCH($A24,'Leave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Tracker'!$A$8:$A$106,MATCH($A24,'Leave Tracker'!$A$8:$A$106,0)))),0,31*(VLOOKUP(N$1,Sprints[],5,FALSE))+DAY(VLOOKUP(N$1,Sprints[],2,FALSE)),1,VLOOKUP(N$1,Sprints[],4,FALSE))&lt;&gt;"")*(IF(OFFSET(INDIRECT(CELL("address",INDEX('Leave Tracker'!$A$8:$A$106,MATCH($A24,'Leave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Tracker'!$A$8:$A$106,MATCH($A24,'Leave Tracker'!$A$8:$A$106,0)))),0,31*(VLOOKUP(O$1,Sprints[],5,FALSE))+DAY(VLOOKUP(O$1,Sprints[],2,FALSE)),1,VLOOKUP(O$1,Sprints[],4,FALSE))&lt;&gt;"")*(IF(OFFSET(INDIRECT(CELL("address",INDEX('Leave Tracker'!$A$8:$A$106,MATCH($A24,'Leave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Tracker'!$A$8:$A$106,MATCH($A24,'Leave Tracker'!$A$8:$A$106,0)))),0,31*(VLOOKUP(P$1,Sprints[],5,FALSE))+DAY(VLOOKUP(P$1,Sprints[],2,FALSE)),1,VLOOKUP(P$1,Sprints[],4,FALSE))&lt;&gt;"")*(IF(OFFSET(INDIRECT(CELL("address",INDEX('Leave Tracker'!$A$8:$A$106,MATCH($A24,'Leave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Tracker'!$A$8:$A$106,MATCH($A24,'Leave Tracker'!$A$8:$A$106,0)))),0,31*(VLOOKUP(Q$1,Sprints[],5,FALSE))+DAY(VLOOKUP(Q$1,Sprints[],2,FALSE)),1,VLOOKUP(Q$1,Sprints[],4,FALSE))&lt;&gt;"")*(IF(OFFSET(INDIRECT(CELL("address",INDEX('Leave Tracker'!$A$8:$A$106,MATCH($A24,'Leave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Tracker'!$A$8:$A$106,MATCH($A24,'Leave Tracker'!$A$8:$A$106,0)))),0,31*(VLOOKUP(R$1,Sprints[],5,FALSE))+DAY(VLOOKUP(R$1,Sprints[],2,FALSE)),1,VLOOKUP(R$1,Sprints[],4,FALSE))&lt;&gt;"")*(IF(OFFSET(INDIRECT(CELL("address",INDEX('Leave Tracker'!$A$8:$A$106,MATCH($A24,'Leave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Tracker'!$A$8:$A$106,MATCH($A24,'Leave Tracker'!$A$8:$A$106,0)))),0,31*(VLOOKUP(S$1,Sprints[],5,FALSE))+DAY(VLOOKUP(S$1,Sprints[],2,FALSE)),1,VLOOKUP(S$1,Sprints[],4,FALSE))&lt;&gt;"")*(IF(OFFSET(INDIRECT(CELL("address",INDEX('Leave Tracker'!$A$8:$A$106,MATCH($A24,'Leave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Tracker'!$A$8:$A$106,MATCH($A24,'Leave Tracker'!$A$8:$A$106,0)))),0,31*(VLOOKUP(T$1,Sprints[],5,FALSE))+DAY(VLOOKUP(T$1,Sprints[],2,FALSE)),1,VLOOKUP(T$1,Sprints[],4,FALSE))&lt;&gt;"")*(IF(OFFSET(INDIRECT(CELL("address",INDEX('Leave Tracker'!$A$8:$A$106,MATCH($A24,'Leave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Tracker'!$A$8:$A$106,MATCH($A24,'Leave Tracker'!$A$8:$A$106,0)))),0,31*(VLOOKUP(U$1,Sprints[],5,FALSE))+DAY(VLOOKUP(U$1,Sprints[],2,FALSE)),1,VLOOKUP(U$1,Sprints[],4,FALSE))&lt;&gt;"")*(IF(OFFSET(INDIRECT(CELL("address",INDEX('Leave Tracker'!$A$8:$A$106,MATCH($A24,'Leave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Tracker'!$A$8:$A$106,MATCH($A25,'Leave Tracker'!$A$8:$A$106,0)))),0,31*(VLOOKUP(G$1,Sprints[],5,FALSE))+DAY(VLOOKUP(G$1,Sprints[],2,FALSE)),1,VLOOKUP(G$1,Sprints[],4,FALSE))&lt;&gt;"")*(IF(OFFSET(INDIRECT(CELL("address",INDEX('Leave Tracker'!$A$8:$A$106,MATCH($A25,'Leave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Tracker'!$A$8:$A$106,MATCH($A25,'Leave Tracker'!$A$8:$A$106,0)))),0,31*(VLOOKUP(H$1,Sprints[],5,FALSE))+DAY(VLOOKUP(H$1,Sprints[],2,FALSE)),1,VLOOKUP(H$1,Sprints[],4,FALSE))&lt;&gt;"")*(IF(OFFSET(INDIRECT(CELL("address",INDEX('Leave Tracker'!$A$8:$A$106,MATCH($A25,'Leave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Tracker'!$A$8:$A$106,MATCH($A25,'Leave Tracker'!$A$8:$A$106,0)))),0,31*(VLOOKUP(I$1,Sprints[],5,FALSE))+DAY(VLOOKUP(I$1,Sprints[],2,FALSE)),1,VLOOKUP(I$1,Sprints[],4,FALSE))&lt;&gt;"")*(IF(OFFSET(INDIRECT(CELL("address",INDEX('Leave Tracker'!$A$8:$A$106,MATCH($A25,'Leave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Tracker'!$A$8:$A$106,MATCH($A25,'Leave Tracker'!$A$8:$A$106,0)))),0,31*(VLOOKUP(J$1,Sprints[],5,FALSE))+DAY(VLOOKUP(J$1,Sprints[],2,FALSE)),1,VLOOKUP(J$1,Sprints[],4,FALSE))&lt;&gt;"")*(IF(OFFSET(INDIRECT(CELL("address",INDEX('Leave Tracker'!$A$8:$A$106,MATCH($A25,'Leave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Tracker'!$A$8:$A$106,MATCH($A25,'Leave Tracker'!$A$8:$A$106,0)))),0,31*(VLOOKUP(K$1,Sprints[],5,FALSE))+DAY(VLOOKUP(K$1,Sprints[],2,FALSE)),1,VLOOKUP(K$1,Sprints[],4,FALSE))&lt;&gt;"")*(IF(OFFSET(INDIRECT(CELL("address",INDEX('Leave Tracker'!$A$8:$A$106,MATCH($A25,'Leave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Tracker'!$A$8:$A$106,MATCH($A25,'Leave Tracker'!$A$8:$A$106,0)))),0,31*(VLOOKUP(L$1,Sprints[],5,FALSE))+DAY(VLOOKUP(L$1,Sprints[],2,FALSE)),1,VLOOKUP(L$1,Sprints[],4,FALSE))&lt;&gt;"")*(IF(OFFSET(INDIRECT(CELL("address",INDEX('Leave Tracker'!$A$8:$A$106,MATCH($A25,'Leave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Tracker'!$A$8:$A$106,MATCH($A25,'Leave Tracker'!$A$8:$A$106,0)))),0,31*(VLOOKUP(M$1,Sprints[],5,FALSE))+DAY(VLOOKUP(M$1,Sprints[],2,FALSE)),1,VLOOKUP(M$1,Sprints[],4,FALSE))&lt;&gt;"")*(IF(OFFSET(INDIRECT(CELL("address",INDEX('Leave Tracker'!$A$8:$A$106,MATCH($A25,'Leave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Tracker'!$A$8:$A$106,MATCH($A25,'Leave Tracker'!$A$8:$A$106,0)))),0,31*(VLOOKUP(N$1,Sprints[],5,FALSE))+DAY(VLOOKUP(N$1,Sprints[],2,FALSE)),1,VLOOKUP(N$1,Sprints[],4,FALSE))&lt;&gt;"")*(IF(OFFSET(INDIRECT(CELL("address",INDEX('Leave Tracker'!$A$8:$A$106,MATCH($A25,'Leave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Tracker'!$A$8:$A$106,MATCH($A25,'Leave Tracker'!$A$8:$A$106,0)))),0,31*(VLOOKUP(O$1,Sprints[],5,FALSE))+DAY(VLOOKUP(O$1,Sprints[],2,FALSE)),1,VLOOKUP(O$1,Sprints[],4,FALSE))&lt;&gt;"")*(IF(OFFSET(INDIRECT(CELL("address",INDEX('Leave Tracker'!$A$8:$A$106,MATCH($A25,'Leave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Tracker'!$A$8:$A$106,MATCH($A25,'Leave Tracker'!$A$8:$A$106,0)))),0,31*(VLOOKUP(P$1,Sprints[],5,FALSE))+DAY(VLOOKUP(P$1,Sprints[],2,FALSE)),1,VLOOKUP(P$1,Sprints[],4,FALSE))&lt;&gt;"")*(IF(OFFSET(INDIRECT(CELL("address",INDEX('Leave Tracker'!$A$8:$A$106,MATCH($A25,'Leave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Tracker'!$A$8:$A$106,MATCH($A25,'Leave Tracker'!$A$8:$A$106,0)))),0,31*(VLOOKUP(Q$1,Sprints[],5,FALSE))+DAY(VLOOKUP(Q$1,Sprints[],2,FALSE)),1,VLOOKUP(Q$1,Sprints[],4,FALSE))&lt;&gt;"")*(IF(OFFSET(INDIRECT(CELL("address",INDEX('Leave Tracker'!$A$8:$A$106,MATCH($A25,'Leave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Tracker'!$A$8:$A$106,MATCH($A25,'Leave Tracker'!$A$8:$A$106,0)))),0,31*(VLOOKUP(R$1,Sprints[],5,FALSE))+DAY(VLOOKUP(R$1,Sprints[],2,FALSE)),1,VLOOKUP(R$1,Sprints[],4,FALSE))&lt;&gt;"")*(IF(OFFSET(INDIRECT(CELL("address",INDEX('Leave Tracker'!$A$8:$A$106,MATCH($A25,'Leave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Tracker'!$A$8:$A$106,MATCH($A25,'Leave Tracker'!$A$8:$A$106,0)))),0,31*(VLOOKUP(S$1,Sprints[],5,FALSE))+DAY(VLOOKUP(S$1,Sprints[],2,FALSE)),1,VLOOKUP(S$1,Sprints[],4,FALSE))&lt;&gt;"")*(IF(OFFSET(INDIRECT(CELL("address",INDEX('Leave Tracker'!$A$8:$A$106,MATCH($A25,'Leave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Tracker'!$A$8:$A$106,MATCH($A25,'Leave Tracker'!$A$8:$A$106,0)))),0,31*(VLOOKUP(T$1,Sprints[],5,FALSE))+DAY(VLOOKUP(T$1,Sprints[],2,FALSE)),1,VLOOKUP(T$1,Sprints[],4,FALSE))&lt;&gt;"")*(IF(OFFSET(INDIRECT(CELL("address",INDEX('Leave Tracker'!$A$8:$A$106,MATCH($A25,'Leave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Tracker'!$A$8:$A$106,MATCH($A25,'Leave Tracker'!$A$8:$A$106,0)))),0,31*(VLOOKUP(U$1,Sprints[],5,FALSE))+DAY(VLOOKUP(U$1,Sprints[],2,FALSE)),1,VLOOKUP(U$1,Sprints[],4,FALSE))&lt;&gt;"")*(IF(OFFSET(INDIRECT(CELL("address",INDEX('Leave Tracker'!$A$8:$A$106,MATCH($A25,'Leave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Tracker'!$A$8:$A$106,MATCH($A26,'Leave Tracker'!$A$8:$A$106,0)))),0,31*(VLOOKUP(G$1,Sprints[],5,FALSE))+DAY(VLOOKUP(G$1,Sprints[],2,FALSE)),1,VLOOKUP(G$1,Sprints[],4,FALSE))&lt;&gt;"")*(IF(OFFSET(INDIRECT(CELL("address",INDEX('Leave Tracker'!$A$8:$A$106,MATCH($A26,'Leave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Tracker'!$A$8:$A$106,MATCH($A26,'Leave Tracker'!$A$8:$A$106,0)))),0,31*(VLOOKUP(H$1,Sprints[],5,FALSE))+DAY(VLOOKUP(H$1,Sprints[],2,FALSE)),1,VLOOKUP(H$1,Sprints[],4,FALSE))&lt;&gt;"")*(IF(OFFSET(INDIRECT(CELL("address",INDEX('Leave Tracker'!$A$8:$A$106,MATCH($A26,'Leave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Tracker'!$A$8:$A$106,MATCH($A26,'Leave Tracker'!$A$8:$A$106,0)))),0,31*(VLOOKUP(I$1,Sprints[],5,FALSE))+DAY(VLOOKUP(I$1,Sprints[],2,FALSE)),1,VLOOKUP(I$1,Sprints[],4,FALSE))&lt;&gt;"")*(IF(OFFSET(INDIRECT(CELL("address",INDEX('Leave Tracker'!$A$8:$A$106,MATCH($A26,'Leave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Tracker'!$A$8:$A$106,MATCH($A26,'Leave Tracker'!$A$8:$A$106,0)))),0,31*(VLOOKUP(J$1,Sprints[],5,FALSE))+DAY(VLOOKUP(J$1,Sprints[],2,FALSE)),1,VLOOKUP(J$1,Sprints[],4,FALSE))&lt;&gt;"")*(IF(OFFSET(INDIRECT(CELL("address",INDEX('Leave Tracker'!$A$8:$A$106,MATCH($A26,'Leave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Tracker'!$A$8:$A$106,MATCH($A26,'Leave Tracker'!$A$8:$A$106,0)))),0,31*(VLOOKUP(K$1,Sprints[],5,FALSE))+DAY(VLOOKUP(K$1,Sprints[],2,FALSE)),1,VLOOKUP(K$1,Sprints[],4,FALSE))&lt;&gt;"")*(IF(OFFSET(INDIRECT(CELL("address",INDEX('Leave Tracker'!$A$8:$A$106,MATCH($A26,'Leave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Tracker'!$A$8:$A$106,MATCH($A26,'Leave Tracker'!$A$8:$A$106,0)))),0,31*(VLOOKUP(L$1,Sprints[],5,FALSE))+DAY(VLOOKUP(L$1,Sprints[],2,FALSE)),1,VLOOKUP(L$1,Sprints[],4,FALSE))&lt;&gt;"")*(IF(OFFSET(INDIRECT(CELL("address",INDEX('Leave Tracker'!$A$8:$A$106,MATCH($A26,'Leave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Tracker'!$A$8:$A$106,MATCH($A26,'Leave Tracker'!$A$8:$A$106,0)))),0,31*(VLOOKUP(M$1,Sprints[],5,FALSE))+DAY(VLOOKUP(M$1,Sprints[],2,FALSE)),1,VLOOKUP(M$1,Sprints[],4,FALSE))&lt;&gt;"")*(IF(OFFSET(INDIRECT(CELL("address",INDEX('Leave Tracker'!$A$8:$A$106,MATCH($A26,'Leave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Tracker'!$A$8:$A$106,MATCH($A26,'Leave Tracker'!$A$8:$A$106,0)))),0,31*(VLOOKUP(N$1,Sprints[],5,FALSE))+DAY(VLOOKUP(N$1,Sprints[],2,FALSE)),1,VLOOKUP(N$1,Sprints[],4,FALSE))&lt;&gt;"")*(IF(OFFSET(INDIRECT(CELL("address",INDEX('Leave Tracker'!$A$8:$A$106,MATCH($A26,'Leave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Tracker'!$A$8:$A$106,MATCH($A26,'Leave Tracker'!$A$8:$A$106,0)))),0,31*(VLOOKUP(O$1,Sprints[],5,FALSE))+DAY(VLOOKUP(O$1,Sprints[],2,FALSE)),1,VLOOKUP(O$1,Sprints[],4,FALSE))&lt;&gt;"")*(IF(OFFSET(INDIRECT(CELL("address",INDEX('Leave Tracker'!$A$8:$A$106,MATCH($A26,'Leave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Tracker'!$A$8:$A$106,MATCH($A26,'Leave Tracker'!$A$8:$A$106,0)))),0,31*(VLOOKUP(P$1,Sprints[],5,FALSE))+DAY(VLOOKUP(P$1,Sprints[],2,FALSE)),1,VLOOKUP(P$1,Sprints[],4,FALSE))&lt;&gt;"")*(IF(OFFSET(INDIRECT(CELL("address",INDEX('Leave Tracker'!$A$8:$A$106,MATCH($A26,'Leave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Tracker'!$A$8:$A$106,MATCH($A26,'Leave Tracker'!$A$8:$A$106,0)))),0,31*(VLOOKUP(Q$1,Sprints[],5,FALSE))+DAY(VLOOKUP(Q$1,Sprints[],2,FALSE)),1,VLOOKUP(Q$1,Sprints[],4,FALSE))&lt;&gt;"")*(IF(OFFSET(INDIRECT(CELL("address",INDEX('Leave Tracker'!$A$8:$A$106,MATCH($A26,'Leave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Tracker'!$A$8:$A$106,MATCH($A26,'Leave Tracker'!$A$8:$A$106,0)))),0,31*(VLOOKUP(R$1,Sprints[],5,FALSE))+DAY(VLOOKUP(R$1,Sprints[],2,FALSE)),1,VLOOKUP(R$1,Sprints[],4,FALSE))&lt;&gt;"")*(IF(OFFSET(INDIRECT(CELL("address",INDEX('Leave Tracker'!$A$8:$A$106,MATCH($A26,'Leave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Tracker'!$A$8:$A$106,MATCH($A26,'Leave Tracker'!$A$8:$A$106,0)))),0,31*(VLOOKUP(S$1,Sprints[],5,FALSE))+DAY(VLOOKUP(S$1,Sprints[],2,FALSE)),1,VLOOKUP(S$1,Sprints[],4,FALSE))&lt;&gt;"")*(IF(OFFSET(INDIRECT(CELL("address",INDEX('Leave Tracker'!$A$8:$A$106,MATCH($A26,'Leave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Tracker'!$A$8:$A$106,MATCH($A26,'Leave Tracker'!$A$8:$A$106,0)))),0,31*(VLOOKUP(T$1,Sprints[],5,FALSE))+DAY(VLOOKUP(T$1,Sprints[],2,FALSE)),1,VLOOKUP(T$1,Sprints[],4,FALSE))&lt;&gt;"")*(IF(OFFSET(INDIRECT(CELL("address",INDEX('Leave Tracker'!$A$8:$A$106,MATCH($A26,'Leave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Tracker'!$A$8:$A$106,MATCH($A26,'Leave Tracker'!$A$8:$A$106,0)))),0,31*(VLOOKUP(U$1,Sprints[],5,FALSE))+DAY(VLOOKUP(U$1,Sprints[],2,FALSE)),1,VLOOKUP(U$1,Sprints[],4,FALSE))&lt;&gt;"")*(IF(OFFSET(INDIRECT(CELL("address",INDEX('Leave Tracker'!$A$8:$A$106,MATCH($A26,'Leave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Tracker'!$A$8:$A$106,MATCH($A27,'Leave Tracker'!$A$8:$A$106,0)))),0,31*(VLOOKUP(G$1,Sprints[],5,FALSE))+DAY(VLOOKUP(G$1,Sprints[],2,FALSE)),1,VLOOKUP(G$1,Sprints[],4,FALSE))&lt;&gt;"")*(IF(OFFSET(INDIRECT(CELL("address",INDEX('Leave Tracker'!$A$8:$A$106,MATCH($A27,'Leave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Tracker'!$A$8:$A$106,MATCH($A27,'Leave Tracker'!$A$8:$A$106,0)))),0,31*(VLOOKUP(H$1,Sprints[],5,FALSE))+DAY(VLOOKUP(H$1,Sprints[],2,FALSE)),1,VLOOKUP(H$1,Sprints[],4,FALSE))&lt;&gt;"")*(IF(OFFSET(INDIRECT(CELL("address",INDEX('Leave Tracker'!$A$8:$A$106,MATCH($A27,'Leave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Tracker'!$A$8:$A$106,MATCH($A27,'Leave Tracker'!$A$8:$A$106,0)))),0,31*(VLOOKUP(I$1,Sprints[],5,FALSE))+DAY(VLOOKUP(I$1,Sprints[],2,FALSE)),1,VLOOKUP(I$1,Sprints[],4,FALSE))&lt;&gt;"")*(IF(OFFSET(INDIRECT(CELL("address",INDEX('Leave Tracker'!$A$8:$A$106,MATCH($A27,'Leave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Tracker'!$A$8:$A$106,MATCH($A27,'Leave Tracker'!$A$8:$A$106,0)))),0,31*(VLOOKUP(J$1,Sprints[],5,FALSE))+DAY(VLOOKUP(J$1,Sprints[],2,FALSE)),1,VLOOKUP(J$1,Sprints[],4,FALSE))&lt;&gt;"")*(IF(OFFSET(INDIRECT(CELL("address",INDEX('Leave Tracker'!$A$8:$A$106,MATCH($A27,'Leave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Tracker'!$A$8:$A$106,MATCH($A27,'Leave Tracker'!$A$8:$A$106,0)))),0,31*(VLOOKUP(K$1,Sprints[],5,FALSE))+DAY(VLOOKUP(K$1,Sprints[],2,FALSE)),1,VLOOKUP(K$1,Sprints[],4,FALSE))&lt;&gt;"")*(IF(OFFSET(INDIRECT(CELL("address",INDEX('Leave Tracker'!$A$8:$A$106,MATCH($A27,'Leave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Tracker'!$A$8:$A$106,MATCH($A27,'Leave Tracker'!$A$8:$A$106,0)))),0,31*(VLOOKUP(L$1,Sprints[],5,FALSE))+DAY(VLOOKUP(L$1,Sprints[],2,FALSE)),1,VLOOKUP(L$1,Sprints[],4,FALSE))&lt;&gt;"")*(IF(OFFSET(INDIRECT(CELL("address",INDEX('Leave Tracker'!$A$8:$A$106,MATCH($A27,'Leave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Tracker'!$A$8:$A$106,MATCH($A27,'Leave Tracker'!$A$8:$A$106,0)))),0,31*(VLOOKUP(M$1,Sprints[],5,FALSE))+DAY(VLOOKUP(M$1,Sprints[],2,FALSE)),1,VLOOKUP(M$1,Sprints[],4,FALSE))&lt;&gt;"")*(IF(OFFSET(INDIRECT(CELL("address",INDEX('Leave Tracker'!$A$8:$A$106,MATCH($A27,'Leave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Tracker'!$A$8:$A$106,MATCH($A27,'Leave Tracker'!$A$8:$A$106,0)))),0,31*(VLOOKUP(N$1,Sprints[],5,FALSE))+DAY(VLOOKUP(N$1,Sprints[],2,FALSE)),1,VLOOKUP(N$1,Sprints[],4,FALSE))&lt;&gt;"")*(IF(OFFSET(INDIRECT(CELL("address",INDEX('Leave Tracker'!$A$8:$A$106,MATCH($A27,'Leave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Tracker'!$A$8:$A$106,MATCH($A27,'Leave Tracker'!$A$8:$A$106,0)))),0,31*(VLOOKUP(O$1,Sprints[],5,FALSE))+DAY(VLOOKUP(O$1,Sprints[],2,FALSE)),1,VLOOKUP(O$1,Sprints[],4,FALSE))&lt;&gt;"")*(IF(OFFSET(INDIRECT(CELL("address",INDEX('Leave Tracker'!$A$8:$A$106,MATCH($A27,'Leave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Tracker'!$A$8:$A$106,MATCH($A27,'Leave Tracker'!$A$8:$A$106,0)))),0,31*(VLOOKUP(P$1,Sprints[],5,FALSE))+DAY(VLOOKUP(P$1,Sprints[],2,FALSE)),1,VLOOKUP(P$1,Sprints[],4,FALSE))&lt;&gt;"")*(IF(OFFSET(INDIRECT(CELL("address",INDEX('Leave Tracker'!$A$8:$A$106,MATCH($A27,'Leave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Tracker'!$A$8:$A$106,MATCH($A27,'Leave Tracker'!$A$8:$A$106,0)))),0,31*(VLOOKUP(Q$1,Sprints[],5,FALSE))+DAY(VLOOKUP(Q$1,Sprints[],2,FALSE)),1,VLOOKUP(Q$1,Sprints[],4,FALSE))&lt;&gt;"")*(IF(OFFSET(INDIRECT(CELL("address",INDEX('Leave Tracker'!$A$8:$A$106,MATCH($A27,'Leave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Tracker'!$A$8:$A$106,MATCH($A27,'Leave Tracker'!$A$8:$A$106,0)))),0,31*(VLOOKUP(R$1,Sprints[],5,FALSE))+DAY(VLOOKUP(R$1,Sprints[],2,FALSE)),1,VLOOKUP(R$1,Sprints[],4,FALSE))&lt;&gt;"")*(IF(OFFSET(INDIRECT(CELL("address",INDEX('Leave Tracker'!$A$8:$A$106,MATCH($A27,'Leave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2.8000000000000003</v>
      </c>
      <c r="S27" s="31">
        <f t="array" aca="1" ref="S27" ca="1">Sheet3!$W$2*$F27*(NETWORKDAYS(VLOOKUP(S$1,Sprints[],2,FALSE), VLOOKUP(S$1,Sprints[],3,FALSE))-SUMPRODUCT((OFFSET(INDIRECT(CELL("address",INDEX('Leave Tracker'!$A$8:$A$106,MATCH($A27,'Leave Tracker'!$A$8:$A$106,0)))),0,31*(VLOOKUP(S$1,Sprints[],5,FALSE))+DAY(VLOOKUP(S$1,Sprints[],2,FALSE)),1,VLOOKUP(S$1,Sprints[],4,FALSE))&lt;&gt;"")*(IF(OFFSET(INDIRECT(CELL("address",INDEX('Leave Tracker'!$A$8:$A$106,MATCH($A27,'Leave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Tracker'!$A$8:$A$106,MATCH($A27,'Leave Tracker'!$A$8:$A$106,0)))),0,31*(VLOOKUP(T$1,Sprints[],5,FALSE))+DAY(VLOOKUP(T$1,Sprints[],2,FALSE)),1,VLOOKUP(T$1,Sprints[],4,FALSE))&lt;&gt;"")*(IF(OFFSET(INDIRECT(CELL("address",INDEX('Leave Tracker'!$A$8:$A$106,MATCH($A27,'Leave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Tracker'!$A$8:$A$106,MATCH($A27,'Leave Tracker'!$A$8:$A$106,0)))),0,31*(VLOOKUP(U$1,Sprints[],5,FALSE))+DAY(VLOOKUP(U$1,Sprints[],2,FALSE)),1,VLOOKUP(U$1,Sprints[],4,FALSE))&lt;&gt;"")*(IF(OFFSET(INDIRECT(CELL("address",INDEX('Leave Tracker'!$A$8:$A$106,MATCH($A27,'Leave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8.4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Tracker'!$A$8:$A$106,MATCH($A28,'Leave Tracker'!$A$8:$A$106,0)))),0,31*(VLOOKUP(G$1,Sprints[],5,FALSE))+DAY(VLOOKUP(G$1,Sprints[],2,FALSE)),1,VLOOKUP(G$1,Sprints[],4,FALSE))&lt;&gt;"")*(IF(OFFSET(INDIRECT(CELL("address",INDEX('Leave Tracker'!$A$8:$A$106,MATCH($A28,'Leave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Tracker'!$A$8:$A$106,MATCH($A28,'Leave Tracker'!$A$8:$A$106,0)))),0,31*(VLOOKUP(H$1,Sprints[],5,FALSE))+DAY(VLOOKUP(H$1,Sprints[],2,FALSE)),1,VLOOKUP(H$1,Sprints[],4,FALSE))&lt;&gt;"")*(IF(OFFSET(INDIRECT(CELL("address",INDEX('Leave Tracker'!$A$8:$A$106,MATCH($A28,'Leave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Tracker'!$A$8:$A$106,MATCH($A28,'Leave Tracker'!$A$8:$A$106,0)))),0,31*(VLOOKUP(I$1,Sprints[],5,FALSE))+DAY(VLOOKUP(I$1,Sprints[],2,FALSE)),1,VLOOKUP(I$1,Sprints[],4,FALSE))&lt;&gt;"")*(IF(OFFSET(INDIRECT(CELL("address",INDEX('Leave Tracker'!$A$8:$A$106,MATCH($A28,'Leave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Tracker'!$A$8:$A$106,MATCH($A28,'Leave Tracker'!$A$8:$A$106,0)))),0,31*(VLOOKUP(J$1,Sprints[],5,FALSE))+DAY(VLOOKUP(J$1,Sprints[],2,FALSE)),1,VLOOKUP(J$1,Sprints[],4,FALSE))&lt;&gt;"")*(IF(OFFSET(INDIRECT(CELL("address",INDEX('Leave Tracker'!$A$8:$A$106,MATCH($A28,'Leave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Tracker'!$A$8:$A$106,MATCH($A28,'Leave Tracker'!$A$8:$A$106,0)))),0,31*(VLOOKUP(K$1,Sprints[],5,FALSE))+DAY(VLOOKUP(K$1,Sprints[],2,FALSE)),1,VLOOKUP(K$1,Sprints[],4,FALSE))&lt;&gt;"")*(IF(OFFSET(INDIRECT(CELL("address",INDEX('Leave Tracker'!$A$8:$A$106,MATCH($A28,'Leave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Tracker'!$A$8:$A$106,MATCH($A28,'Leave Tracker'!$A$8:$A$106,0)))),0,31*(VLOOKUP(L$1,Sprints[],5,FALSE))+DAY(VLOOKUP(L$1,Sprints[],2,FALSE)),1,VLOOKUP(L$1,Sprints[],4,FALSE))&lt;&gt;"")*(IF(OFFSET(INDIRECT(CELL("address",INDEX('Leave Tracker'!$A$8:$A$106,MATCH($A28,'Leave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Tracker'!$A$8:$A$106,MATCH($A28,'Leave Tracker'!$A$8:$A$106,0)))),0,31*(VLOOKUP(M$1,Sprints[],5,FALSE))+DAY(VLOOKUP(M$1,Sprints[],2,FALSE)),1,VLOOKUP(M$1,Sprints[],4,FALSE))&lt;&gt;"")*(IF(OFFSET(INDIRECT(CELL("address",INDEX('Leave Tracker'!$A$8:$A$106,MATCH($A28,'Leave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Tracker'!$A$8:$A$106,MATCH($A28,'Leave Tracker'!$A$8:$A$106,0)))),0,31*(VLOOKUP(N$1,Sprints[],5,FALSE))+DAY(VLOOKUP(N$1,Sprints[],2,FALSE)),1,VLOOKUP(N$1,Sprints[],4,FALSE))&lt;&gt;"")*(IF(OFFSET(INDIRECT(CELL("address",INDEX('Leave Tracker'!$A$8:$A$106,MATCH($A28,'Leave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Tracker'!$A$8:$A$106,MATCH($A28,'Leave Tracker'!$A$8:$A$106,0)))),0,31*(VLOOKUP(O$1,Sprints[],5,FALSE))+DAY(VLOOKUP(O$1,Sprints[],2,FALSE)),1,VLOOKUP(O$1,Sprints[],4,FALSE))&lt;&gt;"")*(IF(OFFSET(INDIRECT(CELL("address",INDEX('Leave Tracker'!$A$8:$A$106,MATCH($A28,'Leave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Tracker'!$A$8:$A$106,MATCH($A28,'Leave Tracker'!$A$8:$A$106,0)))),0,31*(VLOOKUP(P$1,Sprints[],5,FALSE))+DAY(VLOOKUP(P$1,Sprints[],2,FALSE)),1,VLOOKUP(P$1,Sprints[],4,FALSE))&lt;&gt;"")*(IF(OFFSET(INDIRECT(CELL("address",INDEX('Leave Tracker'!$A$8:$A$106,MATCH($A28,'Leave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Tracker'!$A$8:$A$106,MATCH($A28,'Leave Tracker'!$A$8:$A$106,0)))),0,31*(VLOOKUP(Q$1,Sprints[],5,FALSE))+DAY(VLOOKUP(Q$1,Sprints[],2,FALSE)),1,VLOOKUP(Q$1,Sprints[],4,FALSE))&lt;&gt;"")*(IF(OFFSET(INDIRECT(CELL("address",INDEX('Leave Tracker'!$A$8:$A$106,MATCH($A28,'Leave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Tracker'!$A$8:$A$106,MATCH($A28,'Leave Tracker'!$A$8:$A$106,0)))),0,31*(VLOOKUP(R$1,Sprints[],5,FALSE))+DAY(VLOOKUP(R$1,Sprints[],2,FALSE)),1,VLOOKUP(R$1,Sprints[],4,FALSE))&lt;&gt;"")*(IF(OFFSET(INDIRECT(CELL("address",INDEX('Leave Tracker'!$A$8:$A$106,MATCH($A28,'Leave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Tracker'!$A$8:$A$106,MATCH($A28,'Leave Tracker'!$A$8:$A$106,0)))),0,31*(VLOOKUP(S$1,Sprints[],5,FALSE))+DAY(VLOOKUP(S$1,Sprints[],2,FALSE)),1,VLOOKUP(S$1,Sprints[],4,FALSE))&lt;&gt;"")*(IF(OFFSET(INDIRECT(CELL("address",INDEX('Leave Tracker'!$A$8:$A$106,MATCH($A28,'Leave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Tracker'!$A$8:$A$106,MATCH($A28,'Leave Tracker'!$A$8:$A$106,0)))),0,31*(VLOOKUP(T$1,Sprints[],5,FALSE))+DAY(VLOOKUP(T$1,Sprints[],2,FALSE)),1,VLOOKUP(T$1,Sprints[],4,FALSE))&lt;&gt;"")*(IF(OFFSET(INDIRECT(CELL("address",INDEX('Leave Tracker'!$A$8:$A$106,MATCH($A28,'Leave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Tracker'!$A$8:$A$106,MATCH($A28,'Leave Tracker'!$A$8:$A$106,0)))),0,31*(VLOOKUP(U$1,Sprints[],5,FALSE))+DAY(VLOOKUP(U$1,Sprints[],2,FALSE)),1,VLOOKUP(U$1,Sprints[],4,FALSE))&lt;&gt;"")*(IF(OFFSET(INDIRECT(CELL("address",INDEX('Leave Tracker'!$A$8:$A$106,MATCH($A28,'Leave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Tracker'!$A$8:$A$106,MATCH($A29,'Leave Tracker'!$A$8:$A$106,0)))),0,31*(VLOOKUP(G$1,Sprints[],5,FALSE))+DAY(VLOOKUP(G$1,Sprints[],2,FALSE)),1,VLOOKUP(G$1,Sprints[],4,FALSE))&lt;&gt;"")*(IF(OFFSET(INDIRECT(CELL("address",INDEX('Leave Tracker'!$A$8:$A$106,MATCH($A29,'Leave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Tracker'!$A$8:$A$106,MATCH($A29,'Leave Tracker'!$A$8:$A$106,0)))),0,31*(VLOOKUP(H$1,Sprints[],5,FALSE))+DAY(VLOOKUP(H$1,Sprints[],2,FALSE)),1,VLOOKUP(H$1,Sprints[],4,FALSE))&lt;&gt;"")*(IF(OFFSET(INDIRECT(CELL("address",INDEX('Leave Tracker'!$A$8:$A$106,MATCH($A29,'Leave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Tracker'!$A$8:$A$106,MATCH($A29,'Leave Tracker'!$A$8:$A$106,0)))),0,31*(VLOOKUP(I$1,Sprints[],5,FALSE))+DAY(VLOOKUP(I$1,Sprints[],2,FALSE)),1,VLOOKUP(I$1,Sprints[],4,FALSE))&lt;&gt;"")*(IF(OFFSET(INDIRECT(CELL("address",INDEX('Leave Tracker'!$A$8:$A$106,MATCH($A29,'Leave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Tracker'!$A$8:$A$106,MATCH($A29,'Leave Tracker'!$A$8:$A$106,0)))),0,31*(VLOOKUP(J$1,Sprints[],5,FALSE))+DAY(VLOOKUP(J$1,Sprints[],2,FALSE)),1,VLOOKUP(J$1,Sprints[],4,FALSE))&lt;&gt;"")*(IF(OFFSET(INDIRECT(CELL("address",INDEX('Leave Tracker'!$A$8:$A$106,MATCH($A29,'Leave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Tracker'!$A$8:$A$106,MATCH($A29,'Leave Tracker'!$A$8:$A$106,0)))),0,31*(VLOOKUP(K$1,Sprints[],5,FALSE))+DAY(VLOOKUP(K$1,Sprints[],2,FALSE)),1,VLOOKUP(K$1,Sprints[],4,FALSE))&lt;&gt;"")*(IF(OFFSET(INDIRECT(CELL("address",INDEX('Leave Tracker'!$A$8:$A$106,MATCH($A29,'Leave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Tracker'!$A$8:$A$106,MATCH($A29,'Leave Tracker'!$A$8:$A$106,0)))),0,31*(VLOOKUP(L$1,Sprints[],5,FALSE))+DAY(VLOOKUP(L$1,Sprints[],2,FALSE)),1,VLOOKUP(L$1,Sprints[],4,FALSE))&lt;&gt;"")*(IF(OFFSET(INDIRECT(CELL("address",INDEX('Leave Tracker'!$A$8:$A$106,MATCH($A29,'Leave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Tracker'!$A$8:$A$106,MATCH($A29,'Leave Tracker'!$A$8:$A$106,0)))),0,31*(VLOOKUP(M$1,Sprints[],5,FALSE))+DAY(VLOOKUP(M$1,Sprints[],2,FALSE)),1,VLOOKUP(M$1,Sprints[],4,FALSE))&lt;&gt;"")*(IF(OFFSET(INDIRECT(CELL("address",INDEX('Leave Tracker'!$A$8:$A$106,MATCH($A29,'Leave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Tracker'!$A$8:$A$106,MATCH($A29,'Leave Tracker'!$A$8:$A$106,0)))),0,31*(VLOOKUP(N$1,Sprints[],5,FALSE))+DAY(VLOOKUP(N$1,Sprints[],2,FALSE)),1,VLOOKUP(N$1,Sprints[],4,FALSE))&lt;&gt;"")*(IF(OFFSET(INDIRECT(CELL("address",INDEX('Leave Tracker'!$A$8:$A$106,MATCH($A29,'Leave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Tracker'!$A$8:$A$106,MATCH($A29,'Leave Tracker'!$A$8:$A$106,0)))),0,31*(VLOOKUP(O$1,Sprints[],5,FALSE))+DAY(VLOOKUP(O$1,Sprints[],2,FALSE)),1,VLOOKUP(O$1,Sprints[],4,FALSE))&lt;&gt;"")*(IF(OFFSET(INDIRECT(CELL("address",INDEX('Leave Tracker'!$A$8:$A$106,MATCH($A29,'Leave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Tracker'!$A$8:$A$106,MATCH($A29,'Leave Tracker'!$A$8:$A$106,0)))),0,31*(VLOOKUP(P$1,Sprints[],5,FALSE))+DAY(VLOOKUP(P$1,Sprints[],2,FALSE)),1,VLOOKUP(P$1,Sprints[],4,FALSE))&lt;&gt;"")*(IF(OFFSET(INDIRECT(CELL("address",INDEX('Leave Tracker'!$A$8:$A$106,MATCH($A29,'Leave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Tracker'!$A$8:$A$106,MATCH($A29,'Leave Tracker'!$A$8:$A$106,0)))),0,31*(VLOOKUP(Q$1,Sprints[],5,FALSE))+DAY(VLOOKUP(Q$1,Sprints[],2,FALSE)),1,VLOOKUP(Q$1,Sprints[],4,FALSE))&lt;&gt;"")*(IF(OFFSET(INDIRECT(CELL("address",INDEX('Leave Tracker'!$A$8:$A$106,MATCH($A29,'Leave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5.4</v>
      </c>
      <c r="R29">
        <f t="array" aca="1" ref="R29" ca="1">Sheet3!$W$2*$F29*(NETWORKDAYS(VLOOKUP(R$1,Sprints[],2,FALSE), VLOOKUP(R$1,Sprints[],3,FALSE))-SUMPRODUCT((OFFSET(INDIRECT(CELL("address",INDEX('Leave Tracker'!$A$8:$A$106,MATCH($A29,'Leave Tracker'!$A$8:$A$106,0)))),0,31*(VLOOKUP(R$1,Sprints[],5,FALSE))+DAY(VLOOKUP(R$1,Sprints[],2,FALSE)),1,VLOOKUP(R$1,Sprints[],4,FALSE))&lt;&gt;"")*(IF(OFFSET(INDIRECT(CELL("address",INDEX('Leave Tracker'!$A$8:$A$106,MATCH($A29,'Leave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9" s="31">
        <f t="array" aca="1" ref="S29" ca="1">Sheet3!$W$2*$F29*(NETWORKDAYS(VLOOKUP(S$1,Sprints[],2,FALSE), VLOOKUP(S$1,Sprints[],3,FALSE))-SUMPRODUCT((OFFSET(INDIRECT(CELL("address",INDEX('Leave Tracker'!$A$8:$A$106,MATCH($A29,'Leave Tracker'!$A$8:$A$106,0)))),0,31*(VLOOKUP(S$1,Sprints[],5,FALSE))+DAY(VLOOKUP(S$1,Sprints[],2,FALSE)),1,VLOOKUP(S$1,Sprints[],4,FALSE))&lt;&gt;"")*(IF(OFFSET(INDIRECT(CELL("address",INDEX('Leave Tracker'!$A$8:$A$106,MATCH($A29,'Leave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Tracker'!$A$8:$A$106,MATCH($A29,'Leave Tracker'!$A$8:$A$106,0)))),0,31*(VLOOKUP(T$1,Sprints[],5,FALSE))+DAY(VLOOKUP(T$1,Sprints[],2,FALSE)),1,VLOOKUP(T$1,Sprints[],4,FALSE))&lt;&gt;"")*(IF(OFFSET(INDIRECT(CELL("address",INDEX('Leave Tracker'!$A$8:$A$106,MATCH($A29,'Leave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Tracker'!$A$8:$A$106,MATCH($A29,'Leave Tracker'!$A$8:$A$106,0)))),0,31*(VLOOKUP(U$1,Sprints[],5,FALSE))+DAY(VLOOKUP(U$1,Sprints[],2,FALSE)),1,VLOOKUP(U$1,Sprints[],4,FALSE))&lt;&gt;"")*(IF(OFFSET(INDIRECT(CELL("address",INDEX('Leave Tracker'!$A$8:$A$106,MATCH($A29,'Leave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6.0000000000000009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Tracker'!$A$8:$A$106,MATCH($A30,'Leave Tracker'!$A$8:$A$106,0)))),0,31*(VLOOKUP(G$1,Sprints[],5,FALSE))+DAY(VLOOKUP(G$1,Sprints[],2,FALSE)),1,VLOOKUP(G$1,Sprints[],4,FALSE))&lt;&gt;"")*(IF(OFFSET(INDIRECT(CELL("address",INDEX('Leave Tracker'!$A$8:$A$106,MATCH($A30,'Leave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Tracker'!$A$8:$A$106,MATCH($A30,'Leave Tracker'!$A$8:$A$106,0)))),0,31*(VLOOKUP(H$1,Sprints[],5,FALSE))+DAY(VLOOKUP(H$1,Sprints[],2,FALSE)),1,VLOOKUP(H$1,Sprints[],4,FALSE))&lt;&gt;"")*(IF(OFFSET(INDIRECT(CELL("address",INDEX('Leave Tracker'!$A$8:$A$106,MATCH($A30,'Leave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Tracker'!$A$8:$A$106,MATCH($A30,'Leave Tracker'!$A$8:$A$106,0)))),0,31*(VLOOKUP(I$1,Sprints[],5,FALSE))+DAY(VLOOKUP(I$1,Sprints[],2,FALSE)),1,VLOOKUP(I$1,Sprints[],4,FALSE))&lt;&gt;"")*(IF(OFFSET(INDIRECT(CELL("address",INDEX('Leave Tracker'!$A$8:$A$106,MATCH($A30,'Leave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Tracker'!$A$8:$A$106,MATCH($A30,'Leave Tracker'!$A$8:$A$106,0)))),0,31*(VLOOKUP(J$1,Sprints[],5,FALSE))+DAY(VLOOKUP(J$1,Sprints[],2,FALSE)),1,VLOOKUP(J$1,Sprints[],4,FALSE))&lt;&gt;"")*(IF(OFFSET(INDIRECT(CELL("address",INDEX('Leave Tracker'!$A$8:$A$106,MATCH($A30,'Leave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Tracker'!$A$8:$A$106,MATCH($A30,'Leave Tracker'!$A$8:$A$106,0)))),0,31*(VLOOKUP(K$1,Sprints[],5,FALSE))+DAY(VLOOKUP(K$1,Sprints[],2,FALSE)),1,VLOOKUP(K$1,Sprints[],4,FALSE))&lt;&gt;"")*(IF(OFFSET(INDIRECT(CELL("address",INDEX('Leave Tracker'!$A$8:$A$106,MATCH($A30,'Leave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Tracker'!$A$8:$A$106,MATCH($A30,'Leave Tracker'!$A$8:$A$106,0)))),0,31*(VLOOKUP(L$1,Sprints[],5,FALSE))+DAY(VLOOKUP(L$1,Sprints[],2,FALSE)),1,VLOOKUP(L$1,Sprints[],4,FALSE))&lt;&gt;"")*(IF(OFFSET(INDIRECT(CELL("address",INDEX('Leave Tracker'!$A$8:$A$106,MATCH($A30,'Leave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Tracker'!$A$8:$A$106,MATCH($A30,'Leave Tracker'!$A$8:$A$106,0)))),0,31*(VLOOKUP(M$1,Sprints[],5,FALSE))+DAY(VLOOKUP(M$1,Sprints[],2,FALSE)),1,VLOOKUP(M$1,Sprints[],4,FALSE))&lt;&gt;"")*(IF(OFFSET(INDIRECT(CELL("address",INDEX('Leave Tracker'!$A$8:$A$106,MATCH($A30,'Leave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Tracker'!$A$8:$A$106,MATCH($A30,'Leave Tracker'!$A$8:$A$106,0)))),0,31*(VLOOKUP(N$1,Sprints[],5,FALSE))+DAY(VLOOKUP(N$1,Sprints[],2,FALSE)),1,VLOOKUP(N$1,Sprints[],4,FALSE))&lt;&gt;"")*(IF(OFFSET(INDIRECT(CELL("address",INDEX('Leave Tracker'!$A$8:$A$106,MATCH($A30,'Leave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Tracker'!$A$8:$A$106,MATCH($A30,'Leave Tracker'!$A$8:$A$106,0)))),0,31*(VLOOKUP(O$1,Sprints[],5,FALSE))+DAY(VLOOKUP(O$1,Sprints[],2,FALSE)),1,VLOOKUP(O$1,Sprints[],4,FALSE))&lt;&gt;"")*(IF(OFFSET(INDIRECT(CELL("address",INDEX('Leave Tracker'!$A$8:$A$106,MATCH($A30,'Leave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Tracker'!$A$8:$A$106,MATCH($A30,'Leave Tracker'!$A$8:$A$106,0)))),0,31*(VLOOKUP(P$1,Sprints[],5,FALSE))+DAY(VLOOKUP(P$1,Sprints[],2,FALSE)),1,VLOOKUP(P$1,Sprints[],4,FALSE))&lt;&gt;"")*(IF(OFFSET(INDIRECT(CELL("address",INDEX('Leave Tracker'!$A$8:$A$106,MATCH($A30,'Leave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Tracker'!$A$8:$A$106,MATCH($A30,'Leave Tracker'!$A$8:$A$106,0)))),0,31*(VLOOKUP(Q$1,Sprints[],5,FALSE))+DAY(VLOOKUP(Q$1,Sprints[],2,FALSE)),1,VLOOKUP(Q$1,Sprints[],4,FALSE))&lt;&gt;"")*(IF(OFFSET(INDIRECT(CELL("address",INDEX('Leave Tracker'!$A$8:$A$106,MATCH($A30,'Leave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Tracker'!$A$8:$A$106,MATCH($A30,'Leave Tracker'!$A$8:$A$106,0)))),0,31*(VLOOKUP(R$1,Sprints[],5,FALSE))+DAY(VLOOKUP(R$1,Sprints[],2,FALSE)),1,VLOOKUP(R$1,Sprints[],4,FALSE))&lt;&gt;"")*(IF(OFFSET(INDIRECT(CELL("address",INDEX('Leave Tracker'!$A$8:$A$106,MATCH($A30,'Leave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Tracker'!$A$8:$A$106,MATCH($A30,'Leave Tracker'!$A$8:$A$106,0)))),0,31*(VLOOKUP(S$1,Sprints[],5,FALSE))+DAY(VLOOKUP(S$1,Sprints[],2,FALSE)),1,VLOOKUP(S$1,Sprints[],4,FALSE))&lt;&gt;"")*(IF(OFFSET(INDIRECT(CELL("address",INDEX('Leave Tracker'!$A$8:$A$106,MATCH($A30,'Leave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Tracker'!$A$8:$A$106,MATCH($A30,'Leave Tracker'!$A$8:$A$106,0)))),0,31*(VLOOKUP(T$1,Sprints[],5,FALSE))+DAY(VLOOKUP(T$1,Sprints[],2,FALSE)),1,VLOOKUP(T$1,Sprints[],4,FALSE))&lt;&gt;"")*(IF(OFFSET(INDIRECT(CELL("address",INDEX('Leave Tracker'!$A$8:$A$106,MATCH($A30,'Leave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Tracker'!$A$8:$A$106,MATCH($A30,'Leave Tracker'!$A$8:$A$106,0)))),0,31*(VLOOKUP(U$1,Sprints[],5,FALSE))+DAY(VLOOKUP(U$1,Sprints[],2,FALSE)),1,VLOOKUP(U$1,Sprints[],4,FALSE))&lt;&gt;"")*(IF(OFFSET(INDIRECT(CELL("address",INDEX('Leave Tracker'!$A$8:$A$106,MATCH($A30,'Leave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Tracker'!$A$8:$A$106,MATCH($A31,'Leave Tracker'!$A$8:$A$106,0)))),0,31*(VLOOKUP(G$1,Sprints[],5,FALSE))+DAY(VLOOKUP(G$1,Sprints[],2,FALSE)),1,VLOOKUP(G$1,Sprints[],4,FALSE))&lt;&gt;"")*(IF(OFFSET(INDIRECT(CELL("address",INDEX('Leave Tracker'!$A$8:$A$106,MATCH($A31,'Leave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Tracker'!$A$8:$A$106,MATCH($A31,'Leave Tracker'!$A$8:$A$106,0)))),0,31*(VLOOKUP(H$1,Sprints[],5,FALSE))+DAY(VLOOKUP(H$1,Sprints[],2,FALSE)),1,VLOOKUP(H$1,Sprints[],4,FALSE))&lt;&gt;"")*(IF(OFFSET(INDIRECT(CELL("address",INDEX('Leave Tracker'!$A$8:$A$106,MATCH($A31,'Leave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Tracker'!$A$8:$A$106,MATCH($A31,'Leave Tracker'!$A$8:$A$106,0)))),0,31*(VLOOKUP(I$1,Sprints[],5,FALSE))+DAY(VLOOKUP(I$1,Sprints[],2,FALSE)),1,VLOOKUP(I$1,Sprints[],4,FALSE))&lt;&gt;"")*(IF(OFFSET(INDIRECT(CELL("address",INDEX('Leave Tracker'!$A$8:$A$106,MATCH($A31,'Leave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Tracker'!$A$8:$A$106,MATCH($A31,'Leave Tracker'!$A$8:$A$106,0)))),0,31*(VLOOKUP(J$1,Sprints[],5,FALSE))+DAY(VLOOKUP(J$1,Sprints[],2,FALSE)),1,VLOOKUP(J$1,Sprints[],4,FALSE))&lt;&gt;"")*(IF(OFFSET(INDIRECT(CELL("address",INDEX('Leave Tracker'!$A$8:$A$106,MATCH($A31,'Leave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Tracker'!$A$8:$A$106,MATCH($A31,'Leave Tracker'!$A$8:$A$106,0)))),0,31*(VLOOKUP(K$1,Sprints[],5,FALSE))+DAY(VLOOKUP(K$1,Sprints[],2,FALSE)),1,VLOOKUP(K$1,Sprints[],4,FALSE))&lt;&gt;"")*(IF(OFFSET(INDIRECT(CELL("address",INDEX('Leave Tracker'!$A$8:$A$106,MATCH($A31,'Leave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Tracker'!$A$8:$A$106,MATCH($A31,'Leave Tracker'!$A$8:$A$106,0)))),0,31*(VLOOKUP(L$1,Sprints[],5,FALSE))+DAY(VLOOKUP(L$1,Sprints[],2,FALSE)),1,VLOOKUP(L$1,Sprints[],4,FALSE))&lt;&gt;"")*(IF(OFFSET(INDIRECT(CELL("address",INDEX('Leave Tracker'!$A$8:$A$106,MATCH($A31,'Leave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Tracker'!$A$8:$A$106,MATCH($A31,'Leave Tracker'!$A$8:$A$106,0)))),0,31*(VLOOKUP(M$1,Sprints[],5,FALSE))+DAY(VLOOKUP(M$1,Sprints[],2,FALSE)),1,VLOOKUP(M$1,Sprints[],4,FALSE))&lt;&gt;"")*(IF(OFFSET(INDIRECT(CELL("address",INDEX('Leave Tracker'!$A$8:$A$106,MATCH($A31,'Leave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Tracker'!$A$8:$A$106,MATCH($A31,'Leave Tracker'!$A$8:$A$106,0)))),0,31*(VLOOKUP(N$1,Sprints[],5,FALSE))+DAY(VLOOKUP(N$1,Sprints[],2,FALSE)),1,VLOOKUP(N$1,Sprints[],4,FALSE))&lt;&gt;"")*(IF(OFFSET(INDIRECT(CELL("address",INDEX('Leave Tracker'!$A$8:$A$106,MATCH($A31,'Leave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Tracker'!$A$8:$A$106,MATCH($A31,'Leave Tracker'!$A$8:$A$106,0)))),0,31*(VLOOKUP(O$1,Sprints[],5,FALSE))+DAY(VLOOKUP(O$1,Sprints[],2,FALSE)),1,VLOOKUP(O$1,Sprints[],4,FALSE))&lt;&gt;"")*(IF(OFFSET(INDIRECT(CELL("address",INDEX('Leave Tracker'!$A$8:$A$106,MATCH($A31,'Leave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Tracker'!$A$8:$A$106,MATCH($A31,'Leave Tracker'!$A$8:$A$106,0)))),0,31*(VLOOKUP(P$1,Sprints[],5,FALSE))+DAY(VLOOKUP(P$1,Sprints[],2,FALSE)),1,VLOOKUP(P$1,Sprints[],4,FALSE))&lt;&gt;"")*(IF(OFFSET(INDIRECT(CELL("address",INDEX('Leave Tracker'!$A$8:$A$106,MATCH($A31,'Leave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Tracker'!$A$8:$A$106,MATCH($A31,'Leave Tracker'!$A$8:$A$106,0)))),0,31*(VLOOKUP(Q$1,Sprints[],5,FALSE))+DAY(VLOOKUP(Q$1,Sprints[],2,FALSE)),1,VLOOKUP(Q$1,Sprints[],4,FALSE))&lt;&gt;"")*(IF(OFFSET(INDIRECT(CELL("address",INDEX('Leave Tracker'!$A$8:$A$106,MATCH($A31,'Leave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Tracker'!$A$8:$A$106,MATCH($A31,'Leave Tracker'!$A$8:$A$106,0)))),0,31*(VLOOKUP(R$1,Sprints[],5,FALSE))+DAY(VLOOKUP(R$1,Sprints[],2,FALSE)),1,VLOOKUP(R$1,Sprints[],4,FALSE))&lt;&gt;"")*(IF(OFFSET(INDIRECT(CELL("address",INDEX('Leave Tracker'!$A$8:$A$106,MATCH($A31,'Leave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Tracker'!$A$8:$A$106,MATCH($A31,'Leave Tracker'!$A$8:$A$106,0)))),0,31*(VLOOKUP(S$1,Sprints[],5,FALSE))+DAY(VLOOKUP(S$1,Sprints[],2,FALSE)),1,VLOOKUP(S$1,Sprints[],4,FALSE))&lt;&gt;"")*(IF(OFFSET(INDIRECT(CELL("address",INDEX('Leave Tracker'!$A$8:$A$106,MATCH($A31,'Leave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Tracker'!$A$8:$A$106,MATCH($A31,'Leave Tracker'!$A$8:$A$106,0)))),0,31*(VLOOKUP(T$1,Sprints[],5,FALSE))+DAY(VLOOKUP(T$1,Sprints[],2,FALSE)),1,VLOOKUP(T$1,Sprints[],4,FALSE))&lt;&gt;"")*(IF(OFFSET(INDIRECT(CELL("address",INDEX('Leave Tracker'!$A$8:$A$106,MATCH($A31,'Leave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Tracker'!$A$8:$A$106,MATCH($A31,'Leave Tracker'!$A$8:$A$106,0)))),0,31*(VLOOKUP(U$1,Sprints[],5,FALSE))+DAY(VLOOKUP(U$1,Sprints[],2,FALSE)),1,VLOOKUP(U$1,Sprints[],4,FALSE))&lt;&gt;"")*(IF(OFFSET(INDIRECT(CELL("address",INDEX('Leave Tracker'!$A$8:$A$106,MATCH($A31,'Leave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Tracker'!$A$8:$A$106,MATCH($A32,'Leave Tracker'!$A$8:$A$106,0)))),0,31*(VLOOKUP(G$1,Sprints[],5,FALSE))+DAY(VLOOKUP(G$1,Sprints[],2,FALSE)),1,VLOOKUP(G$1,Sprints[],4,FALSE))&lt;&gt;"")*(IF(OFFSET(INDIRECT(CELL("address",INDEX('Leave Tracker'!$A$8:$A$106,MATCH($A32,'Leave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Tracker'!$A$8:$A$106,MATCH($A32,'Leave Tracker'!$A$8:$A$106,0)))),0,31*(VLOOKUP(H$1,Sprints[],5,FALSE))+DAY(VLOOKUP(H$1,Sprints[],2,FALSE)),1,VLOOKUP(H$1,Sprints[],4,FALSE))&lt;&gt;"")*(IF(OFFSET(INDIRECT(CELL("address",INDEX('Leave Tracker'!$A$8:$A$106,MATCH($A32,'Leave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Tracker'!$A$8:$A$106,MATCH($A32,'Leave Tracker'!$A$8:$A$106,0)))),0,31*(VLOOKUP(I$1,Sprints[],5,FALSE))+DAY(VLOOKUP(I$1,Sprints[],2,FALSE)),1,VLOOKUP(I$1,Sprints[],4,FALSE))&lt;&gt;"")*(IF(OFFSET(INDIRECT(CELL("address",INDEX('Leave Tracker'!$A$8:$A$106,MATCH($A32,'Leave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Tracker'!$A$8:$A$106,MATCH($A32,'Leave Tracker'!$A$8:$A$106,0)))),0,31*(VLOOKUP(J$1,Sprints[],5,FALSE))+DAY(VLOOKUP(J$1,Sprints[],2,FALSE)),1,VLOOKUP(J$1,Sprints[],4,FALSE))&lt;&gt;"")*(IF(OFFSET(INDIRECT(CELL("address",INDEX('Leave Tracker'!$A$8:$A$106,MATCH($A32,'Leave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Tracker'!$A$8:$A$106,MATCH($A32,'Leave Tracker'!$A$8:$A$106,0)))),0,31*(VLOOKUP(K$1,Sprints[],5,FALSE))+DAY(VLOOKUP(K$1,Sprints[],2,FALSE)),1,VLOOKUP(K$1,Sprints[],4,FALSE))&lt;&gt;"")*(IF(OFFSET(INDIRECT(CELL("address",INDEX('Leave Tracker'!$A$8:$A$106,MATCH($A32,'Leave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Tracker'!$A$8:$A$106,MATCH($A32,'Leave Tracker'!$A$8:$A$106,0)))),0,31*(VLOOKUP(L$1,Sprints[],5,FALSE))+DAY(VLOOKUP(L$1,Sprints[],2,FALSE)),1,VLOOKUP(L$1,Sprints[],4,FALSE))&lt;&gt;"")*(IF(OFFSET(INDIRECT(CELL("address",INDEX('Leave Tracker'!$A$8:$A$106,MATCH($A32,'Leave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Tracker'!$A$8:$A$106,MATCH($A32,'Leave Tracker'!$A$8:$A$106,0)))),0,31*(VLOOKUP(M$1,Sprints[],5,FALSE))+DAY(VLOOKUP(M$1,Sprints[],2,FALSE)),1,VLOOKUP(M$1,Sprints[],4,FALSE))&lt;&gt;"")*(IF(OFFSET(INDIRECT(CELL("address",INDEX('Leave Tracker'!$A$8:$A$106,MATCH($A32,'Leave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Tracker'!$A$8:$A$106,MATCH($A32,'Leave Tracker'!$A$8:$A$106,0)))),0,31*(VLOOKUP(N$1,Sprints[],5,FALSE))+DAY(VLOOKUP(N$1,Sprints[],2,FALSE)),1,VLOOKUP(N$1,Sprints[],4,FALSE))&lt;&gt;"")*(IF(OFFSET(INDIRECT(CELL("address",INDEX('Leave Tracker'!$A$8:$A$106,MATCH($A32,'Leave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Tracker'!$A$8:$A$106,MATCH($A32,'Leave Tracker'!$A$8:$A$106,0)))),0,31*(VLOOKUP(O$1,Sprints[],5,FALSE))+DAY(VLOOKUP(O$1,Sprints[],2,FALSE)),1,VLOOKUP(O$1,Sprints[],4,FALSE))&lt;&gt;"")*(IF(OFFSET(INDIRECT(CELL("address",INDEX('Leave Tracker'!$A$8:$A$106,MATCH($A32,'Leave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Tracker'!$A$8:$A$106,MATCH($A32,'Leave Tracker'!$A$8:$A$106,0)))),0,31*(VLOOKUP(P$1,Sprints[],5,FALSE))+DAY(VLOOKUP(P$1,Sprints[],2,FALSE)),1,VLOOKUP(P$1,Sprints[],4,FALSE))&lt;&gt;"")*(IF(OFFSET(INDIRECT(CELL("address",INDEX('Leave Tracker'!$A$8:$A$106,MATCH($A32,'Leave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4.5000000000000009</v>
      </c>
      <c r="Q32">
        <f t="array" aca="1" ref="Q32" ca="1">Sheet3!$W$2*$F32*(NETWORKDAYS(VLOOKUP(Q$1,Sprints[],2,FALSE), VLOOKUP(Q$1,Sprints[],3,FALSE))-SUMPRODUCT((OFFSET(INDIRECT(CELL("address",INDEX('Leave Tracker'!$A$8:$A$106,MATCH($A32,'Leave Tracker'!$A$8:$A$106,0)))),0,31*(VLOOKUP(Q$1,Sprints[],5,FALSE))+DAY(VLOOKUP(Q$1,Sprints[],2,FALSE)),1,VLOOKUP(Q$1,Sprints[],4,FALSE))&lt;&gt;"")*(IF(OFFSET(INDIRECT(CELL("address",INDEX('Leave Tracker'!$A$8:$A$106,MATCH($A32,'Leave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Tracker'!$A$8:$A$106,MATCH($A32,'Leave Tracker'!$A$8:$A$106,0)))),0,31*(VLOOKUP(R$1,Sprints[],5,FALSE))+DAY(VLOOKUP(R$1,Sprints[],2,FALSE)),1,VLOOKUP(R$1,Sprints[],4,FALSE))&lt;&gt;"")*(IF(OFFSET(INDIRECT(CELL("address",INDEX('Leave Tracker'!$A$8:$A$106,MATCH($A32,'Leave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4.8000000000000007</v>
      </c>
      <c r="S32" s="31">
        <f t="array" aca="1" ref="S32" ca="1">Sheet3!$W$2*$F32*(NETWORKDAYS(VLOOKUP(S$1,Sprints[],2,FALSE), VLOOKUP(S$1,Sprints[],3,FALSE))-SUMPRODUCT((OFFSET(INDIRECT(CELL("address",INDEX('Leave Tracker'!$A$8:$A$106,MATCH($A32,'Leave Tracker'!$A$8:$A$106,0)))),0,31*(VLOOKUP(S$1,Sprints[],5,FALSE))+DAY(VLOOKUP(S$1,Sprints[],2,FALSE)),1,VLOOKUP(S$1,Sprints[],4,FALSE))&lt;&gt;"")*(IF(OFFSET(INDIRECT(CELL("address",INDEX('Leave Tracker'!$A$8:$A$106,MATCH($A32,'Leave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Tracker'!$A$8:$A$106,MATCH($A32,'Leave Tracker'!$A$8:$A$106,0)))),0,31*(VLOOKUP(T$1,Sprints[],5,FALSE))+DAY(VLOOKUP(T$1,Sprints[],2,FALSE)),1,VLOOKUP(T$1,Sprints[],4,FALSE))&lt;&gt;"")*(IF(OFFSET(INDIRECT(CELL("address",INDEX('Leave Tracker'!$A$8:$A$106,MATCH($A32,'Leave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Tracker'!$A$8:$A$106,MATCH($A32,'Leave Tracker'!$A$8:$A$106,0)))),0,31*(VLOOKUP(U$1,Sprints[],5,FALSE))+DAY(VLOOKUP(U$1,Sprints[],2,FALSE)),1,VLOOKUP(U$1,Sprints[],4,FALSE))&lt;&gt;"")*(IF(OFFSET(INDIRECT(CELL("address",INDEX('Leave Tracker'!$A$8:$A$106,MATCH($A32,'Leave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Tracker'!$A$8:$A$106,MATCH($A33,'Leave Tracker'!$A$8:$A$106,0)))),0,31*(VLOOKUP(G$1,Sprints[],5,FALSE))+DAY(VLOOKUP(G$1,Sprints[],2,FALSE)),1,VLOOKUP(G$1,Sprints[],4,FALSE))&lt;&gt;"")*(IF(OFFSET(INDIRECT(CELL("address",INDEX('Leave Tracker'!$A$8:$A$106,MATCH($A33,'Leave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Tracker'!$A$8:$A$106,MATCH($A33,'Leave Tracker'!$A$8:$A$106,0)))),0,31*(VLOOKUP(H$1,Sprints[],5,FALSE))+DAY(VLOOKUP(H$1,Sprints[],2,FALSE)),1,VLOOKUP(H$1,Sprints[],4,FALSE))&lt;&gt;"")*(IF(OFFSET(INDIRECT(CELL("address",INDEX('Leave Tracker'!$A$8:$A$106,MATCH($A33,'Leave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Tracker'!$A$8:$A$106,MATCH($A33,'Leave Tracker'!$A$8:$A$106,0)))),0,31*(VLOOKUP(I$1,Sprints[],5,FALSE))+DAY(VLOOKUP(I$1,Sprints[],2,FALSE)),1,VLOOKUP(I$1,Sprints[],4,FALSE))&lt;&gt;"")*(IF(OFFSET(INDIRECT(CELL("address",INDEX('Leave Tracker'!$A$8:$A$106,MATCH($A33,'Leave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Tracker'!$A$8:$A$106,MATCH($A33,'Leave Tracker'!$A$8:$A$106,0)))),0,31*(VLOOKUP(J$1,Sprints[],5,FALSE))+DAY(VLOOKUP(J$1,Sprints[],2,FALSE)),1,VLOOKUP(J$1,Sprints[],4,FALSE))&lt;&gt;"")*(IF(OFFSET(INDIRECT(CELL("address",INDEX('Leave Tracker'!$A$8:$A$106,MATCH($A33,'Leave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Tracker'!$A$8:$A$106,MATCH($A33,'Leave Tracker'!$A$8:$A$106,0)))),0,31*(VLOOKUP(K$1,Sprints[],5,FALSE))+DAY(VLOOKUP(K$1,Sprints[],2,FALSE)),1,VLOOKUP(K$1,Sprints[],4,FALSE))&lt;&gt;"")*(IF(OFFSET(INDIRECT(CELL("address",INDEX('Leave Tracker'!$A$8:$A$106,MATCH($A33,'Leave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Tracker'!$A$8:$A$106,MATCH($A33,'Leave Tracker'!$A$8:$A$106,0)))),0,31*(VLOOKUP(L$1,Sprints[],5,FALSE))+DAY(VLOOKUP(L$1,Sprints[],2,FALSE)),1,VLOOKUP(L$1,Sprints[],4,FALSE))&lt;&gt;"")*(IF(OFFSET(INDIRECT(CELL("address",INDEX('Leave Tracker'!$A$8:$A$106,MATCH($A33,'Leave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Tracker'!$A$8:$A$106,MATCH($A33,'Leave Tracker'!$A$8:$A$106,0)))),0,31*(VLOOKUP(M$1,Sprints[],5,FALSE))+DAY(VLOOKUP(M$1,Sprints[],2,FALSE)),1,VLOOKUP(M$1,Sprints[],4,FALSE))&lt;&gt;"")*(IF(OFFSET(INDIRECT(CELL("address",INDEX('Leave Tracker'!$A$8:$A$106,MATCH($A33,'Leave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Tracker'!$A$8:$A$106,MATCH($A33,'Leave Tracker'!$A$8:$A$106,0)))),0,31*(VLOOKUP(N$1,Sprints[],5,FALSE))+DAY(VLOOKUP(N$1,Sprints[],2,FALSE)),1,VLOOKUP(N$1,Sprints[],4,FALSE))&lt;&gt;"")*(IF(OFFSET(INDIRECT(CELL("address",INDEX('Leave Tracker'!$A$8:$A$106,MATCH($A33,'Leave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Tracker'!$A$8:$A$106,MATCH($A33,'Leave Tracker'!$A$8:$A$106,0)))),0,31*(VLOOKUP(O$1,Sprints[],5,FALSE))+DAY(VLOOKUP(O$1,Sprints[],2,FALSE)),1,VLOOKUP(O$1,Sprints[],4,FALSE))&lt;&gt;"")*(IF(OFFSET(INDIRECT(CELL("address",INDEX('Leave Tracker'!$A$8:$A$106,MATCH($A33,'Leave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Tracker'!$A$8:$A$106,MATCH($A33,'Leave Tracker'!$A$8:$A$106,0)))),0,31*(VLOOKUP(P$1,Sprints[],5,FALSE))+DAY(VLOOKUP(P$1,Sprints[],2,FALSE)),1,VLOOKUP(P$1,Sprints[],4,FALSE))&lt;&gt;"")*(IF(OFFSET(INDIRECT(CELL("address",INDEX('Leave Tracker'!$A$8:$A$106,MATCH($A33,'Leave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Tracker'!$A$8:$A$106,MATCH($A33,'Leave Tracker'!$A$8:$A$106,0)))),0,31*(VLOOKUP(Q$1,Sprints[],5,FALSE))+DAY(VLOOKUP(Q$1,Sprints[],2,FALSE)),1,VLOOKUP(Q$1,Sprints[],4,FALSE))&lt;&gt;"")*(IF(OFFSET(INDIRECT(CELL("address",INDEX('Leave Tracker'!$A$8:$A$106,MATCH($A33,'Leave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Tracker'!$A$8:$A$106,MATCH($A33,'Leave Tracker'!$A$8:$A$106,0)))),0,31*(VLOOKUP(R$1,Sprints[],5,FALSE))+DAY(VLOOKUP(R$1,Sprints[],2,FALSE)),1,VLOOKUP(R$1,Sprints[],4,FALSE))&lt;&gt;"")*(IF(OFFSET(INDIRECT(CELL("address",INDEX('Leave Tracker'!$A$8:$A$106,MATCH($A33,'Leave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Tracker'!$A$8:$A$106,MATCH($A33,'Leave Tracker'!$A$8:$A$106,0)))),0,31*(VLOOKUP(S$1,Sprints[],5,FALSE))+DAY(VLOOKUP(S$1,Sprints[],2,FALSE)),1,VLOOKUP(S$1,Sprints[],4,FALSE))&lt;&gt;"")*(IF(OFFSET(INDIRECT(CELL("address",INDEX('Leave Tracker'!$A$8:$A$106,MATCH($A33,'Leave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Tracker'!$A$8:$A$106,MATCH($A33,'Leave Tracker'!$A$8:$A$106,0)))),0,31*(VLOOKUP(T$1,Sprints[],5,FALSE))+DAY(VLOOKUP(T$1,Sprints[],2,FALSE)),1,VLOOKUP(T$1,Sprints[],4,FALSE))&lt;&gt;"")*(IF(OFFSET(INDIRECT(CELL("address",INDEX('Leave Tracker'!$A$8:$A$106,MATCH($A33,'Leave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Tracker'!$A$8:$A$106,MATCH($A33,'Leave Tracker'!$A$8:$A$106,0)))),0,31*(VLOOKUP(U$1,Sprints[],5,FALSE))+DAY(VLOOKUP(U$1,Sprints[],2,FALSE)),1,VLOOKUP(U$1,Sprints[],4,FALSE))&lt;&gt;"")*(IF(OFFSET(INDIRECT(CELL("address",INDEX('Leave Tracker'!$A$8:$A$106,MATCH($A33,'Leave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6.3000000000000007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Tracker'!$A$8:$A$106,MATCH($A34,'Leave Tracker'!$A$8:$A$106,0)))),0,31*(VLOOKUP(G$1,Sprints[],5,FALSE))+DAY(VLOOKUP(G$1,Sprints[],2,FALSE)),1,VLOOKUP(G$1,Sprints[],4,FALSE))&lt;&gt;"")*(IF(OFFSET(INDIRECT(CELL("address",INDEX('Leave Tracker'!$A$8:$A$106,MATCH($A34,'Leave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Tracker'!$A$8:$A$106,MATCH($A34,'Leave Tracker'!$A$8:$A$106,0)))),0,31*(VLOOKUP(H$1,Sprints[],5,FALSE))+DAY(VLOOKUP(H$1,Sprints[],2,FALSE)),1,VLOOKUP(H$1,Sprints[],4,FALSE))&lt;&gt;"")*(IF(OFFSET(INDIRECT(CELL("address",INDEX('Leave Tracker'!$A$8:$A$106,MATCH($A34,'Leave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Tracker'!$A$8:$A$106,MATCH($A34,'Leave Tracker'!$A$8:$A$106,0)))),0,31*(VLOOKUP(I$1,Sprints[],5,FALSE))+DAY(VLOOKUP(I$1,Sprints[],2,FALSE)),1,VLOOKUP(I$1,Sprints[],4,FALSE))&lt;&gt;"")*(IF(OFFSET(INDIRECT(CELL("address",INDEX('Leave Tracker'!$A$8:$A$106,MATCH($A34,'Leave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Tracker'!$A$8:$A$106,MATCH($A34,'Leave Tracker'!$A$8:$A$106,0)))),0,31*(VLOOKUP(J$1,Sprints[],5,FALSE))+DAY(VLOOKUP(J$1,Sprints[],2,FALSE)),1,VLOOKUP(J$1,Sprints[],4,FALSE))&lt;&gt;"")*(IF(OFFSET(INDIRECT(CELL("address",INDEX('Leave Tracker'!$A$8:$A$106,MATCH($A34,'Leave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Tracker'!$A$8:$A$106,MATCH($A34,'Leave Tracker'!$A$8:$A$106,0)))),0,31*(VLOOKUP(K$1,Sprints[],5,FALSE))+DAY(VLOOKUP(K$1,Sprints[],2,FALSE)),1,VLOOKUP(K$1,Sprints[],4,FALSE))&lt;&gt;"")*(IF(OFFSET(INDIRECT(CELL("address",INDEX('Leave Tracker'!$A$8:$A$106,MATCH($A34,'Leave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Tracker'!$A$8:$A$106,MATCH($A34,'Leave Tracker'!$A$8:$A$106,0)))),0,31*(VLOOKUP(L$1,Sprints[],5,FALSE))+DAY(VLOOKUP(L$1,Sprints[],2,FALSE)),1,VLOOKUP(L$1,Sprints[],4,FALSE))&lt;&gt;"")*(IF(OFFSET(INDIRECT(CELL("address",INDEX('Leave Tracker'!$A$8:$A$106,MATCH($A34,'Leave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Tracker'!$A$8:$A$106,MATCH($A34,'Leave Tracker'!$A$8:$A$106,0)))),0,31*(VLOOKUP(M$1,Sprints[],5,FALSE))+DAY(VLOOKUP(M$1,Sprints[],2,FALSE)),1,VLOOKUP(M$1,Sprints[],4,FALSE))&lt;&gt;"")*(IF(OFFSET(INDIRECT(CELL("address",INDEX('Leave Tracker'!$A$8:$A$106,MATCH($A34,'Leave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Tracker'!$A$8:$A$106,MATCH($A34,'Leave Tracker'!$A$8:$A$106,0)))),0,31*(VLOOKUP(N$1,Sprints[],5,FALSE))+DAY(VLOOKUP(N$1,Sprints[],2,FALSE)),1,VLOOKUP(N$1,Sprints[],4,FALSE))&lt;&gt;"")*(IF(OFFSET(INDIRECT(CELL("address",INDEX('Leave Tracker'!$A$8:$A$106,MATCH($A34,'Leave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Tracker'!$A$8:$A$106,MATCH($A34,'Leave Tracker'!$A$8:$A$106,0)))),0,31*(VLOOKUP(O$1,Sprints[],5,FALSE))+DAY(VLOOKUP(O$1,Sprints[],2,FALSE)),1,VLOOKUP(O$1,Sprints[],4,FALSE))&lt;&gt;"")*(IF(OFFSET(INDIRECT(CELL("address",INDEX('Leave Tracker'!$A$8:$A$106,MATCH($A34,'Leave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Tracker'!$A$8:$A$106,MATCH($A34,'Leave Tracker'!$A$8:$A$106,0)))),0,31*(VLOOKUP(P$1,Sprints[],5,FALSE))+DAY(VLOOKUP(P$1,Sprints[],2,FALSE)),1,VLOOKUP(P$1,Sprints[],4,FALSE))&lt;&gt;"")*(IF(OFFSET(INDIRECT(CELL("address",INDEX('Leave Tracker'!$A$8:$A$106,MATCH($A34,'Leave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Tracker'!$A$8:$A$106,MATCH($A34,'Leave Tracker'!$A$8:$A$106,0)))),0,31*(VLOOKUP(Q$1,Sprints[],5,FALSE))+DAY(VLOOKUP(Q$1,Sprints[],2,FALSE)),1,VLOOKUP(Q$1,Sprints[],4,FALSE))&lt;&gt;"")*(IF(OFFSET(INDIRECT(CELL("address",INDEX('Leave Tracker'!$A$8:$A$106,MATCH($A34,'Leave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Tracker'!$A$8:$A$106,MATCH($A34,'Leave Tracker'!$A$8:$A$106,0)))),0,31*(VLOOKUP(R$1,Sprints[],5,FALSE))+DAY(VLOOKUP(R$1,Sprints[],2,FALSE)),1,VLOOKUP(R$1,Sprints[],4,FALSE))&lt;&gt;"")*(IF(OFFSET(INDIRECT(CELL("address",INDEX('Leave Tracker'!$A$8:$A$106,MATCH($A34,'Leave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Tracker'!$A$8:$A$106,MATCH($A34,'Leave Tracker'!$A$8:$A$106,0)))),0,31*(VLOOKUP(S$1,Sprints[],5,FALSE))+DAY(VLOOKUP(S$1,Sprints[],2,FALSE)),1,VLOOKUP(S$1,Sprints[],4,FALSE))&lt;&gt;"")*(IF(OFFSET(INDIRECT(CELL("address",INDEX('Leave Tracker'!$A$8:$A$106,MATCH($A34,'Leave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Tracker'!$A$8:$A$106,MATCH($A34,'Leave Tracker'!$A$8:$A$106,0)))),0,31*(VLOOKUP(T$1,Sprints[],5,FALSE))+DAY(VLOOKUP(T$1,Sprints[],2,FALSE)),1,VLOOKUP(T$1,Sprints[],4,FALSE))&lt;&gt;"")*(IF(OFFSET(INDIRECT(CELL("address",INDEX('Leave Tracker'!$A$8:$A$106,MATCH($A34,'Leave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Tracker'!$A$8:$A$106,MATCH($A34,'Leave Tracker'!$A$8:$A$106,0)))),0,31*(VLOOKUP(U$1,Sprints[],5,FALSE))+DAY(VLOOKUP(U$1,Sprints[],2,FALSE)),1,VLOOKUP(U$1,Sprints[],4,FALSE))&lt;&gt;"")*(IF(OFFSET(INDIRECT(CELL("address",INDEX('Leave Tracker'!$A$8:$A$106,MATCH($A34,'Leave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6.3000000000000007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Tracker'!$A$8:$A$106,MATCH($A35,'Leave Tracker'!$A$8:$A$106,0)))),0,31*(VLOOKUP(G$1,Sprints[],5,FALSE))+DAY(VLOOKUP(G$1,Sprints[],2,FALSE)),1,VLOOKUP(G$1,Sprints[],4,FALSE))&lt;&gt;"")*(IF(OFFSET(INDIRECT(CELL("address",INDEX('Leave Tracker'!$A$8:$A$106,MATCH($A35,'Leave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Tracker'!$A$8:$A$106,MATCH($A35,'Leave Tracker'!$A$8:$A$106,0)))),0,31*(VLOOKUP(H$1,Sprints[],5,FALSE))+DAY(VLOOKUP(H$1,Sprints[],2,FALSE)),1,VLOOKUP(H$1,Sprints[],4,FALSE))&lt;&gt;"")*(IF(OFFSET(INDIRECT(CELL("address",INDEX('Leave Tracker'!$A$8:$A$106,MATCH($A35,'Leave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Tracker'!$A$8:$A$106,MATCH($A35,'Leave Tracker'!$A$8:$A$106,0)))),0,31*(VLOOKUP(I$1,Sprints[],5,FALSE))+DAY(VLOOKUP(I$1,Sprints[],2,FALSE)),1,VLOOKUP(I$1,Sprints[],4,FALSE))&lt;&gt;"")*(IF(OFFSET(INDIRECT(CELL("address",INDEX('Leave Tracker'!$A$8:$A$106,MATCH($A35,'Leave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Tracker'!$A$8:$A$106,MATCH($A35,'Leave Tracker'!$A$8:$A$106,0)))),0,31*(VLOOKUP(J$1,Sprints[],5,FALSE))+DAY(VLOOKUP(J$1,Sprints[],2,FALSE)),1,VLOOKUP(J$1,Sprints[],4,FALSE))&lt;&gt;"")*(IF(OFFSET(INDIRECT(CELL("address",INDEX('Leave Tracker'!$A$8:$A$106,MATCH($A35,'Leave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Tracker'!$A$8:$A$106,MATCH($A35,'Leave Tracker'!$A$8:$A$106,0)))),0,31*(VLOOKUP(K$1,Sprints[],5,FALSE))+DAY(VLOOKUP(K$1,Sprints[],2,FALSE)),1,VLOOKUP(K$1,Sprints[],4,FALSE))&lt;&gt;"")*(IF(OFFSET(INDIRECT(CELL("address",INDEX('Leave Tracker'!$A$8:$A$106,MATCH($A35,'Leave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Tracker'!$A$8:$A$106,MATCH($A35,'Leave Tracker'!$A$8:$A$106,0)))),0,31*(VLOOKUP(L$1,Sprints[],5,FALSE))+DAY(VLOOKUP(L$1,Sprints[],2,FALSE)),1,VLOOKUP(L$1,Sprints[],4,FALSE))&lt;&gt;"")*(IF(OFFSET(INDIRECT(CELL("address",INDEX('Leave Tracker'!$A$8:$A$106,MATCH($A35,'Leave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Tracker'!$A$8:$A$106,MATCH($A35,'Leave Tracker'!$A$8:$A$106,0)))),0,31*(VLOOKUP(M$1,Sprints[],5,FALSE))+DAY(VLOOKUP(M$1,Sprints[],2,FALSE)),1,VLOOKUP(M$1,Sprints[],4,FALSE))&lt;&gt;"")*(IF(OFFSET(INDIRECT(CELL("address",INDEX('Leave Tracker'!$A$8:$A$106,MATCH($A35,'Leave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Tracker'!$A$8:$A$106,MATCH($A35,'Leave Tracker'!$A$8:$A$106,0)))),0,31*(VLOOKUP(N$1,Sprints[],5,FALSE))+DAY(VLOOKUP(N$1,Sprints[],2,FALSE)),1,VLOOKUP(N$1,Sprints[],4,FALSE))&lt;&gt;"")*(IF(OFFSET(INDIRECT(CELL("address",INDEX('Leave Tracker'!$A$8:$A$106,MATCH($A35,'Leave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Tracker'!$A$8:$A$106,MATCH($A35,'Leave Tracker'!$A$8:$A$106,0)))),0,31*(VLOOKUP(O$1,Sprints[],5,FALSE))+DAY(VLOOKUP(O$1,Sprints[],2,FALSE)),1,VLOOKUP(O$1,Sprints[],4,FALSE))&lt;&gt;"")*(IF(OFFSET(INDIRECT(CELL("address",INDEX('Leave Tracker'!$A$8:$A$106,MATCH($A35,'Leave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Tracker'!$A$8:$A$106,MATCH($A35,'Leave Tracker'!$A$8:$A$106,0)))),0,31*(VLOOKUP(P$1,Sprints[],5,FALSE))+DAY(VLOOKUP(P$1,Sprints[],2,FALSE)),1,VLOOKUP(P$1,Sprints[],4,FALSE))&lt;&gt;"")*(IF(OFFSET(INDIRECT(CELL("address",INDEX('Leave Tracker'!$A$8:$A$106,MATCH($A35,'Leave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Tracker'!$A$8:$A$106,MATCH($A35,'Leave Tracker'!$A$8:$A$106,0)))),0,31*(VLOOKUP(Q$1,Sprints[],5,FALSE))+DAY(VLOOKUP(Q$1,Sprints[],2,FALSE)),1,VLOOKUP(Q$1,Sprints[],4,FALSE))&lt;&gt;"")*(IF(OFFSET(INDIRECT(CELL("address",INDEX('Leave Tracker'!$A$8:$A$106,MATCH($A35,'Leave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Tracker'!$A$8:$A$106,MATCH($A35,'Leave Tracker'!$A$8:$A$106,0)))),0,31*(VLOOKUP(R$1,Sprints[],5,FALSE))+DAY(VLOOKUP(R$1,Sprints[],2,FALSE)),1,VLOOKUP(R$1,Sprints[],4,FALSE))&lt;&gt;"")*(IF(OFFSET(INDIRECT(CELL("address",INDEX('Leave Tracker'!$A$8:$A$106,MATCH($A35,'Leave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4.8000000000000007</v>
      </c>
      <c r="S35" s="31">
        <f t="array" aca="1" ref="S35" ca="1">Sheet3!$W$2*$F35*(NETWORKDAYS(VLOOKUP(S$1,Sprints[],2,FALSE), VLOOKUP(S$1,Sprints[],3,FALSE))-SUMPRODUCT((OFFSET(INDIRECT(CELL("address",INDEX('Leave Tracker'!$A$8:$A$106,MATCH($A35,'Leave Tracker'!$A$8:$A$106,0)))),0,31*(VLOOKUP(S$1,Sprints[],5,FALSE))+DAY(VLOOKUP(S$1,Sprints[],2,FALSE)),1,VLOOKUP(S$1,Sprints[],4,FALSE))&lt;&gt;"")*(IF(OFFSET(INDIRECT(CELL("address",INDEX('Leave Tracker'!$A$8:$A$106,MATCH($A35,'Leave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5" s="31">
        <f t="array" aca="1" ref="T35" ca="1">Sheet3!$W$2*$F35*(NETWORKDAYS(VLOOKUP(T$1,Sprints[],2,FALSE), VLOOKUP(T$1,Sprints[],3,FALSE))-SUMPRODUCT((OFFSET(INDIRECT(CELL("address",INDEX('Leave Tracker'!$A$8:$A$106,MATCH($A35,'Leave Tracker'!$A$8:$A$106,0)))),0,31*(VLOOKUP(T$1,Sprints[],5,FALSE))+DAY(VLOOKUP(T$1,Sprints[],2,FALSE)),1,VLOOKUP(T$1,Sprints[],4,FALSE))&lt;&gt;"")*(IF(OFFSET(INDIRECT(CELL("address",INDEX('Leave Tracker'!$A$8:$A$106,MATCH($A35,'Leave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Tracker'!$A$8:$A$106,MATCH($A35,'Leave Tracker'!$A$8:$A$106,0)))),0,31*(VLOOKUP(U$1,Sprints[],5,FALSE))+DAY(VLOOKUP(U$1,Sprints[],2,FALSE)),1,VLOOKUP(U$1,Sprints[],4,FALSE))&lt;&gt;"")*(IF(OFFSET(INDIRECT(CELL("address",INDEX('Leave Tracker'!$A$8:$A$106,MATCH($A35,'Leave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12.000000000000002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Tracker'!$A$8:$A$106,MATCH($A36,'Leave Tracker'!$A$8:$A$106,0)))),0,31*(VLOOKUP(G$1,Sprints[],5,FALSE))+DAY(VLOOKUP(G$1,Sprints[],2,FALSE)),1,VLOOKUP(G$1,Sprints[],4,FALSE))&lt;&gt;"")*(IF(OFFSET(INDIRECT(CELL("address",INDEX('Leave Tracker'!$A$8:$A$106,MATCH($A36,'Leave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Tracker'!$A$8:$A$106,MATCH($A36,'Leave Tracker'!$A$8:$A$106,0)))),0,31*(VLOOKUP(H$1,Sprints[],5,FALSE))+DAY(VLOOKUP(H$1,Sprints[],2,FALSE)),1,VLOOKUP(H$1,Sprints[],4,FALSE))&lt;&gt;"")*(IF(OFFSET(INDIRECT(CELL("address",INDEX('Leave Tracker'!$A$8:$A$106,MATCH($A36,'Leave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Tracker'!$A$8:$A$106,MATCH($A36,'Leave Tracker'!$A$8:$A$106,0)))),0,31*(VLOOKUP(I$1,Sprints[],5,FALSE))+DAY(VLOOKUP(I$1,Sprints[],2,FALSE)),1,VLOOKUP(I$1,Sprints[],4,FALSE))&lt;&gt;"")*(IF(OFFSET(INDIRECT(CELL("address",INDEX('Leave Tracker'!$A$8:$A$106,MATCH($A36,'Leave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Tracker'!$A$8:$A$106,MATCH($A36,'Leave Tracker'!$A$8:$A$106,0)))),0,31*(VLOOKUP(J$1,Sprints[],5,FALSE))+DAY(VLOOKUP(J$1,Sprints[],2,FALSE)),1,VLOOKUP(J$1,Sprints[],4,FALSE))&lt;&gt;"")*(IF(OFFSET(INDIRECT(CELL("address",INDEX('Leave Tracker'!$A$8:$A$106,MATCH($A36,'Leave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Tracker'!$A$8:$A$106,MATCH($A36,'Leave Tracker'!$A$8:$A$106,0)))),0,31*(VLOOKUP(K$1,Sprints[],5,FALSE))+DAY(VLOOKUP(K$1,Sprints[],2,FALSE)),1,VLOOKUP(K$1,Sprints[],4,FALSE))&lt;&gt;"")*(IF(OFFSET(INDIRECT(CELL("address",INDEX('Leave Tracker'!$A$8:$A$106,MATCH($A36,'Leave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Tracker'!$A$8:$A$106,MATCH($A36,'Leave Tracker'!$A$8:$A$106,0)))),0,31*(VLOOKUP(L$1,Sprints[],5,FALSE))+DAY(VLOOKUP(L$1,Sprints[],2,FALSE)),1,VLOOKUP(L$1,Sprints[],4,FALSE))&lt;&gt;"")*(IF(OFFSET(INDIRECT(CELL("address",INDEX('Leave Tracker'!$A$8:$A$106,MATCH($A36,'Leave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Tracker'!$A$8:$A$106,MATCH($A36,'Leave Tracker'!$A$8:$A$106,0)))),0,31*(VLOOKUP(M$1,Sprints[],5,FALSE))+DAY(VLOOKUP(M$1,Sprints[],2,FALSE)),1,VLOOKUP(M$1,Sprints[],4,FALSE))&lt;&gt;"")*(IF(OFFSET(INDIRECT(CELL("address",INDEX('Leave Tracker'!$A$8:$A$106,MATCH($A36,'Leave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Tracker'!$A$8:$A$106,MATCH($A36,'Leave Tracker'!$A$8:$A$106,0)))),0,31*(VLOOKUP(N$1,Sprints[],5,FALSE))+DAY(VLOOKUP(N$1,Sprints[],2,FALSE)),1,VLOOKUP(N$1,Sprints[],4,FALSE))&lt;&gt;"")*(IF(OFFSET(INDIRECT(CELL("address",INDEX('Leave Tracker'!$A$8:$A$106,MATCH($A36,'Leave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Tracker'!$A$8:$A$106,MATCH($A36,'Leave Tracker'!$A$8:$A$106,0)))),0,31*(VLOOKUP(O$1,Sprints[],5,FALSE))+DAY(VLOOKUP(O$1,Sprints[],2,FALSE)),1,VLOOKUP(O$1,Sprints[],4,FALSE))&lt;&gt;"")*(IF(OFFSET(INDIRECT(CELL("address",INDEX('Leave Tracker'!$A$8:$A$106,MATCH($A36,'Leave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Tracker'!$A$8:$A$106,MATCH($A36,'Leave Tracker'!$A$8:$A$106,0)))),0,31*(VLOOKUP(P$1,Sprints[],5,FALSE))+DAY(VLOOKUP(P$1,Sprints[],2,FALSE)),1,VLOOKUP(P$1,Sprints[],4,FALSE))&lt;&gt;"")*(IF(OFFSET(INDIRECT(CELL("address",INDEX('Leave Tracker'!$A$8:$A$106,MATCH($A36,'Leave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Tracker'!$A$8:$A$106,MATCH($A36,'Leave Tracker'!$A$8:$A$106,0)))),0,31*(VLOOKUP(Q$1,Sprints[],5,FALSE))+DAY(VLOOKUP(Q$1,Sprints[],2,FALSE)),1,VLOOKUP(Q$1,Sprints[],4,FALSE))&lt;&gt;"")*(IF(OFFSET(INDIRECT(CELL("address",INDEX('Leave Tracker'!$A$8:$A$106,MATCH($A36,'Leave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Tracker'!$A$8:$A$106,MATCH($A36,'Leave Tracker'!$A$8:$A$106,0)))),0,31*(VLOOKUP(R$1,Sprints[],5,FALSE))+DAY(VLOOKUP(R$1,Sprints[],2,FALSE)),1,VLOOKUP(R$1,Sprints[],4,FALSE))&lt;&gt;"")*(IF(OFFSET(INDIRECT(CELL("address",INDEX('Leave Tracker'!$A$8:$A$106,MATCH($A36,'Leave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Tracker'!$A$8:$A$106,MATCH($A36,'Leave Tracker'!$A$8:$A$106,0)))),0,31*(VLOOKUP(S$1,Sprints[],5,FALSE))+DAY(VLOOKUP(S$1,Sprints[],2,FALSE)),1,VLOOKUP(S$1,Sprints[],4,FALSE))&lt;&gt;"")*(IF(OFFSET(INDIRECT(CELL("address",INDEX('Leave Tracker'!$A$8:$A$106,MATCH($A36,'Leave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6" s="31">
        <f t="array" aca="1" ref="T36" ca="1">Sheet3!$W$2*$F36*(NETWORKDAYS(VLOOKUP(T$1,Sprints[],2,FALSE), VLOOKUP(T$1,Sprints[],3,FALSE))-SUMPRODUCT((OFFSET(INDIRECT(CELL("address",INDEX('Leave Tracker'!$A$8:$A$106,MATCH($A36,'Leave Tracker'!$A$8:$A$106,0)))),0,31*(VLOOKUP(T$1,Sprints[],5,FALSE))+DAY(VLOOKUP(T$1,Sprints[],2,FALSE)),1,VLOOKUP(T$1,Sprints[],4,FALSE))&lt;&gt;"")*(IF(OFFSET(INDIRECT(CELL("address",INDEX('Leave Tracker'!$A$8:$A$106,MATCH($A36,'Leave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Tracker'!$A$8:$A$106,MATCH($A36,'Leave Tracker'!$A$8:$A$106,0)))),0,31*(VLOOKUP(U$1,Sprints[],5,FALSE))+DAY(VLOOKUP(U$1,Sprints[],2,FALSE)),1,VLOOKUP(U$1,Sprints[],4,FALSE))&lt;&gt;"")*(IF(OFFSET(INDIRECT(CELL("address",INDEX('Leave Tracker'!$A$8:$A$106,MATCH($A36,'Leave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Tracker'!$A$8:$A$106,MATCH($A37,'Leave Tracker'!$A$8:$A$106,0)))),0,31*(VLOOKUP(G$1,Sprints[],5,FALSE))+DAY(VLOOKUP(G$1,Sprints[],2,FALSE)),1,VLOOKUP(G$1,Sprints[],4,FALSE))&lt;&gt;"")*(IF(OFFSET(INDIRECT(CELL("address",INDEX('Leave Tracker'!$A$8:$A$106,MATCH($A37,'Leave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Tracker'!$A$8:$A$106,MATCH($A37,'Leave Tracker'!$A$8:$A$106,0)))),0,31*(VLOOKUP(H$1,Sprints[],5,FALSE))+DAY(VLOOKUP(H$1,Sprints[],2,FALSE)),1,VLOOKUP(H$1,Sprints[],4,FALSE))&lt;&gt;"")*(IF(OFFSET(INDIRECT(CELL("address",INDEX('Leave Tracker'!$A$8:$A$106,MATCH($A37,'Leave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Tracker'!$A$8:$A$106,MATCH($A37,'Leave Tracker'!$A$8:$A$106,0)))),0,31*(VLOOKUP(I$1,Sprints[],5,FALSE))+DAY(VLOOKUP(I$1,Sprints[],2,FALSE)),1,VLOOKUP(I$1,Sprints[],4,FALSE))&lt;&gt;"")*(IF(OFFSET(INDIRECT(CELL("address",INDEX('Leave Tracker'!$A$8:$A$106,MATCH($A37,'Leave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Tracker'!$A$8:$A$106,MATCH($A37,'Leave Tracker'!$A$8:$A$106,0)))),0,31*(VLOOKUP(J$1,Sprints[],5,FALSE))+DAY(VLOOKUP(J$1,Sprints[],2,FALSE)),1,VLOOKUP(J$1,Sprints[],4,FALSE))&lt;&gt;"")*(IF(OFFSET(INDIRECT(CELL("address",INDEX('Leave Tracker'!$A$8:$A$106,MATCH($A37,'Leave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Tracker'!$A$8:$A$106,MATCH($A37,'Leave Tracker'!$A$8:$A$106,0)))),0,31*(VLOOKUP(K$1,Sprints[],5,FALSE))+DAY(VLOOKUP(K$1,Sprints[],2,FALSE)),1,VLOOKUP(K$1,Sprints[],4,FALSE))&lt;&gt;"")*(IF(OFFSET(INDIRECT(CELL("address",INDEX('Leave Tracker'!$A$8:$A$106,MATCH($A37,'Leave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Tracker'!$A$8:$A$106,MATCH($A37,'Leave Tracker'!$A$8:$A$106,0)))),0,31*(VLOOKUP(L$1,Sprints[],5,FALSE))+DAY(VLOOKUP(L$1,Sprints[],2,FALSE)),1,VLOOKUP(L$1,Sprints[],4,FALSE))&lt;&gt;"")*(IF(OFFSET(INDIRECT(CELL("address",INDEX('Leave Tracker'!$A$8:$A$106,MATCH($A37,'Leave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Tracker'!$A$8:$A$106,MATCH($A37,'Leave Tracker'!$A$8:$A$106,0)))),0,31*(VLOOKUP(M$1,Sprints[],5,FALSE))+DAY(VLOOKUP(M$1,Sprints[],2,FALSE)),1,VLOOKUP(M$1,Sprints[],4,FALSE))&lt;&gt;"")*(IF(OFFSET(INDIRECT(CELL("address",INDEX('Leave Tracker'!$A$8:$A$106,MATCH($A37,'Leave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Tracker'!$A$8:$A$106,MATCH($A37,'Leave Tracker'!$A$8:$A$106,0)))),0,31*(VLOOKUP(N$1,Sprints[],5,FALSE))+DAY(VLOOKUP(N$1,Sprints[],2,FALSE)),1,VLOOKUP(N$1,Sprints[],4,FALSE))&lt;&gt;"")*(IF(OFFSET(INDIRECT(CELL("address",INDEX('Leave Tracker'!$A$8:$A$106,MATCH($A37,'Leave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Tracker'!$A$8:$A$106,MATCH($A37,'Leave Tracker'!$A$8:$A$106,0)))),0,31*(VLOOKUP(O$1,Sprints[],5,FALSE))+DAY(VLOOKUP(O$1,Sprints[],2,FALSE)),1,VLOOKUP(O$1,Sprints[],4,FALSE))&lt;&gt;"")*(IF(OFFSET(INDIRECT(CELL("address",INDEX('Leave Tracker'!$A$8:$A$106,MATCH($A37,'Leave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31">
        <f t="array" aca="1" ref="P37" ca="1">Sheet3!$W$2*$F37*(NETWORKDAYS(VLOOKUP(P$1,Sprints[],2,FALSE), VLOOKUP(P$1,Sprints[],3,FALSE))-SUMPRODUCT((OFFSET(INDIRECT(CELL("address",INDEX('Leave Tracker'!$A$8:$A$106,MATCH($A37,'Leave Tracker'!$A$8:$A$106,0)))),0,31*(VLOOKUP(P$1,Sprints[],5,FALSE))+DAY(VLOOKUP(P$1,Sprints[],2,FALSE)),1,VLOOKUP(P$1,Sprints[],4,FALSE))&lt;&gt;"")*(IF(OFFSET(INDIRECT(CELL("address",INDEX('Leave Tracker'!$A$8:$A$106,MATCH($A37,'Leave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Tracker'!$A$8:$A$106,MATCH($A37,'Leave Tracker'!$A$8:$A$106,0)))),0,31*(VLOOKUP(Q$1,Sprints[],5,FALSE))+DAY(VLOOKUP(Q$1,Sprints[],2,FALSE)),1,VLOOKUP(Q$1,Sprints[],4,FALSE))&lt;&gt;"")*(IF(OFFSET(INDIRECT(CELL("address",INDEX('Leave Tracker'!$A$8:$A$106,MATCH($A37,'Leave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Tracker'!$A$8:$A$106,MATCH($A37,'Leave Tracker'!$A$8:$A$106,0)))),0,31*(VLOOKUP(R$1,Sprints[],5,FALSE))+DAY(VLOOKUP(R$1,Sprints[],2,FALSE)),1,VLOOKUP(R$1,Sprints[],4,FALSE))&lt;&gt;"")*(IF(OFFSET(INDIRECT(CELL("address",INDEX('Leave Tracker'!$A$8:$A$106,MATCH($A37,'Leave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Tracker'!$A$8:$A$106,MATCH($A37,'Leave Tracker'!$A$8:$A$106,0)))),0,31*(VLOOKUP(S$1,Sprints[],5,FALSE))+DAY(VLOOKUP(S$1,Sprints[],2,FALSE)),1,VLOOKUP(S$1,Sprints[],4,FALSE))&lt;&gt;"")*(IF(OFFSET(INDIRECT(CELL("address",INDEX('Leave Tracker'!$A$8:$A$106,MATCH($A37,'Leave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Tracker'!$A$8:$A$106,MATCH($A37,'Leave Tracker'!$A$8:$A$106,0)))),0,31*(VLOOKUP(T$1,Sprints[],5,FALSE))+DAY(VLOOKUP(T$1,Sprints[],2,FALSE)),1,VLOOKUP(T$1,Sprints[],4,FALSE))&lt;&gt;"")*(IF(OFFSET(INDIRECT(CELL("address",INDEX('Leave Tracker'!$A$8:$A$106,MATCH($A37,'Leave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Tracker'!$A$8:$A$106,MATCH($A37,'Leave Tracker'!$A$8:$A$106,0)))),0,31*(VLOOKUP(U$1,Sprints[],5,FALSE))+DAY(VLOOKUP(U$1,Sprints[],2,FALSE)),1,VLOOKUP(U$1,Sprints[],4,FALSE))&lt;&gt;"")*(IF(OFFSET(INDIRECT(CELL("address",INDEX('Leave Tracker'!$A$8:$A$106,MATCH($A37,'Leave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Tracker'!$A$8:$A$106,MATCH($A38,'Leave Tracker'!$A$8:$A$106,0)))),0,31*(VLOOKUP(G$1,Sprints[],5,FALSE))+DAY(VLOOKUP(G$1,Sprints[],2,FALSE)),1,VLOOKUP(G$1,Sprints[],4,FALSE))&lt;&gt;"")*(IF(OFFSET(INDIRECT(CELL("address",INDEX('Leave Tracker'!$A$8:$A$106,MATCH($A38,'Leave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Tracker'!$A$8:$A$106,MATCH($A38,'Leave Tracker'!$A$8:$A$106,0)))),0,31*(VLOOKUP(H$1,Sprints[],5,FALSE))+DAY(VLOOKUP(H$1,Sprints[],2,FALSE)),1,VLOOKUP(H$1,Sprints[],4,FALSE))&lt;&gt;"")*(IF(OFFSET(INDIRECT(CELL("address",INDEX('Leave Tracker'!$A$8:$A$106,MATCH($A38,'Leave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Tracker'!$A$8:$A$106,MATCH($A38,'Leave Tracker'!$A$8:$A$106,0)))),0,31*(VLOOKUP(I$1,Sprints[],5,FALSE))+DAY(VLOOKUP(I$1,Sprints[],2,FALSE)),1,VLOOKUP(I$1,Sprints[],4,FALSE))&lt;&gt;"")*(IF(OFFSET(INDIRECT(CELL("address",INDEX('Leave Tracker'!$A$8:$A$106,MATCH($A38,'Leave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Tracker'!$A$8:$A$106,MATCH($A38,'Leave Tracker'!$A$8:$A$106,0)))),0,31*(VLOOKUP(J$1,Sprints[],5,FALSE))+DAY(VLOOKUP(J$1,Sprints[],2,FALSE)),1,VLOOKUP(J$1,Sprints[],4,FALSE))&lt;&gt;"")*(IF(OFFSET(INDIRECT(CELL("address",INDEX('Leave Tracker'!$A$8:$A$106,MATCH($A38,'Leave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Tracker'!$A$8:$A$106,MATCH($A38,'Leave Tracker'!$A$8:$A$106,0)))),0,31*(VLOOKUP(K$1,Sprints[],5,FALSE))+DAY(VLOOKUP(K$1,Sprints[],2,FALSE)),1,VLOOKUP(K$1,Sprints[],4,FALSE))&lt;&gt;"")*(IF(OFFSET(INDIRECT(CELL("address",INDEX('Leave Tracker'!$A$8:$A$106,MATCH($A38,'Leave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Tracker'!$A$8:$A$106,MATCH($A38,'Leave Tracker'!$A$8:$A$106,0)))),0,31*(VLOOKUP(L$1,Sprints[],5,FALSE))+DAY(VLOOKUP(L$1,Sprints[],2,FALSE)),1,VLOOKUP(L$1,Sprints[],4,FALSE))&lt;&gt;"")*(IF(OFFSET(INDIRECT(CELL("address",INDEX('Leave Tracker'!$A$8:$A$106,MATCH($A38,'Leave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Tracker'!$A$8:$A$106,MATCH($A38,'Leave Tracker'!$A$8:$A$106,0)))),0,31*(VLOOKUP(M$1,Sprints[],5,FALSE))+DAY(VLOOKUP(M$1,Sprints[],2,FALSE)),1,VLOOKUP(M$1,Sprints[],4,FALSE))&lt;&gt;"")*(IF(OFFSET(INDIRECT(CELL("address",INDEX('Leave Tracker'!$A$8:$A$106,MATCH($A38,'Leave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Tracker'!$A$8:$A$106,MATCH($A38,'Leave Tracker'!$A$8:$A$106,0)))),0,31*(VLOOKUP(N$1,Sprints[],5,FALSE))+DAY(VLOOKUP(N$1,Sprints[],2,FALSE)),1,VLOOKUP(N$1,Sprints[],4,FALSE))&lt;&gt;"")*(IF(OFFSET(INDIRECT(CELL("address",INDEX('Leave Tracker'!$A$8:$A$106,MATCH($A38,'Leave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Tracker'!$A$8:$A$106,MATCH($A38,'Leave Tracker'!$A$8:$A$106,0)))),0,31*(VLOOKUP(O$1,Sprints[],5,FALSE))+DAY(VLOOKUP(O$1,Sprints[],2,FALSE)),1,VLOOKUP(O$1,Sprints[],4,FALSE))&lt;&gt;"")*(IF(OFFSET(INDIRECT(CELL("address",INDEX('Leave Tracker'!$A$8:$A$106,MATCH($A38,'Leave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Tracker'!$A$8:$A$106,MATCH($A38,'Leave Tracker'!$A$8:$A$106,0)))),0,31*(VLOOKUP(P$1,Sprints[],5,FALSE))+DAY(VLOOKUP(P$1,Sprints[],2,FALSE)),1,VLOOKUP(P$1,Sprints[],4,FALSE))&lt;&gt;"")*(IF(OFFSET(INDIRECT(CELL("address",INDEX('Leave Tracker'!$A$8:$A$106,MATCH($A38,'Leave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2.5600000000000005</v>
      </c>
      <c r="Q38" s="31">
        <f t="array" aca="1" ref="Q38" ca="1">Sheet3!$W$2*$F38*(NETWORKDAYS(VLOOKUP(Q$1,Sprints[],2,FALSE), VLOOKUP(Q$1,Sprints[],3,FALSE))-SUMPRODUCT((OFFSET(INDIRECT(CELL("address",INDEX('Leave Tracker'!$A$8:$A$106,MATCH($A38,'Leave Tracker'!$A$8:$A$106,0)))),0,31*(VLOOKUP(Q$1,Sprints[],5,FALSE))+DAY(VLOOKUP(Q$1,Sprints[],2,FALSE)),1,VLOOKUP(Q$1,Sprints[],4,FALSE))&lt;&gt;"")*(IF(OFFSET(INDIRECT(CELL("address",INDEX('Leave Tracker'!$A$8:$A$106,MATCH($A38,'Leave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Tracker'!$A$8:$A$106,MATCH($A38,'Leave Tracker'!$A$8:$A$106,0)))),0,31*(VLOOKUP(R$1,Sprints[],5,FALSE))+DAY(VLOOKUP(R$1,Sprints[],2,FALSE)),1,VLOOKUP(R$1,Sprints[],4,FALSE))&lt;&gt;"")*(IF(OFFSET(INDIRECT(CELL("address",INDEX('Leave Tracker'!$A$8:$A$106,MATCH($A38,'Leave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Tracker'!$A$8:$A$106,MATCH($A38,'Leave Tracker'!$A$8:$A$106,0)))),0,31*(VLOOKUP(S$1,Sprints[],5,FALSE))+DAY(VLOOKUP(S$1,Sprints[],2,FALSE)),1,VLOOKUP(S$1,Sprints[],4,FALSE))&lt;&gt;"")*(IF(OFFSET(INDIRECT(CELL("address",INDEX('Leave Tracker'!$A$8:$A$106,MATCH($A38,'Leave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Tracker'!$A$8:$A$106,MATCH($A38,'Leave Tracker'!$A$8:$A$106,0)))),0,31*(VLOOKUP(T$1,Sprints[],5,FALSE))+DAY(VLOOKUP(T$1,Sprints[],2,FALSE)),1,VLOOKUP(T$1,Sprints[],4,FALSE))&lt;&gt;"")*(IF(OFFSET(INDIRECT(CELL("address",INDEX('Leave Tracker'!$A$8:$A$106,MATCH($A38,'Leave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Tracker'!$A$8:$A$106,MATCH($A38,'Leave Tracker'!$A$8:$A$106,0)))),0,31*(VLOOKUP(U$1,Sprints[],5,FALSE))+DAY(VLOOKUP(U$1,Sprints[],2,FALSE)),1,VLOOKUP(U$1,Sprints[],4,FALSE))&lt;&gt;"")*(IF(OFFSET(INDIRECT(CELL("address",INDEX('Leave Tracker'!$A$8:$A$106,MATCH($A38,'Leave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6.7200000000000015</v>
      </c>
    </row>
    <row r="39" spans="1:21" s="45" customFormat="1" x14ac:dyDescent="0.45">
      <c r="A39" s="45" t="s">
        <v>183</v>
      </c>
      <c r="B39" s="45" t="s">
        <v>119</v>
      </c>
      <c r="C39" s="45" t="s">
        <v>117</v>
      </c>
      <c r="D39" s="45" t="s">
        <v>133</v>
      </c>
      <c r="E39" s="45" t="s">
        <v>128</v>
      </c>
      <c r="F39" s="47">
        <v>0.3</v>
      </c>
      <c r="G39" s="31">
        <f t="array" aca="1" ref="G39" ca="1">Sheet3!$W$2*$F39*(NETWORKDAYS(VLOOKUP(G$1,Sprints[],2,FALSE), VLOOKUP(G$1,Sprints[],3,FALSE))-SUMPRODUCT((OFFSET(INDIRECT(CELL("address",INDEX('Leave Tracker'!$A$8:$A$106,MATCH($A39,'Leave Tracker'!$A$8:$A$106,0)))),0,31*(VLOOKUP(G$1,Sprints[],5,FALSE))+DAY(VLOOKUP(G$1,Sprints[],2,FALSE)),1,VLOOKUP(G$1,Sprints[],4,FALSE))&lt;&gt;"")*(IF(OFFSET(INDIRECT(CELL("address",INDEX('Leave Tracker'!$A$8:$A$106,MATCH($A39,'Leave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9" s="31">
        <f t="array" aca="1" ref="H39" ca="1">Sheet3!$W$2*$F39*(NETWORKDAYS(VLOOKUP(H$1,Sprints[],2,FALSE), VLOOKUP(H$1,Sprints[],3,FALSE))-SUMPRODUCT((OFFSET(INDIRECT(CELL("address",INDEX('Leave Tracker'!$A$8:$A$106,MATCH($A39,'Leave Tracker'!$A$8:$A$106,0)))),0,31*(VLOOKUP(H$1,Sprints[],5,FALSE))+DAY(VLOOKUP(H$1,Sprints[],2,FALSE)),1,VLOOKUP(H$1,Sprints[],4,FALSE))&lt;&gt;"")*(IF(OFFSET(INDIRECT(CELL("address",INDEX('Leave Tracker'!$A$8:$A$106,MATCH($A39,'Leave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9" s="31">
        <f t="array" aca="1" ref="I39" ca="1">Sheet3!$W$2*$F39*(NETWORKDAYS(VLOOKUP(I$1,Sprints[],2,FALSE), VLOOKUP(I$1,Sprints[],3,FALSE))-SUMPRODUCT((OFFSET(INDIRECT(CELL("address",INDEX('Leave Tracker'!$A$8:$A$106,MATCH($A39,'Leave Tracker'!$A$8:$A$106,0)))),0,31*(VLOOKUP(I$1,Sprints[],5,FALSE))+DAY(VLOOKUP(I$1,Sprints[],2,FALSE)),1,VLOOKUP(I$1,Sprints[],4,FALSE))&lt;&gt;"")*(IF(OFFSET(INDIRECT(CELL("address",INDEX('Leave Tracker'!$A$8:$A$106,MATCH($A39,'Leave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9" s="31">
        <f t="array" aca="1" ref="J39" ca="1">Sheet3!$W$2*$F39*(NETWORKDAYS(VLOOKUP(J$1,Sprints[],2,FALSE), VLOOKUP(J$1,Sprints[],3,FALSE))-SUMPRODUCT((OFFSET(INDIRECT(CELL("address",INDEX('Leave Tracker'!$A$8:$A$106,MATCH($A39,'Leave Tracker'!$A$8:$A$106,0)))),0,31*(VLOOKUP(J$1,Sprints[],5,FALSE))+DAY(VLOOKUP(J$1,Sprints[],2,FALSE)),1,VLOOKUP(J$1,Sprints[],4,FALSE))&lt;&gt;"")*(IF(OFFSET(INDIRECT(CELL("address",INDEX('Leave Tracker'!$A$8:$A$106,MATCH($A39,'Leave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9" s="31">
        <f t="array" aca="1" ref="K39" ca="1">Sheet3!$W$2*$F39*(NETWORKDAYS(VLOOKUP(K$1,Sprints[],2,FALSE), VLOOKUP(K$1,Sprints[],3,FALSE))-SUMPRODUCT((OFFSET(INDIRECT(CELL("address",INDEX('Leave Tracker'!$A$8:$A$106,MATCH($A39,'Leave Tracker'!$A$8:$A$106,0)))),0,31*(VLOOKUP(K$1,Sprints[],5,FALSE))+DAY(VLOOKUP(K$1,Sprints[],2,FALSE)),1,VLOOKUP(K$1,Sprints[],4,FALSE))&lt;&gt;"")*(IF(OFFSET(INDIRECT(CELL("address",INDEX('Leave Tracker'!$A$8:$A$106,MATCH($A39,'Leave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9" s="31">
        <f t="array" aca="1" ref="L39" ca="1">Sheet3!$W$2*$F39*(NETWORKDAYS(VLOOKUP(L$1,Sprints[],2,FALSE), VLOOKUP(L$1,Sprints[],3,FALSE))-SUMPRODUCT((OFFSET(INDIRECT(CELL("address",INDEX('Leave Tracker'!$A$8:$A$106,MATCH($A39,'Leave Tracker'!$A$8:$A$106,0)))),0,31*(VLOOKUP(L$1,Sprints[],5,FALSE))+DAY(VLOOKUP(L$1,Sprints[],2,FALSE)),1,VLOOKUP(L$1,Sprints[],4,FALSE))&lt;&gt;"")*(IF(OFFSET(INDIRECT(CELL("address",INDEX('Leave Tracker'!$A$8:$A$106,MATCH($A39,'Leave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9" s="31">
        <f t="array" aca="1" ref="M39" ca="1">Sheet3!$W$2*$F39*(NETWORKDAYS(VLOOKUP(M$1,Sprints[],2,FALSE), VLOOKUP(M$1,Sprints[],3,FALSE))-SUMPRODUCT((OFFSET(INDIRECT(CELL("address",INDEX('Leave Tracker'!$A$8:$A$106,MATCH($A39,'Leave Tracker'!$A$8:$A$106,0)))),0,31*(VLOOKUP(M$1,Sprints[],5,FALSE))+DAY(VLOOKUP(M$1,Sprints[],2,FALSE)),1,VLOOKUP(M$1,Sprints[],4,FALSE))&lt;&gt;"")*(IF(OFFSET(INDIRECT(CELL("address",INDEX('Leave Tracker'!$A$8:$A$106,MATCH($A39,'Leave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9" s="31">
        <f t="array" aca="1" ref="N39" ca="1">Sheet3!$W$2*$F39*(NETWORKDAYS(VLOOKUP(N$1,Sprints[],2,FALSE), VLOOKUP(N$1,Sprints[],3,FALSE))-SUMPRODUCT((OFFSET(INDIRECT(CELL("address",INDEX('Leave Tracker'!$A$8:$A$106,MATCH($A39,'Leave Tracker'!$A$8:$A$106,0)))),0,31*(VLOOKUP(N$1,Sprints[],5,FALSE))+DAY(VLOOKUP(N$1,Sprints[],2,FALSE)),1,VLOOKUP(N$1,Sprints[],4,FALSE))&lt;&gt;"")*(IF(OFFSET(INDIRECT(CELL("address",INDEX('Leave Tracker'!$A$8:$A$106,MATCH($A39,'Leave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9" s="31">
        <f t="array" aca="1" ref="O39" ca="1">Sheet3!$W$2*$F39*(NETWORKDAYS(VLOOKUP(O$1,Sprints[],2,FALSE), VLOOKUP(O$1,Sprints[],3,FALSE))-SUMPRODUCT((OFFSET(INDIRECT(CELL("address",INDEX('Leave Tracker'!$A$8:$A$106,MATCH($A39,'Leave Tracker'!$A$8:$A$106,0)))),0,31*(VLOOKUP(O$1,Sprints[],5,FALSE))+DAY(VLOOKUP(O$1,Sprints[],2,FALSE)),1,VLOOKUP(O$1,Sprints[],4,FALSE))&lt;&gt;"")*(IF(OFFSET(INDIRECT(CELL("address",INDEX('Leave Tracker'!$A$8:$A$106,MATCH($A39,'Leave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9" s="31">
        <f t="array" aca="1" ref="P39" ca="1">Sheet3!$W$2*$F39*(NETWORKDAYS(VLOOKUP(P$1,Sprints[],2,FALSE), VLOOKUP(P$1,Sprints[],3,FALSE))-SUMPRODUCT((OFFSET(INDIRECT(CELL("address",INDEX('Leave Tracker'!$A$8:$A$106,MATCH($A39,'Leave Tracker'!$A$8:$A$106,0)))),0,31*(VLOOKUP(P$1,Sprints[],5,FALSE))+DAY(VLOOKUP(P$1,Sprints[],2,FALSE)),1,VLOOKUP(P$1,Sprints[],4,FALSE))&lt;&gt;"")*(IF(OFFSET(INDIRECT(CELL("address",INDEX('Leave Tracker'!$A$8:$A$106,MATCH($A39,'Leave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39" s="31">
        <f t="array" aca="1" ref="Q39" ca="1">Sheet3!$W$2*$F39*(NETWORKDAYS(VLOOKUP(Q$1,Sprints[],2,FALSE), VLOOKUP(Q$1,Sprints[],3,FALSE))-SUMPRODUCT((OFFSET(INDIRECT(CELL("address",INDEX('Leave Tracker'!$A$8:$A$106,MATCH($A39,'Leave Tracker'!$A$8:$A$106,0)))),0,31*(VLOOKUP(Q$1,Sprints[],5,FALSE))+DAY(VLOOKUP(Q$1,Sprints[],2,FALSE)),1,VLOOKUP(Q$1,Sprints[],4,FALSE))&lt;&gt;"")*(IF(OFFSET(INDIRECT(CELL("address",INDEX('Leave Tracker'!$A$8:$A$106,MATCH($A39,'Leave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2.4</v>
      </c>
      <c r="R39" s="31">
        <f t="array" aca="1" ref="R39" ca="1">Sheet3!$W$2*$F39*(NETWORKDAYS(VLOOKUP(R$1,Sprints[],2,FALSE), VLOOKUP(R$1,Sprints[],3,FALSE))-SUMPRODUCT((OFFSET(INDIRECT(CELL("address",INDEX('Leave Tracker'!$A$8:$A$106,MATCH($A39,'Leave Tracker'!$A$8:$A$106,0)))),0,31*(VLOOKUP(R$1,Sprints[],5,FALSE))+DAY(VLOOKUP(R$1,Sprints[],2,FALSE)),1,VLOOKUP(R$1,Sprints[],4,FALSE))&lt;&gt;"")*(IF(OFFSET(INDIRECT(CELL("address",INDEX('Leave Tracker'!$A$8:$A$106,MATCH($A39,'Leave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2.4</v>
      </c>
      <c r="S39" s="31">
        <f t="array" aca="1" ref="S39" ca="1">Sheet3!$W$2*$F39*(NETWORKDAYS(VLOOKUP(S$1,Sprints[],2,FALSE), VLOOKUP(S$1,Sprints[],3,FALSE))-SUMPRODUCT((OFFSET(INDIRECT(CELL("address",INDEX('Leave Tracker'!$A$8:$A$106,MATCH($A39,'Leave Tracker'!$A$8:$A$106,0)))),0,31*(VLOOKUP(S$1,Sprints[],5,FALSE))+DAY(VLOOKUP(S$1,Sprints[],2,FALSE)),1,VLOOKUP(S$1,Sprints[],4,FALSE))&lt;&gt;"")*(IF(OFFSET(INDIRECT(CELL("address",INDEX('Leave Tracker'!$A$8:$A$106,MATCH($A39,'Leave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2.4</v>
      </c>
      <c r="T39" s="31">
        <f t="array" aca="1" ref="T39" ca="1">Sheet3!$W$2*$F39*(NETWORKDAYS(VLOOKUP(T$1,Sprints[],2,FALSE), VLOOKUP(T$1,Sprints[],3,FALSE))-SUMPRODUCT((OFFSET(INDIRECT(CELL("address",INDEX('Leave Tracker'!$A$8:$A$106,MATCH($A39,'Leave Tracker'!$A$8:$A$106,0)))),0,31*(VLOOKUP(T$1,Sprints[],5,FALSE))+DAY(VLOOKUP(T$1,Sprints[],2,FALSE)),1,VLOOKUP(T$1,Sprints[],4,FALSE))&lt;&gt;"")*(IF(OFFSET(INDIRECT(CELL("address",INDEX('Leave Tracker'!$A$8:$A$106,MATCH($A39,'Leave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</v>
      </c>
      <c r="U39" s="78">
        <f t="array" aca="1" ref="U39" ca="1">Sheet3!$W$2*$F39*(NETWORKDAYS(VLOOKUP(U$1,Sprints[],2,FALSE), VLOOKUP(U$1,Sprints[],3,FALSE))-SUMPRODUCT((OFFSET(INDIRECT(CELL("address",INDEX('Leave Tracker'!$A$8:$A$106,MATCH($A39,'Leave Tracker'!$A$8:$A$106,0)))),0,31*(VLOOKUP(U$1,Sprints[],5,FALSE))+DAY(VLOOKUP(U$1,Sprints[],2,FALSE)),1,VLOOKUP(U$1,Sprints[],4,FALSE))&lt;&gt;"")*(IF(OFFSET(INDIRECT(CELL("address",INDEX('Leave Tracker'!$A$8:$A$106,MATCH($A39,'Leave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5.04</v>
      </c>
    </row>
    <row r="40" spans="1:21" x14ac:dyDescent="0.45">
      <c r="A40" t="s">
        <v>93</v>
      </c>
      <c r="B40" s="45" t="s">
        <v>116</v>
      </c>
      <c r="C40" s="45" t="s">
        <v>117</v>
      </c>
      <c r="D40" s="45" t="s">
        <v>121</v>
      </c>
      <c r="E40" s="45" t="s">
        <v>126</v>
      </c>
      <c r="F40" s="47">
        <v>0.2</v>
      </c>
      <c r="G40" s="45">
        <f t="array" aca="1" ref="G40" ca="1">Sheet3!$W$2*$F40*(NETWORKDAYS(VLOOKUP(G$1,Sprints[],2,FALSE), VLOOKUP(G$1,Sprints[],3,FALSE))-SUMPRODUCT((OFFSET(INDIRECT(CELL("address",INDEX('Leave Tracker'!$A$8:$A$106,MATCH($A40,'Leave Tracker'!$A$8:$A$106,0)))),0,31*(VLOOKUP(G$1,Sprints[],5,FALSE))+DAY(VLOOKUP(G$1,Sprints[],2,FALSE)),1,VLOOKUP(G$1,Sprints[],4,FALSE))&lt;&gt;"")*(IF(OFFSET(INDIRECT(CELL("address",INDEX('Leave Tracker'!$A$8:$A$106,MATCH($A40,'Leave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40">
        <f t="array" aca="1" ref="H40" ca="1">Sheet3!$W$2*$F40*(NETWORKDAYS(VLOOKUP(H$1,Sprints[],2,FALSE), VLOOKUP(H$1,Sprints[],3,FALSE))-SUMPRODUCT((OFFSET(INDIRECT(CELL("address",INDEX('Leave Tracker'!$A$8:$A$106,MATCH($A40,'Leave Tracker'!$A$8:$A$106,0)))),0,31*(VLOOKUP(H$1,Sprints[],5,FALSE))+DAY(VLOOKUP(H$1,Sprints[],2,FALSE)),1,VLOOKUP(H$1,Sprints[],4,FALSE))&lt;&gt;"")*(IF(OFFSET(INDIRECT(CELL("address",INDEX('Leave Tracker'!$A$8:$A$106,MATCH($A40,'Leave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40">
        <f t="array" aca="1" ref="I40" ca="1">Sheet3!$W$2*$F40*(NETWORKDAYS(VLOOKUP(I$1,Sprints[],2,FALSE), VLOOKUP(I$1,Sprints[],3,FALSE))-SUMPRODUCT((OFFSET(INDIRECT(CELL("address",INDEX('Leave Tracker'!$A$8:$A$106,MATCH($A40,'Leave Tracker'!$A$8:$A$106,0)))),0,31*(VLOOKUP(I$1,Sprints[],5,FALSE))+DAY(VLOOKUP(I$1,Sprints[],2,FALSE)),1,VLOOKUP(I$1,Sprints[],4,FALSE))&lt;&gt;"")*(IF(OFFSET(INDIRECT(CELL("address",INDEX('Leave Tracker'!$A$8:$A$106,MATCH($A40,'Leave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40">
        <f t="array" aca="1" ref="J40" ca="1">Sheet3!$W$2*$F40*(NETWORKDAYS(VLOOKUP(J$1,Sprints[],2,FALSE), VLOOKUP(J$1,Sprints[],3,FALSE))-SUMPRODUCT((OFFSET(INDIRECT(CELL("address",INDEX('Leave Tracker'!$A$8:$A$106,MATCH($A40,'Leave Tracker'!$A$8:$A$106,0)))),0,31*(VLOOKUP(J$1,Sprints[],5,FALSE))+DAY(VLOOKUP(J$1,Sprints[],2,FALSE)),1,VLOOKUP(J$1,Sprints[],4,FALSE))&lt;&gt;"")*(IF(OFFSET(INDIRECT(CELL("address",INDEX('Leave Tracker'!$A$8:$A$106,MATCH($A40,'Leave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40">
        <f t="array" aca="1" ref="K40" ca="1">Sheet3!$W$2*$F40*(NETWORKDAYS(VLOOKUP(K$1,Sprints[],2,FALSE), VLOOKUP(K$1,Sprints[],3,FALSE))-SUMPRODUCT((OFFSET(INDIRECT(CELL("address",INDEX('Leave Tracker'!$A$8:$A$106,MATCH($A40,'Leave Tracker'!$A$8:$A$106,0)))),0,31*(VLOOKUP(K$1,Sprints[],5,FALSE))+DAY(VLOOKUP(K$1,Sprints[],2,FALSE)),1,VLOOKUP(K$1,Sprints[],4,FALSE))&lt;&gt;"")*(IF(OFFSET(INDIRECT(CELL("address",INDEX('Leave Tracker'!$A$8:$A$106,MATCH($A40,'Leave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40">
        <f t="array" aca="1" ref="L40" ca="1">Sheet3!$W$2*$F40*(NETWORKDAYS(VLOOKUP(L$1,Sprints[],2,FALSE), VLOOKUP(L$1,Sprints[],3,FALSE))-SUMPRODUCT((OFFSET(INDIRECT(CELL("address",INDEX('Leave Tracker'!$A$8:$A$106,MATCH($A40,'Leave Tracker'!$A$8:$A$106,0)))),0,31*(VLOOKUP(L$1,Sprints[],5,FALSE))+DAY(VLOOKUP(L$1,Sprints[],2,FALSE)),1,VLOOKUP(L$1,Sprints[],4,FALSE))&lt;&gt;"")*(IF(OFFSET(INDIRECT(CELL("address",INDEX('Leave Tracker'!$A$8:$A$106,MATCH($A40,'Leave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40" s="45">
        <f t="array" aca="1" ref="M40" ca="1">Sheet3!$W$2*$F40*(NETWORKDAYS(VLOOKUP(M$1,Sprints[],2,FALSE), VLOOKUP(M$1,Sprints[],3,FALSE))-SUMPRODUCT((OFFSET(INDIRECT(CELL("address",INDEX('Leave Tracker'!$A$8:$A$106,MATCH($A40,'Leave Tracker'!$A$8:$A$106,0)))),0,31*(VLOOKUP(M$1,Sprints[],5,FALSE))+DAY(VLOOKUP(M$1,Sprints[],2,FALSE)),1,VLOOKUP(M$1,Sprints[],4,FALSE))&lt;&gt;"")*(IF(OFFSET(INDIRECT(CELL("address",INDEX('Leave Tracker'!$A$8:$A$106,MATCH($A40,'Leave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40">
        <f t="array" aca="1" ref="N40" ca="1">Sheet3!$W$2*$F40*(NETWORKDAYS(VLOOKUP(N$1,Sprints[],2,FALSE), VLOOKUP(N$1,Sprints[],3,FALSE))-SUMPRODUCT((OFFSET(INDIRECT(CELL("address",INDEX('Leave Tracker'!$A$8:$A$106,MATCH($A40,'Leave Tracker'!$A$8:$A$106,0)))),0,31*(VLOOKUP(N$1,Sprints[],5,FALSE))+DAY(VLOOKUP(N$1,Sprints[],2,FALSE)),1,VLOOKUP(N$1,Sprints[],4,FALSE))&lt;&gt;"")*(IF(OFFSET(INDIRECT(CELL("address",INDEX('Leave Tracker'!$A$8:$A$106,MATCH($A40,'Leave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40">
        <f t="array" aca="1" ref="O40" ca="1">Sheet3!$W$2*$F40*(NETWORKDAYS(VLOOKUP(O$1,Sprints[],2,FALSE), VLOOKUP(O$1,Sprints[],3,FALSE))-SUMPRODUCT((OFFSET(INDIRECT(CELL("address",INDEX('Leave Tracker'!$A$8:$A$106,MATCH($A40,'Leave Tracker'!$A$8:$A$106,0)))),0,31*(VLOOKUP(O$1,Sprints[],5,FALSE))+DAY(VLOOKUP(O$1,Sprints[],2,FALSE)),1,VLOOKUP(O$1,Sprints[],4,FALSE))&lt;&gt;"")*(IF(OFFSET(INDIRECT(CELL("address",INDEX('Leave Tracker'!$A$8:$A$106,MATCH($A40,'Leave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40">
        <f t="array" aca="1" ref="P40" ca="1">Sheet3!$W$2*$F40*(NETWORKDAYS(VLOOKUP(P$1,Sprints[],2,FALSE), VLOOKUP(P$1,Sprints[],3,FALSE))-SUMPRODUCT((OFFSET(INDIRECT(CELL("address",INDEX('Leave Tracker'!$A$8:$A$106,MATCH($A40,'Leave Tracker'!$A$8:$A$106,0)))),0,31*(VLOOKUP(P$1,Sprints[],5,FALSE))+DAY(VLOOKUP(P$1,Sprints[],2,FALSE)),1,VLOOKUP(P$1,Sprints[],4,FALSE))&lt;&gt;"")*(IF(OFFSET(INDIRECT(CELL("address",INDEX('Leave Tracker'!$A$8:$A$106,MATCH($A40,'Leave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40">
        <f t="array" aca="1" ref="Q40" ca="1">Sheet3!$W$2*$F40*(NETWORKDAYS(VLOOKUP(Q$1,Sprints[],2,FALSE), VLOOKUP(Q$1,Sprints[],3,FALSE))-SUMPRODUCT((OFFSET(INDIRECT(CELL("address",INDEX('Leave Tracker'!$A$8:$A$106,MATCH($A40,'Leave Tracker'!$A$8:$A$106,0)))),0,31*(VLOOKUP(Q$1,Sprints[],5,FALSE))+DAY(VLOOKUP(Q$1,Sprints[],2,FALSE)),1,VLOOKUP(Q$1,Sprints[],4,FALSE))&lt;&gt;"")*(IF(OFFSET(INDIRECT(CELL("address",INDEX('Leave Tracker'!$A$8:$A$106,MATCH($A40,'Leave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1.4400000000000004</v>
      </c>
      <c r="R40">
        <f t="array" aca="1" ref="R40" ca="1">Sheet3!$W$2*$F40*(NETWORKDAYS(VLOOKUP(R$1,Sprints[],2,FALSE), VLOOKUP(R$1,Sprints[],3,FALSE))-SUMPRODUCT((OFFSET(INDIRECT(CELL("address",INDEX('Leave Tracker'!$A$8:$A$106,MATCH($A40,'Leave Tracker'!$A$8:$A$106,0)))),0,31*(VLOOKUP(R$1,Sprints[],5,FALSE))+DAY(VLOOKUP(R$1,Sprints[],2,FALSE)),1,VLOOKUP(R$1,Sprints[],4,FALSE))&lt;&gt;"")*(IF(OFFSET(INDIRECT(CELL("address",INDEX('Leave Tracker'!$A$8:$A$106,MATCH($A40,'Leave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40" s="31">
        <f t="array" aca="1" ref="S40" ca="1">Sheet3!$W$2*$F40*(NETWORKDAYS(VLOOKUP(S$1,Sprints[],2,FALSE), VLOOKUP(S$1,Sprints[],3,FALSE))-SUMPRODUCT((OFFSET(INDIRECT(CELL("address",INDEX('Leave Tracker'!$A$8:$A$106,MATCH($A40,'Leave Tracker'!$A$8:$A$106,0)))),0,31*(VLOOKUP(S$1,Sprints[],5,FALSE))+DAY(VLOOKUP(S$1,Sprints[],2,FALSE)),1,VLOOKUP(S$1,Sprints[],4,FALSE))&lt;&gt;"")*(IF(OFFSET(INDIRECT(CELL("address",INDEX('Leave Tracker'!$A$8:$A$106,MATCH($A40,'Leave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40" s="31">
        <f t="array" aca="1" ref="T40" ca="1">Sheet3!$W$2*$F40*(NETWORKDAYS(VLOOKUP(T$1,Sprints[],2,FALSE), VLOOKUP(T$1,Sprints[],3,FALSE))-SUMPRODUCT((OFFSET(INDIRECT(CELL("address",INDEX('Leave Tracker'!$A$8:$A$106,MATCH($A40,'Leave Tracker'!$A$8:$A$106,0)))),0,31*(VLOOKUP(T$1,Sprints[],5,FALSE))+DAY(VLOOKUP(T$1,Sprints[],2,FALSE)),1,VLOOKUP(T$1,Sprints[],4,FALSE))&lt;&gt;"")*(IF(OFFSET(INDIRECT(CELL("address",INDEX('Leave Tracker'!$A$8:$A$106,MATCH($A40,'Leave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40" s="78">
        <f t="array" aca="1" ref="U40" ca="1">Sheet3!$W$2*$F40*(NETWORKDAYS(VLOOKUP(U$1,Sprints[],2,FALSE), VLOOKUP(U$1,Sprints[],3,FALSE))-SUMPRODUCT((OFFSET(INDIRECT(CELL("address",INDEX('Leave Tracker'!$A$8:$A$106,MATCH($A40,'Leave Tracker'!$A$8:$A$106,0)))),0,31*(VLOOKUP(U$1,Sprints[],5,FALSE))+DAY(VLOOKUP(U$1,Sprints[],2,FALSE)),1,VLOOKUP(U$1,Sprints[],4,FALSE))&lt;&gt;"")*(IF(OFFSET(INDIRECT(CELL("address",INDEX('Leave Tracker'!$A$8:$A$106,MATCH($A40,'Leave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3.3600000000000008</v>
      </c>
    </row>
    <row r="41" spans="1:21" x14ac:dyDescent="0.45">
      <c r="A41" t="s">
        <v>94</v>
      </c>
      <c r="B41" s="45" t="s">
        <v>116</v>
      </c>
      <c r="C41" s="45" t="s">
        <v>118</v>
      </c>
      <c r="D41" s="45" t="s">
        <v>123</v>
      </c>
      <c r="E41" s="45" t="s">
        <v>125</v>
      </c>
      <c r="F41" s="47">
        <v>0.6</v>
      </c>
      <c r="G41" s="45">
        <f t="array" aca="1" ref="G41" ca="1">Sheet3!$W$2*$F41*(NETWORKDAYS(VLOOKUP(G$1,Sprints[],2,FALSE), VLOOKUP(G$1,Sprints[],3,FALSE))-SUMPRODUCT((OFFSET(INDIRECT(CELL("address",INDEX('Leave Tracker'!$A$8:$A$106,MATCH($A41,'Leave Tracker'!$A$8:$A$106,0)))),0,31*(VLOOKUP(G$1,Sprints[],5,FALSE))+DAY(VLOOKUP(G$1,Sprints[],2,FALSE)),1,VLOOKUP(G$1,Sprints[],4,FALSE))&lt;&gt;"")*(IF(OFFSET(INDIRECT(CELL("address",INDEX('Leave Tracker'!$A$8:$A$106,MATCH($A41,'Leave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>
        <f t="array" aca="1" ref="H41" ca="1">Sheet3!$W$2*$F41*(NETWORKDAYS(VLOOKUP(H$1,Sprints[],2,FALSE), VLOOKUP(H$1,Sprints[],3,FALSE))-SUMPRODUCT((OFFSET(INDIRECT(CELL("address",INDEX('Leave Tracker'!$A$8:$A$106,MATCH($A41,'Leave Tracker'!$A$8:$A$106,0)))),0,31*(VLOOKUP(H$1,Sprints[],5,FALSE))+DAY(VLOOKUP(H$1,Sprints[],2,FALSE)),1,VLOOKUP(H$1,Sprints[],4,FALSE))&lt;&gt;"")*(IF(OFFSET(INDIRECT(CELL("address",INDEX('Leave Tracker'!$A$8:$A$106,MATCH($A41,'Leave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>
        <f t="array" aca="1" ref="I41" ca="1">Sheet3!$W$2*$F41*(NETWORKDAYS(VLOOKUP(I$1,Sprints[],2,FALSE), VLOOKUP(I$1,Sprints[],3,FALSE))-SUMPRODUCT((OFFSET(INDIRECT(CELL("address",INDEX('Leave Tracker'!$A$8:$A$106,MATCH($A41,'Leave Tracker'!$A$8:$A$106,0)))),0,31*(VLOOKUP(I$1,Sprints[],5,FALSE))+DAY(VLOOKUP(I$1,Sprints[],2,FALSE)),1,VLOOKUP(I$1,Sprints[],4,FALSE))&lt;&gt;"")*(IF(OFFSET(INDIRECT(CELL("address",INDEX('Leave Tracker'!$A$8:$A$106,MATCH($A41,'Leave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1">
        <f t="array" aca="1" ref="J41" ca="1">Sheet3!$W$2*$F41*(NETWORKDAYS(VLOOKUP(J$1,Sprints[],2,FALSE), VLOOKUP(J$1,Sprints[],3,FALSE))-SUMPRODUCT((OFFSET(INDIRECT(CELL("address",INDEX('Leave Tracker'!$A$8:$A$106,MATCH($A41,'Leave Tracker'!$A$8:$A$106,0)))),0,31*(VLOOKUP(J$1,Sprints[],5,FALSE))+DAY(VLOOKUP(J$1,Sprints[],2,FALSE)),1,VLOOKUP(J$1,Sprints[],4,FALSE))&lt;&gt;"")*(IF(OFFSET(INDIRECT(CELL("address",INDEX('Leave Tracker'!$A$8:$A$106,MATCH($A41,'Leave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1">
        <f t="array" aca="1" ref="K41" ca="1">Sheet3!$W$2*$F41*(NETWORKDAYS(VLOOKUP(K$1,Sprints[],2,FALSE), VLOOKUP(K$1,Sprints[],3,FALSE))-SUMPRODUCT((OFFSET(INDIRECT(CELL("address",INDEX('Leave Tracker'!$A$8:$A$106,MATCH($A41,'Leave Tracker'!$A$8:$A$106,0)))),0,31*(VLOOKUP(K$1,Sprints[],5,FALSE))+DAY(VLOOKUP(K$1,Sprints[],2,FALSE)),1,VLOOKUP(K$1,Sprints[],4,FALSE))&lt;&gt;"")*(IF(OFFSET(INDIRECT(CELL("address",INDEX('Leave Tracker'!$A$8:$A$106,MATCH($A41,'Leave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>
        <f t="array" aca="1" ref="L41" ca="1">Sheet3!$W$2*$F41*(NETWORKDAYS(VLOOKUP(L$1,Sprints[],2,FALSE), VLOOKUP(L$1,Sprints[],3,FALSE))-SUMPRODUCT((OFFSET(INDIRECT(CELL("address",INDEX('Leave Tracker'!$A$8:$A$106,MATCH($A41,'Leave Tracker'!$A$8:$A$106,0)))),0,31*(VLOOKUP(L$1,Sprints[],5,FALSE))+DAY(VLOOKUP(L$1,Sprints[],2,FALSE)),1,VLOOKUP(L$1,Sprints[],4,FALSE))&lt;&gt;"")*(IF(OFFSET(INDIRECT(CELL("address",INDEX('Leave Tracker'!$A$8:$A$106,MATCH($A41,'Leave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1" s="45">
        <f t="array" aca="1" ref="M41" ca="1">Sheet3!$W$2*$F41*(NETWORKDAYS(VLOOKUP(M$1,Sprints[],2,FALSE), VLOOKUP(M$1,Sprints[],3,FALSE))-SUMPRODUCT((OFFSET(INDIRECT(CELL("address",INDEX('Leave Tracker'!$A$8:$A$106,MATCH($A41,'Leave Tracker'!$A$8:$A$106,0)))),0,31*(VLOOKUP(M$1,Sprints[],5,FALSE))+DAY(VLOOKUP(M$1,Sprints[],2,FALSE)),1,VLOOKUP(M$1,Sprints[],4,FALSE))&lt;&gt;"")*(IF(OFFSET(INDIRECT(CELL("address",INDEX('Leave Tracker'!$A$8:$A$106,MATCH($A41,'Leave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1">
        <f t="array" aca="1" ref="N41" ca="1">Sheet3!$W$2*$F41*(NETWORKDAYS(VLOOKUP(N$1,Sprints[],2,FALSE), VLOOKUP(N$1,Sprints[],3,FALSE))-SUMPRODUCT((OFFSET(INDIRECT(CELL("address",INDEX('Leave Tracker'!$A$8:$A$106,MATCH($A41,'Leave Tracker'!$A$8:$A$106,0)))),0,31*(VLOOKUP(N$1,Sprints[],5,FALSE))+DAY(VLOOKUP(N$1,Sprints[],2,FALSE)),1,VLOOKUP(N$1,Sprints[],4,FALSE))&lt;&gt;"")*(IF(OFFSET(INDIRECT(CELL("address",INDEX('Leave Tracker'!$A$8:$A$106,MATCH($A41,'Leave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1">
        <f t="array" aca="1" ref="O41" ca="1">Sheet3!$W$2*$F41*(NETWORKDAYS(VLOOKUP(O$1,Sprints[],2,FALSE), VLOOKUP(O$1,Sprints[],3,FALSE))-SUMPRODUCT((OFFSET(INDIRECT(CELL("address",INDEX('Leave Tracker'!$A$8:$A$106,MATCH($A41,'Leave Tracker'!$A$8:$A$106,0)))),0,31*(VLOOKUP(O$1,Sprints[],5,FALSE))+DAY(VLOOKUP(O$1,Sprints[],2,FALSE)),1,VLOOKUP(O$1,Sprints[],4,FALSE))&lt;&gt;"")*(IF(OFFSET(INDIRECT(CELL("address",INDEX('Leave Tracker'!$A$8:$A$106,MATCH($A41,'Leave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1">
        <f t="array" aca="1" ref="P41" ca="1">Sheet3!$W$2*$F41*(NETWORKDAYS(VLOOKUP(P$1,Sprints[],2,FALSE), VLOOKUP(P$1,Sprints[],3,FALSE))-SUMPRODUCT((OFFSET(INDIRECT(CELL("address",INDEX('Leave Tracker'!$A$8:$A$106,MATCH($A41,'Leave Tracker'!$A$8:$A$106,0)))),0,31*(VLOOKUP(P$1,Sprints[],5,FALSE))+DAY(VLOOKUP(P$1,Sprints[],2,FALSE)),1,VLOOKUP(P$1,Sprints[],4,FALSE))&lt;&gt;"")*(IF(OFFSET(INDIRECT(CELL("address",INDEX('Leave Tracker'!$A$8:$A$106,MATCH($A41,'Leave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1">
        <f t="array" aca="1" ref="Q41" ca="1">Sheet3!$W$2*$F41*(NETWORKDAYS(VLOOKUP(Q$1,Sprints[],2,FALSE), VLOOKUP(Q$1,Sprints[],3,FALSE))-SUMPRODUCT((OFFSET(INDIRECT(CELL("address",INDEX('Leave Tracker'!$A$8:$A$106,MATCH($A41,'Leave Tracker'!$A$8:$A$106,0)))),0,31*(VLOOKUP(Q$1,Sprints[],5,FALSE))+DAY(VLOOKUP(Q$1,Sprints[],2,FALSE)),1,VLOOKUP(Q$1,Sprints[],4,FALSE))&lt;&gt;"")*(IF(OFFSET(INDIRECT(CELL("address",INDEX('Leave Tracker'!$A$8:$A$106,MATCH($A41,'Leave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1">
        <f t="array" aca="1" ref="R41" ca="1">Sheet3!$W$2*$F41*(NETWORKDAYS(VLOOKUP(R$1,Sprints[],2,FALSE), VLOOKUP(R$1,Sprints[],3,FALSE))-SUMPRODUCT((OFFSET(INDIRECT(CELL("address",INDEX('Leave Tracker'!$A$8:$A$106,MATCH($A41,'Leave Tracker'!$A$8:$A$106,0)))),0,31*(VLOOKUP(R$1,Sprints[],5,FALSE))+DAY(VLOOKUP(R$1,Sprints[],2,FALSE)),1,VLOOKUP(R$1,Sprints[],4,FALSE))&lt;&gt;"")*(IF(OFFSET(INDIRECT(CELL("address",INDEX('Leave Tracker'!$A$8:$A$106,MATCH($A41,'Leave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1" s="31">
        <f t="array" aca="1" ref="S41" ca="1">Sheet3!$W$2*$F41*(NETWORKDAYS(VLOOKUP(S$1,Sprints[],2,FALSE), VLOOKUP(S$1,Sprints[],3,FALSE))-SUMPRODUCT((OFFSET(INDIRECT(CELL("address",INDEX('Leave Tracker'!$A$8:$A$106,MATCH($A41,'Leave Tracker'!$A$8:$A$106,0)))),0,31*(VLOOKUP(S$1,Sprints[],5,FALSE))+DAY(VLOOKUP(S$1,Sprints[],2,FALSE)),1,VLOOKUP(S$1,Sprints[],4,FALSE))&lt;&gt;"")*(IF(OFFSET(INDIRECT(CELL("address",INDEX('Leave Tracker'!$A$8:$A$106,MATCH($A41,'Leave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1" s="31">
        <f t="array" aca="1" ref="T41" ca="1">Sheet3!$W$2*$F41*(NETWORKDAYS(VLOOKUP(T$1,Sprints[],2,FALSE), VLOOKUP(T$1,Sprints[],3,FALSE))-SUMPRODUCT((OFFSET(INDIRECT(CELL("address",INDEX('Leave Tracker'!$A$8:$A$106,MATCH($A41,'Leave Tracker'!$A$8:$A$106,0)))),0,31*(VLOOKUP(T$1,Sprints[],5,FALSE))+DAY(VLOOKUP(T$1,Sprints[],2,FALSE)),1,VLOOKUP(T$1,Sprints[],4,FALSE))&lt;&gt;"")*(IF(OFFSET(INDIRECT(CELL("address",INDEX('Leave Tracker'!$A$8:$A$106,MATCH($A41,'Leave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1" s="78">
        <f t="array" aca="1" ref="U41" ca="1">Sheet3!$W$2*$F41*(NETWORKDAYS(VLOOKUP(U$1,Sprints[],2,FALSE), VLOOKUP(U$1,Sprints[],3,FALSE))-SUMPRODUCT((OFFSET(INDIRECT(CELL("address",INDEX('Leave Tracker'!$A$8:$A$106,MATCH($A41,'Leave Tracker'!$A$8:$A$106,0)))),0,31*(VLOOKUP(U$1,Sprints[],5,FALSE))+DAY(VLOOKUP(U$1,Sprints[],2,FALSE)),1,VLOOKUP(U$1,Sprints[],4,FALSE))&lt;&gt;"")*(IF(OFFSET(INDIRECT(CELL("address",INDEX('Leave Tracker'!$A$8:$A$106,MATCH($A41,'Leave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10.08</v>
      </c>
    </row>
    <row r="42" spans="1:21" x14ac:dyDescent="0.45">
      <c r="A42" s="66" t="s">
        <v>95</v>
      </c>
      <c r="B42" s="66" t="s">
        <v>116</v>
      </c>
      <c r="C42" s="66" t="s">
        <v>118</v>
      </c>
      <c r="D42" s="66" t="s">
        <v>123</v>
      </c>
      <c r="E42" s="66" t="s">
        <v>125</v>
      </c>
      <c r="F42" s="67">
        <v>0.6</v>
      </c>
      <c r="G42" s="66">
        <f t="array" aca="1" ref="G42" ca="1">Sheet3!$W$2*$F42*(NETWORKDAYS(VLOOKUP(G$1,Sprints[],2,FALSE), VLOOKUP(G$1,Sprints[],3,FALSE))-SUMPRODUCT((OFFSET(INDIRECT(CELL("address",INDEX('Leave Tracker'!$A$8:$A$106,MATCH($A42,'Leave Tracker'!$A$8:$A$106,0)))),0,31*(VLOOKUP(G$1,Sprints[],5,FALSE))+DAY(VLOOKUP(G$1,Sprints[],2,FALSE)),1,VLOOKUP(G$1,Sprints[],4,FALSE))&lt;&gt;"")*(IF(OFFSET(INDIRECT(CELL("address",INDEX('Leave Tracker'!$A$8:$A$106,MATCH($A42,'Leave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2" s="66">
        <f t="array" aca="1" ref="H42" ca="1">Sheet3!$W$2*$F42*(NETWORKDAYS(VLOOKUP(H$1,Sprints[],2,FALSE), VLOOKUP(H$1,Sprints[],3,FALSE))-SUMPRODUCT((OFFSET(INDIRECT(CELL("address",INDEX('Leave Tracker'!$A$8:$A$106,MATCH($A42,'Leave Tracker'!$A$8:$A$106,0)))),0,31*(VLOOKUP(H$1,Sprints[],5,FALSE))+DAY(VLOOKUP(H$1,Sprints[],2,FALSE)),1,VLOOKUP(H$1,Sprints[],4,FALSE))&lt;&gt;"")*(IF(OFFSET(INDIRECT(CELL("address",INDEX('Leave Tracker'!$A$8:$A$106,MATCH($A42,'Leave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2" s="66">
        <f t="array" aca="1" ref="I42" ca="1">Sheet3!$W$2*$F42*(NETWORKDAYS(VLOOKUP(I$1,Sprints[],2,FALSE), VLOOKUP(I$1,Sprints[],3,FALSE))-SUMPRODUCT((OFFSET(INDIRECT(CELL("address",INDEX('Leave Tracker'!$A$8:$A$106,MATCH($A42,'Leave Tracker'!$A$8:$A$106,0)))),0,31*(VLOOKUP(I$1,Sprints[],5,FALSE))+DAY(VLOOKUP(I$1,Sprints[],2,FALSE)),1,VLOOKUP(I$1,Sprints[],4,FALSE))&lt;&gt;"")*(IF(OFFSET(INDIRECT(CELL("address",INDEX('Leave Tracker'!$A$8:$A$106,MATCH($A42,'Leave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2" s="66">
        <f t="array" aca="1" ref="J42" ca="1">Sheet3!$W$2*$F42*(NETWORKDAYS(VLOOKUP(J$1,Sprints[],2,FALSE), VLOOKUP(J$1,Sprints[],3,FALSE))-SUMPRODUCT((OFFSET(INDIRECT(CELL("address",INDEX('Leave Tracker'!$A$8:$A$106,MATCH($A42,'Leave Tracker'!$A$8:$A$106,0)))),0,31*(VLOOKUP(J$1,Sprints[],5,FALSE))+DAY(VLOOKUP(J$1,Sprints[],2,FALSE)),1,VLOOKUP(J$1,Sprints[],4,FALSE))&lt;&gt;"")*(IF(OFFSET(INDIRECT(CELL("address",INDEX('Leave Tracker'!$A$8:$A$106,MATCH($A42,'Leave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2" s="66">
        <f t="array" aca="1" ref="K42" ca="1">Sheet3!$W$2*$F42*(NETWORKDAYS(VLOOKUP(K$1,Sprints[],2,FALSE), VLOOKUP(K$1,Sprints[],3,FALSE))-SUMPRODUCT((OFFSET(INDIRECT(CELL("address",INDEX('Leave Tracker'!$A$8:$A$106,MATCH($A42,'Leave Tracker'!$A$8:$A$106,0)))),0,31*(VLOOKUP(K$1,Sprints[],5,FALSE))+DAY(VLOOKUP(K$1,Sprints[],2,FALSE)),1,VLOOKUP(K$1,Sprints[],4,FALSE))&lt;&gt;"")*(IF(OFFSET(INDIRECT(CELL("address",INDEX('Leave Tracker'!$A$8:$A$106,MATCH($A42,'Leave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2" s="66">
        <f t="array" aca="1" ref="L42" ca="1">Sheet3!$W$2*$F42*(NETWORKDAYS(VLOOKUP(L$1,Sprints[],2,FALSE), VLOOKUP(L$1,Sprints[],3,FALSE))-SUMPRODUCT((OFFSET(INDIRECT(CELL("address",INDEX('Leave Tracker'!$A$8:$A$106,MATCH($A42,'Leave Tracker'!$A$8:$A$106,0)))),0,31*(VLOOKUP(L$1,Sprints[],5,FALSE))+DAY(VLOOKUP(L$1,Sprints[],2,FALSE)),1,VLOOKUP(L$1,Sprints[],4,FALSE))&lt;&gt;"")*(IF(OFFSET(INDIRECT(CELL("address",INDEX('Leave Tracker'!$A$8:$A$106,MATCH($A42,'Leave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2" s="66">
        <f t="array" aca="1" ref="M42" ca="1">Sheet3!$W$2*$F42*(NETWORKDAYS(VLOOKUP(M$1,Sprints[],2,FALSE), VLOOKUP(M$1,Sprints[],3,FALSE))-SUMPRODUCT((OFFSET(INDIRECT(CELL("address",INDEX('Leave Tracker'!$A$8:$A$106,MATCH($A42,'Leave Tracker'!$A$8:$A$106,0)))),0,31*(VLOOKUP(M$1,Sprints[],5,FALSE))+DAY(VLOOKUP(M$1,Sprints[],2,FALSE)),1,VLOOKUP(M$1,Sprints[],4,FALSE))&lt;&gt;"")*(IF(OFFSET(INDIRECT(CELL("address",INDEX('Leave Tracker'!$A$8:$A$106,MATCH($A42,'Leave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2" s="66">
        <f t="array" aca="1" ref="N42" ca="1">Sheet3!$W$2*$F42*(NETWORKDAYS(VLOOKUP(N$1,Sprints[],2,FALSE), VLOOKUP(N$1,Sprints[],3,FALSE))-SUMPRODUCT((OFFSET(INDIRECT(CELL("address",INDEX('Leave Tracker'!$A$8:$A$106,MATCH($A42,'Leave Tracker'!$A$8:$A$106,0)))),0,31*(VLOOKUP(N$1,Sprints[],5,FALSE))+DAY(VLOOKUP(N$1,Sprints[],2,FALSE)),1,VLOOKUP(N$1,Sprints[],4,FALSE))&lt;&gt;"")*(IF(OFFSET(INDIRECT(CELL("address",INDEX('Leave Tracker'!$A$8:$A$106,MATCH($A42,'Leave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2" s="66">
        <f t="array" aca="1" ref="O42" ca="1">Sheet3!$W$2*$F42*(NETWORKDAYS(VLOOKUP(O$1,Sprints[],2,FALSE), VLOOKUP(O$1,Sprints[],3,FALSE))-SUMPRODUCT((OFFSET(INDIRECT(CELL("address",INDEX('Leave Tracker'!$A$8:$A$106,MATCH($A42,'Leave Tracker'!$A$8:$A$106,0)))),0,31*(VLOOKUP(O$1,Sprints[],5,FALSE))+DAY(VLOOKUP(O$1,Sprints[],2,FALSE)),1,VLOOKUP(O$1,Sprints[],4,FALSE))&lt;&gt;"")*(IF(OFFSET(INDIRECT(CELL("address",INDEX('Leave Tracker'!$A$8:$A$106,MATCH($A42,'Leave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2" s="66">
        <f t="array" aca="1" ref="P42" ca="1">Sheet3!$W$2*$F42*(NETWORKDAYS(VLOOKUP(P$1,Sprints[],2,FALSE), VLOOKUP(P$1,Sprints[],3,FALSE))-SUMPRODUCT((OFFSET(INDIRECT(CELL("address",INDEX('Leave Tracker'!$A$8:$A$106,MATCH($A42,'Leave Tracker'!$A$8:$A$106,0)))),0,31*(VLOOKUP(P$1,Sprints[],5,FALSE))+DAY(VLOOKUP(P$1,Sprints[],2,FALSE)),1,VLOOKUP(P$1,Sprints[],4,FALSE))&lt;&gt;"")*(IF(OFFSET(INDIRECT(CELL("address",INDEX('Leave Tracker'!$A$8:$A$106,MATCH($A42,'Leave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2" s="66">
        <f t="array" aca="1" ref="Q42" ca="1">Sheet3!$W$2*$F42*(NETWORKDAYS(VLOOKUP(Q$1,Sprints[],2,FALSE), VLOOKUP(Q$1,Sprints[],3,FALSE))-SUMPRODUCT((OFFSET(INDIRECT(CELL("address",INDEX('Leave Tracker'!$A$8:$A$106,MATCH($A42,'Leave Tracker'!$A$8:$A$106,0)))),0,31*(VLOOKUP(Q$1,Sprints[],5,FALSE))+DAY(VLOOKUP(Q$1,Sprints[],2,FALSE)),1,VLOOKUP(Q$1,Sprints[],4,FALSE))&lt;&gt;"")*(IF(OFFSET(INDIRECT(CELL("address",INDEX('Leave Tracker'!$A$8:$A$106,MATCH($A42,'Leave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2" s="66">
        <f t="array" aca="1" ref="R42" ca="1">Sheet3!$W$2*$F42*(NETWORKDAYS(VLOOKUP(R$1,Sprints[],2,FALSE), VLOOKUP(R$1,Sprints[],3,FALSE))-SUMPRODUCT((OFFSET(INDIRECT(CELL("address",INDEX('Leave Tracker'!$A$8:$A$106,MATCH($A42,'Leave Tracker'!$A$8:$A$106,0)))),0,31*(VLOOKUP(R$1,Sprints[],5,FALSE))+DAY(VLOOKUP(R$1,Sprints[],2,FALSE)),1,VLOOKUP(R$1,Sprints[],4,FALSE))&lt;&gt;"")*(IF(OFFSET(INDIRECT(CELL("address",INDEX('Leave Tracker'!$A$8:$A$106,MATCH($A42,'Leave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2" s="68">
        <f t="array" aca="1" ref="S42" ca="1">Sheet3!$W$2*$F42*(NETWORKDAYS(VLOOKUP(S$1,Sprints[],2,FALSE), VLOOKUP(S$1,Sprints[],3,FALSE))-SUMPRODUCT((OFFSET(INDIRECT(CELL("address",INDEX('Leave Tracker'!$A$8:$A$106,MATCH($A42,'Leave Tracker'!$A$8:$A$106,0)))),0,31*(VLOOKUP(S$1,Sprints[],5,FALSE))+DAY(VLOOKUP(S$1,Sprints[],2,FALSE)),1,VLOOKUP(S$1,Sprints[],4,FALSE))&lt;&gt;"")*(IF(OFFSET(INDIRECT(CELL("address",INDEX('Leave Tracker'!$A$8:$A$106,MATCH($A42,'Leave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2" s="68">
        <f t="array" aca="1" ref="T42" ca="1">Sheet3!$W$2*$F42*(NETWORKDAYS(VLOOKUP(T$1,Sprints[],2,FALSE), VLOOKUP(T$1,Sprints[],3,FALSE))-SUMPRODUCT((OFFSET(INDIRECT(CELL("address",INDEX('Leave Tracker'!$A$8:$A$106,MATCH($A42,'Leave Tracker'!$A$8:$A$106,0)))),0,31*(VLOOKUP(T$1,Sprints[],5,FALSE))+DAY(VLOOKUP(T$1,Sprints[],2,FALSE)),1,VLOOKUP(T$1,Sprints[],4,FALSE))&lt;&gt;"")*(IF(OFFSET(INDIRECT(CELL("address",INDEX('Leave Tracker'!$A$8:$A$106,MATCH($A42,'Leave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2" s="79">
        <f t="array" aca="1" ref="U42" ca="1">Sheet3!$W$2*$F42*(NETWORKDAYS(VLOOKUP(U$1,Sprints[],2,FALSE), VLOOKUP(U$1,Sprints[],3,FALSE))-SUMPRODUCT((OFFSET(INDIRECT(CELL("address",INDEX('Leave Tracker'!$A$8:$A$106,MATCH($A42,'Leave Tracker'!$A$8:$A$106,0)))),0,31*(VLOOKUP(U$1,Sprints[],5,FALSE))+DAY(VLOOKUP(U$1,Sprints[],2,FALSE)),1,VLOOKUP(U$1,Sprints[],4,FALSE))&lt;&gt;"")*(IF(OFFSET(INDIRECT(CELL("address",INDEX('Leave Tracker'!$A$8:$A$106,MATCH($A42,'Leave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3" spans="1:21" x14ac:dyDescent="0.45">
      <c r="A43" t="s">
        <v>96</v>
      </c>
      <c r="B43" s="45" t="s">
        <v>116</v>
      </c>
      <c r="C43" s="45" t="s">
        <v>118</v>
      </c>
      <c r="D43" s="45" t="s">
        <v>132</v>
      </c>
      <c r="E43" s="45" t="s">
        <v>125</v>
      </c>
      <c r="F43" s="47">
        <v>0.75</v>
      </c>
      <c r="G43" s="45">
        <f t="array" aca="1" ref="G43" ca="1">Sheet3!$W$2*$F43*(NETWORKDAYS(VLOOKUP(G$1,Sprints[],2,FALSE), VLOOKUP(G$1,Sprints[],3,FALSE))-SUMPRODUCT((OFFSET(INDIRECT(CELL("address",INDEX('Leave Tracker'!$A$8:$A$106,MATCH($A43,'Leave Tracker'!$A$8:$A$106,0)))),0,31*(VLOOKUP(G$1,Sprints[],5,FALSE))+DAY(VLOOKUP(G$1,Sprints[],2,FALSE)),1,VLOOKUP(G$1,Sprints[],4,FALSE))&lt;&gt;"")*(IF(OFFSET(INDIRECT(CELL("address",INDEX('Leave Tracker'!$A$8:$A$106,MATCH($A43,'Leave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3">
        <f t="array" aca="1" ref="H43" ca="1">Sheet3!$W$2*$F43*(NETWORKDAYS(VLOOKUP(H$1,Sprints[],2,FALSE), VLOOKUP(H$1,Sprints[],3,FALSE))-SUMPRODUCT((OFFSET(INDIRECT(CELL("address",INDEX('Leave Tracker'!$A$8:$A$106,MATCH($A43,'Leave Tracker'!$A$8:$A$106,0)))),0,31*(VLOOKUP(H$1,Sprints[],5,FALSE))+DAY(VLOOKUP(H$1,Sprints[],2,FALSE)),1,VLOOKUP(H$1,Sprints[],4,FALSE))&lt;&gt;"")*(IF(OFFSET(INDIRECT(CELL("address",INDEX('Leave Tracker'!$A$8:$A$106,MATCH($A43,'Leave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3">
        <f t="array" aca="1" ref="I43" ca="1">Sheet3!$W$2*$F43*(NETWORKDAYS(VLOOKUP(I$1,Sprints[],2,FALSE), VLOOKUP(I$1,Sprints[],3,FALSE))-SUMPRODUCT((OFFSET(INDIRECT(CELL("address",INDEX('Leave Tracker'!$A$8:$A$106,MATCH($A43,'Leave Tracker'!$A$8:$A$106,0)))),0,31*(VLOOKUP(I$1,Sprints[],5,FALSE))+DAY(VLOOKUP(I$1,Sprints[],2,FALSE)),1,VLOOKUP(I$1,Sprints[],4,FALSE))&lt;&gt;"")*(IF(OFFSET(INDIRECT(CELL("address",INDEX('Leave Tracker'!$A$8:$A$106,MATCH($A43,'Leave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3">
        <f t="array" aca="1" ref="J43" ca="1">Sheet3!$W$2*$F43*(NETWORKDAYS(VLOOKUP(J$1,Sprints[],2,FALSE), VLOOKUP(J$1,Sprints[],3,FALSE))-SUMPRODUCT((OFFSET(INDIRECT(CELL("address",INDEX('Leave Tracker'!$A$8:$A$106,MATCH($A43,'Leave Tracker'!$A$8:$A$106,0)))),0,31*(VLOOKUP(J$1,Sprints[],5,FALSE))+DAY(VLOOKUP(J$1,Sprints[],2,FALSE)),1,VLOOKUP(J$1,Sprints[],4,FALSE))&lt;&gt;"")*(IF(OFFSET(INDIRECT(CELL("address",INDEX('Leave Tracker'!$A$8:$A$106,MATCH($A43,'Leave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3">
        <f t="array" aca="1" ref="K43" ca="1">Sheet3!$W$2*$F43*(NETWORKDAYS(VLOOKUP(K$1,Sprints[],2,FALSE), VLOOKUP(K$1,Sprints[],3,FALSE))-SUMPRODUCT((OFFSET(INDIRECT(CELL("address",INDEX('Leave Tracker'!$A$8:$A$106,MATCH($A43,'Leave Tracker'!$A$8:$A$106,0)))),0,31*(VLOOKUP(K$1,Sprints[],5,FALSE))+DAY(VLOOKUP(K$1,Sprints[],2,FALSE)),1,VLOOKUP(K$1,Sprints[],4,FALSE))&lt;&gt;"")*(IF(OFFSET(INDIRECT(CELL("address",INDEX('Leave Tracker'!$A$8:$A$106,MATCH($A43,'Leave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3">
        <f t="array" aca="1" ref="L43" ca="1">Sheet3!$W$2*$F43*(NETWORKDAYS(VLOOKUP(L$1,Sprints[],2,FALSE), VLOOKUP(L$1,Sprints[],3,FALSE))-SUMPRODUCT((OFFSET(INDIRECT(CELL("address",INDEX('Leave Tracker'!$A$8:$A$106,MATCH($A43,'Leave Tracker'!$A$8:$A$106,0)))),0,31*(VLOOKUP(L$1,Sprints[],5,FALSE))+DAY(VLOOKUP(L$1,Sprints[],2,FALSE)),1,VLOOKUP(L$1,Sprints[],4,FALSE))&lt;&gt;"")*(IF(OFFSET(INDIRECT(CELL("address",INDEX('Leave Tracker'!$A$8:$A$106,MATCH($A43,'Leave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3" s="45">
        <f t="array" aca="1" ref="M43" ca="1">Sheet3!$W$2*$F43*(NETWORKDAYS(VLOOKUP(M$1,Sprints[],2,FALSE), VLOOKUP(M$1,Sprints[],3,FALSE))-SUMPRODUCT((OFFSET(INDIRECT(CELL("address",INDEX('Leave Tracker'!$A$8:$A$106,MATCH($A43,'Leave Tracker'!$A$8:$A$106,0)))),0,31*(VLOOKUP(M$1,Sprints[],5,FALSE))+DAY(VLOOKUP(M$1,Sprints[],2,FALSE)),1,VLOOKUP(M$1,Sprints[],4,FALSE))&lt;&gt;"")*(IF(OFFSET(INDIRECT(CELL("address",INDEX('Leave Tracker'!$A$8:$A$106,MATCH($A43,'Leave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3">
        <f t="array" aca="1" ref="N43" ca="1">Sheet3!$W$2*$F43*(NETWORKDAYS(VLOOKUP(N$1,Sprints[],2,FALSE), VLOOKUP(N$1,Sprints[],3,FALSE))-SUMPRODUCT((OFFSET(INDIRECT(CELL("address",INDEX('Leave Tracker'!$A$8:$A$106,MATCH($A43,'Leave Tracker'!$A$8:$A$106,0)))),0,31*(VLOOKUP(N$1,Sprints[],5,FALSE))+DAY(VLOOKUP(N$1,Sprints[],2,FALSE)),1,VLOOKUP(N$1,Sprints[],4,FALSE))&lt;&gt;"")*(IF(OFFSET(INDIRECT(CELL("address",INDEX('Leave Tracker'!$A$8:$A$106,MATCH($A43,'Leave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3">
        <f t="array" aca="1" ref="O43" ca="1">Sheet3!$W$2*$F43*(NETWORKDAYS(VLOOKUP(O$1,Sprints[],2,FALSE), VLOOKUP(O$1,Sprints[],3,FALSE))-SUMPRODUCT((OFFSET(INDIRECT(CELL("address",INDEX('Leave Tracker'!$A$8:$A$106,MATCH($A43,'Leave Tracker'!$A$8:$A$106,0)))),0,31*(VLOOKUP(O$1,Sprints[],5,FALSE))+DAY(VLOOKUP(O$1,Sprints[],2,FALSE)),1,VLOOKUP(O$1,Sprints[],4,FALSE))&lt;&gt;"")*(IF(OFFSET(INDIRECT(CELL("address",INDEX('Leave Tracker'!$A$8:$A$106,MATCH($A43,'Leave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3">
        <f t="array" aca="1" ref="P43" ca="1">Sheet3!$W$2*$F43*(NETWORKDAYS(VLOOKUP(P$1,Sprints[],2,FALSE), VLOOKUP(P$1,Sprints[],3,FALSE))-SUMPRODUCT((OFFSET(INDIRECT(CELL("address",INDEX('Leave Tracker'!$A$8:$A$106,MATCH($A43,'Leave Tracker'!$A$8:$A$106,0)))),0,31*(VLOOKUP(P$1,Sprints[],5,FALSE))+DAY(VLOOKUP(P$1,Sprints[],2,FALSE)),1,VLOOKUP(P$1,Sprints[],4,FALSE))&lt;&gt;"")*(IF(OFFSET(INDIRECT(CELL("address",INDEX('Leave Tracker'!$A$8:$A$106,MATCH($A43,'Leave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3">
        <f t="array" aca="1" ref="Q43" ca="1">Sheet3!$W$2*$F43*(NETWORKDAYS(VLOOKUP(Q$1,Sprints[],2,FALSE), VLOOKUP(Q$1,Sprints[],3,FALSE))-SUMPRODUCT((OFFSET(INDIRECT(CELL("address",INDEX('Leave Tracker'!$A$8:$A$106,MATCH($A43,'Leave Tracker'!$A$8:$A$106,0)))),0,31*(VLOOKUP(Q$1,Sprints[],5,FALSE))+DAY(VLOOKUP(Q$1,Sprints[],2,FALSE)),1,VLOOKUP(Q$1,Sprints[],4,FALSE))&lt;&gt;"")*(IF(OFFSET(INDIRECT(CELL("address",INDEX('Leave Tracker'!$A$8:$A$106,MATCH($A43,'Leave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3">
        <f t="array" aca="1" ref="R43" ca="1">Sheet3!$W$2*$F43*(NETWORKDAYS(VLOOKUP(R$1,Sprints[],2,FALSE), VLOOKUP(R$1,Sprints[],3,FALSE))-SUMPRODUCT((OFFSET(INDIRECT(CELL("address",INDEX('Leave Tracker'!$A$8:$A$106,MATCH($A43,'Leave Tracker'!$A$8:$A$106,0)))),0,31*(VLOOKUP(R$1,Sprints[],5,FALSE))+DAY(VLOOKUP(R$1,Sprints[],2,FALSE)),1,VLOOKUP(R$1,Sprints[],4,FALSE))&lt;&gt;"")*(IF(OFFSET(INDIRECT(CELL("address",INDEX('Leave Tracker'!$A$8:$A$106,MATCH($A43,'Leave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3" s="31">
        <f t="array" aca="1" ref="S43" ca="1">Sheet3!$W$2*$F43*(NETWORKDAYS(VLOOKUP(S$1,Sprints[],2,FALSE), VLOOKUP(S$1,Sprints[],3,FALSE))-SUMPRODUCT((OFFSET(INDIRECT(CELL("address",INDEX('Leave Tracker'!$A$8:$A$106,MATCH($A43,'Leave Tracker'!$A$8:$A$106,0)))),0,31*(VLOOKUP(S$1,Sprints[],5,FALSE))+DAY(VLOOKUP(S$1,Sprints[],2,FALSE)),1,VLOOKUP(S$1,Sprints[],4,FALSE))&lt;&gt;"")*(IF(OFFSET(INDIRECT(CELL("address",INDEX('Leave Tracker'!$A$8:$A$106,MATCH($A43,'Leave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3" s="31">
        <f t="array" aca="1" ref="T43" ca="1">Sheet3!$W$2*$F43*(NETWORKDAYS(VLOOKUP(T$1,Sprints[],2,FALSE), VLOOKUP(T$1,Sprints[],3,FALSE))-SUMPRODUCT((OFFSET(INDIRECT(CELL("address",INDEX('Leave Tracker'!$A$8:$A$106,MATCH($A43,'Leave Tracker'!$A$8:$A$106,0)))),0,31*(VLOOKUP(T$1,Sprints[],5,FALSE))+DAY(VLOOKUP(T$1,Sprints[],2,FALSE)),1,VLOOKUP(T$1,Sprints[],4,FALSE))&lt;&gt;"")*(IF(OFFSET(INDIRECT(CELL("address",INDEX('Leave Tracker'!$A$8:$A$106,MATCH($A43,'Leave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3" s="78">
        <f t="array" aca="1" ref="U43" ca="1">Sheet3!$W$2*$F43*(NETWORKDAYS(VLOOKUP(U$1,Sprints[],2,FALSE), VLOOKUP(U$1,Sprints[],3,FALSE))-SUMPRODUCT((OFFSET(INDIRECT(CELL("address",INDEX('Leave Tracker'!$A$8:$A$106,MATCH($A43,'Leave Tracker'!$A$8:$A$106,0)))),0,31*(VLOOKUP(U$1,Sprints[],5,FALSE))+DAY(VLOOKUP(U$1,Sprints[],2,FALSE)),1,VLOOKUP(U$1,Sprints[],4,FALSE))&lt;&gt;"")*(IF(OFFSET(INDIRECT(CELL("address",INDEX('Leave Tracker'!$A$8:$A$106,MATCH($A43,'Leave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6.0000000000000009</v>
      </c>
    </row>
    <row r="44" spans="1:21" x14ac:dyDescent="0.45">
      <c r="A44" t="s">
        <v>97</v>
      </c>
      <c r="B44" s="45" t="s">
        <v>116</v>
      </c>
      <c r="C44" s="45" t="s">
        <v>118</v>
      </c>
      <c r="D44" s="45" t="s">
        <v>122</v>
      </c>
      <c r="E44" s="45" t="s">
        <v>124</v>
      </c>
      <c r="F44" s="47">
        <v>0.6</v>
      </c>
      <c r="G44" s="45">
        <f t="array" aca="1" ref="G44" ca="1">Sheet3!$W$2*$F44*(NETWORKDAYS(VLOOKUP(G$1,Sprints[],2,FALSE), VLOOKUP(G$1,Sprints[],3,FALSE))-SUMPRODUCT((OFFSET(INDIRECT(CELL("address",INDEX('Leave Tracker'!$A$8:$A$106,MATCH($A44,'Leave Tracker'!$A$8:$A$106,0)))),0,31*(VLOOKUP(G$1,Sprints[],5,FALSE))+DAY(VLOOKUP(G$1,Sprints[],2,FALSE)),1,VLOOKUP(G$1,Sprints[],4,FALSE))&lt;&gt;"")*(IF(OFFSET(INDIRECT(CELL("address",INDEX('Leave Tracker'!$A$8:$A$106,MATCH($A44,'Leave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4">
        <f t="array" aca="1" ref="H44" ca="1">Sheet3!$W$2*$F44*(NETWORKDAYS(VLOOKUP(H$1,Sprints[],2,FALSE), VLOOKUP(H$1,Sprints[],3,FALSE))-SUMPRODUCT((OFFSET(INDIRECT(CELL("address",INDEX('Leave Tracker'!$A$8:$A$106,MATCH($A44,'Leave Tracker'!$A$8:$A$106,0)))),0,31*(VLOOKUP(H$1,Sprints[],5,FALSE))+DAY(VLOOKUP(H$1,Sprints[],2,FALSE)),1,VLOOKUP(H$1,Sprints[],4,FALSE))&lt;&gt;"")*(IF(OFFSET(INDIRECT(CELL("address",INDEX('Leave Tracker'!$A$8:$A$106,MATCH($A44,'Leave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4">
        <f t="array" aca="1" ref="I44" ca="1">Sheet3!$W$2*$F44*(NETWORKDAYS(VLOOKUP(I$1,Sprints[],2,FALSE), VLOOKUP(I$1,Sprints[],3,FALSE))-SUMPRODUCT((OFFSET(INDIRECT(CELL("address",INDEX('Leave Tracker'!$A$8:$A$106,MATCH($A44,'Leave Tracker'!$A$8:$A$106,0)))),0,31*(VLOOKUP(I$1,Sprints[],5,FALSE))+DAY(VLOOKUP(I$1,Sprints[],2,FALSE)),1,VLOOKUP(I$1,Sprints[],4,FALSE))&lt;&gt;"")*(IF(OFFSET(INDIRECT(CELL("address",INDEX('Leave Tracker'!$A$8:$A$106,MATCH($A44,'Leave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4">
        <f t="array" aca="1" ref="J44" ca="1">Sheet3!$W$2*$F44*(NETWORKDAYS(VLOOKUP(J$1,Sprints[],2,FALSE), VLOOKUP(J$1,Sprints[],3,FALSE))-SUMPRODUCT((OFFSET(INDIRECT(CELL("address",INDEX('Leave Tracker'!$A$8:$A$106,MATCH($A44,'Leave Tracker'!$A$8:$A$106,0)))),0,31*(VLOOKUP(J$1,Sprints[],5,FALSE))+DAY(VLOOKUP(J$1,Sprints[],2,FALSE)),1,VLOOKUP(J$1,Sprints[],4,FALSE))&lt;&gt;"")*(IF(OFFSET(INDIRECT(CELL("address",INDEX('Leave Tracker'!$A$8:$A$106,MATCH($A44,'Leave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4">
        <f t="array" aca="1" ref="K44" ca="1">Sheet3!$W$2*$F44*(NETWORKDAYS(VLOOKUP(K$1,Sprints[],2,FALSE), VLOOKUP(K$1,Sprints[],3,FALSE))-SUMPRODUCT((OFFSET(INDIRECT(CELL("address",INDEX('Leave Tracker'!$A$8:$A$106,MATCH($A44,'Leave Tracker'!$A$8:$A$106,0)))),0,31*(VLOOKUP(K$1,Sprints[],5,FALSE))+DAY(VLOOKUP(K$1,Sprints[],2,FALSE)),1,VLOOKUP(K$1,Sprints[],4,FALSE))&lt;&gt;"")*(IF(OFFSET(INDIRECT(CELL("address",INDEX('Leave Tracker'!$A$8:$A$106,MATCH($A44,'Leave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4">
        <f t="array" aca="1" ref="L44" ca="1">Sheet3!$W$2*$F44*(NETWORKDAYS(VLOOKUP(L$1,Sprints[],2,FALSE), VLOOKUP(L$1,Sprints[],3,FALSE))-SUMPRODUCT((OFFSET(INDIRECT(CELL("address",INDEX('Leave Tracker'!$A$8:$A$106,MATCH($A44,'Leave Tracker'!$A$8:$A$106,0)))),0,31*(VLOOKUP(L$1,Sprints[],5,FALSE))+DAY(VLOOKUP(L$1,Sprints[],2,FALSE)),1,VLOOKUP(L$1,Sprints[],4,FALSE))&lt;&gt;"")*(IF(OFFSET(INDIRECT(CELL("address",INDEX('Leave Tracker'!$A$8:$A$106,MATCH($A44,'Leave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4" s="45">
        <f t="array" aca="1" ref="M44" ca="1">Sheet3!$W$2*$F44*(NETWORKDAYS(VLOOKUP(M$1,Sprints[],2,FALSE), VLOOKUP(M$1,Sprints[],3,FALSE))-SUMPRODUCT((OFFSET(INDIRECT(CELL("address",INDEX('Leave Tracker'!$A$8:$A$106,MATCH($A44,'Leave Tracker'!$A$8:$A$106,0)))),0,31*(VLOOKUP(M$1,Sprints[],5,FALSE))+DAY(VLOOKUP(M$1,Sprints[],2,FALSE)),1,VLOOKUP(M$1,Sprints[],4,FALSE))&lt;&gt;"")*(IF(OFFSET(INDIRECT(CELL("address",INDEX('Leave Tracker'!$A$8:$A$106,MATCH($A44,'Leave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4">
        <f t="array" aca="1" ref="N44" ca="1">Sheet3!$W$2*$F44*(NETWORKDAYS(VLOOKUP(N$1,Sprints[],2,FALSE), VLOOKUP(N$1,Sprints[],3,FALSE))-SUMPRODUCT((OFFSET(INDIRECT(CELL("address",INDEX('Leave Tracker'!$A$8:$A$106,MATCH($A44,'Leave Tracker'!$A$8:$A$106,0)))),0,31*(VLOOKUP(N$1,Sprints[],5,FALSE))+DAY(VLOOKUP(N$1,Sprints[],2,FALSE)),1,VLOOKUP(N$1,Sprints[],4,FALSE))&lt;&gt;"")*(IF(OFFSET(INDIRECT(CELL("address",INDEX('Leave Tracker'!$A$8:$A$106,MATCH($A44,'Leave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4">
        <f t="array" aca="1" ref="O44" ca="1">Sheet3!$W$2*$F44*(NETWORKDAYS(VLOOKUP(O$1,Sprints[],2,FALSE), VLOOKUP(O$1,Sprints[],3,FALSE))-SUMPRODUCT((OFFSET(INDIRECT(CELL("address",INDEX('Leave Tracker'!$A$8:$A$106,MATCH($A44,'Leave Tracker'!$A$8:$A$106,0)))),0,31*(VLOOKUP(O$1,Sprints[],5,FALSE))+DAY(VLOOKUP(O$1,Sprints[],2,FALSE)),1,VLOOKUP(O$1,Sprints[],4,FALSE))&lt;&gt;"")*(IF(OFFSET(INDIRECT(CELL("address",INDEX('Leave Tracker'!$A$8:$A$106,MATCH($A44,'Leave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4">
        <f t="array" aca="1" ref="P44" ca="1">Sheet3!$W$2*$F44*(NETWORKDAYS(VLOOKUP(P$1,Sprints[],2,FALSE), VLOOKUP(P$1,Sprints[],3,FALSE))-SUMPRODUCT((OFFSET(INDIRECT(CELL("address",INDEX('Leave Tracker'!$A$8:$A$106,MATCH($A44,'Leave Tracker'!$A$8:$A$106,0)))),0,31*(VLOOKUP(P$1,Sprints[],5,FALSE))+DAY(VLOOKUP(P$1,Sprints[],2,FALSE)),1,VLOOKUP(P$1,Sprints[],4,FALSE))&lt;&gt;"")*(IF(OFFSET(INDIRECT(CELL("address",INDEX('Leave Tracker'!$A$8:$A$106,MATCH($A44,'Leave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4">
        <f t="array" aca="1" ref="Q44" ca="1">Sheet3!$W$2*$F44*(NETWORKDAYS(VLOOKUP(Q$1,Sprints[],2,FALSE), VLOOKUP(Q$1,Sprints[],3,FALSE))-SUMPRODUCT((OFFSET(INDIRECT(CELL("address",INDEX('Leave Tracker'!$A$8:$A$106,MATCH($A44,'Leave Tracker'!$A$8:$A$106,0)))),0,31*(VLOOKUP(Q$1,Sprints[],5,FALSE))+DAY(VLOOKUP(Q$1,Sprints[],2,FALSE)),1,VLOOKUP(Q$1,Sprints[],4,FALSE))&lt;&gt;"")*(IF(OFFSET(INDIRECT(CELL("address",INDEX('Leave Tracker'!$A$8:$A$106,MATCH($A44,'Leave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4">
        <f t="array" aca="1" ref="R44" ca="1">Sheet3!$W$2*$F44*(NETWORKDAYS(VLOOKUP(R$1,Sprints[],2,FALSE), VLOOKUP(R$1,Sprints[],3,FALSE))-SUMPRODUCT((OFFSET(INDIRECT(CELL("address",INDEX('Leave Tracker'!$A$8:$A$106,MATCH($A44,'Leave Tracker'!$A$8:$A$106,0)))),0,31*(VLOOKUP(R$1,Sprints[],5,FALSE))+DAY(VLOOKUP(R$1,Sprints[],2,FALSE)),1,VLOOKUP(R$1,Sprints[],4,FALSE))&lt;&gt;"")*(IF(OFFSET(INDIRECT(CELL("address",INDEX('Leave Tracker'!$A$8:$A$106,MATCH($A44,'Leave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4" s="31">
        <f t="array" aca="1" ref="S44" ca="1">Sheet3!$W$2*$F44*(NETWORKDAYS(VLOOKUP(S$1,Sprints[],2,FALSE), VLOOKUP(S$1,Sprints[],3,FALSE))-SUMPRODUCT((OFFSET(INDIRECT(CELL("address",INDEX('Leave Tracker'!$A$8:$A$106,MATCH($A44,'Leave Tracker'!$A$8:$A$106,0)))),0,31*(VLOOKUP(S$1,Sprints[],5,FALSE))+DAY(VLOOKUP(S$1,Sprints[],2,FALSE)),1,VLOOKUP(S$1,Sprints[],4,FALSE))&lt;&gt;"")*(IF(OFFSET(INDIRECT(CELL("address",INDEX('Leave Tracker'!$A$8:$A$106,MATCH($A44,'Leave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4" s="31">
        <f t="array" aca="1" ref="T44" ca="1">Sheet3!$W$2*$F44*(NETWORKDAYS(VLOOKUP(T$1,Sprints[],2,FALSE), VLOOKUP(T$1,Sprints[],3,FALSE))-SUMPRODUCT((OFFSET(INDIRECT(CELL("address",INDEX('Leave Tracker'!$A$8:$A$106,MATCH($A44,'Leave Tracker'!$A$8:$A$106,0)))),0,31*(VLOOKUP(T$1,Sprints[],5,FALSE))+DAY(VLOOKUP(T$1,Sprints[],2,FALSE)),1,VLOOKUP(T$1,Sprints[],4,FALSE))&lt;&gt;"")*(IF(OFFSET(INDIRECT(CELL("address",INDEX('Leave Tracker'!$A$8:$A$106,MATCH($A44,'Leave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4" s="78">
        <f t="array" aca="1" ref="U44" ca="1">Sheet3!$W$2*$F44*(NETWORKDAYS(VLOOKUP(U$1,Sprints[],2,FALSE), VLOOKUP(U$1,Sprints[],3,FALSE))-SUMPRODUCT((OFFSET(INDIRECT(CELL("address",INDEX('Leave Tracker'!$A$8:$A$106,MATCH($A44,'Leave Tracker'!$A$8:$A$106,0)))),0,31*(VLOOKUP(U$1,Sprints[],5,FALSE))+DAY(VLOOKUP(U$1,Sprints[],2,FALSE)),1,VLOOKUP(U$1,Sprints[],4,FALSE))&lt;&gt;"")*(IF(OFFSET(INDIRECT(CELL("address",INDEX('Leave Tracker'!$A$8:$A$106,MATCH($A44,'Leave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10.08</v>
      </c>
    </row>
    <row r="45" spans="1:21" x14ac:dyDescent="0.45">
      <c r="A45" t="s">
        <v>98</v>
      </c>
      <c r="B45" s="45" t="s">
        <v>116</v>
      </c>
      <c r="C45" s="45" t="s">
        <v>118</v>
      </c>
      <c r="D45" s="45" t="s">
        <v>133</v>
      </c>
      <c r="E45" s="45" t="s">
        <v>127</v>
      </c>
      <c r="F45" s="47">
        <v>0.75</v>
      </c>
      <c r="G45" s="45">
        <f t="array" aca="1" ref="G45" ca="1">Sheet3!$W$2*$F45*(NETWORKDAYS(VLOOKUP(G$1,Sprints[],2,FALSE), VLOOKUP(G$1,Sprints[],3,FALSE))-SUMPRODUCT((OFFSET(INDIRECT(CELL("address",INDEX('Leave Tracker'!$A$8:$A$106,MATCH($A45,'Leave Tracker'!$A$8:$A$106,0)))),0,31*(VLOOKUP(G$1,Sprints[],5,FALSE))+DAY(VLOOKUP(G$1,Sprints[],2,FALSE)),1,VLOOKUP(G$1,Sprints[],4,FALSE))&lt;&gt;"")*(IF(OFFSET(INDIRECT(CELL("address",INDEX('Leave Tracker'!$A$8:$A$106,MATCH($A45,'Leave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5">
        <f t="array" aca="1" ref="H45" ca="1">Sheet3!$W$2*$F45*(NETWORKDAYS(VLOOKUP(H$1,Sprints[],2,FALSE), VLOOKUP(H$1,Sprints[],3,FALSE))-SUMPRODUCT((OFFSET(INDIRECT(CELL("address",INDEX('Leave Tracker'!$A$8:$A$106,MATCH($A45,'Leave Tracker'!$A$8:$A$106,0)))),0,31*(VLOOKUP(H$1,Sprints[],5,FALSE))+DAY(VLOOKUP(H$1,Sprints[],2,FALSE)),1,VLOOKUP(H$1,Sprints[],4,FALSE))&lt;&gt;"")*(IF(OFFSET(INDIRECT(CELL("address",INDEX('Leave Tracker'!$A$8:$A$106,MATCH($A45,'Leave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5">
        <f t="array" aca="1" ref="I45" ca="1">Sheet3!$W$2*$F45*(NETWORKDAYS(VLOOKUP(I$1,Sprints[],2,FALSE), VLOOKUP(I$1,Sprints[],3,FALSE))-SUMPRODUCT((OFFSET(INDIRECT(CELL("address",INDEX('Leave Tracker'!$A$8:$A$106,MATCH($A45,'Leave Tracker'!$A$8:$A$106,0)))),0,31*(VLOOKUP(I$1,Sprints[],5,FALSE))+DAY(VLOOKUP(I$1,Sprints[],2,FALSE)),1,VLOOKUP(I$1,Sprints[],4,FALSE))&lt;&gt;"")*(IF(OFFSET(INDIRECT(CELL("address",INDEX('Leave Tracker'!$A$8:$A$106,MATCH($A45,'Leave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5">
        <f t="array" aca="1" ref="J45" ca="1">Sheet3!$W$2*$F45*(NETWORKDAYS(VLOOKUP(J$1,Sprints[],2,FALSE), VLOOKUP(J$1,Sprints[],3,FALSE))-SUMPRODUCT((OFFSET(INDIRECT(CELL("address",INDEX('Leave Tracker'!$A$8:$A$106,MATCH($A45,'Leave Tracker'!$A$8:$A$106,0)))),0,31*(VLOOKUP(J$1,Sprints[],5,FALSE))+DAY(VLOOKUP(J$1,Sprints[],2,FALSE)),1,VLOOKUP(J$1,Sprints[],4,FALSE))&lt;&gt;"")*(IF(OFFSET(INDIRECT(CELL("address",INDEX('Leave Tracker'!$A$8:$A$106,MATCH($A45,'Leave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5">
        <f t="array" aca="1" ref="K45" ca="1">Sheet3!$W$2*$F45*(NETWORKDAYS(VLOOKUP(K$1,Sprints[],2,FALSE), VLOOKUP(K$1,Sprints[],3,FALSE))-SUMPRODUCT((OFFSET(INDIRECT(CELL("address",INDEX('Leave Tracker'!$A$8:$A$106,MATCH($A45,'Leave Tracker'!$A$8:$A$106,0)))),0,31*(VLOOKUP(K$1,Sprints[],5,FALSE))+DAY(VLOOKUP(K$1,Sprints[],2,FALSE)),1,VLOOKUP(K$1,Sprints[],4,FALSE))&lt;&gt;"")*(IF(OFFSET(INDIRECT(CELL("address",INDEX('Leave Tracker'!$A$8:$A$106,MATCH($A45,'Leave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5">
        <f t="array" aca="1" ref="L45" ca="1">Sheet3!$W$2*$F45*(NETWORKDAYS(VLOOKUP(L$1,Sprints[],2,FALSE), VLOOKUP(L$1,Sprints[],3,FALSE))-SUMPRODUCT((OFFSET(INDIRECT(CELL("address",INDEX('Leave Tracker'!$A$8:$A$106,MATCH($A45,'Leave Tracker'!$A$8:$A$106,0)))),0,31*(VLOOKUP(L$1,Sprints[],5,FALSE))+DAY(VLOOKUP(L$1,Sprints[],2,FALSE)),1,VLOOKUP(L$1,Sprints[],4,FALSE))&lt;&gt;"")*(IF(OFFSET(INDIRECT(CELL("address",INDEX('Leave Tracker'!$A$8:$A$106,MATCH($A45,'Leave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5" s="45">
        <f t="array" aca="1" ref="M45" ca="1">Sheet3!$W$2*$F45*(NETWORKDAYS(VLOOKUP(M$1,Sprints[],2,FALSE), VLOOKUP(M$1,Sprints[],3,FALSE))-SUMPRODUCT((OFFSET(INDIRECT(CELL("address",INDEX('Leave Tracker'!$A$8:$A$106,MATCH($A45,'Leave Tracker'!$A$8:$A$106,0)))),0,31*(VLOOKUP(M$1,Sprints[],5,FALSE))+DAY(VLOOKUP(M$1,Sprints[],2,FALSE)),1,VLOOKUP(M$1,Sprints[],4,FALSE))&lt;&gt;"")*(IF(OFFSET(INDIRECT(CELL("address",INDEX('Leave Tracker'!$A$8:$A$106,MATCH($A45,'Leave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5">
        <f t="array" aca="1" ref="N45" ca="1">Sheet3!$W$2*$F45*(NETWORKDAYS(VLOOKUP(N$1,Sprints[],2,FALSE), VLOOKUP(N$1,Sprints[],3,FALSE))-SUMPRODUCT((OFFSET(INDIRECT(CELL("address",INDEX('Leave Tracker'!$A$8:$A$106,MATCH($A45,'Leave Tracker'!$A$8:$A$106,0)))),0,31*(VLOOKUP(N$1,Sprints[],5,FALSE))+DAY(VLOOKUP(N$1,Sprints[],2,FALSE)),1,VLOOKUP(N$1,Sprints[],4,FALSE))&lt;&gt;"")*(IF(OFFSET(INDIRECT(CELL("address",INDEX('Leave Tracker'!$A$8:$A$106,MATCH($A45,'Leave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5">
        <f t="array" aca="1" ref="O45" ca="1">Sheet3!$W$2*$F45*(NETWORKDAYS(VLOOKUP(O$1,Sprints[],2,FALSE), VLOOKUP(O$1,Sprints[],3,FALSE))-SUMPRODUCT((OFFSET(INDIRECT(CELL("address",INDEX('Leave Tracker'!$A$8:$A$106,MATCH($A45,'Leave Tracker'!$A$8:$A$106,0)))),0,31*(VLOOKUP(O$1,Sprints[],5,FALSE))+DAY(VLOOKUP(O$1,Sprints[],2,FALSE)),1,VLOOKUP(O$1,Sprints[],4,FALSE))&lt;&gt;"")*(IF(OFFSET(INDIRECT(CELL("address",INDEX('Leave Tracker'!$A$8:$A$106,MATCH($A45,'Leave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5">
        <f t="array" aca="1" ref="P45" ca="1">Sheet3!$W$2*$F45*(NETWORKDAYS(VLOOKUP(P$1,Sprints[],2,FALSE), VLOOKUP(P$1,Sprints[],3,FALSE))-SUMPRODUCT((OFFSET(INDIRECT(CELL("address",INDEX('Leave Tracker'!$A$8:$A$106,MATCH($A45,'Leave Tracker'!$A$8:$A$106,0)))),0,31*(VLOOKUP(P$1,Sprints[],5,FALSE))+DAY(VLOOKUP(P$1,Sprints[],2,FALSE)),1,VLOOKUP(P$1,Sprints[],4,FALSE))&lt;&gt;"")*(IF(OFFSET(INDIRECT(CELL("address",INDEX('Leave Tracker'!$A$8:$A$106,MATCH($A45,'Leave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5">
        <f t="array" aca="1" ref="Q45" ca="1">Sheet3!$W$2*$F45*(NETWORKDAYS(VLOOKUP(Q$1,Sprints[],2,FALSE), VLOOKUP(Q$1,Sprints[],3,FALSE))-SUMPRODUCT((OFFSET(INDIRECT(CELL("address",INDEX('Leave Tracker'!$A$8:$A$106,MATCH($A45,'Leave Tracker'!$A$8:$A$106,0)))),0,31*(VLOOKUP(Q$1,Sprints[],5,FALSE))+DAY(VLOOKUP(Q$1,Sprints[],2,FALSE)),1,VLOOKUP(Q$1,Sprints[],4,FALSE))&lt;&gt;"")*(IF(OFFSET(INDIRECT(CELL("address",INDEX('Leave Tracker'!$A$8:$A$106,MATCH($A45,'Leave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5">
        <f t="array" aca="1" ref="R45" ca="1">Sheet3!$W$2*$F45*(NETWORKDAYS(VLOOKUP(R$1,Sprints[],2,FALSE), VLOOKUP(R$1,Sprints[],3,FALSE))-SUMPRODUCT((OFFSET(INDIRECT(CELL("address",INDEX('Leave Tracker'!$A$8:$A$106,MATCH($A45,'Leave Tracker'!$A$8:$A$106,0)))),0,31*(VLOOKUP(R$1,Sprints[],5,FALSE))+DAY(VLOOKUP(R$1,Sprints[],2,FALSE)),1,VLOOKUP(R$1,Sprints[],4,FALSE))&lt;&gt;"")*(IF(OFFSET(INDIRECT(CELL("address",INDEX('Leave Tracker'!$A$8:$A$106,MATCH($A45,'Leave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5" s="31">
        <f t="array" aca="1" ref="S45" ca="1">Sheet3!$W$2*$F45*(NETWORKDAYS(VLOOKUP(S$1,Sprints[],2,FALSE), VLOOKUP(S$1,Sprints[],3,FALSE))-SUMPRODUCT((OFFSET(INDIRECT(CELL("address",INDEX('Leave Tracker'!$A$8:$A$106,MATCH($A45,'Leave Tracker'!$A$8:$A$106,0)))),0,31*(VLOOKUP(S$1,Sprints[],5,FALSE))+DAY(VLOOKUP(S$1,Sprints[],2,FALSE)),1,VLOOKUP(S$1,Sprints[],4,FALSE))&lt;&gt;"")*(IF(OFFSET(INDIRECT(CELL("address",INDEX('Leave Tracker'!$A$8:$A$106,MATCH($A45,'Leave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5" s="31">
        <f t="array" aca="1" ref="T45" ca="1">Sheet3!$W$2*$F45*(NETWORKDAYS(VLOOKUP(T$1,Sprints[],2,FALSE), VLOOKUP(T$1,Sprints[],3,FALSE))-SUMPRODUCT((OFFSET(INDIRECT(CELL("address",INDEX('Leave Tracker'!$A$8:$A$106,MATCH($A45,'Leave Tracker'!$A$8:$A$106,0)))),0,31*(VLOOKUP(T$1,Sprints[],5,FALSE))+DAY(VLOOKUP(T$1,Sprints[],2,FALSE)),1,VLOOKUP(T$1,Sprints[],4,FALSE))&lt;&gt;"")*(IF(OFFSET(INDIRECT(CELL("address",INDEX('Leave Tracker'!$A$8:$A$106,MATCH($A45,'Leave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5" s="78">
        <f t="array" aca="1" ref="U45" ca="1">Sheet3!$W$2*$F45*(NETWORKDAYS(VLOOKUP(U$1,Sprints[],2,FALSE), VLOOKUP(U$1,Sprints[],3,FALSE))-SUMPRODUCT((OFFSET(INDIRECT(CELL("address",INDEX('Leave Tracker'!$A$8:$A$106,MATCH($A45,'Leave Tracker'!$A$8:$A$106,0)))),0,31*(VLOOKUP(U$1,Sprints[],5,FALSE))+DAY(VLOOKUP(U$1,Sprints[],2,FALSE)),1,VLOOKUP(U$1,Sprints[],4,FALSE))&lt;&gt;"")*(IF(OFFSET(INDIRECT(CELL("address",INDEX('Leave Tracker'!$A$8:$A$106,MATCH($A45,'Leave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46" spans="1:21" x14ac:dyDescent="0.45">
      <c r="A46" t="s">
        <v>99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Tracker'!$A$8:$A$106,MATCH($A46,'Leave Tracker'!$A$8:$A$106,0)))),0,31*(VLOOKUP(G$1,Sprints[],5,FALSE))+DAY(VLOOKUP(G$1,Sprints[],2,FALSE)),1,VLOOKUP(G$1,Sprints[],4,FALSE))&lt;&gt;"")*(IF(OFFSET(INDIRECT(CELL("address",INDEX('Leave Tracker'!$A$8:$A$106,MATCH($A46,'Leave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Tracker'!$A$8:$A$106,MATCH($A46,'Leave Tracker'!$A$8:$A$106,0)))),0,31*(VLOOKUP(H$1,Sprints[],5,FALSE))+DAY(VLOOKUP(H$1,Sprints[],2,FALSE)),1,VLOOKUP(H$1,Sprints[],4,FALSE))&lt;&gt;"")*(IF(OFFSET(INDIRECT(CELL("address",INDEX('Leave Tracker'!$A$8:$A$106,MATCH($A46,'Leave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Tracker'!$A$8:$A$106,MATCH($A46,'Leave Tracker'!$A$8:$A$106,0)))),0,31*(VLOOKUP(I$1,Sprints[],5,FALSE))+DAY(VLOOKUP(I$1,Sprints[],2,FALSE)),1,VLOOKUP(I$1,Sprints[],4,FALSE))&lt;&gt;"")*(IF(OFFSET(INDIRECT(CELL("address",INDEX('Leave Tracker'!$A$8:$A$106,MATCH($A46,'Leave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6">
        <f t="array" aca="1" ref="J46" ca="1">Sheet3!$W$2*$F46*(NETWORKDAYS(VLOOKUP(J$1,Sprints[],2,FALSE), VLOOKUP(J$1,Sprints[],3,FALSE))-SUMPRODUCT((OFFSET(INDIRECT(CELL("address",INDEX('Leave Tracker'!$A$8:$A$106,MATCH($A46,'Leave Tracker'!$A$8:$A$106,0)))),0,31*(VLOOKUP(J$1,Sprints[],5,FALSE))+DAY(VLOOKUP(J$1,Sprints[],2,FALSE)),1,VLOOKUP(J$1,Sprints[],4,FALSE))&lt;&gt;"")*(IF(OFFSET(INDIRECT(CELL("address",INDEX('Leave Tracker'!$A$8:$A$106,MATCH($A46,'Leave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6">
        <f t="array" aca="1" ref="K46" ca="1">Sheet3!$W$2*$F46*(NETWORKDAYS(VLOOKUP(K$1,Sprints[],2,FALSE), VLOOKUP(K$1,Sprints[],3,FALSE))-SUMPRODUCT((OFFSET(INDIRECT(CELL("address",INDEX('Leave Tracker'!$A$8:$A$106,MATCH($A46,'Leave Tracker'!$A$8:$A$106,0)))),0,31*(VLOOKUP(K$1,Sprints[],5,FALSE))+DAY(VLOOKUP(K$1,Sprints[],2,FALSE)),1,VLOOKUP(K$1,Sprints[],4,FALSE))&lt;&gt;"")*(IF(OFFSET(INDIRECT(CELL("address",INDEX('Leave Tracker'!$A$8:$A$106,MATCH($A46,'Leave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Tracker'!$A$8:$A$106,MATCH($A46,'Leave Tracker'!$A$8:$A$106,0)))),0,31*(VLOOKUP(L$1,Sprints[],5,FALSE))+DAY(VLOOKUP(L$1,Sprints[],2,FALSE)),1,VLOOKUP(L$1,Sprints[],4,FALSE))&lt;&gt;"")*(IF(OFFSET(INDIRECT(CELL("address",INDEX('Leave Tracker'!$A$8:$A$106,MATCH($A46,'Leave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Tracker'!$A$8:$A$106,MATCH($A46,'Leave Tracker'!$A$8:$A$106,0)))),0,31*(VLOOKUP(M$1,Sprints[],5,FALSE))+DAY(VLOOKUP(M$1,Sprints[],2,FALSE)),1,VLOOKUP(M$1,Sprints[],4,FALSE))&lt;&gt;"")*(IF(OFFSET(INDIRECT(CELL("address",INDEX('Leave Tracker'!$A$8:$A$106,MATCH($A46,'Leave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Tracker'!$A$8:$A$106,MATCH($A46,'Leave Tracker'!$A$8:$A$106,0)))),0,31*(VLOOKUP(N$1,Sprints[],5,FALSE))+DAY(VLOOKUP(N$1,Sprints[],2,FALSE)),1,VLOOKUP(N$1,Sprints[],4,FALSE))&lt;&gt;"")*(IF(OFFSET(INDIRECT(CELL("address",INDEX('Leave Tracker'!$A$8:$A$106,MATCH($A46,'Leave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Tracker'!$A$8:$A$106,MATCH($A46,'Leave Tracker'!$A$8:$A$106,0)))),0,31*(VLOOKUP(O$1,Sprints[],5,FALSE))+DAY(VLOOKUP(O$1,Sprints[],2,FALSE)),1,VLOOKUP(O$1,Sprints[],4,FALSE))&lt;&gt;"")*(IF(OFFSET(INDIRECT(CELL("address",INDEX('Leave Tracker'!$A$8:$A$106,MATCH($A46,'Leave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Tracker'!$A$8:$A$106,MATCH($A46,'Leave Tracker'!$A$8:$A$106,0)))),0,31*(VLOOKUP(P$1,Sprints[],5,FALSE))+DAY(VLOOKUP(P$1,Sprints[],2,FALSE)),1,VLOOKUP(P$1,Sprints[],4,FALSE))&lt;&gt;"")*(IF(OFFSET(INDIRECT(CELL("address",INDEX('Leave Tracker'!$A$8:$A$106,MATCH($A46,'Leave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6">
        <f t="array" aca="1" ref="Q46" ca="1">Sheet3!$W$2*$F46*(NETWORKDAYS(VLOOKUP(Q$1,Sprints[],2,FALSE), VLOOKUP(Q$1,Sprints[],3,FALSE))-SUMPRODUCT((OFFSET(INDIRECT(CELL("address",INDEX('Leave Tracker'!$A$8:$A$106,MATCH($A46,'Leave Tracker'!$A$8:$A$106,0)))),0,31*(VLOOKUP(Q$1,Sprints[],5,FALSE))+DAY(VLOOKUP(Q$1,Sprints[],2,FALSE)),1,VLOOKUP(Q$1,Sprints[],4,FALSE))&lt;&gt;"")*(IF(OFFSET(INDIRECT(CELL("address",INDEX('Leave Tracker'!$A$8:$A$106,MATCH($A46,'Leave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6">
        <f t="array" aca="1" ref="R46" ca="1">Sheet3!$W$2*$F46*(NETWORKDAYS(VLOOKUP(R$1,Sprints[],2,FALSE), VLOOKUP(R$1,Sprints[],3,FALSE))-SUMPRODUCT((OFFSET(INDIRECT(CELL("address",INDEX('Leave Tracker'!$A$8:$A$106,MATCH($A46,'Leave Tracker'!$A$8:$A$106,0)))),0,31*(VLOOKUP(R$1,Sprints[],5,FALSE))+DAY(VLOOKUP(R$1,Sprints[],2,FALSE)),1,VLOOKUP(R$1,Sprints[],4,FALSE))&lt;&gt;"")*(IF(OFFSET(INDIRECT(CELL("address",INDEX('Leave Tracker'!$A$8:$A$106,MATCH($A46,'Leave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Tracker'!$A$8:$A$106,MATCH($A46,'Leave Tracker'!$A$8:$A$106,0)))),0,31*(VLOOKUP(S$1,Sprints[],5,FALSE))+DAY(VLOOKUP(S$1,Sprints[],2,FALSE)),1,VLOOKUP(S$1,Sprints[],4,FALSE))&lt;&gt;"")*(IF(OFFSET(INDIRECT(CELL("address",INDEX('Leave Tracker'!$A$8:$A$106,MATCH($A46,'Leave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Tracker'!$A$8:$A$106,MATCH($A46,'Leave Tracker'!$A$8:$A$106,0)))),0,31*(VLOOKUP(T$1,Sprints[],5,FALSE))+DAY(VLOOKUP(T$1,Sprints[],2,FALSE)),1,VLOOKUP(T$1,Sprints[],4,FALSE))&lt;&gt;"")*(IF(OFFSET(INDIRECT(CELL("address",INDEX('Leave Tracker'!$A$8:$A$106,MATCH($A46,'Leave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Tracker'!$A$8:$A$106,MATCH($A46,'Leave Tracker'!$A$8:$A$106,0)))),0,31*(VLOOKUP(U$1,Sprints[],5,FALSE))+DAY(VLOOKUP(U$1,Sprints[],2,FALSE)),1,VLOOKUP(U$1,Sprints[],4,FALSE))&lt;&gt;"")*(IF(OFFSET(INDIRECT(CELL("address",INDEX('Leave Tracker'!$A$8:$A$106,MATCH($A46,'Leave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10.08</v>
      </c>
    </row>
    <row r="47" spans="1:21" x14ac:dyDescent="0.45">
      <c r="A47" t="s">
        <v>100</v>
      </c>
      <c r="B47" s="45" t="s">
        <v>116</v>
      </c>
      <c r="C47" s="45" t="s">
        <v>118</v>
      </c>
      <c r="D47" s="45" t="s">
        <v>129</v>
      </c>
      <c r="E47" s="45" t="s">
        <v>128</v>
      </c>
      <c r="F47" s="47">
        <v>0.6</v>
      </c>
      <c r="G47" s="45">
        <f t="array" aca="1" ref="G47" ca="1">Sheet3!$W$2*$F47*(NETWORKDAYS(VLOOKUP(G$1,Sprints[],2,FALSE), VLOOKUP(G$1,Sprints[],3,FALSE))-SUMPRODUCT((OFFSET(INDIRECT(CELL("address",INDEX('Leave Tracker'!$A$8:$A$106,MATCH($A47,'Leave Tracker'!$A$8:$A$106,0)))),0,31*(VLOOKUP(G$1,Sprints[],5,FALSE))+DAY(VLOOKUP(G$1,Sprints[],2,FALSE)),1,VLOOKUP(G$1,Sprints[],4,FALSE))&lt;&gt;"")*(IF(OFFSET(INDIRECT(CELL("address",INDEX('Leave Tracker'!$A$8:$A$106,MATCH($A47,'Leave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7">
        <f t="array" aca="1" ref="H47" ca="1">Sheet3!$W$2*$F47*(NETWORKDAYS(VLOOKUP(H$1,Sprints[],2,FALSE), VLOOKUP(H$1,Sprints[],3,FALSE))-SUMPRODUCT((OFFSET(INDIRECT(CELL("address",INDEX('Leave Tracker'!$A$8:$A$106,MATCH($A47,'Leave Tracker'!$A$8:$A$106,0)))),0,31*(VLOOKUP(H$1,Sprints[],5,FALSE))+DAY(VLOOKUP(H$1,Sprints[],2,FALSE)),1,VLOOKUP(H$1,Sprints[],4,FALSE))&lt;&gt;"")*(IF(OFFSET(INDIRECT(CELL("address",INDEX('Leave Tracker'!$A$8:$A$106,MATCH($A47,'Leave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7">
        <f t="array" aca="1" ref="I47" ca="1">Sheet3!$W$2*$F47*(NETWORKDAYS(VLOOKUP(I$1,Sprints[],2,FALSE), VLOOKUP(I$1,Sprints[],3,FALSE))-SUMPRODUCT((OFFSET(INDIRECT(CELL("address",INDEX('Leave Tracker'!$A$8:$A$106,MATCH($A47,'Leave Tracker'!$A$8:$A$106,0)))),0,31*(VLOOKUP(I$1,Sprints[],5,FALSE))+DAY(VLOOKUP(I$1,Sprints[],2,FALSE)),1,VLOOKUP(I$1,Sprints[],4,FALSE))&lt;&gt;"")*(IF(OFFSET(INDIRECT(CELL("address",INDEX('Leave Tracker'!$A$8:$A$106,MATCH($A47,'Leave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7">
        <f t="array" aca="1" ref="J47" ca="1">Sheet3!$W$2*$F47*(NETWORKDAYS(VLOOKUP(J$1,Sprints[],2,FALSE), VLOOKUP(J$1,Sprints[],3,FALSE))-SUMPRODUCT((OFFSET(INDIRECT(CELL("address",INDEX('Leave Tracker'!$A$8:$A$106,MATCH($A47,'Leave Tracker'!$A$8:$A$106,0)))),0,31*(VLOOKUP(J$1,Sprints[],5,FALSE))+DAY(VLOOKUP(J$1,Sprints[],2,FALSE)),1,VLOOKUP(J$1,Sprints[],4,FALSE))&lt;&gt;"")*(IF(OFFSET(INDIRECT(CELL("address",INDEX('Leave Tracker'!$A$8:$A$106,MATCH($A47,'Leave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7">
        <f t="array" aca="1" ref="K47" ca="1">Sheet3!$W$2*$F47*(NETWORKDAYS(VLOOKUP(K$1,Sprints[],2,FALSE), VLOOKUP(K$1,Sprints[],3,FALSE))-SUMPRODUCT((OFFSET(INDIRECT(CELL("address",INDEX('Leave Tracker'!$A$8:$A$106,MATCH($A47,'Leave Tracker'!$A$8:$A$106,0)))),0,31*(VLOOKUP(K$1,Sprints[],5,FALSE))+DAY(VLOOKUP(K$1,Sprints[],2,FALSE)),1,VLOOKUP(K$1,Sprints[],4,FALSE))&lt;&gt;"")*(IF(OFFSET(INDIRECT(CELL("address",INDEX('Leave Tracker'!$A$8:$A$106,MATCH($A47,'Leave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7">
        <f t="array" aca="1" ref="L47" ca="1">Sheet3!$W$2*$F47*(NETWORKDAYS(VLOOKUP(L$1,Sprints[],2,FALSE), VLOOKUP(L$1,Sprints[],3,FALSE))-SUMPRODUCT((OFFSET(INDIRECT(CELL("address",INDEX('Leave Tracker'!$A$8:$A$106,MATCH($A47,'Leave Tracker'!$A$8:$A$106,0)))),0,31*(VLOOKUP(L$1,Sprints[],5,FALSE))+DAY(VLOOKUP(L$1,Sprints[],2,FALSE)),1,VLOOKUP(L$1,Sprints[],4,FALSE))&lt;&gt;"")*(IF(OFFSET(INDIRECT(CELL("address",INDEX('Leave Tracker'!$A$8:$A$106,MATCH($A47,'Leave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7" s="45">
        <f t="array" aca="1" ref="M47" ca="1">Sheet3!$W$2*$F47*(NETWORKDAYS(VLOOKUP(M$1,Sprints[],2,FALSE), VLOOKUP(M$1,Sprints[],3,FALSE))-SUMPRODUCT((OFFSET(INDIRECT(CELL("address",INDEX('Leave Tracker'!$A$8:$A$106,MATCH($A47,'Leave Tracker'!$A$8:$A$106,0)))),0,31*(VLOOKUP(M$1,Sprints[],5,FALSE))+DAY(VLOOKUP(M$1,Sprints[],2,FALSE)),1,VLOOKUP(M$1,Sprints[],4,FALSE))&lt;&gt;"")*(IF(OFFSET(INDIRECT(CELL("address",INDEX('Leave Tracker'!$A$8:$A$106,MATCH($A47,'Leave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7">
        <f t="array" aca="1" ref="N47" ca="1">Sheet3!$W$2*$F47*(NETWORKDAYS(VLOOKUP(N$1,Sprints[],2,FALSE), VLOOKUP(N$1,Sprints[],3,FALSE))-SUMPRODUCT((OFFSET(INDIRECT(CELL("address",INDEX('Leave Tracker'!$A$8:$A$106,MATCH($A47,'Leave Tracker'!$A$8:$A$106,0)))),0,31*(VLOOKUP(N$1,Sprints[],5,FALSE))+DAY(VLOOKUP(N$1,Sprints[],2,FALSE)),1,VLOOKUP(N$1,Sprints[],4,FALSE))&lt;&gt;"")*(IF(OFFSET(INDIRECT(CELL("address",INDEX('Leave Tracker'!$A$8:$A$106,MATCH($A47,'Leave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7">
        <f t="array" aca="1" ref="O47" ca="1">Sheet3!$W$2*$F47*(NETWORKDAYS(VLOOKUP(O$1,Sprints[],2,FALSE), VLOOKUP(O$1,Sprints[],3,FALSE))-SUMPRODUCT((OFFSET(INDIRECT(CELL("address",INDEX('Leave Tracker'!$A$8:$A$106,MATCH($A47,'Leave Tracker'!$A$8:$A$106,0)))),0,31*(VLOOKUP(O$1,Sprints[],5,FALSE))+DAY(VLOOKUP(O$1,Sprints[],2,FALSE)),1,VLOOKUP(O$1,Sprints[],4,FALSE))&lt;&gt;"")*(IF(OFFSET(INDIRECT(CELL("address",INDEX('Leave Tracker'!$A$8:$A$106,MATCH($A47,'Leave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7">
        <f t="array" aca="1" ref="P47" ca="1">Sheet3!$W$2*$F47*(NETWORKDAYS(VLOOKUP(P$1,Sprints[],2,FALSE), VLOOKUP(P$1,Sprints[],3,FALSE))-SUMPRODUCT((OFFSET(INDIRECT(CELL("address",INDEX('Leave Tracker'!$A$8:$A$106,MATCH($A47,'Leave Tracker'!$A$8:$A$106,0)))),0,31*(VLOOKUP(P$1,Sprints[],5,FALSE))+DAY(VLOOKUP(P$1,Sprints[],2,FALSE)),1,VLOOKUP(P$1,Sprints[],4,FALSE))&lt;&gt;"")*(IF(OFFSET(INDIRECT(CELL("address",INDEX('Leave Tracker'!$A$8:$A$106,MATCH($A47,'Leave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7">
        <f t="array" aca="1" ref="Q47" ca="1">Sheet3!$W$2*$F47*(NETWORKDAYS(VLOOKUP(Q$1,Sprints[],2,FALSE), VLOOKUP(Q$1,Sprints[],3,FALSE))-SUMPRODUCT((OFFSET(INDIRECT(CELL("address",INDEX('Leave Tracker'!$A$8:$A$106,MATCH($A47,'Leave Tracker'!$A$8:$A$106,0)))),0,31*(VLOOKUP(Q$1,Sprints[],5,FALSE))+DAY(VLOOKUP(Q$1,Sprints[],2,FALSE)),1,VLOOKUP(Q$1,Sprints[],4,FALSE))&lt;&gt;"")*(IF(OFFSET(INDIRECT(CELL("address",INDEX('Leave Tracker'!$A$8:$A$106,MATCH($A47,'Leave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7">
        <f t="array" aca="1" ref="R47" ca="1">Sheet3!$W$2*$F47*(NETWORKDAYS(VLOOKUP(R$1,Sprints[],2,FALSE), VLOOKUP(R$1,Sprints[],3,FALSE))-SUMPRODUCT((OFFSET(INDIRECT(CELL("address",INDEX('Leave Tracker'!$A$8:$A$106,MATCH($A47,'Leave Tracker'!$A$8:$A$106,0)))),0,31*(VLOOKUP(R$1,Sprints[],5,FALSE))+DAY(VLOOKUP(R$1,Sprints[],2,FALSE)),1,VLOOKUP(R$1,Sprints[],4,FALSE))&lt;&gt;"")*(IF(OFFSET(INDIRECT(CELL("address",INDEX('Leave Tracker'!$A$8:$A$106,MATCH($A47,'Leave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7" s="31">
        <f t="array" aca="1" ref="S47" ca="1">Sheet3!$W$2*$F47*(NETWORKDAYS(VLOOKUP(S$1,Sprints[],2,FALSE), VLOOKUP(S$1,Sprints[],3,FALSE))-SUMPRODUCT((OFFSET(INDIRECT(CELL("address",INDEX('Leave Tracker'!$A$8:$A$106,MATCH($A47,'Leave Tracker'!$A$8:$A$106,0)))),0,31*(VLOOKUP(S$1,Sprints[],5,FALSE))+DAY(VLOOKUP(S$1,Sprints[],2,FALSE)),1,VLOOKUP(S$1,Sprints[],4,FALSE))&lt;&gt;"")*(IF(OFFSET(INDIRECT(CELL("address",INDEX('Leave Tracker'!$A$8:$A$106,MATCH($A47,'Leave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7" s="31">
        <f t="array" aca="1" ref="T47" ca="1">Sheet3!$W$2*$F47*(NETWORKDAYS(VLOOKUP(T$1,Sprints[],2,FALSE), VLOOKUP(T$1,Sprints[],3,FALSE))-SUMPRODUCT((OFFSET(INDIRECT(CELL("address",INDEX('Leave Tracker'!$A$8:$A$106,MATCH($A47,'Leave Tracker'!$A$8:$A$106,0)))),0,31*(VLOOKUP(T$1,Sprints[],5,FALSE))+DAY(VLOOKUP(T$1,Sprints[],2,FALSE)),1,VLOOKUP(T$1,Sprints[],4,FALSE))&lt;&gt;"")*(IF(OFFSET(INDIRECT(CELL("address",INDEX('Leave Tracker'!$A$8:$A$106,MATCH($A47,'Leave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7" s="78">
        <f t="array" aca="1" ref="U47" ca="1">Sheet3!$W$2*$F47*(NETWORKDAYS(VLOOKUP(U$1,Sprints[],2,FALSE), VLOOKUP(U$1,Sprints[],3,FALSE))-SUMPRODUCT((OFFSET(INDIRECT(CELL("address",INDEX('Leave Tracker'!$A$8:$A$106,MATCH($A47,'Leave Tracker'!$A$8:$A$106,0)))),0,31*(VLOOKUP(U$1,Sprints[],5,FALSE))+DAY(VLOOKUP(U$1,Sprints[],2,FALSE)),1,VLOOKUP(U$1,Sprints[],4,FALSE))&lt;&gt;"")*(IF(OFFSET(INDIRECT(CELL("address",INDEX('Leave Tracker'!$A$8:$A$106,MATCH($A47,'Leave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10.08</v>
      </c>
    </row>
    <row r="48" spans="1:21" x14ac:dyDescent="0.45">
      <c r="A48" s="66" t="s">
        <v>101</v>
      </c>
      <c r="B48" s="66" t="s">
        <v>116</v>
      </c>
      <c r="C48" s="66" t="s">
        <v>118</v>
      </c>
      <c r="D48" s="66" t="s">
        <v>132</v>
      </c>
      <c r="E48" s="66" t="s">
        <v>124</v>
      </c>
      <c r="F48" s="67">
        <v>0.75</v>
      </c>
      <c r="G48" s="66">
        <f t="array" aca="1" ref="G48" ca="1">Sheet3!$W$2*$F48*(NETWORKDAYS(VLOOKUP(G$1,Sprints[],2,FALSE), VLOOKUP(G$1,Sprints[],3,FALSE))-SUMPRODUCT((OFFSET(INDIRECT(CELL("address",INDEX('Leave Tracker'!$A$8:$A$106,MATCH($A48,'Leave Tracker'!$A$8:$A$106,0)))),0,31*(VLOOKUP(G$1,Sprints[],5,FALSE))+DAY(VLOOKUP(G$1,Sprints[],2,FALSE)),1,VLOOKUP(G$1,Sprints[],4,FALSE))&lt;&gt;"")*(IF(OFFSET(INDIRECT(CELL("address",INDEX('Leave Tracker'!$A$8:$A$106,MATCH($A48,'Leave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 s="66">
        <f t="array" aca="1" ref="H48" ca="1">Sheet3!$W$2*$F48*(NETWORKDAYS(VLOOKUP(H$1,Sprints[],2,FALSE), VLOOKUP(H$1,Sprints[],3,FALSE))-SUMPRODUCT((OFFSET(INDIRECT(CELL("address",INDEX('Leave Tracker'!$A$8:$A$106,MATCH($A48,'Leave Tracker'!$A$8:$A$106,0)))),0,31*(VLOOKUP(H$1,Sprints[],5,FALSE))+DAY(VLOOKUP(H$1,Sprints[],2,FALSE)),1,VLOOKUP(H$1,Sprints[],4,FALSE))&lt;&gt;"")*(IF(OFFSET(INDIRECT(CELL("address",INDEX('Leave Tracker'!$A$8:$A$106,MATCH($A48,'Leave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 s="66">
        <f t="array" aca="1" ref="I48" ca="1">Sheet3!$W$2*$F48*(NETWORKDAYS(VLOOKUP(I$1,Sprints[],2,FALSE), VLOOKUP(I$1,Sprints[],3,FALSE))-SUMPRODUCT((OFFSET(INDIRECT(CELL("address",INDEX('Leave Tracker'!$A$8:$A$106,MATCH($A48,'Leave Tracker'!$A$8:$A$106,0)))),0,31*(VLOOKUP(I$1,Sprints[],5,FALSE))+DAY(VLOOKUP(I$1,Sprints[],2,FALSE)),1,VLOOKUP(I$1,Sprints[],4,FALSE))&lt;&gt;"")*(IF(OFFSET(INDIRECT(CELL("address",INDEX('Leave Tracker'!$A$8:$A$106,MATCH($A48,'Leave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 s="66">
        <f t="array" aca="1" ref="J48" ca="1">Sheet3!$W$2*$F48*(NETWORKDAYS(VLOOKUP(J$1,Sprints[],2,FALSE), VLOOKUP(J$1,Sprints[],3,FALSE))-SUMPRODUCT((OFFSET(INDIRECT(CELL("address",INDEX('Leave Tracker'!$A$8:$A$106,MATCH($A48,'Leave Tracker'!$A$8:$A$106,0)))),0,31*(VLOOKUP(J$1,Sprints[],5,FALSE))+DAY(VLOOKUP(J$1,Sprints[],2,FALSE)),1,VLOOKUP(J$1,Sprints[],4,FALSE))&lt;&gt;"")*(IF(OFFSET(INDIRECT(CELL("address",INDEX('Leave Tracker'!$A$8:$A$106,MATCH($A48,'Leave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 s="66">
        <f t="array" aca="1" ref="K48" ca="1">Sheet3!$W$2*$F48*(NETWORKDAYS(VLOOKUP(K$1,Sprints[],2,FALSE), VLOOKUP(K$1,Sprints[],3,FALSE))-SUMPRODUCT((OFFSET(INDIRECT(CELL("address",INDEX('Leave Tracker'!$A$8:$A$106,MATCH($A48,'Leave Tracker'!$A$8:$A$106,0)))),0,31*(VLOOKUP(K$1,Sprints[],5,FALSE))+DAY(VLOOKUP(K$1,Sprints[],2,FALSE)),1,VLOOKUP(K$1,Sprints[],4,FALSE))&lt;&gt;"")*(IF(OFFSET(INDIRECT(CELL("address",INDEX('Leave Tracker'!$A$8:$A$106,MATCH($A48,'Leave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 s="66">
        <f t="array" aca="1" ref="L48" ca="1">Sheet3!$W$2*$F48*(NETWORKDAYS(VLOOKUP(L$1,Sprints[],2,FALSE), VLOOKUP(L$1,Sprints[],3,FALSE))-SUMPRODUCT((OFFSET(INDIRECT(CELL("address",INDEX('Leave Tracker'!$A$8:$A$106,MATCH($A48,'Leave Tracker'!$A$8:$A$106,0)))),0,31*(VLOOKUP(L$1,Sprints[],5,FALSE))+DAY(VLOOKUP(L$1,Sprints[],2,FALSE)),1,VLOOKUP(L$1,Sprints[],4,FALSE))&lt;&gt;"")*(IF(OFFSET(INDIRECT(CELL("address",INDEX('Leave Tracker'!$A$8:$A$106,MATCH($A48,'Leave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8" s="66">
        <f t="array" aca="1" ref="M48" ca="1">Sheet3!$W$2*$F48*(NETWORKDAYS(VLOOKUP(M$1,Sprints[],2,FALSE), VLOOKUP(M$1,Sprints[],3,FALSE))-SUMPRODUCT((OFFSET(INDIRECT(CELL("address",INDEX('Leave Tracker'!$A$8:$A$106,MATCH($A48,'Leave Tracker'!$A$8:$A$106,0)))),0,31*(VLOOKUP(M$1,Sprints[],5,FALSE))+DAY(VLOOKUP(M$1,Sprints[],2,FALSE)),1,VLOOKUP(M$1,Sprints[],4,FALSE))&lt;&gt;"")*(IF(OFFSET(INDIRECT(CELL("address",INDEX('Leave Tracker'!$A$8:$A$106,MATCH($A48,'Leave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8" s="66">
        <f t="array" aca="1" ref="N48" ca="1">Sheet3!$W$2*$F48*(NETWORKDAYS(VLOOKUP(N$1,Sprints[],2,FALSE), VLOOKUP(N$1,Sprints[],3,FALSE))-SUMPRODUCT((OFFSET(INDIRECT(CELL("address",INDEX('Leave Tracker'!$A$8:$A$106,MATCH($A48,'Leave Tracker'!$A$8:$A$106,0)))),0,31*(VLOOKUP(N$1,Sprints[],5,FALSE))+DAY(VLOOKUP(N$1,Sprints[],2,FALSE)),1,VLOOKUP(N$1,Sprints[],4,FALSE))&lt;&gt;"")*(IF(OFFSET(INDIRECT(CELL("address",INDEX('Leave Tracker'!$A$8:$A$106,MATCH($A48,'Leave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8" s="66">
        <f t="array" aca="1" ref="O48" ca="1">Sheet3!$W$2*$F48*(NETWORKDAYS(VLOOKUP(O$1,Sprints[],2,FALSE), VLOOKUP(O$1,Sprints[],3,FALSE))-SUMPRODUCT((OFFSET(INDIRECT(CELL("address",INDEX('Leave Tracker'!$A$8:$A$106,MATCH($A48,'Leave Tracker'!$A$8:$A$106,0)))),0,31*(VLOOKUP(O$1,Sprints[],5,FALSE))+DAY(VLOOKUP(O$1,Sprints[],2,FALSE)),1,VLOOKUP(O$1,Sprints[],4,FALSE))&lt;&gt;"")*(IF(OFFSET(INDIRECT(CELL("address",INDEX('Leave Tracker'!$A$8:$A$106,MATCH($A48,'Leave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8" s="66">
        <f t="array" aca="1" ref="P48" ca="1">Sheet3!$W$2*$F48*(NETWORKDAYS(VLOOKUP(P$1,Sprints[],2,FALSE), VLOOKUP(P$1,Sprints[],3,FALSE))-SUMPRODUCT((OFFSET(INDIRECT(CELL("address",INDEX('Leave Tracker'!$A$8:$A$106,MATCH($A48,'Leave Tracker'!$A$8:$A$106,0)))),0,31*(VLOOKUP(P$1,Sprints[],5,FALSE))+DAY(VLOOKUP(P$1,Sprints[],2,FALSE)),1,VLOOKUP(P$1,Sprints[],4,FALSE))&lt;&gt;"")*(IF(OFFSET(INDIRECT(CELL("address",INDEX('Leave Tracker'!$A$8:$A$106,MATCH($A48,'Leave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8" s="66">
        <f t="array" aca="1" ref="Q48" ca="1">Sheet3!$W$2*$F48*(NETWORKDAYS(VLOOKUP(Q$1,Sprints[],2,FALSE), VLOOKUP(Q$1,Sprints[],3,FALSE))-SUMPRODUCT((OFFSET(INDIRECT(CELL("address",INDEX('Leave Tracker'!$A$8:$A$106,MATCH($A48,'Leave Tracker'!$A$8:$A$106,0)))),0,31*(VLOOKUP(Q$1,Sprints[],5,FALSE))+DAY(VLOOKUP(Q$1,Sprints[],2,FALSE)),1,VLOOKUP(Q$1,Sprints[],4,FALSE))&lt;&gt;"")*(IF(OFFSET(INDIRECT(CELL("address",INDEX('Leave Tracker'!$A$8:$A$106,MATCH($A48,'Leave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8" s="66">
        <f t="array" aca="1" ref="R48" ca="1">Sheet3!$W$2*$F48*(NETWORKDAYS(VLOOKUP(R$1,Sprints[],2,FALSE), VLOOKUP(R$1,Sprints[],3,FALSE))-SUMPRODUCT((OFFSET(INDIRECT(CELL("address",INDEX('Leave Tracker'!$A$8:$A$106,MATCH($A48,'Leave Tracker'!$A$8:$A$106,0)))),0,31*(VLOOKUP(R$1,Sprints[],5,FALSE))+DAY(VLOOKUP(R$1,Sprints[],2,FALSE)),1,VLOOKUP(R$1,Sprints[],4,FALSE))&lt;&gt;"")*(IF(OFFSET(INDIRECT(CELL("address",INDEX('Leave Tracker'!$A$8:$A$106,MATCH($A48,'Leave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8" s="68">
        <f t="array" aca="1" ref="S48" ca="1">Sheet3!$W$2*$F48*(NETWORKDAYS(VLOOKUP(S$1,Sprints[],2,FALSE), VLOOKUP(S$1,Sprints[],3,FALSE))-SUMPRODUCT((OFFSET(INDIRECT(CELL("address",INDEX('Leave Tracker'!$A$8:$A$106,MATCH($A48,'Leave Tracker'!$A$8:$A$106,0)))),0,31*(VLOOKUP(S$1,Sprints[],5,FALSE))+DAY(VLOOKUP(S$1,Sprints[],2,FALSE)),1,VLOOKUP(S$1,Sprints[],4,FALSE))&lt;&gt;"")*(IF(OFFSET(INDIRECT(CELL("address",INDEX('Leave Tracker'!$A$8:$A$106,MATCH($A48,'Leave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8" s="68">
        <f t="array" aca="1" ref="T48" ca="1">Sheet3!$W$2*$F48*(NETWORKDAYS(VLOOKUP(T$1,Sprints[],2,FALSE), VLOOKUP(T$1,Sprints[],3,FALSE))-SUMPRODUCT((OFFSET(INDIRECT(CELL("address",INDEX('Leave Tracker'!$A$8:$A$106,MATCH($A48,'Leave Tracker'!$A$8:$A$106,0)))),0,31*(VLOOKUP(T$1,Sprints[],5,FALSE))+DAY(VLOOKUP(T$1,Sprints[],2,FALSE)),1,VLOOKUP(T$1,Sprints[],4,FALSE))&lt;&gt;"")*(IF(OFFSET(INDIRECT(CELL("address",INDEX('Leave Tracker'!$A$8:$A$106,MATCH($A48,'Leave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8" s="79">
        <f t="array" aca="1" ref="U48" ca="1">Sheet3!$W$2*$F48*(NETWORKDAYS(VLOOKUP(U$1,Sprints[],2,FALSE), VLOOKUP(U$1,Sprints[],3,FALSE))-SUMPRODUCT((OFFSET(INDIRECT(CELL("address",INDEX('Leave Tracker'!$A$8:$A$106,MATCH($A48,'Leave Tracker'!$A$8:$A$106,0)))),0,31*(VLOOKUP(U$1,Sprints[],5,FALSE))+DAY(VLOOKUP(U$1,Sprints[],2,FALSE)),1,VLOOKUP(U$1,Sprints[],4,FALSE))&lt;&gt;"")*(IF(OFFSET(INDIRECT(CELL("address",INDEX('Leave Tracker'!$A$8:$A$106,MATCH($A48,'Leave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9" spans="1:21" x14ac:dyDescent="0.45">
      <c r="A49" t="s">
        <v>102</v>
      </c>
      <c r="B49" s="45" t="s">
        <v>116</v>
      </c>
      <c r="C49" s="45" t="s">
        <v>118</v>
      </c>
      <c r="D49" s="45" t="s">
        <v>132</v>
      </c>
      <c r="E49" s="45" t="s">
        <v>125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Tracker'!$A$8:$A$106,MATCH($A49,'Leave Tracker'!$A$8:$A$106,0)))),0,31*(VLOOKUP(G$1,Sprints[],5,FALSE))+DAY(VLOOKUP(G$1,Sprints[],2,FALSE)),1,VLOOKUP(G$1,Sprints[],4,FALSE))&lt;&gt;"")*(IF(OFFSET(INDIRECT(CELL("address",INDEX('Leave Tracker'!$A$8:$A$106,MATCH($A49,'Leave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Tracker'!$A$8:$A$106,MATCH($A49,'Leave Tracker'!$A$8:$A$106,0)))),0,31*(VLOOKUP(H$1,Sprints[],5,FALSE))+DAY(VLOOKUP(H$1,Sprints[],2,FALSE)),1,VLOOKUP(H$1,Sprints[],4,FALSE))&lt;&gt;"")*(IF(OFFSET(INDIRECT(CELL("address",INDEX('Leave Tracker'!$A$8:$A$106,MATCH($A49,'Leave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Tracker'!$A$8:$A$106,MATCH($A49,'Leave Tracker'!$A$8:$A$106,0)))),0,31*(VLOOKUP(I$1,Sprints[],5,FALSE))+DAY(VLOOKUP(I$1,Sprints[],2,FALSE)),1,VLOOKUP(I$1,Sprints[],4,FALSE))&lt;&gt;"")*(IF(OFFSET(INDIRECT(CELL("address",INDEX('Leave Tracker'!$A$8:$A$106,MATCH($A49,'Leave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Tracker'!$A$8:$A$106,MATCH($A49,'Leave Tracker'!$A$8:$A$106,0)))),0,31*(VLOOKUP(J$1,Sprints[],5,FALSE))+DAY(VLOOKUP(J$1,Sprints[],2,FALSE)),1,VLOOKUP(J$1,Sprints[],4,FALSE))&lt;&gt;"")*(IF(OFFSET(INDIRECT(CELL("address",INDEX('Leave Tracker'!$A$8:$A$106,MATCH($A49,'Leave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9">
        <f t="array" aca="1" ref="K49" ca="1">Sheet3!$W$2*$F49*(NETWORKDAYS(VLOOKUP(K$1,Sprints[],2,FALSE), VLOOKUP(K$1,Sprints[],3,FALSE))-SUMPRODUCT((OFFSET(INDIRECT(CELL("address",INDEX('Leave Tracker'!$A$8:$A$106,MATCH($A49,'Leave Tracker'!$A$8:$A$106,0)))),0,31*(VLOOKUP(K$1,Sprints[],5,FALSE))+DAY(VLOOKUP(K$1,Sprints[],2,FALSE)),1,VLOOKUP(K$1,Sprints[],4,FALSE))&lt;&gt;"")*(IF(OFFSET(INDIRECT(CELL("address",INDEX('Leave Tracker'!$A$8:$A$106,MATCH($A49,'Leave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9">
        <f t="array" aca="1" ref="L49" ca="1">Sheet3!$W$2*$F49*(NETWORKDAYS(VLOOKUP(L$1,Sprints[],2,FALSE), VLOOKUP(L$1,Sprints[],3,FALSE))-SUMPRODUCT((OFFSET(INDIRECT(CELL("address",INDEX('Leave Tracker'!$A$8:$A$106,MATCH($A49,'Leave Tracker'!$A$8:$A$106,0)))),0,31*(VLOOKUP(L$1,Sprints[],5,FALSE))+DAY(VLOOKUP(L$1,Sprints[],2,FALSE)),1,VLOOKUP(L$1,Sprints[],4,FALSE))&lt;&gt;"")*(IF(OFFSET(INDIRECT(CELL("address",INDEX('Leave Tracker'!$A$8:$A$106,MATCH($A49,'Leave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Tracker'!$A$8:$A$106,MATCH($A49,'Leave Tracker'!$A$8:$A$106,0)))),0,31*(VLOOKUP(M$1,Sprints[],5,FALSE))+DAY(VLOOKUP(M$1,Sprints[],2,FALSE)),1,VLOOKUP(M$1,Sprints[],4,FALSE))&lt;&gt;"")*(IF(OFFSET(INDIRECT(CELL("address",INDEX('Leave Tracker'!$A$8:$A$106,MATCH($A49,'Leave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Tracker'!$A$8:$A$106,MATCH($A49,'Leave Tracker'!$A$8:$A$106,0)))),0,31*(VLOOKUP(N$1,Sprints[],5,FALSE))+DAY(VLOOKUP(N$1,Sprints[],2,FALSE)),1,VLOOKUP(N$1,Sprints[],4,FALSE))&lt;&gt;"")*(IF(OFFSET(INDIRECT(CELL("address",INDEX('Leave Tracker'!$A$8:$A$106,MATCH($A49,'Leave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Tracker'!$A$8:$A$106,MATCH($A49,'Leave Tracker'!$A$8:$A$106,0)))),0,31*(VLOOKUP(O$1,Sprints[],5,FALSE))+DAY(VLOOKUP(O$1,Sprints[],2,FALSE)),1,VLOOKUP(O$1,Sprints[],4,FALSE))&lt;&gt;"")*(IF(OFFSET(INDIRECT(CELL("address",INDEX('Leave Tracker'!$A$8:$A$106,MATCH($A49,'Leave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9">
        <f t="array" aca="1" ref="P49" ca="1">Sheet3!$W$2*$F49*(NETWORKDAYS(VLOOKUP(P$1,Sprints[],2,FALSE), VLOOKUP(P$1,Sprints[],3,FALSE))-SUMPRODUCT((OFFSET(INDIRECT(CELL("address",INDEX('Leave Tracker'!$A$8:$A$106,MATCH($A49,'Leave Tracker'!$A$8:$A$106,0)))),0,31*(VLOOKUP(P$1,Sprints[],5,FALSE))+DAY(VLOOKUP(P$1,Sprints[],2,FALSE)),1,VLOOKUP(P$1,Sprints[],4,FALSE))&lt;&gt;"")*(IF(OFFSET(INDIRECT(CELL("address",INDEX('Leave Tracker'!$A$8:$A$106,MATCH($A49,'Leave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9">
        <f t="array" aca="1" ref="Q49" ca="1">Sheet3!$W$2*$F49*(NETWORKDAYS(VLOOKUP(Q$1,Sprints[],2,FALSE), VLOOKUP(Q$1,Sprints[],3,FALSE))-SUMPRODUCT((OFFSET(INDIRECT(CELL("address",INDEX('Leave Tracker'!$A$8:$A$106,MATCH($A49,'Leave Tracker'!$A$8:$A$106,0)))),0,31*(VLOOKUP(Q$1,Sprints[],5,FALSE))+DAY(VLOOKUP(Q$1,Sprints[],2,FALSE)),1,VLOOKUP(Q$1,Sprints[],4,FALSE))&lt;&gt;"")*(IF(OFFSET(INDIRECT(CELL("address",INDEX('Leave Tracker'!$A$8:$A$106,MATCH($A49,'Leave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Tracker'!$A$8:$A$106,MATCH($A49,'Leave Tracker'!$A$8:$A$106,0)))),0,31*(VLOOKUP(R$1,Sprints[],5,FALSE))+DAY(VLOOKUP(R$1,Sprints[],2,FALSE)),1,VLOOKUP(R$1,Sprints[],4,FALSE))&lt;&gt;"")*(IF(OFFSET(INDIRECT(CELL("address",INDEX('Leave Tracker'!$A$8:$A$106,MATCH($A49,'Leave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Tracker'!$A$8:$A$106,MATCH($A49,'Leave Tracker'!$A$8:$A$106,0)))),0,31*(VLOOKUP(S$1,Sprints[],5,FALSE))+DAY(VLOOKUP(S$1,Sprints[],2,FALSE)),1,VLOOKUP(S$1,Sprints[],4,FALSE))&lt;&gt;"")*(IF(OFFSET(INDIRECT(CELL("address",INDEX('Leave Tracker'!$A$8:$A$106,MATCH($A49,'Leave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Tracker'!$A$8:$A$106,MATCH($A49,'Leave Tracker'!$A$8:$A$106,0)))),0,31*(VLOOKUP(T$1,Sprints[],5,FALSE))+DAY(VLOOKUP(T$1,Sprints[],2,FALSE)),1,VLOOKUP(T$1,Sprints[],4,FALSE))&lt;&gt;"")*(IF(OFFSET(INDIRECT(CELL("address",INDEX('Leave Tracker'!$A$8:$A$106,MATCH($A49,'Leave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Tracker'!$A$8:$A$106,MATCH($A49,'Leave Tracker'!$A$8:$A$106,0)))),0,31*(VLOOKUP(U$1,Sprints[],5,FALSE))+DAY(VLOOKUP(U$1,Sprints[],2,FALSE)),1,VLOOKUP(U$1,Sprints[],4,FALSE))&lt;&gt;"")*(IF(OFFSET(INDIRECT(CELL("address",INDEX('Leave Tracker'!$A$8:$A$106,MATCH($A49,'Leave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0" spans="1:21" x14ac:dyDescent="0.45">
      <c r="A50" t="s">
        <v>103</v>
      </c>
      <c r="B50" s="45" t="s">
        <v>116</v>
      </c>
      <c r="C50" s="45" t="s">
        <v>118</v>
      </c>
      <c r="D50" s="45" t="s">
        <v>132</v>
      </c>
      <c r="E50" s="45" t="s">
        <v>124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Tracker'!$A$8:$A$106,MATCH($A50,'Leave Tracker'!$A$8:$A$106,0)))),0,31*(VLOOKUP(G$1,Sprints[],5,FALSE))+DAY(VLOOKUP(G$1,Sprints[],2,FALSE)),1,VLOOKUP(G$1,Sprints[],4,FALSE))&lt;&gt;"")*(IF(OFFSET(INDIRECT(CELL("address",INDEX('Leave Tracker'!$A$8:$A$106,MATCH($A50,'Leave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Tracker'!$A$8:$A$106,MATCH($A50,'Leave Tracker'!$A$8:$A$106,0)))),0,31*(VLOOKUP(H$1,Sprints[],5,FALSE))+DAY(VLOOKUP(H$1,Sprints[],2,FALSE)),1,VLOOKUP(H$1,Sprints[],4,FALSE))&lt;&gt;"")*(IF(OFFSET(INDIRECT(CELL("address",INDEX('Leave Tracker'!$A$8:$A$106,MATCH($A50,'Leave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Tracker'!$A$8:$A$106,MATCH($A50,'Leave Tracker'!$A$8:$A$106,0)))),0,31*(VLOOKUP(I$1,Sprints[],5,FALSE))+DAY(VLOOKUP(I$1,Sprints[],2,FALSE)),1,VLOOKUP(I$1,Sprints[],4,FALSE))&lt;&gt;"")*(IF(OFFSET(INDIRECT(CELL("address",INDEX('Leave Tracker'!$A$8:$A$106,MATCH($A50,'Leave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Tracker'!$A$8:$A$106,MATCH($A50,'Leave Tracker'!$A$8:$A$106,0)))),0,31*(VLOOKUP(J$1,Sprints[],5,FALSE))+DAY(VLOOKUP(J$1,Sprints[],2,FALSE)),1,VLOOKUP(J$1,Sprints[],4,FALSE))&lt;&gt;"")*(IF(OFFSET(INDIRECT(CELL("address",INDEX('Leave Tracker'!$A$8:$A$106,MATCH($A50,'Leave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50">
        <f t="array" aca="1" ref="K50" ca="1">Sheet3!$W$2*$F50*(NETWORKDAYS(VLOOKUP(K$1,Sprints[],2,FALSE), VLOOKUP(K$1,Sprints[],3,FALSE))-SUMPRODUCT((OFFSET(INDIRECT(CELL("address",INDEX('Leave Tracker'!$A$8:$A$106,MATCH($A50,'Leave Tracker'!$A$8:$A$106,0)))),0,31*(VLOOKUP(K$1,Sprints[],5,FALSE))+DAY(VLOOKUP(K$1,Sprints[],2,FALSE)),1,VLOOKUP(K$1,Sprints[],4,FALSE))&lt;&gt;"")*(IF(OFFSET(INDIRECT(CELL("address",INDEX('Leave Tracker'!$A$8:$A$106,MATCH($A50,'Leave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50">
        <f t="array" aca="1" ref="L50" ca="1">Sheet3!$W$2*$F50*(NETWORKDAYS(VLOOKUP(L$1,Sprints[],2,FALSE), VLOOKUP(L$1,Sprints[],3,FALSE))-SUMPRODUCT((OFFSET(INDIRECT(CELL("address",INDEX('Leave Tracker'!$A$8:$A$106,MATCH($A50,'Leave Tracker'!$A$8:$A$106,0)))),0,31*(VLOOKUP(L$1,Sprints[],5,FALSE))+DAY(VLOOKUP(L$1,Sprints[],2,FALSE)),1,VLOOKUP(L$1,Sprints[],4,FALSE))&lt;&gt;"")*(IF(OFFSET(INDIRECT(CELL("address",INDEX('Leave Tracker'!$A$8:$A$106,MATCH($A50,'Leave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Tracker'!$A$8:$A$106,MATCH($A50,'Leave Tracker'!$A$8:$A$106,0)))),0,31*(VLOOKUP(M$1,Sprints[],5,FALSE))+DAY(VLOOKUP(M$1,Sprints[],2,FALSE)),1,VLOOKUP(M$1,Sprints[],4,FALSE))&lt;&gt;"")*(IF(OFFSET(INDIRECT(CELL("address",INDEX('Leave Tracker'!$A$8:$A$106,MATCH($A50,'Leave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Tracker'!$A$8:$A$106,MATCH($A50,'Leave Tracker'!$A$8:$A$106,0)))),0,31*(VLOOKUP(N$1,Sprints[],5,FALSE))+DAY(VLOOKUP(N$1,Sprints[],2,FALSE)),1,VLOOKUP(N$1,Sprints[],4,FALSE))&lt;&gt;"")*(IF(OFFSET(INDIRECT(CELL("address",INDEX('Leave Tracker'!$A$8:$A$106,MATCH($A50,'Leave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0">
        <f t="array" aca="1" ref="O50" ca="1">Sheet3!$W$2*$F50*(NETWORKDAYS(VLOOKUP(O$1,Sprints[],2,FALSE), VLOOKUP(O$1,Sprints[],3,FALSE))-SUMPRODUCT((OFFSET(INDIRECT(CELL("address",INDEX('Leave Tracker'!$A$8:$A$106,MATCH($A50,'Leave Tracker'!$A$8:$A$106,0)))),0,31*(VLOOKUP(O$1,Sprints[],5,FALSE))+DAY(VLOOKUP(O$1,Sprints[],2,FALSE)),1,VLOOKUP(O$1,Sprints[],4,FALSE))&lt;&gt;"")*(IF(OFFSET(INDIRECT(CELL("address",INDEX('Leave Tracker'!$A$8:$A$106,MATCH($A50,'Leave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0">
        <f t="array" aca="1" ref="P50" ca="1">Sheet3!$W$2*$F50*(NETWORKDAYS(VLOOKUP(P$1,Sprints[],2,FALSE), VLOOKUP(P$1,Sprints[],3,FALSE))-SUMPRODUCT((OFFSET(INDIRECT(CELL("address",INDEX('Leave Tracker'!$A$8:$A$106,MATCH($A50,'Leave Tracker'!$A$8:$A$106,0)))),0,31*(VLOOKUP(P$1,Sprints[],5,FALSE))+DAY(VLOOKUP(P$1,Sprints[],2,FALSE)),1,VLOOKUP(P$1,Sprints[],4,FALSE))&lt;&gt;"")*(IF(OFFSET(INDIRECT(CELL("address",INDEX('Leave Tracker'!$A$8:$A$106,MATCH($A50,'Leave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Tracker'!$A$8:$A$106,MATCH($A50,'Leave Tracker'!$A$8:$A$106,0)))),0,31*(VLOOKUP(Q$1,Sprints[],5,FALSE))+DAY(VLOOKUP(Q$1,Sprints[],2,FALSE)),1,VLOOKUP(Q$1,Sprints[],4,FALSE))&lt;&gt;"")*(IF(OFFSET(INDIRECT(CELL("address",INDEX('Leave Tracker'!$A$8:$A$106,MATCH($A50,'Leave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Tracker'!$A$8:$A$106,MATCH($A50,'Leave Tracker'!$A$8:$A$106,0)))),0,31*(VLOOKUP(R$1,Sprints[],5,FALSE))+DAY(VLOOKUP(R$1,Sprints[],2,FALSE)),1,VLOOKUP(R$1,Sprints[],4,FALSE))&lt;&gt;"")*(IF(OFFSET(INDIRECT(CELL("address",INDEX('Leave Tracker'!$A$8:$A$106,MATCH($A50,'Leave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Tracker'!$A$8:$A$106,MATCH($A50,'Leave Tracker'!$A$8:$A$106,0)))),0,31*(VLOOKUP(S$1,Sprints[],5,FALSE))+DAY(VLOOKUP(S$1,Sprints[],2,FALSE)),1,VLOOKUP(S$1,Sprints[],4,FALSE))&lt;&gt;"")*(IF(OFFSET(INDIRECT(CELL("address",INDEX('Leave Tracker'!$A$8:$A$106,MATCH($A50,'Leave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Tracker'!$A$8:$A$106,MATCH($A50,'Leave Tracker'!$A$8:$A$106,0)))),0,31*(VLOOKUP(T$1,Sprints[],5,FALSE))+DAY(VLOOKUP(T$1,Sprints[],2,FALSE)),1,VLOOKUP(T$1,Sprints[],4,FALSE))&lt;&gt;"")*(IF(OFFSET(INDIRECT(CELL("address",INDEX('Leave Tracker'!$A$8:$A$106,MATCH($A50,'Leave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Tracker'!$A$8:$A$106,MATCH($A50,'Leave Tracker'!$A$8:$A$106,0)))),0,31*(VLOOKUP(U$1,Sprints[],5,FALSE))+DAY(VLOOKUP(U$1,Sprints[],2,FALSE)),1,VLOOKUP(U$1,Sprints[],4,FALSE))&lt;&gt;"")*(IF(OFFSET(INDIRECT(CELL("address",INDEX('Leave Tracker'!$A$8:$A$106,MATCH($A50,'Leave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1" spans="1:21" x14ac:dyDescent="0.45">
      <c r="A51" t="s">
        <v>104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Tracker'!$A$8:$A$106,MATCH($A51,'Leave Tracker'!$A$8:$A$106,0)))),0,31*(VLOOKUP(G$1,Sprints[],5,FALSE))+DAY(VLOOKUP(G$1,Sprints[],2,FALSE)),1,VLOOKUP(G$1,Sprints[],4,FALSE))&lt;&gt;"")*(IF(OFFSET(INDIRECT(CELL("address",INDEX('Leave Tracker'!$A$8:$A$106,MATCH($A51,'Leave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Tracker'!$A$8:$A$106,MATCH($A51,'Leave Tracker'!$A$8:$A$106,0)))),0,31*(VLOOKUP(H$1,Sprints[],5,FALSE))+DAY(VLOOKUP(H$1,Sprints[],2,FALSE)),1,VLOOKUP(H$1,Sprints[],4,FALSE))&lt;&gt;"")*(IF(OFFSET(INDIRECT(CELL("address",INDEX('Leave Tracker'!$A$8:$A$106,MATCH($A51,'Leave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Tracker'!$A$8:$A$106,MATCH($A51,'Leave Tracker'!$A$8:$A$106,0)))),0,31*(VLOOKUP(I$1,Sprints[],5,FALSE))+DAY(VLOOKUP(I$1,Sprints[],2,FALSE)),1,VLOOKUP(I$1,Sprints[],4,FALSE))&lt;&gt;"")*(IF(OFFSET(INDIRECT(CELL("address",INDEX('Leave Tracker'!$A$8:$A$106,MATCH($A51,'Leave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Tracker'!$A$8:$A$106,MATCH($A51,'Leave Tracker'!$A$8:$A$106,0)))),0,31*(VLOOKUP(J$1,Sprints[],5,FALSE))+DAY(VLOOKUP(J$1,Sprints[],2,FALSE)),1,VLOOKUP(J$1,Sprints[],4,FALSE))&lt;&gt;"")*(IF(OFFSET(INDIRECT(CELL("address",INDEX('Leave Tracker'!$A$8:$A$106,MATCH($A51,'Leave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Tracker'!$A$8:$A$106,MATCH($A51,'Leave Tracker'!$A$8:$A$106,0)))),0,31*(VLOOKUP(K$1,Sprints[],5,FALSE))+DAY(VLOOKUP(K$1,Sprints[],2,FALSE)),1,VLOOKUP(K$1,Sprints[],4,FALSE))&lt;&gt;"")*(IF(OFFSET(INDIRECT(CELL("address",INDEX('Leave Tracker'!$A$8:$A$106,MATCH($A51,'Leave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Tracker'!$A$8:$A$106,MATCH($A51,'Leave Tracker'!$A$8:$A$106,0)))),0,31*(VLOOKUP(L$1,Sprints[],5,FALSE))+DAY(VLOOKUP(L$1,Sprints[],2,FALSE)),1,VLOOKUP(L$1,Sprints[],4,FALSE))&lt;&gt;"")*(IF(OFFSET(INDIRECT(CELL("address",INDEX('Leave Tracker'!$A$8:$A$106,MATCH($A51,'Leave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Tracker'!$A$8:$A$106,MATCH($A51,'Leave Tracker'!$A$8:$A$106,0)))),0,31*(VLOOKUP(M$1,Sprints[],5,FALSE))+DAY(VLOOKUP(M$1,Sprints[],2,FALSE)),1,VLOOKUP(M$1,Sprints[],4,FALSE))&lt;&gt;"")*(IF(OFFSET(INDIRECT(CELL("address",INDEX('Leave Tracker'!$A$8:$A$106,MATCH($A51,'Leave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1">
        <f t="array" aca="1" ref="N51" ca="1">Sheet3!$W$2*$F51*(NETWORKDAYS(VLOOKUP(N$1,Sprints[],2,FALSE), VLOOKUP(N$1,Sprints[],3,FALSE))-SUMPRODUCT((OFFSET(INDIRECT(CELL("address",INDEX('Leave Tracker'!$A$8:$A$106,MATCH($A51,'Leave Tracker'!$A$8:$A$106,0)))),0,31*(VLOOKUP(N$1,Sprints[],5,FALSE))+DAY(VLOOKUP(N$1,Sprints[],2,FALSE)),1,VLOOKUP(N$1,Sprints[],4,FALSE))&lt;&gt;"")*(IF(OFFSET(INDIRECT(CELL("address",INDEX('Leave Tracker'!$A$8:$A$106,MATCH($A51,'Leave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1">
        <f t="array" aca="1" ref="O51" ca="1">Sheet3!$W$2*$F51*(NETWORKDAYS(VLOOKUP(O$1,Sprints[],2,FALSE), VLOOKUP(O$1,Sprints[],3,FALSE))-SUMPRODUCT((OFFSET(INDIRECT(CELL("address",INDEX('Leave Tracker'!$A$8:$A$106,MATCH($A51,'Leave Tracker'!$A$8:$A$106,0)))),0,31*(VLOOKUP(O$1,Sprints[],5,FALSE))+DAY(VLOOKUP(O$1,Sprints[],2,FALSE)),1,VLOOKUP(O$1,Sprints[],4,FALSE))&lt;&gt;"")*(IF(OFFSET(INDIRECT(CELL("address",INDEX('Leave Tracker'!$A$8:$A$106,MATCH($A51,'Leave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1">
        <f t="array" aca="1" ref="P51" ca="1">Sheet3!$W$2*$F51*(NETWORKDAYS(VLOOKUP(P$1,Sprints[],2,FALSE), VLOOKUP(P$1,Sprints[],3,FALSE))-SUMPRODUCT((OFFSET(INDIRECT(CELL("address",INDEX('Leave Tracker'!$A$8:$A$106,MATCH($A51,'Leave Tracker'!$A$8:$A$106,0)))),0,31*(VLOOKUP(P$1,Sprints[],5,FALSE))+DAY(VLOOKUP(P$1,Sprints[],2,FALSE)),1,VLOOKUP(P$1,Sprints[],4,FALSE))&lt;&gt;"")*(IF(OFFSET(INDIRECT(CELL("address",INDEX('Leave Tracker'!$A$8:$A$106,MATCH($A51,'Leave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Tracker'!$A$8:$A$106,MATCH($A51,'Leave Tracker'!$A$8:$A$106,0)))),0,31*(VLOOKUP(Q$1,Sprints[],5,FALSE))+DAY(VLOOKUP(Q$1,Sprints[],2,FALSE)),1,VLOOKUP(Q$1,Sprints[],4,FALSE))&lt;&gt;"")*(IF(OFFSET(INDIRECT(CELL("address",INDEX('Leave Tracker'!$A$8:$A$106,MATCH($A51,'Leave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Tracker'!$A$8:$A$106,MATCH($A51,'Leave Tracker'!$A$8:$A$106,0)))),0,31*(VLOOKUP(R$1,Sprints[],5,FALSE))+DAY(VLOOKUP(R$1,Sprints[],2,FALSE)),1,VLOOKUP(R$1,Sprints[],4,FALSE))&lt;&gt;"")*(IF(OFFSET(INDIRECT(CELL("address",INDEX('Leave Tracker'!$A$8:$A$106,MATCH($A51,'Leave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Tracker'!$A$8:$A$106,MATCH($A51,'Leave Tracker'!$A$8:$A$106,0)))),0,31*(VLOOKUP(S$1,Sprints[],5,FALSE))+DAY(VLOOKUP(S$1,Sprints[],2,FALSE)),1,VLOOKUP(S$1,Sprints[],4,FALSE))&lt;&gt;"")*(IF(OFFSET(INDIRECT(CELL("address",INDEX('Leave Tracker'!$A$8:$A$106,MATCH($A51,'Leave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Tracker'!$A$8:$A$106,MATCH($A51,'Leave Tracker'!$A$8:$A$106,0)))),0,31*(VLOOKUP(T$1,Sprints[],5,FALSE))+DAY(VLOOKUP(T$1,Sprints[],2,FALSE)),1,VLOOKUP(T$1,Sprints[],4,FALSE))&lt;&gt;"")*(IF(OFFSET(INDIRECT(CELL("address",INDEX('Leave Tracker'!$A$8:$A$106,MATCH($A51,'Leave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Tracker'!$A$8:$A$106,MATCH($A51,'Leave Tracker'!$A$8:$A$106,0)))),0,31*(VLOOKUP(U$1,Sprints[],5,FALSE))+DAY(VLOOKUP(U$1,Sprints[],2,FALSE)),1,VLOOKUP(U$1,Sprints[],4,FALSE))&lt;&gt;"")*(IF(OFFSET(INDIRECT(CELL("address",INDEX('Leave Tracker'!$A$8:$A$106,MATCH($A51,'Leave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2" spans="1:21" x14ac:dyDescent="0.45">
      <c r="A52" t="s">
        <v>105</v>
      </c>
      <c r="B52" s="45" t="s">
        <v>116</v>
      </c>
      <c r="C52" s="45" t="s">
        <v>118</v>
      </c>
      <c r="D52" s="45" t="s">
        <v>133</v>
      </c>
      <c r="E52" s="45" t="s">
        <v>128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Tracker'!$A$8:$A$106,MATCH($A52,'Leave Tracker'!$A$8:$A$106,0)))),0,31*(VLOOKUP(G$1,Sprints[],5,FALSE))+DAY(VLOOKUP(G$1,Sprints[],2,FALSE)),1,VLOOKUP(G$1,Sprints[],4,FALSE))&lt;&gt;"")*(IF(OFFSET(INDIRECT(CELL("address",INDEX('Leave Tracker'!$A$8:$A$106,MATCH($A52,'Leave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Tracker'!$A$8:$A$106,MATCH($A52,'Leave Tracker'!$A$8:$A$106,0)))),0,31*(VLOOKUP(H$1,Sprints[],5,FALSE))+DAY(VLOOKUP(H$1,Sprints[],2,FALSE)),1,VLOOKUP(H$1,Sprints[],4,FALSE))&lt;&gt;"")*(IF(OFFSET(INDIRECT(CELL("address",INDEX('Leave Tracker'!$A$8:$A$106,MATCH($A52,'Leave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Tracker'!$A$8:$A$106,MATCH($A52,'Leave Tracker'!$A$8:$A$106,0)))),0,31*(VLOOKUP(I$1,Sprints[],5,FALSE))+DAY(VLOOKUP(I$1,Sprints[],2,FALSE)),1,VLOOKUP(I$1,Sprints[],4,FALSE))&lt;&gt;"")*(IF(OFFSET(INDIRECT(CELL("address",INDEX('Leave Tracker'!$A$8:$A$106,MATCH($A52,'Leave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Tracker'!$A$8:$A$106,MATCH($A52,'Leave Tracker'!$A$8:$A$106,0)))),0,31*(VLOOKUP(J$1,Sprints[],5,FALSE))+DAY(VLOOKUP(J$1,Sprints[],2,FALSE)),1,VLOOKUP(J$1,Sprints[],4,FALSE))&lt;&gt;"")*(IF(OFFSET(INDIRECT(CELL("address",INDEX('Leave Tracker'!$A$8:$A$106,MATCH($A52,'Leave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Tracker'!$A$8:$A$106,MATCH($A52,'Leave Tracker'!$A$8:$A$106,0)))),0,31*(VLOOKUP(K$1,Sprints[],5,FALSE))+DAY(VLOOKUP(K$1,Sprints[],2,FALSE)),1,VLOOKUP(K$1,Sprints[],4,FALSE))&lt;&gt;"")*(IF(OFFSET(INDIRECT(CELL("address",INDEX('Leave Tracker'!$A$8:$A$106,MATCH($A52,'Leave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Tracker'!$A$8:$A$106,MATCH($A52,'Leave Tracker'!$A$8:$A$106,0)))),0,31*(VLOOKUP(L$1,Sprints[],5,FALSE))+DAY(VLOOKUP(L$1,Sprints[],2,FALSE)),1,VLOOKUP(L$1,Sprints[],4,FALSE))&lt;&gt;"")*(IF(OFFSET(INDIRECT(CELL("address",INDEX('Leave Tracker'!$A$8:$A$106,MATCH($A52,'Leave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Tracker'!$A$8:$A$106,MATCH($A52,'Leave Tracker'!$A$8:$A$106,0)))),0,31*(VLOOKUP(M$1,Sprints[],5,FALSE))+DAY(VLOOKUP(M$1,Sprints[],2,FALSE)),1,VLOOKUP(M$1,Sprints[],4,FALSE))&lt;&gt;"")*(IF(OFFSET(INDIRECT(CELL("address",INDEX('Leave Tracker'!$A$8:$A$106,MATCH($A52,'Leave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Tracker'!$A$8:$A$106,MATCH($A52,'Leave Tracker'!$A$8:$A$106,0)))),0,31*(VLOOKUP(N$1,Sprints[],5,FALSE))+DAY(VLOOKUP(N$1,Sprints[],2,FALSE)),1,VLOOKUP(N$1,Sprints[],4,FALSE))&lt;&gt;"")*(IF(OFFSET(INDIRECT(CELL("address",INDEX('Leave Tracker'!$A$8:$A$106,MATCH($A52,'Leave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Tracker'!$A$8:$A$106,MATCH($A52,'Leave Tracker'!$A$8:$A$106,0)))),0,31*(VLOOKUP(O$1,Sprints[],5,FALSE))+DAY(VLOOKUP(O$1,Sprints[],2,FALSE)),1,VLOOKUP(O$1,Sprints[],4,FALSE))&lt;&gt;"")*(IF(OFFSET(INDIRECT(CELL("address",INDEX('Leave Tracker'!$A$8:$A$106,MATCH($A52,'Leave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Tracker'!$A$8:$A$106,MATCH($A52,'Leave Tracker'!$A$8:$A$106,0)))),0,31*(VLOOKUP(P$1,Sprints[],5,FALSE))+DAY(VLOOKUP(P$1,Sprints[],2,FALSE)),1,VLOOKUP(P$1,Sprints[],4,FALSE))&lt;&gt;"")*(IF(OFFSET(INDIRECT(CELL("address",INDEX('Leave Tracker'!$A$8:$A$106,MATCH($A52,'Leave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Tracker'!$A$8:$A$106,MATCH($A52,'Leave Tracker'!$A$8:$A$106,0)))),0,31*(VLOOKUP(Q$1,Sprints[],5,FALSE))+DAY(VLOOKUP(Q$1,Sprints[],2,FALSE)),1,VLOOKUP(Q$1,Sprints[],4,FALSE))&lt;&gt;"")*(IF(OFFSET(INDIRECT(CELL("address",INDEX('Leave Tracker'!$A$8:$A$106,MATCH($A52,'Leave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Tracker'!$A$8:$A$106,MATCH($A52,'Leave Tracker'!$A$8:$A$106,0)))),0,31*(VLOOKUP(R$1,Sprints[],5,FALSE))+DAY(VLOOKUP(R$1,Sprints[],2,FALSE)),1,VLOOKUP(R$1,Sprints[],4,FALSE))&lt;&gt;"")*(IF(OFFSET(INDIRECT(CELL("address",INDEX('Leave Tracker'!$A$8:$A$106,MATCH($A52,'Leave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2" s="31">
        <f t="array" aca="1" ref="S52" ca="1">Sheet3!$W$2*$F52*(NETWORKDAYS(VLOOKUP(S$1,Sprints[],2,FALSE), VLOOKUP(S$1,Sprints[],3,FALSE))-SUMPRODUCT((OFFSET(INDIRECT(CELL("address",INDEX('Leave Tracker'!$A$8:$A$106,MATCH($A52,'Leave Tracker'!$A$8:$A$106,0)))),0,31*(VLOOKUP(S$1,Sprints[],5,FALSE))+DAY(VLOOKUP(S$1,Sprints[],2,FALSE)),1,VLOOKUP(S$1,Sprints[],4,FALSE))&lt;&gt;"")*(IF(OFFSET(INDIRECT(CELL("address",INDEX('Leave Tracker'!$A$8:$A$106,MATCH($A52,'Leave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2" s="31">
        <f t="array" aca="1" ref="T52" ca="1">Sheet3!$W$2*$F52*(NETWORKDAYS(VLOOKUP(T$1,Sprints[],2,FALSE), VLOOKUP(T$1,Sprints[],3,FALSE))-SUMPRODUCT((OFFSET(INDIRECT(CELL("address",INDEX('Leave Tracker'!$A$8:$A$106,MATCH($A52,'Leave Tracker'!$A$8:$A$106,0)))),0,31*(VLOOKUP(T$1,Sprints[],5,FALSE))+DAY(VLOOKUP(T$1,Sprints[],2,FALSE)),1,VLOOKUP(T$1,Sprints[],4,FALSE))&lt;&gt;"")*(IF(OFFSET(INDIRECT(CELL("address",INDEX('Leave Tracker'!$A$8:$A$106,MATCH($A52,'Leave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Tracker'!$A$8:$A$106,MATCH($A52,'Leave Tracker'!$A$8:$A$106,0)))),0,31*(VLOOKUP(U$1,Sprints[],5,FALSE))+DAY(VLOOKUP(U$1,Sprints[],2,FALSE)),1,VLOOKUP(U$1,Sprints[],4,FALSE))&lt;&gt;"")*(IF(OFFSET(INDIRECT(CELL("address",INDEX('Leave Tracker'!$A$8:$A$106,MATCH($A52,'Leave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3" spans="1:21" x14ac:dyDescent="0.45">
      <c r="A53" t="s">
        <v>106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Tracker'!$A$8:$A$106,MATCH($A53,'Leave Tracker'!$A$8:$A$106,0)))),0,31*(VLOOKUP(G$1,Sprints[],5,FALSE))+DAY(VLOOKUP(G$1,Sprints[],2,FALSE)),1,VLOOKUP(G$1,Sprints[],4,FALSE))&lt;&gt;"")*(IF(OFFSET(INDIRECT(CELL("address",INDEX('Leave Tracker'!$A$8:$A$106,MATCH($A53,'Leave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Tracker'!$A$8:$A$106,MATCH($A53,'Leave Tracker'!$A$8:$A$106,0)))),0,31*(VLOOKUP(H$1,Sprints[],5,FALSE))+DAY(VLOOKUP(H$1,Sprints[],2,FALSE)),1,VLOOKUP(H$1,Sprints[],4,FALSE))&lt;&gt;"")*(IF(OFFSET(INDIRECT(CELL("address",INDEX('Leave Tracker'!$A$8:$A$106,MATCH($A53,'Leave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Tracker'!$A$8:$A$106,MATCH($A53,'Leave Tracker'!$A$8:$A$106,0)))),0,31*(VLOOKUP(I$1,Sprints[],5,FALSE))+DAY(VLOOKUP(I$1,Sprints[],2,FALSE)),1,VLOOKUP(I$1,Sprints[],4,FALSE))&lt;&gt;"")*(IF(OFFSET(INDIRECT(CELL("address",INDEX('Leave Tracker'!$A$8:$A$106,MATCH($A53,'Leave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Tracker'!$A$8:$A$106,MATCH($A53,'Leave Tracker'!$A$8:$A$106,0)))),0,31*(VLOOKUP(J$1,Sprints[],5,FALSE))+DAY(VLOOKUP(J$1,Sprints[],2,FALSE)),1,VLOOKUP(J$1,Sprints[],4,FALSE))&lt;&gt;"")*(IF(OFFSET(INDIRECT(CELL("address",INDEX('Leave Tracker'!$A$8:$A$106,MATCH($A53,'Leave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Tracker'!$A$8:$A$106,MATCH($A53,'Leave Tracker'!$A$8:$A$106,0)))),0,31*(VLOOKUP(K$1,Sprints[],5,FALSE))+DAY(VLOOKUP(K$1,Sprints[],2,FALSE)),1,VLOOKUP(K$1,Sprints[],4,FALSE))&lt;&gt;"")*(IF(OFFSET(INDIRECT(CELL("address",INDEX('Leave Tracker'!$A$8:$A$106,MATCH($A53,'Leave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Tracker'!$A$8:$A$106,MATCH($A53,'Leave Tracker'!$A$8:$A$106,0)))),0,31*(VLOOKUP(L$1,Sprints[],5,FALSE))+DAY(VLOOKUP(L$1,Sprints[],2,FALSE)),1,VLOOKUP(L$1,Sprints[],4,FALSE))&lt;&gt;"")*(IF(OFFSET(INDIRECT(CELL("address",INDEX('Leave Tracker'!$A$8:$A$106,MATCH($A53,'Leave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Tracker'!$A$8:$A$106,MATCH($A53,'Leave Tracker'!$A$8:$A$106,0)))),0,31*(VLOOKUP(M$1,Sprints[],5,FALSE))+DAY(VLOOKUP(M$1,Sprints[],2,FALSE)),1,VLOOKUP(M$1,Sprints[],4,FALSE))&lt;&gt;"")*(IF(OFFSET(INDIRECT(CELL("address",INDEX('Leave Tracker'!$A$8:$A$106,MATCH($A53,'Leave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Tracker'!$A$8:$A$106,MATCH($A53,'Leave Tracker'!$A$8:$A$106,0)))),0,31*(VLOOKUP(N$1,Sprints[],5,FALSE))+DAY(VLOOKUP(N$1,Sprints[],2,FALSE)),1,VLOOKUP(N$1,Sprints[],4,FALSE))&lt;&gt;"")*(IF(OFFSET(INDIRECT(CELL("address",INDEX('Leave Tracker'!$A$8:$A$106,MATCH($A53,'Leave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3">
        <f t="array" aca="1" ref="O53" ca="1">Sheet3!$W$2*$F53*(NETWORKDAYS(VLOOKUP(O$1,Sprints[],2,FALSE), VLOOKUP(O$1,Sprints[],3,FALSE))-SUMPRODUCT((OFFSET(INDIRECT(CELL("address",INDEX('Leave Tracker'!$A$8:$A$106,MATCH($A53,'Leave Tracker'!$A$8:$A$106,0)))),0,31*(VLOOKUP(O$1,Sprints[],5,FALSE))+DAY(VLOOKUP(O$1,Sprints[],2,FALSE)),1,VLOOKUP(O$1,Sprints[],4,FALSE))&lt;&gt;"")*(IF(OFFSET(INDIRECT(CELL("address",INDEX('Leave Tracker'!$A$8:$A$106,MATCH($A53,'Leave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3">
        <f t="array" aca="1" ref="P53" ca="1">Sheet3!$W$2*$F53*(NETWORKDAYS(VLOOKUP(P$1,Sprints[],2,FALSE), VLOOKUP(P$1,Sprints[],3,FALSE))-SUMPRODUCT((OFFSET(INDIRECT(CELL("address",INDEX('Leave Tracker'!$A$8:$A$106,MATCH($A53,'Leave Tracker'!$A$8:$A$106,0)))),0,31*(VLOOKUP(P$1,Sprints[],5,FALSE))+DAY(VLOOKUP(P$1,Sprints[],2,FALSE)),1,VLOOKUP(P$1,Sprints[],4,FALSE))&lt;&gt;"")*(IF(OFFSET(INDIRECT(CELL("address",INDEX('Leave Tracker'!$A$8:$A$106,MATCH($A53,'Leave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Tracker'!$A$8:$A$106,MATCH($A53,'Leave Tracker'!$A$8:$A$106,0)))),0,31*(VLOOKUP(Q$1,Sprints[],5,FALSE))+DAY(VLOOKUP(Q$1,Sprints[],2,FALSE)),1,VLOOKUP(Q$1,Sprints[],4,FALSE))&lt;&gt;"")*(IF(OFFSET(INDIRECT(CELL("address",INDEX('Leave Tracker'!$A$8:$A$106,MATCH($A53,'Leave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Tracker'!$A$8:$A$106,MATCH($A53,'Leave Tracker'!$A$8:$A$106,0)))),0,31*(VLOOKUP(R$1,Sprints[],5,FALSE))+DAY(VLOOKUP(R$1,Sprints[],2,FALSE)),1,VLOOKUP(R$1,Sprints[],4,FALSE))&lt;&gt;"")*(IF(OFFSET(INDIRECT(CELL("address",INDEX('Leave Tracker'!$A$8:$A$106,MATCH($A53,'Leave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3" s="31">
        <f t="array" aca="1" ref="S53" ca="1">Sheet3!$W$2*$F53*(NETWORKDAYS(VLOOKUP(S$1,Sprints[],2,FALSE), VLOOKUP(S$1,Sprints[],3,FALSE))-SUMPRODUCT((OFFSET(INDIRECT(CELL("address",INDEX('Leave Tracker'!$A$8:$A$106,MATCH($A53,'Leave Tracker'!$A$8:$A$106,0)))),0,31*(VLOOKUP(S$1,Sprints[],5,FALSE))+DAY(VLOOKUP(S$1,Sprints[],2,FALSE)),1,VLOOKUP(S$1,Sprints[],4,FALSE))&lt;&gt;"")*(IF(OFFSET(INDIRECT(CELL("address",INDEX('Leave Tracker'!$A$8:$A$106,MATCH($A53,'Leave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3" s="31">
        <f t="array" aca="1" ref="T53" ca="1">Sheet3!$W$2*$F53*(NETWORKDAYS(VLOOKUP(T$1,Sprints[],2,FALSE), VLOOKUP(T$1,Sprints[],3,FALSE))-SUMPRODUCT((OFFSET(INDIRECT(CELL("address",INDEX('Leave Tracker'!$A$8:$A$106,MATCH($A53,'Leave Tracker'!$A$8:$A$106,0)))),0,31*(VLOOKUP(T$1,Sprints[],5,FALSE))+DAY(VLOOKUP(T$1,Sprints[],2,FALSE)),1,VLOOKUP(T$1,Sprints[],4,FALSE))&lt;&gt;"")*(IF(OFFSET(INDIRECT(CELL("address",INDEX('Leave Tracker'!$A$8:$A$106,MATCH($A53,'Leave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Tracker'!$A$8:$A$106,MATCH($A53,'Leave Tracker'!$A$8:$A$106,0)))),0,31*(VLOOKUP(U$1,Sprints[],5,FALSE))+DAY(VLOOKUP(U$1,Sprints[],2,FALSE)),1,VLOOKUP(U$1,Sprints[],4,FALSE))&lt;&gt;"")*(IF(OFFSET(INDIRECT(CELL("address",INDEX('Leave Tracker'!$A$8:$A$106,MATCH($A53,'Leave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6.0000000000000009</v>
      </c>
    </row>
    <row r="54" spans="1:21" x14ac:dyDescent="0.45">
      <c r="A54" t="s">
        <v>107</v>
      </c>
      <c r="B54" s="45" t="s">
        <v>116</v>
      </c>
      <c r="C54" s="45" t="s">
        <v>118</v>
      </c>
      <c r="D54" s="45" t="s">
        <v>132</v>
      </c>
      <c r="E54" s="45" t="s">
        <v>125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Tracker'!$A$8:$A$106,MATCH($A54,'Leave Tracker'!$A$8:$A$106,0)))),0,31*(VLOOKUP(G$1,Sprints[],5,FALSE))+DAY(VLOOKUP(G$1,Sprints[],2,FALSE)),1,VLOOKUP(G$1,Sprints[],4,FALSE))&lt;&gt;"")*(IF(OFFSET(INDIRECT(CELL("address",INDEX('Leave Tracker'!$A$8:$A$106,MATCH($A54,'Leave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Tracker'!$A$8:$A$106,MATCH($A54,'Leave Tracker'!$A$8:$A$106,0)))),0,31*(VLOOKUP(H$1,Sprints[],5,FALSE))+DAY(VLOOKUP(H$1,Sprints[],2,FALSE)),1,VLOOKUP(H$1,Sprints[],4,FALSE))&lt;&gt;"")*(IF(OFFSET(INDIRECT(CELL("address",INDEX('Leave Tracker'!$A$8:$A$106,MATCH($A54,'Leave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Tracker'!$A$8:$A$106,MATCH($A54,'Leave Tracker'!$A$8:$A$106,0)))),0,31*(VLOOKUP(I$1,Sprints[],5,FALSE))+DAY(VLOOKUP(I$1,Sprints[],2,FALSE)),1,VLOOKUP(I$1,Sprints[],4,FALSE))&lt;&gt;"")*(IF(OFFSET(INDIRECT(CELL("address",INDEX('Leave Tracker'!$A$8:$A$106,MATCH($A54,'Leave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Tracker'!$A$8:$A$106,MATCH($A54,'Leave Tracker'!$A$8:$A$106,0)))),0,31*(VLOOKUP(J$1,Sprints[],5,FALSE))+DAY(VLOOKUP(J$1,Sprints[],2,FALSE)),1,VLOOKUP(J$1,Sprints[],4,FALSE))&lt;&gt;"")*(IF(OFFSET(INDIRECT(CELL("address",INDEX('Leave Tracker'!$A$8:$A$106,MATCH($A54,'Leave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Tracker'!$A$8:$A$106,MATCH($A54,'Leave Tracker'!$A$8:$A$106,0)))),0,31*(VLOOKUP(K$1,Sprints[],5,FALSE))+DAY(VLOOKUP(K$1,Sprints[],2,FALSE)),1,VLOOKUP(K$1,Sprints[],4,FALSE))&lt;&gt;"")*(IF(OFFSET(INDIRECT(CELL("address",INDEX('Leave Tracker'!$A$8:$A$106,MATCH($A54,'Leave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Tracker'!$A$8:$A$106,MATCH($A54,'Leave Tracker'!$A$8:$A$106,0)))),0,31*(VLOOKUP(L$1,Sprints[],5,FALSE))+DAY(VLOOKUP(L$1,Sprints[],2,FALSE)),1,VLOOKUP(L$1,Sprints[],4,FALSE))&lt;&gt;"")*(IF(OFFSET(INDIRECT(CELL("address",INDEX('Leave Tracker'!$A$8:$A$106,MATCH($A54,'Leave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Tracker'!$A$8:$A$106,MATCH($A54,'Leave Tracker'!$A$8:$A$106,0)))),0,31*(VLOOKUP(M$1,Sprints[],5,FALSE))+DAY(VLOOKUP(M$1,Sprints[],2,FALSE)),1,VLOOKUP(M$1,Sprints[],4,FALSE))&lt;&gt;"")*(IF(OFFSET(INDIRECT(CELL("address",INDEX('Leave Tracker'!$A$8:$A$106,MATCH($A54,'Leave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Tracker'!$A$8:$A$106,MATCH($A54,'Leave Tracker'!$A$8:$A$106,0)))),0,31*(VLOOKUP(N$1,Sprints[],5,FALSE))+DAY(VLOOKUP(N$1,Sprints[],2,FALSE)),1,VLOOKUP(N$1,Sprints[],4,FALSE))&lt;&gt;"")*(IF(OFFSET(INDIRECT(CELL("address",INDEX('Leave Tracker'!$A$8:$A$106,MATCH($A54,'Leave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4">
        <f t="array" aca="1" ref="O54" ca="1">Sheet3!$W$2*$F54*(NETWORKDAYS(VLOOKUP(O$1,Sprints[],2,FALSE), VLOOKUP(O$1,Sprints[],3,FALSE))-SUMPRODUCT((OFFSET(INDIRECT(CELL("address",INDEX('Leave Tracker'!$A$8:$A$106,MATCH($A54,'Leave Tracker'!$A$8:$A$106,0)))),0,31*(VLOOKUP(O$1,Sprints[],5,FALSE))+DAY(VLOOKUP(O$1,Sprints[],2,FALSE)),1,VLOOKUP(O$1,Sprints[],4,FALSE))&lt;&gt;"")*(IF(OFFSET(INDIRECT(CELL("address",INDEX('Leave Tracker'!$A$8:$A$106,MATCH($A54,'Leave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Tracker'!$A$8:$A$106,MATCH($A54,'Leave Tracker'!$A$8:$A$106,0)))),0,31*(VLOOKUP(P$1,Sprints[],5,FALSE))+DAY(VLOOKUP(P$1,Sprints[],2,FALSE)),1,VLOOKUP(P$1,Sprints[],4,FALSE))&lt;&gt;"")*(IF(OFFSET(INDIRECT(CELL("address",INDEX('Leave Tracker'!$A$8:$A$106,MATCH($A54,'Leave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Tracker'!$A$8:$A$106,MATCH($A54,'Leave Tracker'!$A$8:$A$106,0)))),0,31*(VLOOKUP(Q$1,Sprints[],5,FALSE))+DAY(VLOOKUP(Q$1,Sprints[],2,FALSE)),1,VLOOKUP(Q$1,Sprints[],4,FALSE))&lt;&gt;"")*(IF(OFFSET(INDIRECT(CELL("address",INDEX('Leave Tracker'!$A$8:$A$106,MATCH($A54,'Leave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Tracker'!$A$8:$A$106,MATCH($A54,'Leave Tracker'!$A$8:$A$106,0)))),0,31*(VLOOKUP(R$1,Sprints[],5,FALSE))+DAY(VLOOKUP(R$1,Sprints[],2,FALSE)),1,VLOOKUP(R$1,Sprints[],4,FALSE))&lt;&gt;"")*(IF(OFFSET(INDIRECT(CELL("address",INDEX('Leave Tracker'!$A$8:$A$106,MATCH($A54,'Leave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Tracker'!$A$8:$A$106,MATCH($A54,'Leave Tracker'!$A$8:$A$106,0)))),0,31*(VLOOKUP(S$1,Sprints[],5,FALSE))+DAY(VLOOKUP(S$1,Sprints[],2,FALSE)),1,VLOOKUP(S$1,Sprints[],4,FALSE))&lt;&gt;"")*(IF(OFFSET(INDIRECT(CELL("address",INDEX('Leave Tracker'!$A$8:$A$106,MATCH($A54,'Leave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Tracker'!$A$8:$A$106,MATCH($A54,'Leave Tracker'!$A$8:$A$106,0)))),0,31*(VLOOKUP(T$1,Sprints[],5,FALSE))+DAY(VLOOKUP(T$1,Sprints[],2,FALSE)),1,VLOOKUP(T$1,Sprints[],4,FALSE))&lt;&gt;"")*(IF(OFFSET(INDIRECT(CELL("address",INDEX('Leave Tracker'!$A$8:$A$106,MATCH($A54,'Leave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Tracker'!$A$8:$A$106,MATCH($A54,'Leave Tracker'!$A$8:$A$106,0)))),0,31*(VLOOKUP(U$1,Sprints[],5,FALSE))+DAY(VLOOKUP(U$1,Sprints[],2,FALSE)),1,VLOOKUP(U$1,Sprints[],4,FALSE))&lt;&gt;"")*(IF(OFFSET(INDIRECT(CELL("address",INDEX('Leave Tracker'!$A$8:$A$106,MATCH($A54,'Leave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5" spans="1:21" x14ac:dyDescent="0.45">
      <c r="A55" t="s">
        <v>108</v>
      </c>
      <c r="B55" s="45" t="s">
        <v>116</v>
      </c>
      <c r="C55" s="45" t="s">
        <v>118</v>
      </c>
      <c r="D55" s="45" t="s">
        <v>132</v>
      </c>
      <c r="E55" s="45" t="s">
        <v>124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Tracker'!$A$8:$A$106,MATCH($A55,'Leave Tracker'!$A$8:$A$106,0)))),0,31*(VLOOKUP(G$1,Sprints[],5,FALSE))+DAY(VLOOKUP(G$1,Sprints[],2,FALSE)),1,VLOOKUP(G$1,Sprints[],4,FALSE))&lt;&gt;"")*(IF(OFFSET(INDIRECT(CELL("address",INDEX('Leave Tracker'!$A$8:$A$106,MATCH($A55,'Leave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Tracker'!$A$8:$A$106,MATCH($A55,'Leave Tracker'!$A$8:$A$106,0)))),0,31*(VLOOKUP(H$1,Sprints[],5,FALSE))+DAY(VLOOKUP(H$1,Sprints[],2,FALSE)),1,VLOOKUP(H$1,Sprints[],4,FALSE))&lt;&gt;"")*(IF(OFFSET(INDIRECT(CELL("address",INDEX('Leave Tracker'!$A$8:$A$106,MATCH($A55,'Leave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Tracker'!$A$8:$A$106,MATCH($A55,'Leave Tracker'!$A$8:$A$106,0)))),0,31*(VLOOKUP(I$1,Sprints[],5,FALSE))+DAY(VLOOKUP(I$1,Sprints[],2,FALSE)),1,VLOOKUP(I$1,Sprints[],4,FALSE))&lt;&gt;"")*(IF(OFFSET(INDIRECT(CELL("address",INDEX('Leave Tracker'!$A$8:$A$106,MATCH($A55,'Leave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Tracker'!$A$8:$A$106,MATCH($A55,'Leave Tracker'!$A$8:$A$106,0)))),0,31*(VLOOKUP(J$1,Sprints[],5,FALSE))+DAY(VLOOKUP(J$1,Sprints[],2,FALSE)),1,VLOOKUP(J$1,Sprints[],4,FALSE))&lt;&gt;"")*(IF(OFFSET(INDIRECT(CELL("address",INDEX('Leave Tracker'!$A$8:$A$106,MATCH($A55,'Leave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Tracker'!$A$8:$A$106,MATCH($A55,'Leave Tracker'!$A$8:$A$106,0)))),0,31*(VLOOKUP(K$1,Sprints[],5,FALSE))+DAY(VLOOKUP(K$1,Sprints[],2,FALSE)),1,VLOOKUP(K$1,Sprints[],4,FALSE))&lt;&gt;"")*(IF(OFFSET(INDIRECT(CELL("address",INDEX('Leave Tracker'!$A$8:$A$106,MATCH($A55,'Leave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>
        <f t="array" aca="1" ref="L55" ca="1">Sheet3!$W$2*$F55*(NETWORKDAYS(VLOOKUP(L$1,Sprints[],2,FALSE), VLOOKUP(L$1,Sprints[],3,FALSE))-SUMPRODUCT((OFFSET(INDIRECT(CELL("address",INDEX('Leave Tracker'!$A$8:$A$106,MATCH($A55,'Leave Tracker'!$A$8:$A$106,0)))),0,31*(VLOOKUP(L$1,Sprints[],5,FALSE))+DAY(VLOOKUP(L$1,Sprints[],2,FALSE)),1,VLOOKUP(L$1,Sprints[],4,FALSE))&lt;&gt;"")*(IF(OFFSET(INDIRECT(CELL("address",INDEX('Leave Tracker'!$A$8:$A$106,MATCH($A55,'Leave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 s="45">
        <f t="array" aca="1" ref="M55" ca="1">Sheet3!$W$2*$F55*(NETWORKDAYS(VLOOKUP(M$1,Sprints[],2,FALSE), VLOOKUP(M$1,Sprints[],3,FALSE))-SUMPRODUCT((OFFSET(INDIRECT(CELL("address",INDEX('Leave Tracker'!$A$8:$A$106,MATCH($A55,'Leave Tracker'!$A$8:$A$106,0)))),0,31*(VLOOKUP(M$1,Sprints[],5,FALSE))+DAY(VLOOKUP(M$1,Sprints[],2,FALSE)),1,VLOOKUP(M$1,Sprints[],4,FALSE))&lt;&gt;"")*(IF(OFFSET(INDIRECT(CELL("address",INDEX('Leave Tracker'!$A$8:$A$106,MATCH($A55,'Leave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Tracker'!$A$8:$A$106,MATCH($A55,'Leave Tracker'!$A$8:$A$106,0)))),0,31*(VLOOKUP(N$1,Sprints[],5,FALSE))+DAY(VLOOKUP(N$1,Sprints[],2,FALSE)),1,VLOOKUP(N$1,Sprints[],4,FALSE))&lt;&gt;"")*(IF(OFFSET(INDIRECT(CELL("address",INDEX('Leave Tracker'!$A$8:$A$106,MATCH($A55,'Leave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5">
        <f t="array" aca="1" ref="O55" ca="1">Sheet3!$W$2*$F55*(NETWORKDAYS(VLOOKUP(O$1,Sprints[],2,FALSE), VLOOKUP(O$1,Sprints[],3,FALSE))-SUMPRODUCT((OFFSET(INDIRECT(CELL("address",INDEX('Leave Tracker'!$A$8:$A$106,MATCH($A55,'Leave Tracker'!$A$8:$A$106,0)))),0,31*(VLOOKUP(O$1,Sprints[],5,FALSE))+DAY(VLOOKUP(O$1,Sprints[],2,FALSE)),1,VLOOKUP(O$1,Sprints[],4,FALSE))&lt;&gt;"")*(IF(OFFSET(INDIRECT(CELL("address",INDEX('Leave Tracker'!$A$8:$A$106,MATCH($A55,'Leave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5">
        <f t="array" aca="1" ref="P55" ca="1">Sheet3!$W$2*$F55*(NETWORKDAYS(VLOOKUP(P$1,Sprints[],2,FALSE), VLOOKUP(P$1,Sprints[],3,FALSE))-SUMPRODUCT((OFFSET(INDIRECT(CELL("address",INDEX('Leave Tracker'!$A$8:$A$106,MATCH($A55,'Leave Tracker'!$A$8:$A$106,0)))),0,31*(VLOOKUP(P$1,Sprints[],5,FALSE))+DAY(VLOOKUP(P$1,Sprints[],2,FALSE)),1,VLOOKUP(P$1,Sprints[],4,FALSE))&lt;&gt;"")*(IF(OFFSET(INDIRECT(CELL("address",INDEX('Leave Tracker'!$A$8:$A$106,MATCH($A55,'Leave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Tracker'!$A$8:$A$106,MATCH($A55,'Leave Tracker'!$A$8:$A$106,0)))),0,31*(VLOOKUP(Q$1,Sprints[],5,FALSE))+DAY(VLOOKUP(Q$1,Sprints[],2,FALSE)),1,VLOOKUP(Q$1,Sprints[],4,FALSE))&lt;&gt;"")*(IF(OFFSET(INDIRECT(CELL("address",INDEX('Leave Tracker'!$A$8:$A$106,MATCH($A55,'Leave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Tracker'!$A$8:$A$106,MATCH($A55,'Leave Tracker'!$A$8:$A$106,0)))),0,31*(VLOOKUP(R$1,Sprints[],5,FALSE))+DAY(VLOOKUP(R$1,Sprints[],2,FALSE)),1,VLOOKUP(R$1,Sprints[],4,FALSE))&lt;&gt;"")*(IF(OFFSET(INDIRECT(CELL("address",INDEX('Leave Tracker'!$A$8:$A$106,MATCH($A55,'Leave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Tracker'!$A$8:$A$106,MATCH($A55,'Leave Tracker'!$A$8:$A$106,0)))),0,31*(VLOOKUP(S$1,Sprints[],5,FALSE))+DAY(VLOOKUP(S$1,Sprints[],2,FALSE)),1,VLOOKUP(S$1,Sprints[],4,FALSE))&lt;&gt;"")*(IF(OFFSET(INDIRECT(CELL("address",INDEX('Leave Tracker'!$A$8:$A$106,MATCH($A55,'Leave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Tracker'!$A$8:$A$106,MATCH($A55,'Leave Tracker'!$A$8:$A$106,0)))),0,31*(VLOOKUP(T$1,Sprints[],5,FALSE))+DAY(VLOOKUP(T$1,Sprints[],2,FALSE)),1,VLOOKUP(T$1,Sprints[],4,FALSE))&lt;&gt;"")*(IF(OFFSET(INDIRECT(CELL("address",INDEX('Leave Tracker'!$A$8:$A$106,MATCH($A55,'Leave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Tracker'!$A$8:$A$106,MATCH($A55,'Leave Tracker'!$A$8:$A$106,0)))),0,31*(VLOOKUP(U$1,Sprints[],5,FALSE))+DAY(VLOOKUP(U$1,Sprints[],2,FALSE)),1,VLOOKUP(U$1,Sprints[],4,FALSE))&lt;&gt;"")*(IF(OFFSET(INDIRECT(CELL("address",INDEX('Leave Tracker'!$A$8:$A$106,MATCH($A55,'Leave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6" spans="1:21" x14ac:dyDescent="0.45">
      <c r="A56" t="s">
        <v>109</v>
      </c>
      <c r="B56" s="45" t="s">
        <v>116</v>
      </c>
      <c r="C56" s="45" t="s">
        <v>118</v>
      </c>
      <c r="D56" s="45" t="s">
        <v>132</v>
      </c>
      <c r="E56" s="45" t="s">
        <v>125</v>
      </c>
      <c r="F56" s="47">
        <v>0.75</v>
      </c>
      <c r="G56" s="45">
        <f t="array" aca="1" ref="G56" ca="1">Sheet3!$W$2*$F56*(NETWORKDAYS(VLOOKUP(G$1,Sprints[],2,FALSE), VLOOKUP(G$1,Sprints[],3,FALSE))-SUMPRODUCT((OFFSET(INDIRECT(CELL("address",INDEX('Leave Tracker'!$A$8:$A$106,MATCH($A56,'Leave Tracker'!$A$8:$A$106,0)))),0,31*(VLOOKUP(G$1,Sprints[],5,FALSE))+DAY(VLOOKUP(G$1,Sprints[],2,FALSE)),1,VLOOKUP(G$1,Sprints[],4,FALSE))&lt;&gt;"")*(IF(OFFSET(INDIRECT(CELL("address",INDEX('Leave Tracker'!$A$8:$A$106,MATCH($A56,'Leave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6">
        <f t="array" aca="1" ref="H56" ca="1">Sheet3!$W$2*$F56*(NETWORKDAYS(VLOOKUP(H$1,Sprints[],2,FALSE), VLOOKUP(H$1,Sprints[],3,FALSE))-SUMPRODUCT((OFFSET(INDIRECT(CELL("address",INDEX('Leave Tracker'!$A$8:$A$106,MATCH($A56,'Leave Tracker'!$A$8:$A$106,0)))),0,31*(VLOOKUP(H$1,Sprints[],5,FALSE))+DAY(VLOOKUP(H$1,Sprints[],2,FALSE)),1,VLOOKUP(H$1,Sprints[],4,FALSE))&lt;&gt;"")*(IF(OFFSET(INDIRECT(CELL("address",INDEX('Leave Tracker'!$A$8:$A$106,MATCH($A56,'Leave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6">
        <f t="array" aca="1" ref="I56" ca="1">Sheet3!$W$2*$F56*(NETWORKDAYS(VLOOKUP(I$1,Sprints[],2,FALSE), VLOOKUP(I$1,Sprints[],3,FALSE))-SUMPRODUCT((OFFSET(INDIRECT(CELL("address",INDEX('Leave Tracker'!$A$8:$A$106,MATCH($A56,'Leave Tracker'!$A$8:$A$106,0)))),0,31*(VLOOKUP(I$1,Sprints[],5,FALSE))+DAY(VLOOKUP(I$1,Sprints[],2,FALSE)),1,VLOOKUP(I$1,Sprints[],4,FALSE))&lt;&gt;"")*(IF(OFFSET(INDIRECT(CELL("address",INDEX('Leave Tracker'!$A$8:$A$106,MATCH($A56,'Leave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6">
        <f t="array" aca="1" ref="J56" ca="1">Sheet3!$W$2*$F56*(NETWORKDAYS(VLOOKUP(J$1,Sprints[],2,FALSE), VLOOKUP(J$1,Sprints[],3,FALSE))-SUMPRODUCT((OFFSET(INDIRECT(CELL("address",INDEX('Leave Tracker'!$A$8:$A$106,MATCH($A56,'Leave Tracker'!$A$8:$A$106,0)))),0,31*(VLOOKUP(J$1,Sprints[],5,FALSE))+DAY(VLOOKUP(J$1,Sprints[],2,FALSE)),1,VLOOKUP(J$1,Sprints[],4,FALSE))&lt;&gt;"")*(IF(OFFSET(INDIRECT(CELL("address",INDEX('Leave Tracker'!$A$8:$A$106,MATCH($A56,'Leave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6">
        <f t="array" aca="1" ref="K56" ca="1">Sheet3!$W$2*$F56*(NETWORKDAYS(VLOOKUP(K$1,Sprints[],2,FALSE), VLOOKUP(K$1,Sprints[],3,FALSE))-SUMPRODUCT((OFFSET(INDIRECT(CELL("address",INDEX('Leave Tracker'!$A$8:$A$106,MATCH($A56,'Leave Tracker'!$A$8:$A$106,0)))),0,31*(VLOOKUP(K$1,Sprints[],5,FALSE))+DAY(VLOOKUP(K$1,Sprints[],2,FALSE)),1,VLOOKUP(K$1,Sprints[],4,FALSE))&lt;&gt;"")*(IF(OFFSET(INDIRECT(CELL("address",INDEX('Leave Tracker'!$A$8:$A$106,MATCH($A56,'Leave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6" s="45">
        <f t="array" aca="1" ref="L56" ca="1">Sheet3!$W$2*$F56*(NETWORKDAYS(VLOOKUP(L$1,Sprints[],2,FALSE), VLOOKUP(L$1,Sprints[],3,FALSE))-SUMPRODUCT((OFFSET(INDIRECT(CELL("address",INDEX('Leave Tracker'!$A$8:$A$106,MATCH($A56,'Leave Tracker'!$A$8:$A$106,0)))),0,31*(VLOOKUP(L$1,Sprints[],5,FALSE))+DAY(VLOOKUP(L$1,Sprints[],2,FALSE)),1,VLOOKUP(L$1,Sprints[],4,FALSE))&lt;&gt;"")*(IF(OFFSET(INDIRECT(CELL("address",INDEX('Leave Tracker'!$A$8:$A$106,MATCH($A56,'Leave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6">
        <f t="array" aca="1" ref="M56" ca="1">Sheet3!$W$2*$F56*(NETWORKDAYS(VLOOKUP(M$1,Sprints[],2,FALSE), VLOOKUP(M$1,Sprints[],3,FALSE))-SUMPRODUCT((OFFSET(INDIRECT(CELL("address",INDEX('Leave Tracker'!$A$8:$A$106,MATCH($A56,'Leave Tracker'!$A$8:$A$106,0)))),0,31*(VLOOKUP(M$1,Sprints[],5,FALSE))+DAY(VLOOKUP(M$1,Sprints[],2,FALSE)),1,VLOOKUP(M$1,Sprints[],4,FALSE))&lt;&gt;"")*(IF(OFFSET(INDIRECT(CELL("address",INDEX('Leave Tracker'!$A$8:$A$106,MATCH($A56,'Leave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6">
        <f t="array" aca="1" ref="N56" ca="1">Sheet3!$W$2*$F56*(NETWORKDAYS(VLOOKUP(N$1,Sprints[],2,FALSE), VLOOKUP(N$1,Sprints[],3,FALSE))-SUMPRODUCT((OFFSET(INDIRECT(CELL("address",INDEX('Leave Tracker'!$A$8:$A$106,MATCH($A56,'Leave Tracker'!$A$8:$A$106,0)))),0,31*(VLOOKUP(N$1,Sprints[],5,FALSE))+DAY(VLOOKUP(N$1,Sprints[],2,FALSE)),1,VLOOKUP(N$1,Sprints[],4,FALSE))&lt;&gt;"")*(IF(OFFSET(INDIRECT(CELL("address",INDEX('Leave Tracker'!$A$8:$A$106,MATCH($A56,'Leave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6">
        <f t="array" aca="1" ref="O56" ca="1">Sheet3!$W$2*$F56*(NETWORKDAYS(VLOOKUP(O$1,Sprints[],2,FALSE), VLOOKUP(O$1,Sprints[],3,FALSE))-SUMPRODUCT((OFFSET(INDIRECT(CELL("address",INDEX('Leave Tracker'!$A$8:$A$106,MATCH($A56,'Leave Tracker'!$A$8:$A$106,0)))),0,31*(VLOOKUP(O$1,Sprints[],5,FALSE))+DAY(VLOOKUP(O$1,Sprints[],2,FALSE)),1,VLOOKUP(O$1,Sprints[],4,FALSE))&lt;&gt;"")*(IF(OFFSET(INDIRECT(CELL("address",INDEX('Leave Tracker'!$A$8:$A$106,MATCH($A56,'Leave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6">
        <f t="array" aca="1" ref="P56" ca="1">Sheet3!$W$2*$F56*(NETWORKDAYS(VLOOKUP(P$1,Sprints[],2,FALSE), VLOOKUP(P$1,Sprints[],3,FALSE))-SUMPRODUCT((OFFSET(INDIRECT(CELL("address",INDEX('Leave Tracker'!$A$8:$A$106,MATCH($A56,'Leave Tracker'!$A$8:$A$106,0)))),0,31*(VLOOKUP(P$1,Sprints[],5,FALSE))+DAY(VLOOKUP(P$1,Sprints[],2,FALSE)),1,VLOOKUP(P$1,Sprints[],4,FALSE))&lt;&gt;"")*(IF(OFFSET(INDIRECT(CELL("address",INDEX('Leave Tracker'!$A$8:$A$106,MATCH($A56,'Leave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6">
        <f t="array" aca="1" ref="Q56" ca="1">Sheet3!$W$2*$F56*(NETWORKDAYS(VLOOKUP(Q$1,Sprints[],2,FALSE), VLOOKUP(Q$1,Sprints[],3,FALSE))-SUMPRODUCT((OFFSET(INDIRECT(CELL("address",INDEX('Leave Tracker'!$A$8:$A$106,MATCH($A56,'Leave Tracker'!$A$8:$A$106,0)))),0,31*(VLOOKUP(Q$1,Sprints[],5,FALSE))+DAY(VLOOKUP(Q$1,Sprints[],2,FALSE)),1,VLOOKUP(Q$1,Sprints[],4,FALSE))&lt;&gt;"")*(IF(OFFSET(INDIRECT(CELL("address",INDEX('Leave Tracker'!$A$8:$A$106,MATCH($A56,'Leave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6">
        <f t="array" aca="1" ref="R56" ca="1">Sheet3!$W$2*$F56*(NETWORKDAYS(VLOOKUP(R$1,Sprints[],2,FALSE), VLOOKUP(R$1,Sprints[],3,FALSE))-SUMPRODUCT((OFFSET(INDIRECT(CELL("address",INDEX('Leave Tracker'!$A$8:$A$106,MATCH($A56,'Leave Tracker'!$A$8:$A$106,0)))),0,31*(VLOOKUP(R$1,Sprints[],5,FALSE))+DAY(VLOOKUP(R$1,Sprints[],2,FALSE)),1,VLOOKUP(R$1,Sprints[],4,FALSE))&lt;&gt;"")*(IF(OFFSET(INDIRECT(CELL("address",INDEX('Leave Tracker'!$A$8:$A$106,MATCH($A56,'Leave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6" s="31">
        <f t="array" aca="1" ref="S56" ca="1">Sheet3!$W$2*$F56*(NETWORKDAYS(VLOOKUP(S$1,Sprints[],2,FALSE), VLOOKUP(S$1,Sprints[],3,FALSE))-SUMPRODUCT((OFFSET(INDIRECT(CELL("address",INDEX('Leave Tracker'!$A$8:$A$106,MATCH($A56,'Leave Tracker'!$A$8:$A$106,0)))),0,31*(VLOOKUP(S$1,Sprints[],5,FALSE))+DAY(VLOOKUP(S$1,Sprints[],2,FALSE)),1,VLOOKUP(S$1,Sprints[],4,FALSE))&lt;&gt;"")*(IF(OFFSET(INDIRECT(CELL("address",INDEX('Leave Tracker'!$A$8:$A$106,MATCH($A56,'Leave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6" s="31">
        <f t="array" aca="1" ref="T56" ca="1">Sheet3!$W$2*$F56*(NETWORKDAYS(VLOOKUP(T$1,Sprints[],2,FALSE), VLOOKUP(T$1,Sprints[],3,FALSE))-SUMPRODUCT((OFFSET(INDIRECT(CELL("address",INDEX('Leave Tracker'!$A$8:$A$106,MATCH($A56,'Leave Tracker'!$A$8:$A$106,0)))),0,31*(VLOOKUP(T$1,Sprints[],5,FALSE))+DAY(VLOOKUP(T$1,Sprints[],2,FALSE)),1,VLOOKUP(T$1,Sprints[],4,FALSE))&lt;&gt;"")*(IF(OFFSET(INDIRECT(CELL("address",INDEX('Leave Tracker'!$A$8:$A$106,MATCH($A56,'Leave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6" s="78">
        <f t="array" aca="1" ref="U56" ca="1">Sheet3!$W$2*$F56*(NETWORKDAYS(VLOOKUP(U$1,Sprints[],2,FALSE), VLOOKUP(U$1,Sprints[],3,FALSE))-SUMPRODUCT((OFFSET(INDIRECT(CELL("address",INDEX('Leave Tracker'!$A$8:$A$106,MATCH($A56,'Leave Tracker'!$A$8:$A$106,0)))),0,31*(VLOOKUP(U$1,Sprints[],5,FALSE))+DAY(VLOOKUP(U$1,Sprints[],2,FALSE)),1,VLOOKUP(U$1,Sprints[],4,FALSE))&lt;&gt;"")*(IF(OFFSET(INDIRECT(CELL("address",INDEX('Leave Tracker'!$A$8:$A$106,MATCH($A56,'Leave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7" spans="1:21" s="45" customFormat="1" x14ac:dyDescent="0.45">
      <c r="A57" s="45" t="s">
        <v>179</v>
      </c>
      <c r="B57" s="45" t="s">
        <v>119</v>
      </c>
      <c r="C57" s="45" t="s">
        <v>118</v>
      </c>
      <c r="D57" s="45" t="s">
        <v>133</v>
      </c>
      <c r="E57" s="45" t="s">
        <v>128</v>
      </c>
      <c r="F57" s="47">
        <v>0.15</v>
      </c>
      <c r="G57" s="31">
        <f t="array" aca="1" ref="G57" ca="1">Sheet3!$W$2*$F57*(NETWORKDAYS(VLOOKUP(G$1,Sprints[],2,FALSE), VLOOKUP(G$1,Sprints[],3,FALSE))-SUMPRODUCT((OFFSET(INDIRECT(CELL("address",INDEX('Leave Tracker'!$A$8:$A$106,MATCH($A57,'Leave Tracker'!$A$8:$A$106,0)))),0,31*(VLOOKUP(G$1,Sprints[],5,FALSE))+DAY(VLOOKUP(G$1,Sprints[],2,FALSE)),1,VLOOKUP(G$1,Sprints[],4,FALSE))&lt;&gt;"")*(IF(OFFSET(INDIRECT(CELL("address",INDEX('Leave Tracker'!$A$8:$A$106,MATCH($A57,'Leave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31">
        <f t="array" aca="1" ref="H57" ca="1">Sheet3!$W$2*$F57*(NETWORKDAYS(VLOOKUP(H$1,Sprints[],2,FALSE), VLOOKUP(H$1,Sprints[],3,FALSE))-SUMPRODUCT((OFFSET(INDIRECT(CELL("address",INDEX('Leave Tracker'!$A$8:$A$106,MATCH($A57,'Leave Tracker'!$A$8:$A$106,0)))),0,31*(VLOOKUP(H$1,Sprints[],5,FALSE))+DAY(VLOOKUP(H$1,Sprints[],2,FALSE)),1,VLOOKUP(H$1,Sprints[],4,FALSE))&lt;&gt;"")*(IF(OFFSET(INDIRECT(CELL("address",INDEX('Leave Tracker'!$A$8:$A$106,MATCH($A57,'Leave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31">
        <f t="array" aca="1" ref="I57" ca="1">Sheet3!$W$2*$F57*(NETWORKDAYS(VLOOKUP(I$1,Sprints[],2,FALSE), VLOOKUP(I$1,Sprints[],3,FALSE))-SUMPRODUCT((OFFSET(INDIRECT(CELL("address",INDEX('Leave Tracker'!$A$8:$A$106,MATCH($A57,'Leave Tracker'!$A$8:$A$106,0)))),0,31*(VLOOKUP(I$1,Sprints[],5,FALSE))+DAY(VLOOKUP(I$1,Sprints[],2,FALSE)),1,VLOOKUP(I$1,Sprints[],4,FALSE))&lt;&gt;"")*(IF(OFFSET(INDIRECT(CELL("address",INDEX('Leave Tracker'!$A$8:$A$106,MATCH($A57,'Leave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31">
        <f t="array" aca="1" ref="J57" ca="1">Sheet3!$W$2*$F57*(NETWORKDAYS(VLOOKUP(J$1,Sprints[],2,FALSE), VLOOKUP(J$1,Sprints[],3,FALSE))-SUMPRODUCT((OFFSET(INDIRECT(CELL("address",INDEX('Leave Tracker'!$A$8:$A$106,MATCH($A57,'Leave Tracker'!$A$8:$A$106,0)))),0,31*(VLOOKUP(J$1,Sprints[],5,FALSE))+DAY(VLOOKUP(J$1,Sprints[],2,FALSE)),1,VLOOKUP(J$1,Sprints[],4,FALSE))&lt;&gt;"")*(IF(OFFSET(INDIRECT(CELL("address",INDEX('Leave Tracker'!$A$8:$A$106,MATCH($A57,'Leave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31">
        <f t="array" aca="1" ref="K57" ca="1">Sheet3!$W$2*$F57*(NETWORKDAYS(VLOOKUP(K$1,Sprints[],2,FALSE), VLOOKUP(K$1,Sprints[],3,FALSE))-SUMPRODUCT((OFFSET(INDIRECT(CELL("address",INDEX('Leave Tracker'!$A$8:$A$106,MATCH($A57,'Leave Tracker'!$A$8:$A$106,0)))),0,31*(VLOOKUP(K$1,Sprints[],5,FALSE))+DAY(VLOOKUP(K$1,Sprints[],2,FALSE)),1,VLOOKUP(K$1,Sprints[],4,FALSE))&lt;&gt;"")*(IF(OFFSET(INDIRECT(CELL("address",INDEX('Leave Tracker'!$A$8:$A$106,MATCH($A57,'Leave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31">
        <f t="array" aca="1" ref="L57" ca="1">Sheet3!$W$2*$F57*(NETWORKDAYS(VLOOKUP(L$1,Sprints[],2,FALSE), VLOOKUP(L$1,Sprints[],3,FALSE))-SUMPRODUCT((OFFSET(INDIRECT(CELL("address",INDEX('Leave Tracker'!$A$8:$A$106,MATCH($A57,'Leave Tracker'!$A$8:$A$106,0)))),0,31*(VLOOKUP(L$1,Sprints[],5,FALSE))+DAY(VLOOKUP(L$1,Sprints[],2,FALSE)),1,VLOOKUP(L$1,Sprints[],4,FALSE))&lt;&gt;"")*(IF(OFFSET(INDIRECT(CELL("address",INDEX('Leave Tracker'!$A$8:$A$106,MATCH($A57,'Leave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7" s="31">
        <f t="array" aca="1" ref="M57" ca="1">Sheet3!$W$2*$F57*(NETWORKDAYS(VLOOKUP(M$1,Sprints[],2,FALSE), VLOOKUP(M$1,Sprints[],3,FALSE))-SUMPRODUCT((OFFSET(INDIRECT(CELL("address",INDEX('Leave Tracker'!$A$8:$A$106,MATCH($A57,'Leave Tracker'!$A$8:$A$106,0)))),0,31*(VLOOKUP(M$1,Sprints[],5,FALSE))+DAY(VLOOKUP(M$1,Sprints[],2,FALSE)),1,VLOOKUP(M$1,Sprints[],4,FALSE))&lt;&gt;"")*(IF(OFFSET(INDIRECT(CELL("address",INDEX('Leave Tracker'!$A$8:$A$106,MATCH($A57,'Leave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7" s="31">
        <f t="array" aca="1" ref="N57" ca="1">Sheet3!$W$2*$F57*(NETWORKDAYS(VLOOKUP(N$1,Sprints[],2,FALSE), VLOOKUP(N$1,Sprints[],3,FALSE))-SUMPRODUCT((OFFSET(INDIRECT(CELL("address",INDEX('Leave Tracker'!$A$8:$A$106,MATCH($A57,'Leave Tracker'!$A$8:$A$106,0)))),0,31*(VLOOKUP(N$1,Sprints[],5,FALSE))+DAY(VLOOKUP(N$1,Sprints[],2,FALSE)),1,VLOOKUP(N$1,Sprints[],4,FALSE))&lt;&gt;"")*(IF(OFFSET(INDIRECT(CELL("address",INDEX('Leave Tracker'!$A$8:$A$106,MATCH($A57,'Leave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7" s="31">
        <f t="array" aca="1" ref="O57" ca="1">Sheet3!$W$2*$F57*(NETWORKDAYS(VLOOKUP(O$1,Sprints[],2,FALSE), VLOOKUP(O$1,Sprints[],3,FALSE))-SUMPRODUCT((OFFSET(INDIRECT(CELL("address",INDEX('Leave Tracker'!$A$8:$A$106,MATCH($A57,'Leave Tracker'!$A$8:$A$106,0)))),0,31*(VLOOKUP(O$1,Sprints[],5,FALSE))+DAY(VLOOKUP(O$1,Sprints[],2,FALSE)),1,VLOOKUP(O$1,Sprints[],4,FALSE))&lt;&gt;"")*(IF(OFFSET(INDIRECT(CELL("address",INDEX('Leave Tracker'!$A$8:$A$106,MATCH($A57,'Leave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7" s="31">
        <f t="array" aca="1" ref="P57" ca="1">Sheet3!$W$2*$F57*(NETWORKDAYS(VLOOKUP(P$1,Sprints[],2,FALSE), VLOOKUP(P$1,Sprints[],3,FALSE))-SUMPRODUCT((OFFSET(INDIRECT(CELL("address",INDEX('Leave Tracker'!$A$8:$A$106,MATCH($A57,'Leave Tracker'!$A$8:$A$106,0)))),0,31*(VLOOKUP(P$1,Sprints[],5,FALSE))+DAY(VLOOKUP(P$1,Sprints[],2,FALSE)),1,VLOOKUP(P$1,Sprints[],4,FALSE))&lt;&gt;"")*(IF(OFFSET(INDIRECT(CELL("address",INDEX('Leave Tracker'!$A$8:$A$106,MATCH($A57,'Leave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7" s="31">
        <f t="array" aca="1" ref="Q57" ca="1">Sheet3!$W$2*$F57*(NETWORKDAYS(VLOOKUP(Q$1,Sprints[],2,FALSE), VLOOKUP(Q$1,Sprints[],3,FALSE))-SUMPRODUCT((OFFSET(INDIRECT(CELL("address",INDEX('Leave Tracker'!$A$8:$A$106,MATCH($A57,'Leave Tracker'!$A$8:$A$106,0)))),0,31*(VLOOKUP(Q$1,Sprints[],5,FALSE))+DAY(VLOOKUP(Q$1,Sprints[],2,FALSE)),1,VLOOKUP(Q$1,Sprints[],4,FALSE))&lt;&gt;"")*(IF(OFFSET(INDIRECT(CELL("address",INDEX('Leave Tracker'!$A$8:$A$106,MATCH($A57,'Leave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7" s="31">
        <f t="array" aca="1" ref="R57" ca="1">Sheet3!$W$2*$F57*(NETWORKDAYS(VLOOKUP(R$1,Sprints[],2,FALSE), VLOOKUP(R$1,Sprints[],3,FALSE))-SUMPRODUCT((OFFSET(INDIRECT(CELL("address",INDEX('Leave Tracker'!$A$8:$A$106,MATCH($A57,'Leave Tracker'!$A$8:$A$106,0)))),0,31*(VLOOKUP(R$1,Sprints[],5,FALSE))+DAY(VLOOKUP(R$1,Sprints[],2,FALSE)),1,VLOOKUP(R$1,Sprints[],4,FALSE))&lt;&gt;"")*(IF(OFFSET(INDIRECT(CELL("address",INDEX('Leave Tracker'!$A$8:$A$106,MATCH($A57,'Leave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7" s="31">
        <f t="array" aca="1" ref="S57" ca="1">Sheet3!$W$2*$F57*(NETWORKDAYS(VLOOKUP(S$1,Sprints[],2,FALSE), VLOOKUP(S$1,Sprints[],3,FALSE))-SUMPRODUCT((OFFSET(INDIRECT(CELL("address",INDEX('Leave Tracker'!$A$8:$A$106,MATCH($A57,'Leave Tracker'!$A$8:$A$106,0)))),0,31*(VLOOKUP(S$1,Sprints[],5,FALSE))+DAY(VLOOKUP(S$1,Sprints[],2,FALSE)),1,VLOOKUP(S$1,Sprints[],4,FALSE))&lt;&gt;"")*(IF(OFFSET(INDIRECT(CELL("address",INDEX('Leave Tracker'!$A$8:$A$106,MATCH($A57,'Leave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7" s="31">
        <f t="array" aca="1" ref="T57" ca="1">Sheet3!$W$2*$F57*(NETWORKDAYS(VLOOKUP(T$1,Sprints[],2,FALSE), VLOOKUP(T$1,Sprints[],3,FALSE))-SUMPRODUCT((OFFSET(INDIRECT(CELL("address",INDEX('Leave Tracker'!$A$8:$A$106,MATCH($A57,'Leave Tracker'!$A$8:$A$106,0)))),0,31*(VLOOKUP(T$1,Sprints[],5,FALSE))+DAY(VLOOKUP(T$1,Sprints[],2,FALSE)),1,VLOOKUP(T$1,Sprints[],4,FALSE))&lt;&gt;"")*(IF(OFFSET(INDIRECT(CELL("address",INDEX('Leave Tracker'!$A$8:$A$106,MATCH($A57,'Leave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7" s="78">
        <f t="array" aca="1" ref="U57" ca="1">Sheet3!$W$2*$F57*(NETWORKDAYS(VLOOKUP(U$1,Sprints[],2,FALSE), VLOOKUP(U$1,Sprints[],3,FALSE))-SUMPRODUCT((OFFSET(INDIRECT(CELL("address",INDEX('Leave Tracker'!$A$8:$A$106,MATCH($A57,'Leave Tracker'!$A$8:$A$106,0)))),0,31*(VLOOKUP(U$1,Sprints[],5,FALSE))+DAY(VLOOKUP(U$1,Sprints[],2,FALSE)),1,VLOOKUP(U$1,Sprints[],4,FALSE))&lt;&gt;"")*(IF(OFFSET(INDIRECT(CELL("address",INDEX('Leave Tracker'!$A$8:$A$106,MATCH($A57,'Leave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2.52</v>
      </c>
    </row>
    <row r="58" spans="1:21" s="45" customFormat="1" x14ac:dyDescent="0.45">
      <c r="A58" s="85" t="s">
        <v>180</v>
      </c>
      <c r="B58" s="85" t="s">
        <v>119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Tracker'!$A$8:$A$106,MATCH($A58,'Leave Tracker'!$A$8:$A$106,0)))),0,31*(VLOOKUP(G$1,Sprints[],5,FALSE))+DAY(VLOOKUP(G$1,Sprints[],2,FALSE)),1,VLOOKUP(G$1,Sprints[],4,FALSE))&lt;&gt;"")*(IF(OFFSET(INDIRECT(CELL("address",INDEX('Leave Tracker'!$A$8:$A$106,MATCH($A58,'Leave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Tracker'!$A$8:$A$106,MATCH($A58,'Leave Tracker'!$A$8:$A$106,0)))),0,31*(VLOOKUP(H$1,Sprints[],5,FALSE))+DAY(VLOOKUP(H$1,Sprints[],2,FALSE)),1,VLOOKUP(H$1,Sprints[],4,FALSE))&lt;&gt;"")*(IF(OFFSET(INDIRECT(CELL("address",INDEX('Leave Tracker'!$A$8:$A$106,MATCH($A58,'Leave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Tracker'!$A$8:$A$106,MATCH($A58,'Leave Tracker'!$A$8:$A$106,0)))),0,31*(VLOOKUP(I$1,Sprints[],5,FALSE))+DAY(VLOOKUP(I$1,Sprints[],2,FALSE)),1,VLOOKUP(I$1,Sprints[],4,FALSE))&lt;&gt;"")*(IF(OFFSET(INDIRECT(CELL("address",INDEX('Leave Tracker'!$A$8:$A$106,MATCH($A58,'Leave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Tracker'!$A$8:$A$106,MATCH($A58,'Leave Tracker'!$A$8:$A$106,0)))),0,31*(VLOOKUP(J$1,Sprints[],5,FALSE))+DAY(VLOOKUP(J$1,Sprints[],2,FALSE)),1,VLOOKUP(J$1,Sprints[],4,FALSE))&lt;&gt;"")*(IF(OFFSET(INDIRECT(CELL("address",INDEX('Leave Tracker'!$A$8:$A$106,MATCH($A58,'Leave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Tracker'!$A$8:$A$106,MATCH($A58,'Leave Tracker'!$A$8:$A$106,0)))),0,31*(VLOOKUP(K$1,Sprints[],5,FALSE))+DAY(VLOOKUP(K$1,Sprints[],2,FALSE)),1,VLOOKUP(K$1,Sprints[],4,FALSE))&lt;&gt;"")*(IF(OFFSET(INDIRECT(CELL("address",INDEX('Leave Tracker'!$A$8:$A$106,MATCH($A58,'Leave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Tracker'!$A$8:$A$106,MATCH($A58,'Leave Tracker'!$A$8:$A$106,0)))),0,31*(VLOOKUP(L$1,Sprints[],5,FALSE))+DAY(VLOOKUP(L$1,Sprints[],2,FALSE)),1,VLOOKUP(L$1,Sprints[],4,FALSE))&lt;&gt;"")*(IF(OFFSET(INDIRECT(CELL("address",INDEX('Leave Tracker'!$A$8:$A$106,MATCH($A58,'Leave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Tracker'!$A$8:$A$106,MATCH($A58,'Leave Tracker'!$A$8:$A$106,0)))),0,31*(VLOOKUP(M$1,Sprints[],5,FALSE))+DAY(VLOOKUP(M$1,Sprints[],2,FALSE)),1,VLOOKUP(M$1,Sprints[],4,FALSE))&lt;&gt;"")*(IF(OFFSET(INDIRECT(CELL("address",INDEX('Leave Tracker'!$A$8:$A$106,MATCH($A58,'Leave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Tracker'!$A$8:$A$106,MATCH($A58,'Leave Tracker'!$A$8:$A$106,0)))),0,31*(VLOOKUP(N$1,Sprints[],5,FALSE))+DAY(VLOOKUP(N$1,Sprints[],2,FALSE)),1,VLOOKUP(N$1,Sprints[],4,FALSE))&lt;&gt;"")*(IF(OFFSET(INDIRECT(CELL("address",INDEX('Leave Tracker'!$A$8:$A$106,MATCH($A58,'Leave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Tracker'!$A$8:$A$106,MATCH($A58,'Leave Tracker'!$A$8:$A$106,0)))),0,31*(VLOOKUP(O$1,Sprints[],5,FALSE))+DAY(VLOOKUP(O$1,Sprints[],2,FALSE)),1,VLOOKUP(O$1,Sprints[],4,FALSE))&lt;&gt;"")*(IF(OFFSET(INDIRECT(CELL("address",INDEX('Leave Tracker'!$A$8:$A$106,MATCH($A58,'Leave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Tracker'!$A$8:$A$106,MATCH($A58,'Leave Tracker'!$A$8:$A$106,0)))),0,31*(VLOOKUP(P$1,Sprints[],5,FALSE))+DAY(VLOOKUP(P$1,Sprints[],2,FALSE)),1,VLOOKUP(P$1,Sprints[],4,FALSE))&lt;&gt;"")*(IF(OFFSET(INDIRECT(CELL("address",INDEX('Leave Tracker'!$A$8:$A$106,MATCH($A58,'Leave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Tracker'!$A$8:$A$106,MATCH($A58,'Leave Tracker'!$A$8:$A$106,0)))),0,31*(VLOOKUP(Q$1,Sprints[],5,FALSE))+DAY(VLOOKUP(Q$1,Sprints[],2,FALSE)),1,VLOOKUP(Q$1,Sprints[],4,FALSE))&lt;&gt;"")*(IF(OFFSET(INDIRECT(CELL("address",INDEX('Leave Tracker'!$A$8:$A$106,MATCH($A58,'Leave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Tracker'!$A$8:$A$106,MATCH($A58,'Leave Tracker'!$A$8:$A$106,0)))),0,31*(VLOOKUP(R$1,Sprints[],5,FALSE))+DAY(VLOOKUP(R$1,Sprints[],2,FALSE)),1,VLOOKUP(R$1,Sprints[],4,FALSE))&lt;&gt;"")*(IF(OFFSET(INDIRECT(CELL("address",INDEX('Leave Tracker'!$A$8:$A$106,MATCH($A58,'Leave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Tracker'!$A$8:$A$106,MATCH($A58,'Leave Tracker'!$A$8:$A$106,0)))),0,31*(VLOOKUP(S$1,Sprints[],5,FALSE))+DAY(VLOOKUP(S$1,Sprints[],2,FALSE)),1,VLOOKUP(S$1,Sprints[],4,FALSE))&lt;&gt;"")*(IF(OFFSET(INDIRECT(CELL("address",INDEX('Leave Tracker'!$A$8:$A$106,MATCH($A58,'Leave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Tracker'!$A$8:$A$106,MATCH($A58,'Leave Tracker'!$A$8:$A$106,0)))),0,31*(VLOOKUP(T$1,Sprints[],5,FALSE))+DAY(VLOOKUP(T$1,Sprints[],2,FALSE)),1,VLOOKUP(T$1,Sprints[],4,FALSE))&lt;&gt;"")*(IF(OFFSET(INDIRECT(CELL("address",INDEX('Leave Tracker'!$A$8:$A$106,MATCH($A58,'Leave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Tracker'!$A$8:$A$106,MATCH($A58,'Leave Tracker'!$A$8:$A$106,0)))),0,31*(VLOOKUP(U$1,Sprints[],5,FALSE))+DAY(VLOOKUP(U$1,Sprints[],2,FALSE)),1,VLOOKUP(U$1,Sprints[],4,FALSE))&lt;&gt;"")*(IF(OFFSET(INDIRECT(CELL("address",INDEX('Leave Tracker'!$A$8:$A$106,MATCH($A58,'Leave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59" spans="1:21" s="45" customFormat="1" x14ac:dyDescent="0.45">
      <c r="A59" s="85" t="s">
        <v>181</v>
      </c>
      <c r="B59" s="85" t="s">
        <v>113</v>
      </c>
      <c r="C59" s="85" t="s">
        <v>118</v>
      </c>
      <c r="D59" s="85" t="s">
        <v>133</v>
      </c>
      <c r="E59" s="85" t="s">
        <v>128</v>
      </c>
      <c r="F59" s="86">
        <v>0.75</v>
      </c>
      <c r="G59" s="84">
        <f t="array" aca="1" ref="G59" ca="1">Sheet3!$W$2*$F59*(NETWORKDAYS(VLOOKUP(G$1,Sprints[],2,FALSE), VLOOKUP(G$1,Sprints[],3,FALSE))-SUMPRODUCT((OFFSET(INDIRECT(CELL("address",INDEX('Leave Tracker'!$A$8:$A$106,MATCH($A59,'Leave Tracker'!$A$8:$A$106,0)))),0,31*(VLOOKUP(G$1,Sprints[],5,FALSE))+DAY(VLOOKUP(G$1,Sprints[],2,FALSE)),1,VLOOKUP(G$1,Sprints[],4,FALSE))&lt;&gt;"")*(IF(OFFSET(INDIRECT(CELL("address",INDEX('Leave Tracker'!$A$8:$A$106,MATCH($A59,'Leave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9" s="84">
        <f t="array" aca="1" ref="H59" ca="1">Sheet3!$W$2*$F59*(NETWORKDAYS(VLOOKUP(H$1,Sprints[],2,FALSE), VLOOKUP(H$1,Sprints[],3,FALSE))-SUMPRODUCT((OFFSET(INDIRECT(CELL("address",INDEX('Leave Tracker'!$A$8:$A$106,MATCH($A59,'Leave Tracker'!$A$8:$A$106,0)))),0,31*(VLOOKUP(H$1,Sprints[],5,FALSE))+DAY(VLOOKUP(H$1,Sprints[],2,FALSE)),1,VLOOKUP(H$1,Sprints[],4,FALSE))&lt;&gt;"")*(IF(OFFSET(INDIRECT(CELL("address",INDEX('Leave Tracker'!$A$8:$A$106,MATCH($A59,'Leave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9" s="84">
        <f t="array" aca="1" ref="I59" ca="1">Sheet3!$W$2*$F59*(NETWORKDAYS(VLOOKUP(I$1,Sprints[],2,FALSE), VLOOKUP(I$1,Sprints[],3,FALSE))-SUMPRODUCT((OFFSET(INDIRECT(CELL("address",INDEX('Leave Tracker'!$A$8:$A$106,MATCH($A59,'Leave Tracker'!$A$8:$A$106,0)))),0,31*(VLOOKUP(I$1,Sprints[],5,FALSE))+DAY(VLOOKUP(I$1,Sprints[],2,FALSE)),1,VLOOKUP(I$1,Sprints[],4,FALSE))&lt;&gt;"")*(IF(OFFSET(INDIRECT(CELL("address",INDEX('Leave Tracker'!$A$8:$A$106,MATCH($A59,'Leave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9" s="84">
        <f t="array" aca="1" ref="J59" ca="1">Sheet3!$W$2*$F59*(NETWORKDAYS(VLOOKUP(J$1,Sprints[],2,FALSE), VLOOKUP(J$1,Sprints[],3,FALSE))-SUMPRODUCT((OFFSET(INDIRECT(CELL("address",INDEX('Leave Tracker'!$A$8:$A$106,MATCH($A59,'Leave Tracker'!$A$8:$A$106,0)))),0,31*(VLOOKUP(J$1,Sprints[],5,FALSE))+DAY(VLOOKUP(J$1,Sprints[],2,FALSE)),1,VLOOKUP(J$1,Sprints[],4,FALSE))&lt;&gt;"")*(IF(OFFSET(INDIRECT(CELL("address",INDEX('Leave Tracker'!$A$8:$A$106,MATCH($A59,'Leave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9" s="84">
        <f t="array" aca="1" ref="K59" ca="1">Sheet3!$W$2*$F59*(NETWORKDAYS(VLOOKUP(K$1,Sprints[],2,FALSE), VLOOKUP(K$1,Sprints[],3,FALSE))-SUMPRODUCT((OFFSET(INDIRECT(CELL("address",INDEX('Leave Tracker'!$A$8:$A$106,MATCH($A59,'Leave Tracker'!$A$8:$A$106,0)))),0,31*(VLOOKUP(K$1,Sprints[],5,FALSE))+DAY(VLOOKUP(K$1,Sprints[],2,FALSE)),1,VLOOKUP(K$1,Sprints[],4,FALSE))&lt;&gt;"")*(IF(OFFSET(INDIRECT(CELL("address",INDEX('Leave Tracker'!$A$8:$A$106,MATCH($A59,'Leave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9" s="84">
        <f t="array" aca="1" ref="L59" ca="1">Sheet3!$W$2*$F59*(NETWORKDAYS(VLOOKUP(L$1,Sprints[],2,FALSE), VLOOKUP(L$1,Sprints[],3,FALSE))-SUMPRODUCT((OFFSET(INDIRECT(CELL("address",INDEX('Leave Tracker'!$A$8:$A$106,MATCH($A59,'Leave Tracker'!$A$8:$A$106,0)))),0,31*(VLOOKUP(L$1,Sprints[],5,FALSE))+DAY(VLOOKUP(L$1,Sprints[],2,FALSE)),1,VLOOKUP(L$1,Sprints[],4,FALSE))&lt;&gt;"")*(IF(OFFSET(INDIRECT(CELL("address",INDEX('Leave Tracker'!$A$8:$A$106,MATCH($A59,'Leave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9" s="84">
        <f t="array" aca="1" ref="M59" ca="1">Sheet3!$W$2*$F59*(NETWORKDAYS(VLOOKUP(M$1,Sprints[],2,FALSE), VLOOKUP(M$1,Sprints[],3,FALSE))-SUMPRODUCT((OFFSET(INDIRECT(CELL("address",INDEX('Leave Tracker'!$A$8:$A$106,MATCH($A59,'Leave Tracker'!$A$8:$A$106,0)))),0,31*(VLOOKUP(M$1,Sprints[],5,FALSE))+DAY(VLOOKUP(M$1,Sprints[],2,FALSE)),1,VLOOKUP(M$1,Sprints[],4,FALSE))&lt;&gt;"")*(IF(OFFSET(INDIRECT(CELL("address",INDEX('Leave Tracker'!$A$8:$A$106,MATCH($A59,'Leave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9" s="84">
        <f t="array" aca="1" ref="N59" ca="1">Sheet3!$W$2*$F59*(NETWORKDAYS(VLOOKUP(N$1,Sprints[],2,FALSE), VLOOKUP(N$1,Sprints[],3,FALSE))-SUMPRODUCT((OFFSET(INDIRECT(CELL("address",INDEX('Leave Tracker'!$A$8:$A$106,MATCH($A59,'Leave Tracker'!$A$8:$A$106,0)))),0,31*(VLOOKUP(N$1,Sprints[],5,FALSE))+DAY(VLOOKUP(N$1,Sprints[],2,FALSE)),1,VLOOKUP(N$1,Sprints[],4,FALSE))&lt;&gt;"")*(IF(OFFSET(INDIRECT(CELL("address",INDEX('Leave Tracker'!$A$8:$A$106,MATCH($A59,'Leave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9" s="84">
        <f t="array" aca="1" ref="O59" ca="1">Sheet3!$W$2*$F59*(NETWORKDAYS(VLOOKUP(O$1,Sprints[],2,FALSE), VLOOKUP(O$1,Sprints[],3,FALSE))-SUMPRODUCT((OFFSET(INDIRECT(CELL("address",INDEX('Leave Tracker'!$A$8:$A$106,MATCH($A59,'Leave Tracker'!$A$8:$A$106,0)))),0,31*(VLOOKUP(O$1,Sprints[],5,FALSE))+DAY(VLOOKUP(O$1,Sprints[],2,FALSE)),1,VLOOKUP(O$1,Sprints[],4,FALSE))&lt;&gt;"")*(IF(OFFSET(INDIRECT(CELL("address",INDEX('Leave Tracker'!$A$8:$A$106,MATCH($A59,'Leave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9" s="84">
        <f t="array" aca="1" ref="P59" ca="1">Sheet3!$W$2*$F59*(NETWORKDAYS(VLOOKUP(P$1,Sprints[],2,FALSE), VLOOKUP(P$1,Sprints[],3,FALSE))-SUMPRODUCT((OFFSET(INDIRECT(CELL("address",INDEX('Leave Tracker'!$A$8:$A$106,MATCH($A59,'Leave Tracker'!$A$8:$A$106,0)))),0,31*(VLOOKUP(P$1,Sprints[],5,FALSE))+DAY(VLOOKUP(P$1,Sprints[],2,FALSE)),1,VLOOKUP(P$1,Sprints[],4,FALSE))&lt;&gt;"")*(IF(OFFSET(INDIRECT(CELL("address",INDEX('Leave Tracker'!$A$8:$A$106,MATCH($A59,'Leave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9" s="84">
        <f t="array" aca="1" ref="Q59" ca="1">Sheet3!$W$2*$F59*(NETWORKDAYS(VLOOKUP(Q$1,Sprints[],2,FALSE), VLOOKUP(Q$1,Sprints[],3,FALSE))-SUMPRODUCT((OFFSET(INDIRECT(CELL("address",INDEX('Leave Tracker'!$A$8:$A$106,MATCH($A59,'Leave Tracker'!$A$8:$A$106,0)))),0,31*(VLOOKUP(Q$1,Sprints[],5,FALSE))+DAY(VLOOKUP(Q$1,Sprints[],2,FALSE)),1,VLOOKUP(Q$1,Sprints[],4,FALSE))&lt;&gt;"")*(IF(OFFSET(INDIRECT(CELL("address",INDEX('Leave Tracker'!$A$8:$A$106,MATCH($A59,'Leave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9" s="84">
        <f t="array" aca="1" ref="R59" ca="1">Sheet3!$W$2*$F59*(NETWORKDAYS(VLOOKUP(R$1,Sprints[],2,FALSE), VLOOKUP(R$1,Sprints[],3,FALSE))-SUMPRODUCT((OFFSET(INDIRECT(CELL("address",INDEX('Leave Tracker'!$A$8:$A$106,MATCH($A59,'Leave Tracker'!$A$8:$A$106,0)))),0,31*(VLOOKUP(R$1,Sprints[],5,FALSE))+DAY(VLOOKUP(R$1,Sprints[],2,FALSE)),1,VLOOKUP(R$1,Sprints[],4,FALSE))&lt;&gt;"")*(IF(OFFSET(INDIRECT(CELL("address",INDEX('Leave Tracker'!$A$8:$A$106,MATCH($A59,'Leave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9" s="84">
        <f t="array" aca="1" ref="S59" ca="1">Sheet3!$W$2*$F59*(NETWORKDAYS(VLOOKUP(S$1,Sprints[],2,FALSE), VLOOKUP(S$1,Sprints[],3,FALSE))-SUMPRODUCT((OFFSET(INDIRECT(CELL("address",INDEX('Leave Tracker'!$A$8:$A$106,MATCH($A59,'Leave Tracker'!$A$8:$A$106,0)))),0,31*(VLOOKUP(S$1,Sprints[],5,FALSE))+DAY(VLOOKUP(S$1,Sprints[],2,FALSE)),1,VLOOKUP(S$1,Sprints[],4,FALSE))&lt;&gt;"")*(IF(OFFSET(INDIRECT(CELL("address",INDEX('Leave Tracker'!$A$8:$A$106,MATCH($A59,'Leave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9" s="84">
        <f t="array" aca="1" ref="T59" ca="1">Sheet3!$W$2*$F59*(NETWORKDAYS(VLOOKUP(T$1,Sprints[],2,FALSE), VLOOKUP(T$1,Sprints[],3,FALSE))-SUMPRODUCT((OFFSET(INDIRECT(CELL("address",INDEX('Leave Tracker'!$A$8:$A$106,MATCH($A59,'Leave Tracker'!$A$8:$A$106,0)))),0,31*(VLOOKUP(T$1,Sprints[],5,FALSE))+DAY(VLOOKUP(T$1,Sprints[],2,FALSE)),1,VLOOKUP(T$1,Sprints[],4,FALSE))&lt;&gt;"")*(IF(OFFSET(INDIRECT(CELL("address",INDEX('Leave Tracker'!$A$8:$A$106,MATCH($A59,'Leave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9" s="87">
        <f t="array" aca="1" ref="U59" ca="1">Sheet3!$W$2*$F59*(NETWORKDAYS(VLOOKUP(U$1,Sprints[],2,FALSE), VLOOKUP(U$1,Sprints[],3,FALSE))-SUMPRODUCT((OFFSET(INDIRECT(CELL("address",INDEX('Leave Tracker'!$A$8:$A$106,MATCH($A59,'Leave Tracker'!$A$8:$A$106,0)))),0,31*(VLOOKUP(U$1,Sprints[],5,FALSE))+DAY(VLOOKUP(U$1,Sprints[],2,FALSE)),1,VLOOKUP(U$1,Sprints[],4,FALSE))&lt;&gt;"")*(IF(OFFSET(INDIRECT(CELL("address",INDEX('Leave Tracker'!$A$8:$A$106,MATCH($A59,'Leave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61" spans="1:21" s="45" customFormat="1" x14ac:dyDescent="0.45"/>
    <row r="63" spans="1:21" x14ac:dyDescent="0.45">
      <c r="G63" s="45"/>
      <c r="H63" s="45"/>
      <c r="I63" s="45"/>
      <c r="J63" s="45"/>
      <c r="K63" s="45"/>
      <c r="M63" s="45"/>
      <c r="N63" s="45"/>
      <c r="O63" s="45"/>
      <c r="P63" s="45"/>
      <c r="Q63" s="45"/>
      <c r="R63" s="45"/>
    </row>
    <row r="66" spans="1:1" x14ac:dyDescent="0.45">
      <c r="A66" s="45"/>
    </row>
    <row r="67" spans="1:1" x14ac:dyDescent="0.45">
      <c r="A67" s="45"/>
    </row>
    <row r="70" spans="1:1" x14ac:dyDescent="0.45">
      <c r="A70" s="45"/>
    </row>
    <row r="72" spans="1:1" x14ac:dyDescent="0.45">
      <c r="A72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B2:B59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C2:C59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E2:E59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4"/>
  <sheetViews>
    <sheetView showGridLines="0" tabSelected="1" workbookViewId="0">
      <selection activeCell="Z15" sqref="Z15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18.560000000000002</v>
      </c>
      <c r="K2" s="61">
        <v>20</v>
      </c>
      <c r="L2" s="61">
        <v>16.520000000000003</v>
      </c>
      <c r="M2" s="61">
        <v>19.600000000000001</v>
      </c>
      <c r="N2" s="61">
        <v>10.8</v>
      </c>
      <c r="O2" s="61">
        <v>224.88000000000005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45.42</v>
      </c>
      <c r="K3" s="61">
        <v>54.960000000000008</v>
      </c>
      <c r="L3" s="61">
        <v>46.24</v>
      </c>
      <c r="M3" s="61">
        <v>56.6</v>
      </c>
      <c r="N3" s="61">
        <v>29.8</v>
      </c>
      <c r="O3" s="61">
        <v>601.72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90">
        <v>19</v>
      </c>
      <c r="AB3" s="90">
        <v>20</v>
      </c>
      <c r="AC3" s="88">
        <f t="shared" ref="AC3:AC8" si="0">L2</f>
        <v>16.520000000000003</v>
      </c>
      <c r="AD3" s="88">
        <f t="shared" ref="AD3:AD8" si="1">M2</f>
        <v>19.600000000000001</v>
      </c>
      <c r="AE3" s="88">
        <f t="shared" ref="AE3:AE8" si="2">N2</f>
        <v>10.8</v>
      </c>
      <c r="AF3" s="88">
        <f t="shared" ref="AF3:AF8" si="3">SUM(S3:AE3)</f>
        <v>224.92000000000002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46.540000000000006</v>
      </c>
      <c r="K4" s="61">
        <v>55.760000000000005</v>
      </c>
      <c r="L4" s="61">
        <v>46.560000000000009</v>
      </c>
      <c r="M4" s="61">
        <v>53.600000000000009</v>
      </c>
      <c r="N4" s="61">
        <v>28.000000000000004</v>
      </c>
      <c r="O4" s="61">
        <v>566.90000000000009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90">
        <v>45</v>
      </c>
      <c r="AB4" s="90">
        <v>55</v>
      </c>
      <c r="AC4" s="88">
        <f t="shared" si="0"/>
        <v>46.24</v>
      </c>
      <c r="AD4" s="88">
        <f t="shared" si="1"/>
        <v>56.6</v>
      </c>
      <c r="AE4" s="88">
        <f t="shared" si="2"/>
        <v>29.8</v>
      </c>
      <c r="AF4" s="88">
        <f t="shared" si="3"/>
        <v>586.64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71.52000000000001</v>
      </c>
      <c r="L5" s="61">
        <v>74.640000000000015</v>
      </c>
      <c r="M5" s="61">
        <v>73.000000000000014</v>
      </c>
      <c r="N5" s="61">
        <v>40.400000000000006</v>
      </c>
      <c r="O5" s="61">
        <v>913.76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90">
        <v>40</v>
      </c>
      <c r="AB5" s="90">
        <v>56</v>
      </c>
      <c r="AC5" s="88">
        <f t="shared" si="0"/>
        <v>46.560000000000009</v>
      </c>
      <c r="AD5" s="88">
        <f t="shared" si="1"/>
        <v>53.600000000000009</v>
      </c>
      <c r="AE5" s="88">
        <f t="shared" si="2"/>
        <v>28.000000000000004</v>
      </c>
      <c r="AF5" s="88">
        <f t="shared" si="3"/>
        <v>547.16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90">
        <v>66</v>
      </c>
      <c r="AB6" s="90">
        <v>72</v>
      </c>
      <c r="AC6" s="88">
        <f t="shared" si="0"/>
        <v>74.640000000000015</v>
      </c>
      <c r="AD6" s="88">
        <f t="shared" si="1"/>
        <v>73.000000000000014</v>
      </c>
      <c r="AE6" s="88">
        <f t="shared" si="2"/>
        <v>40.400000000000006</v>
      </c>
      <c r="AF6" s="88">
        <f t="shared" si="3"/>
        <v>915.04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176.28000000000003</v>
      </c>
      <c r="K7" s="61">
        <v>202.24000000000004</v>
      </c>
      <c r="L7" s="61">
        <v>183.96000000000004</v>
      </c>
      <c r="M7" s="61">
        <v>202.8</v>
      </c>
      <c r="N7" s="61">
        <v>109.00000000000001</v>
      </c>
      <c r="O7" s="61">
        <v>2308.4600000000005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7" si="4">I6</f>
        <v>0</v>
      </c>
      <c r="AA7" s="90">
        <v>0</v>
      </c>
      <c r="AB7" s="90">
        <v>0</v>
      </c>
      <c r="AC7" s="88">
        <f t="shared" si="0"/>
        <v>0</v>
      </c>
      <c r="AD7" s="88">
        <f t="shared" si="1"/>
        <v>0</v>
      </c>
      <c r="AE7" s="88">
        <f t="shared" si="2"/>
        <v>0</v>
      </c>
      <c r="AF7" s="88">
        <f t="shared" si="3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91">
        <v>170</v>
      </c>
      <c r="AB8" s="91">
        <v>202</v>
      </c>
      <c r="AC8" s="89">
        <f t="shared" si="0"/>
        <v>183.96000000000004</v>
      </c>
      <c r="AD8" s="89">
        <f t="shared" si="1"/>
        <v>202.8</v>
      </c>
      <c r="AE8" s="89">
        <f t="shared" si="2"/>
        <v>109.00000000000001</v>
      </c>
      <c r="AF8" s="89">
        <f t="shared" si="3"/>
        <v>2295.7600000000002</v>
      </c>
    </row>
    <row r="12" spans="1:32" x14ac:dyDescent="0.45">
      <c r="R12" s="81" t="s">
        <v>177</v>
      </c>
      <c r="S12" s="82"/>
      <c r="T12" s="83"/>
      <c r="U12" s="80">
        <f ca="1">SUMIF(Team!E2:E105,"QA BA", Team!U2:U105)</f>
        <v>134.22</v>
      </c>
    </row>
    <row r="14" spans="1:32" x14ac:dyDescent="0.45">
      <c r="R14" s="81" t="s">
        <v>178</v>
      </c>
      <c r="S14" s="82"/>
      <c r="T14" s="83"/>
      <c r="U14" s="80">
        <f ca="1">SUM(SUMIFS(Team!U4:U105, Team!E4:E105,"QA BA", Team!B4:B105, {"Alpha","ngStars","NW"}))</f>
        <v>88.860000000000014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September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September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43347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30</v>
      </c>
      <c r="U16" s="31">
        <f ca="1">DATEDIF(DATE('Leave Tracker'!$A$2,'Leave Tracker'!$A$1,1),DATE(YEAR(R16),MONTH(R16),1),"m")</f>
        <v>5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2018-09-04T11:42:45Z</dcterms:modified>
</cp:coreProperties>
</file>