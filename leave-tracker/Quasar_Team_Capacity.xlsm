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Git\etc\leave-tracker\"/>
    </mc:Choice>
  </mc:AlternateContent>
  <xr:revisionPtr revIDLastSave="0" documentId="10_ncr:100000_{6A640E25-E92A-49D8-9015-0AC7665FBC1D}" xr6:coauthVersionLast="31" xr6:coauthVersionMax="31" xr10:uidLastSave="{00000000-0000-0000-0000-000000000000}"/>
  <bookViews>
    <workbookView xWindow="0" yWindow="0" windowWidth="21600" windowHeight="9285" activeTab="3" xr2:uid="{00000000-000D-0000-FFFF-FFFF00000000}"/>
  </bookViews>
  <sheets>
    <sheet name="Leave Tracker" sheetId="8" r:id="rId1"/>
    <sheet name="Holidays" sheetId="9" state="hidden" r:id="rId2"/>
    <sheet name="Team" sheetId="10" r:id="rId3"/>
    <sheet name="Team Capacity" sheetId="11" r:id="rId4"/>
    <sheet name="Sheet3" sheetId="5" state="hidden" r:id="rId5"/>
  </sheets>
  <definedNames>
    <definedName name="HolidayListNamedRange">HolidayList[Date]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41547.3902083333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</definedNames>
  <calcPr calcId="179017"/>
  <pivotCaches>
    <pivotCache cacheId="4" r:id="rId6"/>
  </pivotCaches>
  <fileRecoveryPr autoRecover="0"/>
</workbook>
</file>

<file path=xl/calcChain.xml><?xml version="1.0" encoding="utf-8"?>
<calcChain xmlns="http://schemas.openxmlformats.org/spreadsheetml/2006/main">
  <c r="Z7" i="11" l="1"/>
  <c r="AC3" i="11"/>
  <c r="AC4" i="11"/>
  <c r="AC5" i="11"/>
  <c r="AC6" i="11"/>
  <c r="AC7" i="11"/>
  <c r="AC8" i="11"/>
  <c r="AD3" i="11"/>
  <c r="AD4" i="11"/>
  <c r="AD5" i="11"/>
  <c r="AD6" i="11"/>
  <c r="AD7" i="11"/>
  <c r="AD8" i="11"/>
  <c r="AE3" i="11"/>
  <c r="AE4" i="11"/>
  <c r="AE5" i="11"/>
  <c r="AE6" i="11"/>
  <c r="AE7" i="11"/>
  <c r="AE8" i="11"/>
  <c r="H40" i="10" a="1"/>
  <c r="N40" i="10" a="1"/>
  <c r="T40" i="10" a="1"/>
  <c r="G40" i="10" a="1"/>
  <c r="J40" i="10" a="1"/>
  <c r="O40" i="10" a="1"/>
  <c r="R40" i="10" a="1"/>
  <c r="Q40" i="10" a="1"/>
  <c r="S40" i="10" a="1"/>
  <c r="I40" i="10" a="1"/>
  <c r="K40" i="10" a="1"/>
  <c r="M40" i="10" a="1"/>
  <c r="L40" i="10" a="1"/>
  <c r="P40" i="10" a="1"/>
  <c r="N40" i="10" l="1"/>
  <c r="R40" i="10"/>
  <c r="G40" i="10"/>
  <c r="S40" i="10"/>
  <c r="K40" i="10"/>
  <c r="O40" i="10"/>
  <c r="J40" i="10"/>
  <c r="T40" i="10"/>
  <c r="H40" i="10"/>
  <c r="P40" i="10"/>
  <c r="L40" i="10"/>
  <c r="M40" i="10"/>
  <c r="I40" i="10"/>
  <c r="Q40" i="10"/>
  <c r="AF8" i="11"/>
  <c r="AF7" i="11"/>
  <c r="AF6" i="11"/>
  <c r="AF5" i="11"/>
  <c r="AF4" i="11"/>
  <c r="AF3" i="11"/>
  <c r="R16" i="5"/>
  <c r="U16" i="5" l="1"/>
  <c r="AT10" i="8" l="1"/>
  <c r="AU10" i="8"/>
  <c r="AV10" i="8"/>
  <c r="X15" i="8"/>
  <c r="Y15" i="8"/>
  <c r="Z15" i="8"/>
  <c r="AA15" i="8"/>
  <c r="AB15" i="8"/>
  <c r="U2" i="5"/>
  <c r="A4" i="8"/>
  <c r="T2" i="5"/>
  <c r="S3" i="5"/>
  <c r="R3" i="5"/>
  <c r="U3" i="5" s="1"/>
  <c r="R4" i="5"/>
  <c r="U4" i="5" s="1"/>
  <c r="AB3" i="8"/>
  <c r="G2" i="9"/>
  <c r="NL5" i="8"/>
  <c r="NI5" i="8"/>
  <c r="NI6" i="8" s="1"/>
  <c r="NI4" i="8" s="1"/>
  <c r="NH5" i="8"/>
  <c r="NH6" i="8" s="1"/>
  <c r="NH4" i="8" s="1"/>
  <c r="NG5" i="8"/>
  <c r="NG6" i="8" s="1"/>
  <c r="NG4" i="8" s="1"/>
  <c r="NF5" i="8"/>
  <c r="NF6" i="8" s="1"/>
  <c r="NF4" i="8" s="1"/>
  <c r="NE5" i="8"/>
  <c r="NE6" i="8" s="1"/>
  <c r="NE4" i="8" s="1"/>
  <c r="ND5" i="8"/>
  <c r="ND6" i="8" s="1"/>
  <c r="ND4" i="8" s="1"/>
  <c r="NC5" i="8"/>
  <c r="NC6" i="8" s="1"/>
  <c r="NC4" i="8" s="1"/>
  <c r="NB5" i="8"/>
  <c r="NB6" i="8" s="1"/>
  <c r="NB4" i="8" s="1"/>
  <c r="NA5" i="8"/>
  <c r="NA6" i="8" s="1"/>
  <c r="NA4" i="8" s="1"/>
  <c r="MZ5" i="8"/>
  <c r="MZ6" i="8" s="1"/>
  <c r="MZ4" i="8" s="1"/>
  <c r="MY5" i="8"/>
  <c r="MY6" i="8" s="1"/>
  <c r="MY4" i="8" s="1"/>
  <c r="MX5" i="8"/>
  <c r="MX6" i="8" s="1"/>
  <c r="MX4" i="8" s="1"/>
  <c r="MW5" i="8"/>
  <c r="MW6" i="8" s="1"/>
  <c r="MW4" i="8" s="1"/>
  <c r="MV5" i="8"/>
  <c r="MV6" i="8" s="1"/>
  <c r="MV4" i="8" s="1"/>
  <c r="MU5" i="8"/>
  <c r="MU6" i="8" s="1"/>
  <c r="MU4" i="8" s="1"/>
  <c r="MT5" i="8"/>
  <c r="MT6" i="8" s="1"/>
  <c r="MT4" i="8" s="1"/>
  <c r="MS5" i="8"/>
  <c r="MS6" i="8" s="1"/>
  <c r="MS4" i="8" s="1"/>
  <c r="MR5" i="8"/>
  <c r="MR6" i="8" s="1"/>
  <c r="MR4" i="8" s="1"/>
  <c r="MQ5" i="8"/>
  <c r="MQ6" i="8" s="1"/>
  <c r="MQ4" i="8" s="1"/>
  <c r="MP5" i="8"/>
  <c r="MP6" i="8" s="1"/>
  <c r="MP4" i="8" s="1"/>
  <c r="MO5" i="8"/>
  <c r="MO6" i="8" s="1"/>
  <c r="MO4" i="8" s="1"/>
  <c r="MN5" i="8"/>
  <c r="MN6" i="8" s="1"/>
  <c r="MN4" i="8" s="1"/>
  <c r="MM5" i="8"/>
  <c r="MM6" i="8" s="1"/>
  <c r="MM4" i="8" s="1"/>
  <c r="ML5" i="8"/>
  <c r="ML6" i="8" s="1"/>
  <c r="ML4" i="8" s="1"/>
  <c r="MK5" i="8"/>
  <c r="MK6" i="8" s="1"/>
  <c r="MK4" i="8" s="1"/>
  <c r="MJ5" i="8"/>
  <c r="MJ6" i="8" s="1"/>
  <c r="MJ4" i="8" s="1"/>
  <c r="MI5" i="8"/>
  <c r="MI6" i="8" s="1"/>
  <c r="MI4" i="8" s="1"/>
  <c r="MH5" i="8"/>
  <c r="MH6" i="8" s="1"/>
  <c r="MH4" i="8" s="1"/>
  <c r="MG5" i="8"/>
  <c r="MG6" i="8" s="1"/>
  <c r="MG4" i="8" s="1"/>
  <c r="MF5" i="8"/>
  <c r="MF6" i="8" s="1"/>
  <c r="MF4" i="8" s="1"/>
  <c r="ME5" i="8"/>
  <c r="ME6" i="8" s="1"/>
  <c r="ME4" i="8" s="1"/>
  <c r="MD5" i="8"/>
  <c r="MD6" i="8" s="1"/>
  <c r="MD4" i="8" s="1"/>
  <c r="MC5" i="8"/>
  <c r="MC6" i="8" s="1"/>
  <c r="MC4" i="8" s="1"/>
  <c r="MB5" i="8"/>
  <c r="MB6" i="8" s="1"/>
  <c r="MB4" i="8" s="1"/>
  <c r="MA5" i="8"/>
  <c r="MA6" i="8" s="1"/>
  <c r="MA4" i="8" s="1"/>
  <c r="LZ5" i="8"/>
  <c r="LZ6" i="8" s="1"/>
  <c r="LZ4" i="8" s="1"/>
  <c r="LY5" i="8"/>
  <c r="LY6" i="8" s="1"/>
  <c r="LY4" i="8" s="1"/>
  <c r="LX5" i="8"/>
  <c r="LX6" i="8" s="1"/>
  <c r="LX4" i="8" s="1"/>
  <c r="LW5" i="8"/>
  <c r="LW6" i="8" s="1"/>
  <c r="LW4" i="8" s="1"/>
  <c r="LV5" i="8"/>
  <c r="LV6" i="8" s="1"/>
  <c r="LV4" i="8" s="1"/>
  <c r="LU5" i="8"/>
  <c r="LU6" i="8" s="1"/>
  <c r="LU4" i="8" s="1"/>
  <c r="LT5" i="8"/>
  <c r="LT6" i="8" s="1"/>
  <c r="LT4" i="8" s="1"/>
  <c r="LS5" i="8"/>
  <c r="LS6" i="8" s="1"/>
  <c r="LS4" i="8" s="1"/>
  <c r="LR5" i="8"/>
  <c r="LR6" i="8" s="1"/>
  <c r="LR4" i="8" s="1"/>
  <c r="LQ5" i="8"/>
  <c r="LQ6" i="8" s="1"/>
  <c r="LQ4" i="8" s="1"/>
  <c r="LP5" i="8"/>
  <c r="LP6" i="8" s="1"/>
  <c r="LP4" i="8" s="1"/>
  <c r="LO5" i="8"/>
  <c r="LO6" i="8" s="1"/>
  <c r="LO4" i="8" s="1"/>
  <c r="LN5" i="8"/>
  <c r="LN6" i="8" s="1"/>
  <c r="LN4" i="8" s="1"/>
  <c r="LM5" i="8"/>
  <c r="LM6" i="8" s="1"/>
  <c r="LM4" i="8" s="1"/>
  <c r="LL5" i="8"/>
  <c r="LL6" i="8" s="1"/>
  <c r="LL4" i="8" s="1"/>
  <c r="LK5" i="8"/>
  <c r="LK6" i="8" s="1"/>
  <c r="LK4" i="8" s="1"/>
  <c r="LJ5" i="8"/>
  <c r="LJ6" i="8" s="1"/>
  <c r="LJ4" i="8" s="1"/>
  <c r="LI5" i="8"/>
  <c r="LI6" i="8" s="1"/>
  <c r="LI4" i="8" s="1"/>
  <c r="LH5" i="8"/>
  <c r="LH6" i="8" s="1"/>
  <c r="LH4" i="8" s="1"/>
  <c r="LG5" i="8"/>
  <c r="LG6" i="8" s="1"/>
  <c r="LG4" i="8" s="1"/>
  <c r="LF5" i="8"/>
  <c r="LF6" i="8" s="1"/>
  <c r="LF4" i="8" s="1"/>
  <c r="LE5" i="8"/>
  <c r="LE6" i="8" s="1"/>
  <c r="LE4" i="8" s="1"/>
  <c r="LD5" i="8"/>
  <c r="LD6" i="8" s="1"/>
  <c r="LD4" i="8" s="1"/>
  <c r="LC5" i="8"/>
  <c r="LC6" i="8" s="1"/>
  <c r="LC4" i="8" s="1"/>
  <c r="LB5" i="8"/>
  <c r="LB6" i="8" s="1"/>
  <c r="LB4" i="8" s="1"/>
  <c r="LA5" i="8"/>
  <c r="LA6" i="8" s="1"/>
  <c r="LA4" i="8" s="1"/>
  <c r="KZ5" i="8"/>
  <c r="KZ6" i="8" s="1"/>
  <c r="KZ4" i="8" s="1"/>
  <c r="KY5" i="8"/>
  <c r="KY6" i="8" s="1"/>
  <c r="KY4" i="8" s="1"/>
  <c r="KX5" i="8"/>
  <c r="KX6" i="8" s="1"/>
  <c r="KX4" i="8" s="1"/>
  <c r="KW5" i="8"/>
  <c r="KW6" i="8" s="1"/>
  <c r="KW4" i="8" s="1"/>
  <c r="KV5" i="8"/>
  <c r="KV6" i="8" s="1"/>
  <c r="KV4" i="8" s="1"/>
  <c r="KU5" i="8"/>
  <c r="KU6" i="8" s="1"/>
  <c r="KU4" i="8" s="1"/>
  <c r="KT5" i="8"/>
  <c r="KT6" i="8" s="1"/>
  <c r="KT4" i="8" s="1"/>
  <c r="KS5" i="8"/>
  <c r="KS6" i="8" s="1"/>
  <c r="KS4" i="8" s="1"/>
  <c r="KR5" i="8"/>
  <c r="KR6" i="8" s="1"/>
  <c r="KR4" i="8" s="1"/>
  <c r="KQ5" i="8"/>
  <c r="KQ6" i="8" s="1"/>
  <c r="KQ4" i="8" s="1"/>
  <c r="KP5" i="8"/>
  <c r="KP6" i="8" s="1"/>
  <c r="KP4" i="8" s="1"/>
  <c r="KO5" i="8"/>
  <c r="KO6" i="8" s="1"/>
  <c r="KO4" i="8" s="1"/>
  <c r="KN5" i="8"/>
  <c r="KN6" i="8" s="1"/>
  <c r="KN4" i="8" s="1"/>
  <c r="KM5" i="8"/>
  <c r="KM6" i="8" s="1"/>
  <c r="KM4" i="8" s="1"/>
  <c r="KL5" i="8"/>
  <c r="KL6" i="8" s="1"/>
  <c r="KL4" i="8" s="1"/>
  <c r="KK5" i="8"/>
  <c r="KK6" i="8" s="1"/>
  <c r="KK4" i="8" s="1"/>
  <c r="KJ5" i="8"/>
  <c r="KJ6" i="8" s="1"/>
  <c r="KJ4" i="8" s="1"/>
  <c r="KI5" i="8"/>
  <c r="KI6" i="8" s="1"/>
  <c r="KI4" i="8" s="1"/>
  <c r="KH5" i="8"/>
  <c r="KH6" i="8" s="1"/>
  <c r="KH4" i="8" s="1"/>
  <c r="KG5" i="8"/>
  <c r="KG6" i="8" s="1"/>
  <c r="KG4" i="8" s="1"/>
  <c r="KF5" i="8"/>
  <c r="KF6" i="8" s="1"/>
  <c r="KF4" i="8" s="1"/>
  <c r="KE5" i="8"/>
  <c r="KE6" i="8" s="1"/>
  <c r="KE4" i="8" s="1"/>
  <c r="KD5" i="8"/>
  <c r="KD6" i="8" s="1"/>
  <c r="KD4" i="8" s="1"/>
  <c r="KC5" i="8"/>
  <c r="KC6" i="8" s="1"/>
  <c r="KC4" i="8" s="1"/>
  <c r="KB5" i="8"/>
  <c r="KB6" i="8" s="1"/>
  <c r="KB4" i="8" s="1"/>
  <c r="KA5" i="8"/>
  <c r="KA6" i="8" s="1"/>
  <c r="KA4" i="8" s="1"/>
  <c r="JZ5" i="8"/>
  <c r="JZ6" i="8" s="1"/>
  <c r="JZ4" i="8" s="1"/>
  <c r="JY5" i="8"/>
  <c r="JY6" i="8" s="1"/>
  <c r="JY4" i="8" s="1"/>
  <c r="JX5" i="8"/>
  <c r="JX6" i="8" s="1"/>
  <c r="JX4" i="8" s="1"/>
  <c r="JW5" i="8"/>
  <c r="JW6" i="8" s="1"/>
  <c r="JW4" i="8" s="1"/>
  <c r="JV5" i="8"/>
  <c r="JV6" i="8" s="1"/>
  <c r="JV4" i="8" s="1"/>
  <c r="JU5" i="8"/>
  <c r="JU6" i="8" s="1"/>
  <c r="JU4" i="8" s="1"/>
  <c r="JT5" i="8"/>
  <c r="JT6" i="8" s="1"/>
  <c r="JT4" i="8" s="1"/>
  <c r="JS5" i="8"/>
  <c r="JS6" i="8" s="1"/>
  <c r="JS4" i="8" s="1"/>
  <c r="JR5" i="8"/>
  <c r="JR6" i="8" s="1"/>
  <c r="JR4" i="8" s="1"/>
  <c r="JQ5" i="8"/>
  <c r="JQ6" i="8" s="1"/>
  <c r="JQ4" i="8" s="1"/>
  <c r="JP5" i="8"/>
  <c r="JP6" i="8" s="1"/>
  <c r="JP4" i="8" s="1"/>
  <c r="JO5" i="8"/>
  <c r="JO6" i="8" s="1"/>
  <c r="JO4" i="8" s="1"/>
  <c r="JN5" i="8"/>
  <c r="JN6" i="8" s="1"/>
  <c r="JN4" i="8" s="1"/>
  <c r="JM5" i="8"/>
  <c r="JM6" i="8" s="1"/>
  <c r="JM4" i="8" s="1"/>
  <c r="JL5" i="8"/>
  <c r="JL6" i="8" s="1"/>
  <c r="JL4" i="8" s="1"/>
  <c r="JK5" i="8"/>
  <c r="JK6" i="8" s="1"/>
  <c r="JK4" i="8" s="1"/>
  <c r="JJ5" i="8"/>
  <c r="JJ6" i="8" s="1"/>
  <c r="JJ4" i="8" s="1"/>
  <c r="JI5" i="8"/>
  <c r="JI6" i="8" s="1"/>
  <c r="JI4" i="8" s="1"/>
  <c r="JH5" i="8"/>
  <c r="JH6" i="8" s="1"/>
  <c r="JH4" i="8" s="1"/>
  <c r="JG5" i="8"/>
  <c r="JG6" i="8" s="1"/>
  <c r="JG4" i="8" s="1"/>
  <c r="JF5" i="8"/>
  <c r="JF6" i="8" s="1"/>
  <c r="JF4" i="8" s="1"/>
  <c r="JE5" i="8"/>
  <c r="JE6" i="8" s="1"/>
  <c r="JE4" i="8" s="1"/>
  <c r="JD5" i="8"/>
  <c r="JD6" i="8" s="1"/>
  <c r="JD4" i="8" s="1"/>
  <c r="JC5" i="8"/>
  <c r="JC6" i="8" s="1"/>
  <c r="JC4" i="8" s="1"/>
  <c r="JB5" i="8"/>
  <c r="JB6" i="8" s="1"/>
  <c r="JB4" i="8" s="1"/>
  <c r="JA5" i="8"/>
  <c r="JA6" i="8" s="1"/>
  <c r="JA4" i="8" s="1"/>
  <c r="IZ5" i="8"/>
  <c r="IZ6" i="8" s="1"/>
  <c r="IZ4" i="8" s="1"/>
  <c r="IY5" i="8"/>
  <c r="IY6" i="8" s="1"/>
  <c r="IY4" i="8" s="1"/>
  <c r="IX5" i="8"/>
  <c r="IX6" i="8" s="1"/>
  <c r="IX4" i="8" s="1"/>
  <c r="IW5" i="8"/>
  <c r="IW6" i="8" s="1"/>
  <c r="IW4" i="8" s="1"/>
  <c r="IV5" i="8"/>
  <c r="IV6" i="8" s="1"/>
  <c r="IV4" i="8" s="1"/>
  <c r="IU5" i="8"/>
  <c r="IU6" i="8" s="1"/>
  <c r="IU4" i="8" s="1"/>
  <c r="IT5" i="8"/>
  <c r="IT6" i="8" s="1"/>
  <c r="IT4" i="8" s="1"/>
  <c r="IS5" i="8"/>
  <c r="IS6" i="8" s="1"/>
  <c r="IS4" i="8" s="1"/>
  <c r="IR5" i="8"/>
  <c r="IR6" i="8" s="1"/>
  <c r="IR4" i="8" s="1"/>
  <c r="IQ5" i="8"/>
  <c r="IQ6" i="8" s="1"/>
  <c r="IQ4" i="8" s="1"/>
  <c r="IP5" i="8"/>
  <c r="IP6" i="8" s="1"/>
  <c r="IP4" i="8" s="1"/>
  <c r="IO5" i="8"/>
  <c r="IO6" i="8" s="1"/>
  <c r="IO4" i="8" s="1"/>
  <c r="IN5" i="8"/>
  <c r="IN6" i="8" s="1"/>
  <c r="IN4" i="8" s="1"/>
  <c r="IM5" i="8"/>
  <c r="IM6" i="8" s="1"/>
  <c r="IM4" i="8" s="1"/>
  <c r="IL5" i="8"/>
  <c r="IL6" i="8" s="1"/>
  <c r="IL4" i="8" s="1"/>
  <c r="IK5" i="8"/>
  <c r="IK6" i="8" s="1"/>
  <c r="IK4" i="8" s="1"/>
  <c r="IJ5" i="8"/>
  <c r="IJ6" i="8" s="1"/>
  <c r="IJ4" i="8" s="1"/>
  <c r="II5" i="8"/>
  <c r="II6" i="8" s="1"/>
  <c r="II4" i="8" s="1"/>
  <c r="IH5" i="8"/>
  <c r="IH6" i="8" s="1"/>
  <c r="IH4" i="8" s="1"/>
  <c r="IG5" i="8"/>
  <c r="IG6" i="8" s="1"/>
  <c r="IG4" i="8" s="1"/>
  <c r="IF5" i="8"/>
  <c r="IF6" i="8" s="1"/>
  <c r="IF4" i="8" s="1"/>
  <c r="IE5" i="8"/>
  <c r="IE6" i="8" s="1"/>
  <c r="IE4" i="8" s="1"/>
  <c r="ID5" i="8"/>
  <c r="ID6" i="8" s="1"/>
  <c r="ID4" i="8" s="1"/>
  <c r="IC5" i="8"/>
  <c r="IC6" i="8" s="1"/>
  <c r="IC4" i="8" s="1"/>
  <c r="IB5" i="8"/>
  <c r="IB6" i="8" s="1"/>
  <c r="IB4" i="8" s="1"/>
  <c r="IA5" i="8"/>
  <c r="IA6" i="8" s="1"/>
  <c r="IA4" i="8" s="1"/>
  <c r="HZ5" i="8"/>
  <c r="HZ6" i="8" s="1"/>
  <c r="HZ4" i="8" s="1"/>
  <c r="HY5" i="8"/>
  <c r="HY6" i="8" s="1"/>
  <c r="HY4" i="8" s="1"/>
  <c r="HX5" i="8"/>
  <c r="HX6" i="8" s="1"/>
  <c r="HX4" i="8" s="1"/>
  <c r="HW5" i="8"/>
  <c r="HW6" i="8" s="1"/>
  <c r="HW4" i="8" s="1"/>
  <c r="HV5" i="8"/>
  <c r="HV6" i="8" s="1"/>
  <c r="HV4" i="8" s="1"/>
  <c r="HU5" i="8"/>
  <c r="HU6" i="8" s="1"/>
  <c r="HU4" i="8" s="1"/>
  <c r="HT5" i="8"/>
  <c r="HT6" i="8" s="1"/>
  <c r="HT4" i="8" s="1"/>
  <c r="HS5" i="8"/>
  <c r="HS6" i="8" s="1"/>
  <c r="HS4" i="8" s="1"/>
  <c r="HR5" i="8"/>
  <c r="HR6" i="8" s="1"/>
  <c r="HR4" i="8" s="1"/>
  <c r="HQ5" i="8"/>
  <c r="HQ6" i="8" s="1"/>
  <c r="HQ4" i="8" s="1"/>
  <c r="HP5" i="8"/>
  <c r="HP6" i="8" s="1"/>
  <c r="HP4" i="8" s="1"/>
  <c r="HO5" i="8"/>
  <c r="HO6" i="8" s="1"/>
  <c r="HO4" i="8" s="1"/>
  <c r="HN5" i="8"/>
  <c r="HN6" i="8" s="1"/>
  <c r="HN4" i="8" s="1"/>
  <c r="HM5" i="8"/>
  <c r="HM6" i="8" s="1"/>
  <c r="HM4" i="8" s="1"/>
  <c r="HL5" i="8"/>
  <c r="HL6" i="8" s="1"/>
  <c r="HL4" i="8" s="1"/>
  <c r="HK5" i="8"/>
  <c r="HK6" i="8" s="1"/>
  <c r="HK4" i="8" s="1"/>
  <c r="HJ5" i="8"/>
  <c r="HJ6" i="8" s="1"/>
  <c r="HJ4" i="8" s="1"/>
  <c r="HI5" i="8"/>
  <c r="HI6" i="8" s="1"/>
  <c r="HI4" i="8" s="1"/>
  <c r="HH5" i="8"/>
  <c r="HH6" i="8" s="1"/>
  <c r="HH4" i="8" s="1"/>
  <c r="HG5" i="8"/>
  <c r="HG6" i="8" s="1"/>
  <c r="HG4" i="8" s="1"/>
  <c r="HF5" i="8"/>
  <c r="HF6" i="8" s="1"/>
  <c r="HF4" i="8" s="1"/>
  <c r="HE5" i="8"/>
  <c r="HE6" i="8" s="1"/>
  <c r="HE4" i="8" s="1"/>
  <c r="HD5" i="8"/>
  <c r="HD6" i="8" s="1"/>
  <c r="HD4" i="8" s="1"/>
  <c r="HC5" i="8"/>
  <c r="HC6" i="8" s="1"/>
  <c r="HC4" i="8" s="1"/>
  <c r="HB5" i="8"/>
  <c r="HB6" i="8" s="1"/>
  <c r="HB4" i="8" s="1"/>
  <c r="HA5" i="8"/>
  <c r="HA6" i="8" s="1"/>
  <c r="HA4" i="8" s="1"/>
  <c r="GZ5" i="8"/>
  <c r="GZ6" i="8" s="1"/>
  <c r="GZ4" i="8" s="1"/>
  <c r="GY5" i="8"/>
  <c r="GY6" i="8" s="1"/>
  <c r="GY4" i="8" s="1"/>
  <c r="GX5" i="8"/>
  <c r="GX6" i="8" s="1"/>
  <c r="GX4" i="8" s="1"/>
  <c r="GW5" i="8"/>
  <c r="GW6" i="8" s="1"/>
  <c r="GW4" i="8" s="1"/>
  <c r="GV5" i="8"/>
  <c r="GV6" i="8" s="1"/>
  <c r="GV4" i="8" s="1"/>
  <c r="GU5" i="8"/>
  <c r="GU6" i="8" s="1"/>
  <c r="GU4" i="8" s="1"/>
  <c r="GT5" i="8"/>
  <c r="GT6" i="8" s="1"/>
  <c r="GT4" i="8" s="1"/>
  <c r="GS5" i="8"/>
  <c r="GS6" i="8" s="1"/>
  <c r="GS4" i="8" s="1"/>
  <c r="GR5" i="8"/>
  <c r="GR6" i="8" s="1"/>
  <c r="GR4" i="8" s="1"/>
  <c r="GQ5" i="8"/>
  <c r="GQ6" i="8" s="1"/>
  <c r="GQ4" i="8" s="1"/>
  <c r="GP5" i="8"/>
  <c r="GP6" i="8" s="1"/>
  <c r="GP4" i="8" s="1"/>
  <c r="GO5" i="8"/>
  <c r="GO6" i="8" s="1"/>
  <c r="GO4" i="8" s="1"/>
  <c r="GN5" i="8"/>
  <c r="GN6" i="8" s="1"/>
  <c r="GN4" i="8" s="1"/>
  <c r="GM5" i="8"/>
  <c r="GM6" i="8" s="1"/>
  <c r="GM4" i="8" s="1"/>
  <c r="GL5" i="8"/>
  <c r="GL6" i="8" s="1"/>
  <c r="GL4" i="8" s="1"/>
  <c r="GK5" i="8"/>
  <c r="GK6" i="8" s="1"/>
  <c r="GK4" i="8" s="1"/>
  <c r="GJ5" i="8"/>
  <c r="GJ6" i="8" s="1"/>
  <c r="GJ4" i="8" s="1"/>
  <c r="GI5" i="8"/>
  <c r="GI6" i="8" s="1"/>
  <c r="GI4" i="8" s="1"/>
  <c r="GH5" i="8"/>
  <c r="GH6" i="8" s="1"/>
  <c r="GH4" i="8" s="1"/>
  <c r="GG5" i="8"/>
  <c r="GG6" i="8" s="1"/>
  <c r="GG4" i="8" s="1"/>
  <c r="GF5" i="8"/>
  <c r="GF6" i="8" s="1"/>
  <c r="GF4" i="8" s="1"/>
  <c r="GE5" i="8"/>
  <c r="GE6" i="8" s="1"/>
  <c r="GE4" i="8" s="1"/>
  <c r="GD5" i="8"/>
  <c r="GD6" i="8" s="1"/>
  <c r="GD4" i="8" s="1"/>
  <c r="GC5" i="8"/>
  <c r="GC6" i="8" s="1"/>
  <c r="GC4" i="8" s="1"/>
  <c r="GB5" i="8"/>
  <c r="GB6" i="8" s="1"/>
  <c r="GB4" i="8" s="1"/>
  <c r="GA5" i="8"/>
  <c r="GA6" i="8" s="1"/>
  <c r="GA4" i="8" s="1"/>
  <c r="FZ5" i="8"/>
  <c r="FZ6" i="8" s="1"/>
  <c r="FZ4" i="8" s="1"/>
  <c r="FY5" i="8"/>
  <c r="FY6" i="8" s="1"/>
  <c r="FY4" i="8" s="1"/>
  <c r="FX5" i="8"/>
  <c r="FX6" i="8" s="1"/>
  <c r="FX4" i="8" s="1"/>
  <c r="FW5" i="8"/>
  <c r="FW6" i="8" s="1"/>
  <c r="FW4" i="8" s="1"/>
  <c r="FV5" i="8"/>
  <c r="FV6" i="8" s="1"/>
  <c r="FV4" i="8" s="1"/>
  <c r="FU5" i="8"/>
  <c r="FU6" i="8" s="1"/>
  <c r="FU4" i="8" s="1"/>
  <c r="FT5" i="8"/>
  <c r="FT6" i="8" s="1"/>
  <c r="FT4" i="8" s="1"/>
  <c r="FS5" i="8"/>
  <c r="FS6" i="8" s="1"/>
  <c r="FS4" i="8" s="1"/>
  <c r="FR5" i="8"/>
  <c r="FR6" i="8" s="1"/>
  <c r="FR4" i="8" s="1"/>
  <c r="FQ5" i="8"/>
  <c r="FQ6" i="8" s="1"/>
  <c r="FQ4" i="8" s="1"/>
  <c r="FP5" i="8"/>
  <c r="FP6" i="8" s="1"/>
  <c r="FP4" i="8" s="1"/>
  <c r="FO5" i="8"/>
  <c r="FO6" i="8" s="1"/>
  <c r="FO4" i="8" s="1"/>
  <c r="FN5" i="8"/>
  <c r="FN6" i="8" s="1"/>
  <c r="FN4" i="8" s="1"/>
  <c r="FM5" i="8"/>
  <c r="FM6" i="8" s="1"/>
  <c r="FM4" i="8" s="1"/>
  <c r="FL5" i="8"/>
  <c r="FL6" i="8" s="1"/>
  <c r="FL4" i="8" s="1"/>
  <c r="FK5" i="8"/>
  <c r="FK6" i="8" s="1"/>
  <c r="FK4" i="8" s="1"/>
  <c r="FJ5" i="8"/>
  <c r="FJ6" i="8" s="1"/>
  <c r="FJ4" i="8" s="1"/>
  <c r="FI5" i="8"/>
  <c r="FI6" i="8" s="1"/>
  <c r="FI4" i="8" s="1"/>
  <c r="FH5" i="8"/>
  <c r="FH6" i="8" s="1"/>
  <c r="FH4" i="8" s="1"/>
  <c r="FG5" i="8"/>
  <c r="FG6" i="8" s="1"/>
  <c r="FG4" i="8" s="1"/>
  <c r="FF5" i="8"/>
  <c r="FF6" i="8" s="1"/>
  <c r="FF4" i="8" s="1"/>
  <c r="FE5" i="8"/>
  <c r="FE6" i="8" s="1"/>
  <c r="FE4" i="8" s="1"/>
  <c r="FD5" i="8"/>
  <c r="FD6" i="8" s="1"/>
  <c r="FD4" i="8" s="1"/>
  <c r="FC5" i="8"/>
  <c r="FC6" i="8" s="1"/>
  <c r="FC4" i="8" s="1"/>
  <c r="FB5" i="8"/>
  <c r="FB6" i="8" s="1"/>
  <c r="FB4" i="8" s="1"/>
  <c r="FA5" i="8"/>
  <c r="FA6" i="8" s="1"/>
  <c r="FA4" i="8" s="1"/>
  <c r="EZ5" i="8"/>
  <c r="EZ6" i="8" s="1"/>
  <c r="EZ4" i="8" s="1"/>
  <c r="EY5" i="8"/>
  <c r="EY6" i="8" s="1"/>
  <c r="EY4" i="8" s="1"/>
  <c r="EX5" i="8"/>
  <c r="EX6" i="8" s="1"/>
  <c r="EX4" i="8" s="1"/>
  <c r="EW5" i="8"/>
  <c r="EW6" i="8" s="1"/>
  <c r="EW4" i="8" s="1"/>
  <c r="EV5" i="8"/>
  <c r="EV6" i="8" s="1"/>
  <c r="EV4" i="8" s="1"/>
  <c r="EU5" i="8"/>
  <c r="EU6" i="8" s="1"/>
  <c r="EU4" i="8" s="1"/>
  <c r="ET5" i="8"/>
  <c r="ET6" i="8" s="1"/>
  <c r="ET4" i="8" s="1"/>
  <c r="ES5" i="8"/>
  <c r="ES6" i="8" s="1"/>
  <c r="ES4" i="8" s="1"/>
  <c r="ER5" i="8"/>
  <c r="ER6" i="8" s="1"/>
  <c r="ER4" i="8" s="1"/>
  <c r="EQ5" i="8"/>
  <c r="EQ6" i="8" s="1"/>
  <c r="EQ4" i="8" s="1"/>
  <c r="EP5" i="8"/>
  <c r="EP6" i="8" s="1"/>
  <c r="EP4" i="8" s="1"/>
  <c r="EO5" i="8"/>
  <c r="EO6" i="8" s="1"/>
  <c r="EO4" i="8" s="1"/>
  <c r="EN5" i="8"/>
  <c r="EN6" i="8" s="1"/>
  <c r="EN4" i="8" s="1"/>
  <c r="EM5" i="8"/>
  <c r="EM6" i="8" s="1"/>
  <c r="EM4" i="8" s="1"/>
  <c r="EL5" i="8"/>
  <c r="EL6" i="8" s="1"/>
  <c r="EL4" i="8" s="1"/>
  <c r="EK5" i="8"/>
  <c r="EK6" i="8" s="1"/>
  <c r="EK4" i="8" s="1"/>
  <c r="EJ5" i="8"/>
  <c r="EJ6" i="8" s="1"/>
  <c r="EJ4" i="8" s="1"/>
  <c r="EI5" i="8"/>
  <c r="EI6" i="8" s="1"/>
  <c r="EI4" i="8" s="1"/>
  <c r="EH5" i="8"/>
  <c r="EH6" i="8" s="1"/>
  <c r="EH4" i="8" s="1"/>
  <c r="EG5" i="8"/>
  <c r="EG6" i="8" s="1"/>
  <c r="EG4" i="8" s="1"/>
  <c r="EF5" i="8"/>
  <c r="EF6" i="8" s="1"/>
  <c r="EF4" i="8" s="1"/>
  <c r="EE5" i="8"/>
  <c r="EE6" i="8" s="1"/>
  <c r="EE4" i="8" s="1"/>
  <c r="ED5" i="8"/>
  <c r="ED6" i="8" s="1"/>
  <c r="ED4" i="8" s="1"/>
  <c r="EC5" i="8"/>
  <c r="EC6" i="8" s="1"/>
  <c r="EC4" i="8" s="1"/>
  <c r="EB5" i="8"/>
  <c r="EB6" i="8" s="1"/>
  <c r="EB4" i="8" s="1"/>
  <c r="EA5" i="8"/>
  <c r="EA6" i="8" s="1"/>
  <c r="EA4" i="8" s="1"/>
  <c r="DZ5" i="8"/>
  <c r="DZ6" i="8" s="1"/>
  <c r="DZ4" i="8" s="1"/>
  <c r="DY5" i="8"/>
  <c r="DY6" i="8" s="1"/>
  <c r="DY4" i="8" s="1"/>
  <c r="DX5" i="8"/>
  <c r="DX6" i="8" s="1"/>
  <c r="DX4" i="8" s="1"/>
  <c r="DW5" i="8"/>
  <c r="DW6" i="8" s="1"/>
  <c r="DW4" i="8" s="1"/>
  <c r="DV5" i="8"/>
  <c r="DV6" i="8" s="1"/>
  <c r="DV4" i="8" s="1"/>
  <c r="DU5" i="8"/>
  <c r="DU6" i="8" s="1"/>
  <c r="DU4" i="8" s="1"/>
  <c r="DT5" i="8"/>
  <c r="DT6" i="8" s="1"/>
  <c r="DT4" i="8" s="1"/>
  <c r="DS5" i="8"/>
  <c r="DS6" i="8" s="1"/>
  <c r="DS4" i="8" s="1"/>
  <c r="DR5" i="8"/>
  <c r="DR6" i="8" s="1"/>
  <c r="DR4" i="8" s="1"/>
  <c r="DQ5" i="8"/>
  <c r="DQ6" i="8" s="1"/>
  <c r="DQ4" i="8" s="1"/>
  <c r="DP5" i="8"/>
  <c r="DP6" i="8" s="1"/>
  <c r="DP4" i="8" s="1"/>
  <c r="DO5" i="8"/>
  <c r="DO6" i="8" s="1"/>
  <c r="DO4" i="8" s="1"/>
  <c r="DN5" i="8"/>
  <c r="DN6" i="8" s="1"/>
  <c r="DN4" i="8" s="1"/>
  <c r="DM5" i="8"/>
  <c r="DM6" i="8" s="1"/>
  <c r="DM4" i="8" s="1"/>
  <c r="DL5" i="8"/>
  <c r="DL6" i="8" s="1"/>
  <c r="DL4" i="8" s="1"/>
  <c r="DK5" i="8"/>
  <c r="DK6" i="8" s="1"/>
  <c r="DK4" i="8" s="1"/>
  <c r="DJ5" i="8"/>
  <c r="DJ6" i="8" s="1"/>
  <c r="DJ4" i="8" s="1"/>
  <c r="DI5" i="8"/>
  <c r="DI6" i="8" s="1"/>
  <c r="DI4" i="8" s="1"/>
  <c r="DH5" i="8"/>
  <c r="DH6" i="8" s="1"/>
  <c r="DH4" i="8" s="1"/>
  <c r="DG5" i="8"/>
  <c r="DG6" i="8" s="1"/>
  <c r="DG4" i="8" s="1"/>
  <c r="DF5" i="8"/>
  <c r="DF6" i="8" s="1"/>
  <c r="DF4" i="8" s="1"/>
  <c r="DE5" i="8"/>
  <c r="DE6" i="8" s="1"/>
  <c r="DE4" i="8" s="1"/>
  <c r="DD5" i="8"/>
  <c r="DD6" i="8" s="1"/>
  <c r="DD4" i="8" s="1"/>
  <c r="DC5" i="8"/>
  <c r="DC6" i="8" s="1"/>
  <c r="DC4" i="8" s="1"/>
  <c r="DB5" i="8"/>
  <c r="DB6" i="8" s="1"/>
  <c r="DB4" i="8" s="1"/>
  <c r="DA5" i="8"/>
  <c r="DA6" i="8" s="1"/>
  <c r="DA4" i="8" s="1"/>
  <c r="CZ5" i="8"/>
  <c r="CZ6" i="8" s="1"/>
  <c r="CZ4" i="8" s="1"/>
  <c r="CY5" i="8"/>
  <c r="CY6" i="8" s="1"/>
  <c r="CY4" i="8" s="1"/>
  <c r="CX5" i="8"/>
  <c r="CX6" i="8" s="1"/>
  <c r="CX4" i="8" s="1"/>
  <c r="CW5" i="8"/>
  <c r="CW6" i="8" s="1"/>
  <c r="CW4" i="8" s="1"/>
  <c r="CV5" i="8"/>
  <c r="CV6" i="8" s="1"/>
  <c r="CV4" i="8" s="1"/>
  <c r="CU5" i="8"/>
  <c r="CU6" i="8" s="1"/>
  <c r="CU4" i="8" s="1"/>
  <c r="CT5" i="8"/>
  <c r="CT6" i="8" s="1"/>
  <c r="CT4" i="8" s="1"/>
  <c r="CS5" i="8"/>
  <c r="CS6" i="8" s="1"/>
  <c r="CS4" i="8" s="1"/>
  <c r="CR5" i="8"/>
  <c r="CR6" i="8" s="1"/>
  <c r="CR4" i="8" s="1"/>
  <c r="CQ5" i="8"/>
  <c r="CQ6" i="8" s="1"/>
  <c r="CQ4" i="8" s="1"/>
  <c r="CP5" i="8"/>
  <c r="CP6" i="8" s="1"/>
  <c r="CP4" i="8" s="1"/>
  <c r="CO5" i="8"/>
  <c r="CO6" i="8" s="1"/>
  <c r="CO4" i="8" s="1"/>
  <c r="CN5" i="8"/>
  <c r="CN6" i="8" s="1"/>
  <c r="CN4" i="8" s="1"/>
  <c r="CM5" i="8"/>
  <c r="CM6" i="8" s="1"/>
  <c r="CM4" i="8" s="1"/>
  <c r="CL5" i="8"/>
  <c r="CL6" i="8" s="1"/>
  <c r="CL4" i="8" s="1"/>
  <c r="CK5" i="8"/>
  <c r="CK6" i="8" s="1"/>
  <c r="CK4" i="8" s="1"/>
  <c r="CJ5" i="8"/>
  <c r="CJ6" i="8" s="1"/>
  <c r="CJ4" i="8" s="1"/>
  <c r="CI5" i="8"/>
  <c r="CI6" i="8" s="1"/>
  <c r="CI4" i="8" s="1"/>
  <c r="CH5" i="8"/>
  <c r="CH6" i="8" s="1"/>
  <c r="CH4" i="8" s="1"/>
  <c r="CG5" i="8"/>
  <c r="CG6" i="8" s="1"/>
  <c r="CG4" i="8" s="1"/>
  <c r="CF5" i="8"/>
  <c r="CF6" i="8" s="1"/>
  <c r="CF4" i="8" s="1"/>
  <c r="CE5" i="8"/>
  <c r="CE6" i="8" s="1"/>
  <c r="CE4" i="8" s="1"/>
  <c r="CD5" i="8"/>
  <c r="CD6" i="8" s="1"/>
  <c r="CD4" i="8" s="1"/>
  <c r="CC5" i="8"/>
  <c r="CC6" i="8" s="1"/>
  <c r="CC4" i="8" s="1"/>
  <c r="CB5" i="8"/>
  <c r="CB6" i="8" s="1"/>
  <c r="CB4" i="8" s="1"/>
  <c r="CA5" i="8"/>
  <c r="CA6" i="8" s="1"/>
  <c r="CA4" i="8" s="1"/>
  <c r="BZ5" i="8"/>
  <c r="BZ6" i="8" s="1"/>
  <c r="BZ4" i="8" s="1"/>
  <c r="BY5" i="8"/>
  <c r="BY6" i="8" s="1"/>
  <c r="BY4" i="8" s="1"/>
  <c r="BX5" i="8"/>
  <c r="BX6" i="8" s="1"/>
  <c r="BX4" i="8" s="1"/>
  <c r="BW5" i="8"/>
  <c r="BW6" i="8" s="1"/>
  <c r="BW4" i="8" s="1"/>
  <c r="BV5" i="8"/>
  <c r="BV6" i="8" s="1"/>
  <c r="BV4" i="8" s="1"/>
  <c r="BU5" i="8"/>
  <c r="BU6" i="8" s="1"/>
  <c r="BU4" i="8" s="1"/>
  <c r="BT5" i="8"/>
  <c r="BT6" i="8" s="1"/>
  <c r="BT4" i="8" s="1"/>
  <c r="BS5" i="8"/>
  <c r="BS6" i="8" s="1"/>
  <c r="BS4" i="8" s="1"/>
  <c r="BR5" i="8"/>
  <c r="BR6" i="8" s="1"/>
  <c r="BR4" i="8" s="1"/>
  <c r="BQ5" i="8"/>
  <c r="BQ6" i="8" s="1"/>
  <c r="BQ4" i="8" s="1"/>
  <c r="BP5" i="8"/>
  <c r="BP6" i="8" s="1"/>
  <c r="BP4" i="8" s="1"/>
  <c r="BO5" i="8"/>
  <c r="BO6" i="8" s="1"/>
  <c r="BO4" i="8" s="1"/>
  <c r="BN5" i="8"/>
  <c r="BN6" i="8" s="1"/>
  <c r="BN4" i="8" s="1"/>
  <c r="BM5" i="8"/>
  <c r="BM6" i="8" s="1"/>
  <c r="BM4" i="8" s="1"/>
  <c r="BL5" i="8"/>
  <c r="BL6" i="8" s="1"/>
  <c r="BL4" i="8" s="1"/>
  <c r="BK5" i="8"/>
  <c r="BK6" i="8" s="1"/>
  <c r="BK4" i="8" s="1"/>
  <c r="BJ5" i="8"/>
  <c r="BJ6" i="8" s="1"/>
  <c r="BJ4" i="8" s="1"/>
  <c r="BI5" i="8"/>
  <c r="BI6" i="8" s="1"/>
  <c r="BI4" i="8" s="1"/>
  <c r="BH5" i="8"/>
  <c r="BH6" i="8" s="1"/>
  <c r="BH4" i="8" s="1"/>
  <c r="BG5" i="8"/>
  <c r="BG6" i="8" s="1"/>
  <c r="BG4" i="8" s="1"/>
  <c r="BF5" i="8"/>
  <c r="BF6" i="8" s="1"/>
  <c r="BF4" i="8" s="1"/>
  <c r="BE5" i="8"/>
  <c r="BE6" i="8" s="1"/>
  <c r="BE4" i="8" s="1"/>
  <c r="BD5" i="8"/>
  <c r="BD6" i="8" s="1"/>
  <c r="BD4" i="8" s="1"/>
  <c r="BC5" i="8"/>
  <c r="BC6" i="8" s="1"/>
  <c r="BC4" i="8" s="1"/>
  <c r="BB5" i="8"/>
  <c r="BB6" i="8" s="1"/>
  <c r="BB4" i="8" s="1"/>
  <c r="BA5" i="8"/>
  <c r="BA6" i="8" s="1"/>
  <c r="BA4" i="8" s="1"/>
  <c r="AZ5" i="8"/>
  <c r="AZ6" i="8" s="1"/>
  <c r="AZ4" i="8" s="1"/>
  <c r="AY5" i="8"/>
  <c r="AY6" i="8" s="1"/>
  <c r="AY4" i="8" s="1"/>
  <c r="AX5" i="8"/>
  <c r="AX6" i="8" s="1"/>
  <c r="AX4" i="8" s="1"/>
  <c r="AW5" i="8"/>
  <c r="AW6" i="8" s="1"/>
  <c r="AW4" i="8" s="1"/>
  <c r="AV5" i="8"/>
  <c r="AV6" i="8" s="1"/>
  <c r="AV4" i="8" s="1"/>
  <c r="AU5" i="8"/>
  <c r="AU6" i="8" s="1"/>
  <c r="AU4" i="8" s="1"/>
  <c r="AT5" i="8"/>
  <c r="AT6" i="8" s="1"/>
  <c r="AT4" i="8" s="1"/>
  <c r="AS5" i="8"/>
  <c r="AS6" i="8" s="1"/>
  <c r="AS4" i="8" s="1"/>
  <c r="AR5" i="8"/>
  <c r="AR6" i="8" s="1"/>
  <c r="AR4" i="8" s="1"/>
  <c r="AQ5" i="8"/>
  <c r="AQ6" i="8" s="1"/>
  <c r="AQ4" i="8" s="1"/>
  <c r="AP5" i="8"/>
  <c r="AP6" i="8" s="1"/>
  <c r="AP4" i="8" s="1"/>
  <c r="AO5" i="8"/>
  <c r="AO6" i="8" s="1"/>
  <c r="AO4" i="8" s="1"/>
  <c r="AN5" i="8"/>
  <c r="AN6" i="8" s="1"/>
  <c r="AN4" i="8" s="1"/>
  <c r="AM5" i="8"/>
  <c r="AM6" i="8" s="1"/>
  <c r="AM4" i="8" s="1"/>
  <c r="AL5" i="8"/>
  <c r="AL6" i="8" s="1"/>
  <c r="AL4" i="8" s="1"/>
  <c r="AK5" i="8"/>
  <c r="AK6" i="8" s="1"/>
  <c r="AK4" i="8" s="1"/>
  <c r="AJ5" i="8"/>
  <c r="AJ6" i="8" s="1"/>
  <c r="AJ4" i="8" s="1"/>
  <c r="AI5" i="8"/>
  <c r="AI6" i="8" s="1"/>
  <c r="AI4" i="8" s="1"/>
  <c r="AH5" i="8"/>
  <c r="AH6" i="8" s="1"/>
  <c r="AH4" i="8" s="1"/>
  <c r="AG5" i="8"/>
  <c r="AG6" i="8" s="1"/>
  <c r="AG4" i="8" s="1"/>
  <c r="AF5" i="8"/>
  <c r="AF6" i="8" s="1"/>
  <c r="AF4" i="8" s="1"/>
  <c r="AE5" i="8"/>
  <c r="AE6" i="8" s="1"/>
  <c r="AE4" i="8" s="1"/>
  <c r="AD5" i="8"/>
  <c r="AD6" i="8" s="1"/>
  <c r="AD4" i="8" s="1"/>
  <c r="AC5" i="8"/>
  <c r="AC6" i="8" s="1"/>
  <c r="AC4" i="8" s="1"/>
  <c r="AB5" i="8"/>
  <c r="AB7" i="8" s="1"/>
  <c r="AA5" i="8"/>
  <c r="AA7" i="8" s="1"/>
  <c r="Z5" i="8"/>
  <c r="Z7" i="8" s="1"/>
  <c r="Y5" i="8"/>
  <c r="Y7" i="8" s="1"/>
  <c r="X5" i="8"/>
  <c r="X6" i="8" s="1"/>
  <c r="X4" i="8" s="1"/>
  <c r="W5" i="8"/>
  <c r="W7" i="8" s="1"/>
  <c r="V5" i="8"/>
  <c r="V6" i="8" s="1"/>
  <c r="V4" i="8" s="1"/>
  <c r="U5" i="8"/>
  <c r="U7" i="8" s="1"/>
  <c r="T5" i="8"/>
  <c r="T7" i="8" s="1"/>
  <c r="S5" i="8"/>
  <c r="S6" i="8" s="1"/>
  <c r="S4" i="8" s="1"/>
  <c r="R5" i="8"/>
  <c r="R6" i="8" s="1"/>
  <c r="R4" i="8" s="1"/>
  <c r="Q5" i="8"/>
  <c r="Q7" i="8" s="1"/>
  <c r="P5" i="8"/>
  <c r="P6" i="8" s="1"/>
  <c r="P4" i="8" s="1"/>
  <c r="O5" i="8"/>
  <c r="O6" i="8" s="1"/>
  <c r="O4" i="8" s="1"/>
  <c r="N5" i="8"/>
  <c r="N7" i="8" s="1"/>
  <c r="M5" i="8"/>
  <c r="M6" i="8" s="1"/>
  <c r="M4" i="8" s="1"/>
  <c r="L5" i="8"/>
  <c r="L7" i="8" s="1"/>
  <c r="K5" i="8"/>
  <c r="K6" i="8" s="1"/>
  <c r="K4" i="8" s="1"/>
  <c r="J5" i="8"/>
  <c r="J6" i="8" s="1"/>
  <c r="J4" i="8" s="1"/>
  <c r="I5" i="8"/>
  <c r="I7" i="8" s="1"/>
  <c r="H5" i="8"/>
  <c r="H6" i="8" s="1"/>
  <c r="H4" i="8" s="1"/>
  <c r="G5" i="8"/>
  <c r="G6" i="8" s="1"/>
  <c r="G4" i="8" s="1"/>
  <c r="F5" i="8"/>
  <c r="F6" i="8" s="1"/>
  <c r="F4" i="8" s="1"/>
  <c r="E5" i="8"/>
  <c r="E6" i="8" s="1"/>
  <c r="E4" i="8" s="1"/>
  <c r="D5" i="8"/>
  <c r="D6" i="8" s="1"/>
  <c r="D4" i="8" s="1"/>
  <c r="C5" i="8"/>
  <c r="C6" i="8" s="1"/>
  <c r="C4" i="8" s="1"/>
  <c r="B5" i="8"/>
  <c r="B7" i="8" s="1"/>
  <c r="NI3" i="8"/>
  <c r="NH3" i="8"/>
  <c r="NG3" i="8"/>
  <c r="NF3" i="8"/>
  <c r="NE3" i="8"/>
  <c r="ND3" i="8"/>
  <c r="NC3" i="8"/>
  <c r="NB3" i="8"/>
  <c r="NA3" i="8"/>
  <c r="MZ3" i="8"/>
  <c r="MY3" i="8"/>
  <c r="MX3" i="8"/>
  <c r="MW3" i="8"/>
  <c r="MV3" i="8"/>
  <c r="MU3" i="8"/>
  <c r="MT3" i="8"/>
  <c r="MS3" i="8"/>
  <c r="MR3" i="8"/>
  <c r="MQ3" i="8"/>
  <c r="MP3" i="8"/>
  <c r="MO3" i="8"/>
  <c r="MN3" i="8"/>
  <c r="MM3" i="8"/>
  <c r="ML3" i="8"/>
  <c r="MK3" i="8"/>
  <c r="MJ3" i="8"/>
  <c r="MI3" i="8"/>
  <c r="MH3" i="8"/>
  <c r="MG3" i="8"/>
  <c r="MF3" i="8"/>
  <c r="ME3" i="8"/>
  <c r="MD3" i="8"/>
  <c r="MC3" i="8"/>
  <c r="MB3" i="8"/>
  <c r="MA3" i="8"/>
  <c r="LZ3" i="8"/>
  <c r="LY3" i="8"/>
  <c r="LX3" i="8"/>
  <c r="LW3" i="8"/>
  <c r="LV3" i="8"/>
  <c r="LU3" i="8"/>
  <c r="LT3" i="8"/>
  <c r="LS3" i="8"/>
  <c r="LR3" i="8"/>
  <c r="LQ3" i="8"/>
  <c r="LP3" i="8"/>
  <c r="LO3" i="8"/>
  <c r="LN3" i="8"/>
  <c r="LM3" i="8"/>
  <c r="LL3" i="8"/>
  <c r="LK3" i="8"/>
  <c r="LJ3" i="8"/>
  <c r="LI3" i="8"/>
  <c r="LH3" i="8"/>
  <c r="LG3" i="8"/>
  <c r="LF3" i="8"/>
  <c r="LE3" i="8"/>
  <c r="LD3" i="8"/>
  <c r="LC3" i="8"/>
  <c r="LB3" i="8"/>
  <c r="LA3" i="8"/>
  <c r="KZ3" i="8"/>
  <c r="KY3" i="8"/>
  <c r="KX3" i="8"/>
  <c r="KW3" i="8"/>
  <c r="KV3" i="8"/>
  <c r="KU3" i="8"/>
  <c r="KT3" i="8"/>
  <c r="KS3" i="8"/>
  <c r="KR3" i="8"/>
  <c r="KQ3" i="8"/>
  <c r="KP3" i="8"/>
  <c r="KO3" i="8"/>
  <c r="KN3" i="8"/>
  <c r="KM3" i="8"/>
  <c r="KL3" i="8"/>
  <c r="KK3" i="8"/>
  <c r="KJ3" i="8"/>
  <c r="KI3" i="8"/>
  <c r="KH3" i="8"/>
  <c r="KG3" i="8"/>
  <c r="KF3" i="8"/>
  <c r="KE3" i="8"/>
  <c r="KD3" i="8"/>
  <c r="KC3" i="8"/>
  <c r="KB3" i="8"/>
  <c r="KA3" i="8"/>
  <c r="JZ3" i="8"/>
  <c r="JY3" i="8"/>
  <c r="JX3" i="8"/>
  <c r="JW3" i="8"/>
  <c r="JV3" i="8"/>
  <c r="JU3" i="8"/>
  <c r="JT3" i="8"/>
  <c r="JS3" i="8"/>
  <c r="JR3" i="8"/>
  <c r="JQ3" i="8"/>
  <c r="JP3" i="8"/>
  <c r="JO3" i="8"/>
  <c r="JN3" i="8"/>
  <c r="JM3" i="8"/>
  <c r="JL3" i="8"/>
  <c r="JK3" i="8"/>
  <c r="JJ3" i="8"/>
  <c r="JI3" i="8"/>
  <c r="JH3" i="8"/>
  <c r="JG3" i="8"/>
  <c r="JF3" i="8"/>
  <c r="JE3" i="8"/>
  <c r="JD3" i="8"/>
  <c r="JC3" i="8"/>
  <c r="JB3" i="8"/>
  <c r="JA3" i="8"/>
  <c r="IZ3" i="8"/>
  <c r="IY3" i="8"/>
  <c r="IX3" i="8"/>
  <c r="IW3" i="8"/>
  <c r="IV3" i="8"/>
  <c r="IU3" i="8"/>
  <c r="IT3" i="8"/>
  <c r="IS3" i="8"/>
  <c r="IR3" i="8"/>
  <c r="IQ3" i="8"/>
  <c r="IP3" i="8"/>
  <c r="IO3" i="8"/>
  <c r="IN3" i="8"/>
  <c r="IM3" i="8"/>
  <c r="IL3" i="8"/>
  <c r="IK3" i="8"/>
  <c r="IJ3" i="8"/>
  <c r="II3" i="8"/>
  <c r="IH3" i="8"/>
  <c r="IG3" i="8"/>
  <c r="IF3" i="8"/>
  <c r="IE3" i="8"/>
  <c r="ID3" i="8"/>
  <c r="IC3" i="8"/>
  <c r="IB3" i="8"/>
  <c r="IA3" i="8"/>
  <c r="HZ3" i="8"/>
  <c r="HY3" i="8"/>
  <c r="HX3" i="8"/>
  <c r="HW3" i="8"/>
  <c r="HV3" i="8"/>
  <c r="HU3" i="8"/>
  <c r="HT3" i="8"/>
  <c r="HS3" i="8"/>
  <c r="HR3" i="8"/>
  <c r="HQ3" i="8"/>
  <c r="HP3" i="8"/>
  <c r="HO3" i="8"/>
  <c r="HN3" i="8"/>
  <c r="HM3" i="8"/>
  <c r="HL3" i="8"/>
  <c r="HK3" i="8"/>
  <c r="HJ3" i="8"/>
  <c r="HI3" i="8"/>
  <c r="HH3" i="8"/>
  <c r="HG3" i="8"/>
  <c r="HF3" i="8"/>
  <c r="HE3" i="8"/>
  <c r="HD3" i="8"/>
  <c r="HC3" i="8"/>
  <c r="HB3" i="8"/>
  <c r="HA3" i="8"/>
  <c r="GZ3" i="8"/>
  <c r="GY3" i="8"/>
  <c r="GX3" i="8"/>
  <c r="GW3" i="8"/>
  <c r="GV3" i="8"/>
  <c r="GU3" i="8"/>
  <c r="GT3" i="8"/>
  <c r="GS3" i="8"/>
  <c r="GR3" i="8"/>
  <c r="GQ3" i="8"/>
  <c r="GP3" i="8"/>
  <c r="GO3" i="8"/>
  <c r="GN3" i="8"/>
  <c r="GM3" i="8"/>
  <c r="GL3" i="8"/>
  <c r="GK3" i="8"/>
  <c r="GJ3" i="8"/>
  <c r="GI3" i="8"/>
  <c r="GH3" i="8"/>
  <c r="GG3" i="8"/>
  <c r="GF3" i="8"/>
  <c r="GE3" i="8"/>
  <c r="GD3" i="8"/>
  <c r="GC3" i="8"/>
  <c r="GB3" i="8"/>
  <c r="GA3" i="8"/>
  <c r="FZ3" i="8"/>
  <c r="FY3" i="8"/>
  <c r="FX3" i="8"/>
  <c r="FW3" i="8"/>
  <c r="FV3" i="8"/>
  <c r="FU3" i="8"/>
  <c r="FT3" i="8"/>
  <c r="FS3" i="8"/>
  <c r="FR3" i="8"/>
  <c r="FQ3" i="8"/>
  <c r="FP3" i="8"/>
  <c r="FO3" i="8"/>
  <c r="FN3" i="8"/>
  <c r="FM3" i="8"/>
  <c r="FL3" i="8"/>
  <c r="FK3" i="8"/>
  <c r="FJ3" i="8"/>
  <c r="FI3" i="8"/>
  <c r="FH3" i="8"/>
  <c r="FG3" i="8"/>
  <c r="FF3" i="8"/>
  <c r="FE3" i="8"/>
  <c r="FD3" i="8"/>
  <c r="FC3" i="8"/>
  <c r="FB3" i="8"/>
  <c r="FA3" i="8"/>
  <c r="EZ3" i="8"/>
  <c r="EY3" i="8"/>
  <c r="EX3" i="8"/>
  <c r="EW3" i="8"/>
  <c r="EV3" i="8"/>
  <c r="EU3" i="8"/>
  <c r="ET3" i="8"/>
  <c r="ES3" i="8"/>
  <c r="ER3" i="8"/>
  <c r="EQ3" i="8"/>
  <c r="EP3" i="8"/>
  <c r="EO3" i="8"/>
  <c r="EN3" i="8"/>
  <c r="EM3" i="8"/>
  <c r="EL3" i="8"/>
  <c r="EK3" i="8"/>
  <c r="EJ3" i="8"/>
  <c r="EI3" i="8"/>
  <c r="EH3" i="8"/>
  <c r="EG3" i="8"/>
  <c r="EF3" i="8"/>
  <c r="EE3" i="8"/>
  <c r="ED3" i="8"/>
  <c r="EC3" i="8"/>
  <c r="EB3" i="8"/>
  <c r="EA3" i="8"/>
  <c r="DZ3" i="8"/>
  <c r="DY3" i="8"/>
  <c r="DX3" i="8"/>
  <c r="DW3" i="8"/>
  <c r="DV3" i="8"/>
  <c r="DU3" i="8"/>
  <c r="DT3" i="8"/>
  <c r="DS3" i="8"/>
  <c r="DR3" i="8"/>
  <c r="DQ3" i="8"/>
  <c r="DP3" i="8"/>
  <c r="DO3" i="8"/>
  <c r="DN3" i="8"/>
  <c r="DM3" i="8"/>
  <c r="DL3" i="8"/>
  <c r="DK3" i="8"/>
  <c r="DJ3" i="8"/>
  <c r="DI3" i="8"/>
  <c r="DH3" i="8"/>
  <c r="DG3" i="8"/>
  <c r="DF3" i="8"/>
  <c r="DE3" i="8"/>
  <c r="DD3" i="8"/>
  <c r="DC3" i="8"/>
  <c r="DB3" i="8"/>
  <c r="DA3" i="8"/>
  <c r="CZ3" i="8"/>
  <c r="CY3" i="8"/>
  <c r="CX3" i="8"/>
  <c r="CW3" i="8"/>
  <c r="CV3" i="8"/>
  <c r="CU3" i="8"/>
  <c r="CT3" i="8"/>
  <c r="CS3" i="8"/>
  <c r="CR3" i="8"/>
  <c r="CQ3" i="8"/>
  <c r="CP3" i="8"/>
  <c r="CO3" i="8"/>
  <c r="CN3" i="8"/>
  <c r="CM3" i="8"/>
  <c r="CL3" i="8"/>
  <c r="CK3" i="8"/>
  <c r="CJ3" i="8"/>
  <c r="CI3" i="8"/>
  <c r="CH3" i="8"/>
  <c r="CG3" i="8"/>
  <c r="CF3" i="8"/>
  <c r="CE3" i="8"/>
  <c r="CD3" i="8"/>
  <c r="CC3" i="8"/>
  <c r="CB3" i="8"/>
  <c r="CA3" i="8"/>
  <c r="BZ3" i="8"/>
  <c r="BY3" i="8"/>
  <c r="BX3" i="8"/>
  <c r="BW3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3" i="8"/>
  <c r="G2" i="5"/>
  <c r="G1" i="5"/>
  <c r="G37" i="10" a="1"/>
  <c r="G33" i="10" a="1"/>
  <c r="G59" i="10" a="1"/>
  <c r="G39" i="10" a="1"/>
  <c r="G38" i="10" a="1"/>
  <c r="G58" i="10" a="1"/>
  <c r="H39" i="10" a="1"/>
  <c r="I39" i="10" a="1"/>
  <c r="G60" i="10" a="1"/>
  <c r="I39" i="10" l="1"/>
  <c r="H39" i="10"/>
  <c r="G39" i="10"/>
  <c r="NO44" i="8" a="1"/>
  <c r="NO44" i="8" s="1"/>
  <c r="NN44" i="8" a="1"/>
  <c r="NN44" i="8" s="1"/>
  <c r="NM44" i="8" a="1"/>
  <c r="NM44" i="8" s="1"/>
  <c r="NL44" i="8" a="1"/>
  <c r="NL44" i="8" s="1"/>
  <c r="NO45" i="8" a="1"/>
  <c r="NO45" i="8" s="1"/>
  <c r="NN45" i="8" a="1"/>
  <c r="NN45" i="8" s="1"/>
  <c r="NL45" i="8" a="1"/>
  <c r="NL45" i="8" s="1"/>
  <c r="NM45" i="8" a="1"/>
  <c r="NM45" i="8" s="1"/>
  <c r="NK44" i="8" a="1"/>
  <c r="NK44" i="8" s="1"/>
  <c r="NK45" i="8" a="1"/>
  <c r="NK45" i="8" s="1"/>
  <c r="T3" i="5"/>
  <c r="NN65" i="8" s="1" a="1"/>
  <c r="NN65" i="8" s="1"/>
  <c r="S4" i="5"/>
  <c r="NM65" i="8" a="1"/>
  <c r="NM65" i="8" s="1"/>
  <c r="NL65" i="8" a="1"/>
  <c r="NL65" i="8" s="1"/>
  <c r="NK65" i="8" a="1"/>
  <c r="NK65" i="8" s="1"/>
  <c r="G59" i="10"/>
  <c r="G60" i="10"/>
  <c r="G58" i="10"/>
  <c r="NK64" i="8" a="1"/>
  <c r="NK64" i="8" s="1"/>
  <c r="NK63" i="8" a="1"/>
  <c r="NK63" i="8" s="1"/>
  <c r="NL63" i="8" a="1"/>
  <c r="NL63" i="8" s="1"/>
  <c r="NN63" i="8" a="1"/>
  <c r="NN63" i="8" s="1"/>
  <c r="NM63" i="8" a="1"/>
  <c r="NM63" i="8" s="1"/>
  <c r="NL41" i="8" a="1"/>
  <c r="NL41" i="8" s="1"/>
  <c r="NL64" i="8" a="1"/>
  <c r="NL64" i="8" s="1"/>
  <c r="NM64" i="8" a="1"/>
  <c r="NM64" i="8" s="1"/>
  <c r="NK43" i="8" a="1"/>
  <c r="NK43" i="8" s="1"/>
  <c r="G33" i="10"/>
  <c r="G38" i="10"/>
  <c r="G37" i="10"/>
  <c r="NM43" i="8" a="1"/>
  <c r="NM43" i="8" s="1"/>
  <c r="NN42" i="8" a="1"/>
  <c r="NN42" i="8" s="1"/>
  <c r="NM42" i="8" a="1"/>
  <c r="NM42" i="8" s="1"/>
  <c r="NL46" i="8" a="1"/>
  <c r="NL46" i="8" s="1"/>
  <c r="NN62" i="8" a="1"/>
  <c r="NN62" i="8" s="1"/>
  <c r="NN43" i="8" a="1"/>
  <c r="NN43" i="8" s="1"/>
  <c r="NK36" i="8" a="1"/>
  <c r="NK36" i="8" s="1"/>
  <c r="NL43" i="8" a="1"/>
  <c r="NL43" i="8" s="1"/>
  <c r="P7" i="8"/>
  <c r="V7" i="8"/>
  <c r="F7" i="8"/>
  <c r="AD7" i="8"/>
  <c r="N6" i="8"/>
  <c r="N4" i="8" s="1"/>
  <c r="X7" i="8"/>
  <c r="AC7" i="8"/>
  <c r="AF7" i="8"/>
  <c r="H7" i="8"/>
  <c r="M7" i="8"/>
  <c r="E7" i="8"/>
  <c r="U6" i="8"/>
  <c r="U4" i="8" s="1"/>
  <c r="D7" i="8"/>
  <c r="L6" i="8"/>
  <c r="L4" i="8" s="1"/>
  <c r="T6" i="8"/>
  <c r="T4" i="8" s="1"/>
  <c r="C7" i="8"/>
  <c r="AB6" i="8"/>
  <c r="AB4" i="8" s="1"/>
  <c r="Z6" i="8"/>
  <c r="Z4" i="8" s="1"/>
  <c r="J7" i="8"/>
  <c r="R7" i="8"/>
  <c r="B6" i="8"/>
  <c r="B4" i="8" s="1"/>
  <c r="Q6" i="8"/>
  <c r="Q4" i="8" s="1"/>
  <c r="NK38" i="8" a="1"/>
  <c r="NK38" i="8" s="1"/>
  <c r="NK39" i="8" a="1"/>
  <c r="NK39" i="8" s="1"/>
  <c r="NK59" i="8" a="1"/>
  <c r="NK59" i="8" s="1"/>
  <c r="NK42" i="8" a="1"/>
  <c r="NK42" i="8" s="1"/>
  <c r="NM8" i="8" a="1"/>
  <c r="NM8" i="8" s="1"/>
  <c r="NN35" i="8" a="1"/>
  <c r="NN35" i="8" s="1"/>
  <c r="NL42" i="8" a="1"/>
  <c r="NL42" i="8" s="1"/>
  <c r="NL33" i="8" a="1"/>
  <c r="NL33" i="8" s="1"/>
  <c r="NM30" i="8" a="1"/>
  <c r="NM30" i="8" s="1"/>
  <c r="NK8" i="8" a="1"/>
  <c r="NK8" i="8" s="1"/>
  <c r="NL35" i="8" a="1"/>
  <c r="NL35" i="8" s="1"/>
  <c r="NK57" i="8" a="1"/>
  <c r="NK57" i="8" s="1"/>
  <c r="NN30" i="8" a="1"/>
  <c r="NN30" i="8" s="1"/>
  <c r="NL30" i="8" a="1"/>
  <c r="NL30" i="8" s="1"/>
  <c r="NL61" i="8" a="1"/>
  <c r="NL61" i="8" s="1"/>
  <c r="NK33" i="8" a="1"/>
  <c r="NK33" i="8" s="1"/>
  <c r="NM34" i="8" a="1"/>
  <c r="NM34" i="8" s="1"/>
  <c r="NN9" i="8" a="1"/>
  <c r="NN9" i="8" s="1"/>
  <c r="NL10" i="8" a="1"/>
  <c r="NL10" i="8" s="1"/>
  <c r="NL49" i="8" a="1"/>
  <c r="NL49" i="8" s="1"/>
  <c r="NK26" i="8" a="1"/>
  <c r="NK26" i="8" s="1"/>
  <c r="NM51" i="8" a="1"/>
  <c r="NM51" i="8" s="1"/>
  <c r="NN52" i="8" a="1"/>
  <c r="NN52" i="8" s="1"/>
  <c r="NL29" i="8" a="1"/>
  <c r="NL29" i="8" s="1"/>
  <c r="NL54" i="8" a="1"/>
  <c r="NL54" i="8" s="1"/>
  <c r="NK46" i="8" a="1"/>
  <c r="NK46" i="8" s="1"/>
  <c r="NM10" i="8" a="1"/>
  <c r="NM10" i="8" s="1"/>
  <c r="NN15" i="8" a="1"/>
  <c r="NN15" i="8" s="1"/>
  <c r="NN8" i="8" a="1"/>
  <c r="NN8" i="8" s="1"/>
  <c r="NL20" i="8" a="1"/>
  <c r="NL20" i="8" s="1"/>
  <c r="NK14" i="8" a="1"/>
  <c r="NK14" i="8" s="1"/>
  <c r="NK27" i="8" a="1"/>
  <c r="NK27" i="8" s="1"/>
  <c r="NM60" i="8" a="1"/>
  <c r="NM60" i="8" s="1"/>
  <c r="NK23" i="8" a="1"/>
  <c r="NK23" i="8" s="1"/>
  <c r="NK48" i="8" a="1"/>
  <c r="NK48" i="8" s="1"/>
  <c r="NK35" i="8" a="1"/>
  <c r="NK35" i="8" s="1"/>
  <c r="NK34" i="8" a="1"/>
  <c r="NK34" i="8" s="1"/>
  <c r="NK17" i="8" a="1"/>
  <c r="NK17" i="8" s="1"/>
  <c r="NK51" i="8" a="1"/>
  <c r="NK51" i="8" s="1"/>
  <c r="NK30" i="8" a="1"/>
  <c r="NK30" i="8" s="1"/>
  <c r="NK22" i="8" a="1"/>
  <c r="NK22" i="8" s="1"/>
  <c r="NK28" i="8" a="1"/>
  <c r="NK28" i="8" s="1"/>
  <c r="NK19" i="8" a="1"/>
  <c r="NK19" i="8" s="1"/>
  <c r="NK18" i="8" a="1"/>
  <c r="NK18" i="8" s="1"/>
  <c r="NK60" i="8" a="1"/>
  <c r="NK60" i="8" s="1"/>
  <c r="NK31" i="8" a="1"/>
  <c r="NK31" i="8" s="1"/>
  <c r="NK37" i="8" a="1"/>
  <c r="NK37" i="8" s="1"/>
  <c r="NK25" i="8" a="1"/>
  <c r="NK25" i="8" s="1"/>
  <c r="NK20" i="8" a="1"/>
  <c r="NK20" i="8" s="1"/>
  <c r="NK10" i="8" a="1"/>
  <c r="NK10" i="8" s="1"/>
  <c r="NK9" i="8" a="1"/>
  <c r="NK9" i="8" s="1"/>
  <c r="NK52" i="8" a="1"/>
  <c r="NK52" i="8" s="1"/>
  <c r="NK15" i="8" a="1"/>
  <c r="NK15" i="8" s="1"/>
  <c r="NK11" i="8" a="1"/>
  <c r="NK11" i="8" s="1"/>
  <c r="NK12" i="8" a="1"/>
  <c r="NK12" i="8" s="1"/>
  <c r="NK61" i="8" a="1"/>
  <c r="NK61" i="8" s="1"/>
  <c r="NK40" i="8" a="1"/>
  <c r="NK40" i="8" s="1"/>
  <c r="NK49" i="8" a="1"/>
  <c r="NK49" i="8" s="1"/>
  <c r="NK29" i="8" a="1"/>
  <c r="NK29" i="8" s="1"/>
  <c r="NK62" i="8" a="1"/>
  <c r="NK62" i="8" s="1"/>
  <c r="NK53" i="8" a="1"/>
  <c r="NK53" i="8" s="1"/>
  <c r="NK32" i="8" a="1"/>
  <c r="NK32" i="8" s="1"/>
  <c r="NK58" i="8" a="1"/>
  <c r="NK58" i="8" s="1"/>
  <c r="NK55" i="8" a="1"/>
  <c r="NK55" i="8" s="1"/>
  <c r="NK54" i="8" a="1"/>
  <c r="NK54" i="8" s="1"/>
  <c r="NK41" i="8" a="1"/>
  <c r="NK41" i="8" s="1"/>
  <c r="NK16" i="8" a="1"/>
  <c r="NK16" i="8" s="1"/>
  <c r="NK50" i="8" a="1"/>
  <c r="NK50" i="8" s="1"/>
  <c r="NK13" i="8" a="1"/>
  <c r="NK13" i="8" s="1"/>
  <c r="NK24" i="8" a="1"/>
  <c r="NK24" i="8" s="1"/>
  <c r="NK56" i="8" a="1"/>
  <c r="NK56" i="8" s="1"/>
  <c r="NK47" i="8" a="1"/>
  <c r="NK47" i="8" s="1"/>
  <c r="NN13" i="8" a="1"/>
  <c r="NN13" i="8" s="1"/>
  <c r="NK21" i="8" a="1"/>
  <c r="NK21" i="8" s="1"/>
  <c r="NM32" i="8" a="1"/>
  <c r="NM32" i="8" s="1"/>
  <c r="NM21" i="8" a="1"/>
  <c r="NM21" i="8" s="1"/>
  <c r="NM46" i="8" a="1"/>
  <c r="NM46" i="8" s="1"/>
  <c r="NM48" i="8" a="1"/>
  <c r="NM48" i="8" s="1"/>
  <c r="NM39" i="8" a="1"/>
  <c r="NM39" i="8" s="1"/>
  <c r="NM16" i="8" a="1"/>
  <c r="NM16" i="8" s="1"/>
  <c r="NM12" i="8" a="1"/>
  <c r="NM12" i="8" s="1"/>
  <c r="NN31" i="8" a="1"/>
  <c r="NN31" i="8" s="1"/>
  <c r="NN25" i="8" a="1"/>
  <c r="NN25" i="8" s="1"/>
  <c r="NN39" i="8" a="1"/>
  <c r="NN39" i="8" s="1"/>
  <c r="NN36" i="8" a="1"/>
  <c r="NN36" i="8" s="1"/>
  <c r="NN61" i="8" a="1"/>
  <c r="NN61" i="8" s="1"/>
  <c r="NN50" i="8" a="1"/>
  <c r="NN50" i="8" s="1"/>
  <c r="NL24" i="8" a="1"/>
  <c r="NL24" i="8" s="1"/>
  <c r="NL19" i="8" a="1"/>
  <c r="NL19" i="8" s="1"/>
  <c r="NL62" i="8" a="1"/>
  <c r="NL62" i="8" s="1"/>
  <c r="NL31" i="8" a="1"/>
  <c r="NL31" i="8" s="1"/>
  <c r="NL58" i="8" a="1"/>
  <c r="NL58" i="8" s="1"/>
  <c r="NL53" i="8" a="1"/>
  <c r="NL53" i="8" s="1"/>
  <c r="NL22" i="8" a="1"/>
  <c r="NL22" i="8" s="1"/>
  <c r="NM40" i="8" a="1"/>
  <c r="NM40" i="8" s="1"/>
  <c r="NM36" i="8" a="1"/>
  <c r="NM36" i="8" s="1"/>
  <c r="NM11" i="8" a="1"/>
  <c r="NM11" i="8" s="1"/>
  <c r="NM57" i="8" a="1"/>
  <c r="NM57" i="8" s="1"/>
  <c r="NM14" i="8" a="1"/>
  <c r="NM14" i="8" s="1"/>
  <c r="NM9" i="8" a="1"/>
  <c r="NM9" i="8" s="1"/>
  <c r="NN12" i="8" a="1"/>
  <c r="NN12" i="8" s="1"/>
  <c r="NN16" i="8" a="1"/>
  <c r="NN16" i="8" s="1"/>
  <c r="NN40" i="8" a="1"/>
  <c r="NN40" i="8" s="1"/>
  <c r="NN17" i="8" a="1"/>
  <c r="NN17" i="8" s="1"/>
  <c r="NN21" i="8" a="1"/>
  <c r="NN21" i="8" s="1"/>
  <c r="NN19" i="8" a="1"/>
  <c r="NN19" i="8" s="1"/>
  <c r="NL11" i="8" a="1"/>
  <c r="NL11" i="8" s="1"/>
  <c r="NL48" i="8" a="1"/>
  <c r="NL48" i="8" s="1"/>
  <c r="NL25" i="8" a="1"/>
  <c r="NL25" i="8" s="1"/>
  <c r="NL39" i="8" a="1"/>
  <c r="NL39" i="8" s="1"/>
  <c r="NL60" i="8" a="1"/>
  <c r="NL60" i="8" s="1"/>
  <c r="NL52" i="8" a="1"/>
  <c r="NL52" i="8" s="1"/>
  <c r="NL23" i="8" a="1"/>
  <c r="NL23" i="8" s="1"/>
  <c r="NM29" i="8" a="1"/>
  <c r="NM29" i="8" s="1"/>
  <c r="NM55" i="8" a="1"/>
  <c r="NM55" i="8" s="1"/>
  <c r="NM62" i="8" a="1"/>
  <c r="NM62" i="8" s="1"/>
  <c r="NM59" i="8" a="1"/>
  <c r="NM59" i="8" s="1"/>
  <c r="NM52" i="8" a="1"/>
  <c r="NM52" i="8" s="1"/>
  <c r="NM61" i="8" a="1"/>
  <c r="NM61" i="8" s="1"/>
  <c r="NN46" i="8" a="1"/>
  <c r="NN46" i="8" s="1"/>
  <c r="NN33" i="8" a="1"/>
  <c r="NN33" i="8" s="1"/>
  <c r="NN34" i="8" a="1"/>
  <c r="NN34" i="8" s="1"/>
  <c r="NN55" i="8" a="1"/>
  <c r="NN55" i="8" s="1"/>
  <c r="NN59" i="8" a="1"/>
  <c r="NN59" i="8" s="1"/>
  <c r="NN53" i="8" a="1"/>
  <c r="NN53" i="8" s="1"/>
  <c r="NL16" i="8" a="1"/>
  <c r="NL16" i="8" s="1"/>
  <c r="NL37" i="8" a="1"/>
  <c r="NL37" i="8" s="1"/>
  <c r="NL28" i="8" a="1"/>
  <c r="NL28" i="8" s="1"/>
  <c r="NL40" i="8" a="1"/>
  <c r="NL40" i="8" s="1"/>
  <c r="NL59" i="8" a="1"/>
  <c r="NL59" i="8" s="1"/>
  <c r="NL51" i="8" a="1"/>
  <c r="NL51" i="8" s="1"/>
  <c r="NL21" i="8" a="1"/>
  <c r="NL21" i="8" s="1"/>
  <c r="NM53" i="8" a="1"/>
  <c r="NM53" i="8" s="1"/>
  <c r="NM31" i="8" a="1"/>
  <c r="NM31" i="8" s="1"/>
  <c r="NM19" i="8" a="1"/>
  <c r="NM19" i="8" s="1"/>
  <c r="NM28" i="8" a="1"/>
  <c r="NM28" i="8" s="1"/>
  <c r="NM37" i="8" a="1"/>
  <c r="NM37" i="8" s="1"/>
  <c r="NM58" i="8" a="1"/>
  <c r="NM58" i="8" s="1"/>
  <c r="NN54" i="8" a="1"/>
  <c r="NN54" i="8" s="1"/>
  <c r="NN47" i="8" a="1"/>
  <c r="NN47" i="8" s="1"/>
  <c r="NN58" i="8" a="1"/>
  <c r="NN58" i="8" s="1"/>
  <c r="NN51" i="8" a="1"/>
  <c r="NN51" i="8" s="1"/>
  <c r="NN48" i="8" a="1"/>
  <c r="NN48" i="8" s="1"/>
  <c r="NN38" i="8" a="1"/>
  <c r="NN38" i="8" s="1"/>
  <c r="NL47" i="8" a="1"/>
  <c r="NL47" i="8" s="1"/>
  <c r="NL15" i="8" a="1"/>
  <c r="NL15" i="8" s="1"/>
  <c r="NL26" i="8" a="1"/>
  <c r="NL26" i="8" s="1"/>
  <c r="NL38" i="8" a="1"/>
  <c r="NL38" i="8" s="1"/>
  <c r="NL57" i="8" a="1"/>
  <c r="NL57" i="8" s="1"/>
  <c r="NL50" i="8" a="1"/>
  <c r="NL50" i="8" s="1"/>
  <c r="NM56" i="8" a="1"/>
  <c r="NM56" i="8" s="1"/>
  <c r="NM38" i="8" a="1"/>
  <c r="NM38" i="8" s="1"/>
  <c r="NM50" i="8" a="1"/>
  <c r="NM50" i="8" s="1"/>
  <c r="NM23" i="8" a="1"/>
  <c r="NM23" i="8" s="1"/>
  <c r="NM35" i="8" a="1"/>
  <c r="NM35" i="8" s="1"/>
  <c r="NM22" i="8" a="1"/>
  <c r="NM22" i="8" s="1"/>
  <c r="NM15" i="8" a="1"/>
  <c r="NM15" i="8" s="1"/>
  <c r="NN22" i="8" a="1"/>
  <c r="NN22" i="8" s="1"/>
  <c r="NN28" i="8" a="1"/>
  <c r="NN28" i="8" s="1"/>
  <c r="NN11" i="8" a="1"/>
  <c r="NN11" i="8" s="1"/>
  <c r="NN60" i="8" a="1"/>
  <c r="NN60" i="8" s="1"/>
  <c r="NN18" i="8" a="1"/>
  <c r="NN18" i="8" s="1"/>
  <c r="NN10" i="8" a="1"/>
  <c r="NN10" i="8" s="1"/>
  <c r="NL13" i="8" a="1"/>
  <c r="NL13" i="8" s="1"/>
  <c r="NL17" i="8" a="1"/>
  <c r="NL17" i="8" s="1"/>
  <c r="NL9" i="8" a="1"/>
  <c r="NL9" i="8" s="1"/>
  <c r="NL27" i="8" a="1"/>
  <c r="NL27" i="8" s="1"/>
  <c r="NL36" i="8" a="1"/>
  <c r="NL36" i="8" s="1"/>
  <c r="NL56" i="8" a="1"/>
  <c r="NL56" i="8" s="1"/>
  <c r="NM17" i="8" a="1"/>
  <c r="NM17" i="8" s="1"/>
  <c r="NM41" i="8" a="1"/>
  <c r="NM41" i="8" s="1"/>
  <c r="NM24" i="8" a="1"/>
  <c r="NM24" i="8" s="1"/>
  <c r="NM47" i="8" a="1"/>
  <c r="NM47" i="8" s="1"/>
  <c r="NM33" i="8" a="1"/>
  <c r="NM33" i="8" s="1"/>
  <c r="NM26" i="8" a="1"/>
  <c r="NM26" i="8" s="1"/>
  <c r="NL8" i="8" a="1"/>
  <c r="NL8" i="8" s="1"/>
  <c r="NN32" i="8" a="1"/>
  <c r="NN32" i="8" s="1"/>
  <c r="NN14" i="8" a="1"/>
  <c r="NN14" i="8" s="1"/>
  <c r="NN41" i="8" a="1"/>
  <c r="NN41" i="8" s="1"/>
  <c r="NN37" i="8" a="1"/>
  <c r="NN37" i="8" s="1"/>
  <c r="NN26" i="8" a="1"/>
  <c r="NN26" i="8" s="1"/>
  <c r="NN49" i="8" a="1"/>
  <c r="NN49" i="8" s="1"/>
  <c r="NM13" i="8" a="1"/>
  <c r="NM13" i="8" s="1"/>
  <c r="NL12" i="8" a="1"/>
  <c r="NL12" i="8" s="1"/>
  <c r="NL14" i="8" a="1"/>
  <c r="NL14" i="8" s="1"/>
  <c r="NL18" i="8" a="1"/>
  <c r="NL18" i="8" s="1"/>
  <c r="NL32" i="8" a="1"/>
  <c r="NL32" i="8" s="1"/>
  <c r="NL34" i="8" a="1"/>
  <c r="NL34" i="8" s="1"/>
  <c r="NL55" i="8" a="1"/>
  <c r="NL55" i="8" s="1"/>
  <c r="NM54" i="8" a="1"/>
  <c r="NM54" i="8" s="1"/>
  <c r="NM20" i="8" a="1"/>
  <c r="NM20" i="8" s="1"/>
  <c r="NM25" i="8" a="1"/>
  <c r="NM25" i="8" s="1"/>
  <c r="NM49" i="8" a="1"/>
  <c r="NM49" i="8" s="1"/>
  <c r="NM18" i="8" a="1"/>
  <c r="NM18" i="8" s="1"/>
  <c r="NM27" i="8" a="1"/>
  <c r="NM27" i="8" s="1"/>
  <c r="NN20" i="8" a="1"/>
  <c r="NN20" i="8" s="1"/>
  <c r="NN24" i="8" a="1"/>
  <c r="NN24" i="8" s="1"/>
  <c r="NN57" i="8" a="1"/>
  <c r="NN57" i="8" s="1"/>
  <c r="NN23" i="8" a="1"/>
  <c r="NN23" i="8" s="1"/>
  <c r="NN27" i="8" a="1"/>
  <c r="NN27" i="8" s="1"/>
  <c r="NN29" i="8" a="1"/>
  <c r="NN29" i="8" s="1"/>
  <c r="NN56" i="8" a="1"/>
  <c r="NN56" i="8" s="1"/>
  <c r="Y6" i="8"/>
  <c r="Y4" i="8" s="1"/>
  <c r="I6" i="8"/>
  <c r="I4" i="8" s="1"/>
  <c r="AA6" i="8"/>
  <c r="AA4" i="8" s="1"/>
  <c r="S7" i="8"/>
  <c r="W6" i="8"/>
  <c r="W4" i="8" s="1"/>
  <c r="K7" i="8"/>
  <c r="O7" i="8"/>
  <c r="G7" i="8"/>
  <c r="AE7" i="8"/>
  <c r="MT67" i="8"/>
  <c r="H37" i="10" a="1"/>
  <c r="H33" i="10" a="1"/>
  <c r="H59" i="10" a="1"/>
  <c r="H38" i="10" a="1"/>
  <c r="H58" i="10" a="1"/>
  <c r="H60" i="10" a="1"/>
  <c r="NJ45" i="8" l="1" a="1"/>
  <c r="NJ45" i="8" s="1"/>
  <c r="NJ44" i="8" a="1"/>
  <c r="NJ44" i="8" s="1"/>
  <c r="H33" i="10"/>
  <c r="H58" i="10"/>
  <c r="H37" i="10"/>
  <c r="H38" i="10"/>
  <c r="H60" i="10"/>
  <c r="H59" i="10"/>
  <c r="NN64" i="8" a="1"/>
  <c r="NN64" i="8" s="1"/>
  <c r="T4" i="5"/>
  <c r="R5" i="5"/>
  <c r="S5" i="5"/>
  <c r="NJ63" i="8" a="1"/>
  <c r="NJ63" i="8" s="1"/>
  <c r="NJ65" i="8" a="1"/>
  <c r="NJ65" i="8" s="1"/>
  <c r="NJ64" i="8" a="1"/>
  <c r="NJ64" i="8" s="1"/>
  <c r="NJ42" i="8" a="1"/>
  <c r="NJ42" i="8" s="1"/>
  <c r="NJ32" i="8" a="1"/>
  <c r="NJ32" i="8" s="1"/>
  <c r="NJ48" i="8" a="1"/>
  <c r="NJ48" i="8" s="1"/>
  <c r="NJ15" i="8" a="1"/>
  <c r="NJ15" i="8" s="1"/>
  <c r="NJ62" i="8" a="1"/>
  <c r="NJ62" i="8" s="1"/>
  <c r="NJ34" i="8" a="1"/>
  <c r="NJ34" i="8" s="1"/>
  <c r="NJ26" i="8" a="1"/>
  <c r="NJ26" i="8" s="1"/>
  <c r="NJ58" i="8" a="1"/>
  <c r="NJ58" i="8" s="1"/>
  <c r="NJ28" i="8" a="1"/>
  <c r="NJ28" i="8" s="1"/>
  <c r="NJ55" i="8" a="1"/>
  <c r="NJ55" i="8" s="1"/>
  <c r="NJ41" i="8" a="1"/>
  <c r="NJ41" i="8" s="1"/>
  <c r="NJ52" i="8" a="1"/>
  <c r="NJ52" i="8" s="1"/>
  <c r="NJ37" i="8" a="1"/>
  <c r="NJ37" i="8" s="1"/>
  <c r="NJ14" i="8" a="1"/>
  <c r="NJ14" i="8" s="1"/>
  <c r="NJ57" i="8" a="1"/>
  <c r="NJ57" i="8" s="1"/>
  <c r="NJ27" i="8" a="1"/>
  <c r="NJ27" i="8" s="1"/>
  <c r="NJ51" i="8" a="1"/>
  <c r="NJ51" i="8" s="1"/>
  <c r="NJ12" i="8" a="1"/>
  <c r="NJ12" i="8" s="1"/>
  <c r="NJ9" i="8" a="1"/>
  <c r="NJ9" i="8" s="1"/>
  <c r="NJ10" i="8" a="1"/>
  <c r="NJ10" i="8" s="1"/>
  <c r="NJ22" i="8" a="1"/>
  <c r="NJ22" i="8" s="1"/>
  <c r="NJ18" i="8" a="1"/>
  <c r="NJ18" i="8" s="1"/>
  <c r="NJ16" i="8" a="1"/>
  <c r="NJ16" i="8" s="1"/>
  <c r="NJ39" i="8" a="1"/>
  <c r="NJ39" i="8" s="1"/>
  <c r="NJ53" i="8" a="1"/>
  <c r="NJ53" i="8" s="1"/>
  <c r="NJ46" i="8" a="1"/>
  <c r="NJ46" i="8" s="1"/>
  <c r="NJ23" i="8" a="1"/>
  <c r="NJ23" i="8" s="1"/>
  <c r="NJ17" i="8" a="1"/>
  <c r="NJ17" i="8" s="1"/>
  <c r="NJ24" i="8" a="1"/>
  <c r="NJ24" i="8" s="1"/>
  <c r="NJ50" i="8" a="1"/>
  <c r="NJ50" i="8" s="1"/>
  <c r="NJ36" i="8" a="1"/>
  <c r="NJ36" i="8" s="1"/>
  <c r="NJ21" i="8" a="1"/>
  <c r="NJ21" i="8" s="1"/>
  <c r="NJ49" i="8" a="1"/>
  <c r="NJ49" i="8" s="1"/>
  <c r="NJ13" i="8" a="1"/>
  <c r="NJ13" i="8" s="1"/>
  <c r="NJ19" i="8" a="1"/>
  <c r="NJ19" i="8" s="1"/>
  <c r="NJ56" i="8" a="1"/>
  <c r="NJ56" i="8" s="1"/>
  <c r="NJ61" i="8" a="1"/>
  <c r="NJ61" i="8" s="1"/>
  <c r="NJ60" i="8" a="1"/>
  <c r="NJ60" i="8" s="1"/>
  <c r="NJ38" i="8" a="1"/>
  <c r="NJ38" i="8" s="1"/>
  <c r="NJ25" i="8" a="1"/>
  <c r="NJ25" i="8" s="1"/>
  <c r="NJ43" i="8" a="1"/>
  <c r="NJ43" i="8" s="1"/>
  <c r="NJ20" i="8" a="1"/>
  <c r="NJ20" i="8" s="1"/>
  <c r="NJ40" i="8" a="1"/>
  <c r="NJ40" i="8" s="1"/>
  <c r="NJ31" i="8" a="1"/>
  <c r="NJ31" i="8" s="1"/>
  <c r="NJ29" i="8" a="1"/>
  <c r="NJ29" i="8" s="1"/>
  <c r="NJ8" i="8" a="1"/>
  <c r="NJ8" i="8" s="1"/>
  <c r="NJ30" i="8" a="1"/>
  <c r="NJ30" i="8" s="1"/>
  <c r="NJ47" i="8" a="1"/>
  <c r="NJ47" i="8" s="1"/>
  <c r="NJ33" i="8" a="1"/>
  <c r="NJ33" i="8" s="1"/>
  <c r="NJ11" i="8" a="1"/>
  <c r="NJ11" i="8" s="1"/>
  <c r="NJ54" i="8" a="1"/>
  <c r="NJ54" i="8" s="1"/>
  <c r="NJ59" i="8" a="1"/>
  <c r="NJ59" i="8" s="1"/>
  <c r="NJ35" i="8" a="1"/>
  <c r="NJ35" i="8" s="1"/>
  <c r="I37" i="10" a="1"/>
  <c r="I58" i="10" a="1"/>
  <c r="I59" i="10" a="1"/>
  <c r="I33" i="10" a="1"/>
  <c r="I60" i="10" a="1"/>
  <c r="I38" i="10" a="1"/>
  <c r="I60" i="10" l="1"/>
  <c r="I38" i="10"/>
  <c r="I33" i="10"/>
  <c r="I37" i="10"/>
  <c r="I59" i="10"/>
  <c r="I58" i="10"/>
  <c r="R6" i="5"/>
  <c r="S6" i="5"/>
  <c r="U5" i="5"/>
  <c r="T5" i="5"/>
  <c r="NO63" i="8" a="1"/>
  <c r="NO63" i="8" s="1"/>
  <c r="NO33" i="8" a="1"/>
  <c r="NO33" i="8" s="1"/>
  <c r="NO24" i="8" a="1"/>
  <c r="NO24" i="8" s="1"/>
  <c r="NO10" i="8" a="1"/>
  <c r="NO10" i="8" s="1"/>
  <c r="NO48" i="8" a="1"/>
  <c r="NO48" i="8" s="1"/>
  <c r="NO9" i="8" a="1"/>
  <c r="NO9" i="8" s="1"/>
  <c r="NO29" i="8" a="1"/>
  <c r="NO29" i="8" s="1"/>
  <c r="NO36" i="8" a="1"/>
  <c r="NO36" i="8" s="1"/>
  <c r="NO56" i="8" a="1"/>
  <c r="NO56" i="8" s="1"/>
  <c r="NO34" i="8" a="1"/>
  <c r="NO34" i="8" s="1"/>
  <c r="NO49" i="8" a="1"/>
  <c r="NO49" i="8" s="1"/>
  <c r="NO52" i="8" a="1"/>
  <c r="NO52" i="8" s="1"/>
  <c r="NO59" i="8" a="1"/>
  <c r="NO59" i="8" s="1"/>
  <c r="NO43" i="8" a="1"/>
  <c r="NO43" i="8" s="1"/>
  <c r="NO20" i="8" a="1"/>
  <c r="NO20" i="8" s="1"/>
  <c r="NO61" i="8" a="1"/>
  <c r="NO61" i="8" s="1"/>
  <c r="NO57" i="8" a="1"/>
  <c r="NO57" i="8" s="1"/>
  <c r="NO18" i="8" a="1"/>
  <c r="NO18" i="8" s="1"/>
  <c r="NO27" i="8" a="1"/>
  <c r="NO27" i="8" s="1"/>
  <c r="NO37" i="8" a="1"/>
  <c r="NO37" i="8" s="1"/>
  <c r="NO58" i="8" a="1"/>
  <c r="NO58" i="8" s="1"/>
  <c r="NO65" i="8" a="1"/>
  <c r="NO65" i="8" s="1"/>
  <c r="NO8" i="8" a="1"/>
  <c r="NO8" i="8" s="1"/>
  <c r="NO39" i="8" a="1"/>
  <c r="NO39" i="8" s="1"/>
  <c r="NO46" i="8" a="1"/>
  <c r="NO46" i="8" s="1"/>
  <c r="NO32" i="8" a="1"/>
  <c r="NO32" i="8" s="1"/>
  <c r="NO31" i="8" a="1"/>
  <c r="NO31" i="8" s="1"/>
  <c r="NO25" i="8" a="1"/>
  <c r="NO25" i="8" s="1"/>
  <c r="NO11" i="8" a="1"/>
  <c r="NO11" i="8" s="1"/>
  <c r="NO30" i="8" a="1"/>
  <c r="NO30" i="8" s="1"/>
  <c r="NO40" i="8" a="1"/>
  <c r="NO40" i="8" s="1"/>
  <c r="NO15" i="8" a="1"/>
  <c r="NO15" i="8" s="1"/>
  <c r="NO55" i="8" a="1"/>
  <c r="NO55" i="8" s="1"/>
  <c r="NO38" i="8" a="1"/>
  <c r="NO38" i="8" s="1"/>
  <c r="NO64" i="8" a="1"/>
  <c r="NO64" i="8" s="1"/>
  <c r="NO22" i="8" a="1"/>
  <c r="NO22" i="8" s="1"/>
  <c r="NO54" i="8" a="1"/>
  <c r="NO54" i="8" s="1"/>
  <c r="NO21" i="8" a="1"/>
  <c r="NO21" i="8" s="1"/>
  <c r="NO16" i="8" a="1"/>
  <c r="NO16" i="8" s="1"/>
  <c r="NO13" i="8" a="1"/>
  <c r="NO13" i="8" s="1"/>
  <c r="NO51" i="8" a="1"/>
  <c r="NO51" i="8" s="1"/>
  <c r="NO17" i="8" a="1"/>
  <c r="NO17" i="8" s="1"/>
  <c r="NO28" i="8" a="1"/>
  <c r="NO28" i="8" s="1"/>
  <c r="NO19" i="8" a="1"/>
  <c r="NO19" i="8" s="1"/>
  <c r="NO42" i="8" a="1"/>
  <c r="NO42" i="8" s="1"/>
  <c r="NO53" i="8" a="1"/>
  <c r="NO53" i="8" s="1"/>
  <c r="NO35" i="8" a="1"/>
  <c r="NO35" i="8" s="1"/>
  <c r="NO62" i="8" a="1"/>
  <c r="NO62" i="8" s="1"/>
  <c r="NO26" i="8" a="1"/>
  <c r="NO26" i="8" s="1"/>
  <c r="NO12" i="8" a="1"/>
  <c r="NO12" i="8" s="1"/>
  <c r="NO50" i="8" a="1"/>
  <c r="NO50" i="8" s="1"/>
  <c r="NO14" i="8" a="1"/>
  <c r="NO14" i="8" s="1"/>
  <c r="NO47" i="8" a="1"/>
  <c r="NO47" i="8" s="1"/>
  <c r="NO60" i="8" a="1"/>
  <c r="NO60" i="8" s="1"/>
  <c r="NO23" i="8" a="1"/>
  <c r="NO23" i="8" s="1"/>
  <c r="NO41" i="8" a="1"/>
  <c r="NO41" i="8" s="1"/>
  <c r="J39" i="10" a="1"/>
  <c r="J39" i="10" l="1"/>
  <c r="NP44" i="8" a="1"/>
  <c r="NP44" i="8" s="1"/>
  <c r="NP45" i="8" a="1"/>
  <c r="NP45" i="8" s="1"/>
  <c r="NP65" i="8" a="1"/>
  <c r="NP65" i="8" s="1"/>
  <c r="U6" i="5"/>
  <c r="T6" i="5"/>
  <c r="S7" i="5"/>
  <c r="R7" i="5"/>
  <c r="NP24" i="8" a="1"/>
  <c r="NP24" i="8" s="1"/>
  <c r="NP33" i="8" a="1"/>
  <c r="NP33" i="8" s="1"/>
  <c r="NP27" i="8" a="1"/>
  <c r="NP27" i="8" s="1"/>
  <c r="NP49" i="8" a="1"/>
  <c r="NP49" i="8" s="1"/>
  <c r="NP59" i="8" a="1"/>
  <c r="NP59" i="8" s="1"/>
  <c r="NP9" i="8" a="1"/>
  <c r="NP9" i="8" s="1"/>
  <c r="NP29" i="8" a="1"/>
  <c r="NP29" i="8" s="1"/>
  <c r="NP39" i="8" a="1"/>
  <c r="NP39" i="8" s="1"/>
  <c r="NP62" i="8" a="1"/>
  <c r="NP62" i="8" s="1"/>
  <c r="NP22" i="8" a="1"/>
  <c r="NP22" i="8" s="1"/>
  <c r="NP53" i="8" a="1"/>
  <c r="NP53" i="8" s="1"/>
  <c r="NP56" i="8" a="1"/>
  <c r="NP56" i="8" s="1"/>
  <c r="NP41" i="8" a="1"/>
  <c r="NP41" i="8" s="1"/>
  <c r="NP57" i="8" a="1"/>
  <c r="NP57" i="8" s="1"/>
  <c r="NP36" i="8" a="1"/>
  <c r="NP36" i="8" s="1"/>
  <c r="NP32" i="8" a="1"/>
  <c r="NP32" i="8" s="1"/>
  <c r="NP16" i="8" a="1"/>
  <c r="NP16" i="8" s="1"/>
  <c r="NP18" i="8" a="1"/>
  <c r="NP18" i="8" s="1"/>
  <c r="NP37" i="8" a="1"/>
  <c r="NP37" i="8" s="1"/>
  <c r="NP51" i="8" a="1"/>
  <c r="NP51" i="8" s="1"/>
  <c r="NP10" i="8" a="1"/>
  <c r="NP10" i="8" s="1"/>
  <c r="NP21" i="8" a="1"/>
  <c r="NP21" i="8" s="1"/>
  <c r="NP52" i="8" a="1"/>
  <c r="NP52" i="8" s="1"/>
  <c r="NP47" i="8" a="1"/>
  <c r="NP47" i="8" s="1"/>
  <c r="NP23" i="8" a="1"/>
  <c r="NP23" i="8" s="1"/>
  <c r="NP19" i="8" a="1"/>
  <c r="NP19" i="8" s="1"/>
  <c r="NP26" i="8" a="1"/>
  <c r="NP26" i="8" s="1"/>
  <c r="NP63" i="8" a="1"/>
  <c r="NP63" i="8" s="1"/>
  <c r="NP64" i="8" a="1"/>
  <c r="NP64" i="8" s="1"/>
  <c r="NP48" i="8" a="1"/>
  <c r="NP48" i="8" s="1"/>
  <c r="NP28" i="8" a="1"/>
  <c r="NP28" i="8" s="1"/>
  <c r="NP50" i="8" a="1"/>
  <c r="NP50" i="8" s="1"/>
  <c r="NP8" i="8" a="1"/>
  <c r="NP8" i="8" s="1"/>
  <c r="NP11" i="8" a="1"/>
  <c r="NP11" i="8" s="1"/>
  <c r="NP30" i="8" a="1"/>
  <c r="NP30" i="8" s="1"/>
  <c r="NP61" i="8" a="1"/>
  <c r="NP61" i="8" s="1"/>
  <c r="NP12" i="8" a="1"/>
  <c r="NP12" i="8" s="1"/>
  <c r="NP40" i="8" a="1"/>
  <c r="NP40" i="8" s="1"/>
  <c r="NP35" i="8" a="1"/>
  <c r="NP35" i="8" s="1"/>
  <c r="NP25" i="8" a="1"/>
  <c r="NP25" i="8" s="1"/>
  <c r="NP46" i="8" a="1"/>
  <c r="NP46" i="8" s="1"/>
  <c r="NP42" i="8" a="1"/>
  <c r="NP42" i="8" s="1"/>
  <c r="NP43" i="8" a="1"/>
  <c r="NP43" i="8" s="1"/>
  <c r="NP34" i="8" a="1"/>
  <c r="NP34" i="8" s="1"/>
  <c r="NP15" i="8" a="1"/>
  <c r="NP15" i="8" s="1"/>
  <c r="NP58" i="8" a="1"/>
  <c r="NP58" i="8" s="1"/>
  <c r="NP17" i="8" a="1"/>
  <c r="NP17" i="8" s="1"/>
  <c r="NP20" i="8" a="1"/>
  <c r="NP20" i="8" s="1"/>
  <c r="NP38" i="8" a="1"/>
  <c r="NP38" i="8" s="1"/>
  <c r="NP60" i="8" a="1"/>
  <c r="NP60" i="8" s="1"/>
  <c r="NP55" i="8" a="1"/>
  <c r="NP55" i="8" s="1"/>
  <c r="NP31" i="8" a="1"/>
  <c r="NP31" i="8" s="1"/>
  <c r="NP54" i="8" a="1"/>
  <c r="NP54" i="8" s="1"/>
  <c r="NP14" i="8" a="1"/>
  <c r="NP14" i="8" s="1"/>
  <c r="NP13" i="8" a="1"/>
  <c r="NP13" i="8" s="1"/>
  <c r="J46" i="10" a="1"/>
  <c r="K56" i="10" a="1"/>
  <c r="I44" i="10" a="1"/>
  <c r="H6" i="10" a="1"/>
  <c r="G9" i="10" a="1"/>
  <c r="K30" i="10" a="1"/>
  <c r="J17" i="10" a="1"/>
  <c r="G43" i="10" a="1"/>
  <c r="G21" i="10" a="1"/>
  <c r="H10" i="10" a="1"/>
  <c r="K46" i="10" a="1"/>
  <c r="H43" i="10" a="1"/>
  <c r="H30" i="10" a="1"/>
  <c r="H8" i="10" a="1"/>
  <c r="G3" i="10" a="1"/>
  <c r="J10" i="10" a="1"/>
  <c r="I28" i="10" a="1"/>
  <c r="G15" i="10" a="1"/>
  <c r="J3" i="10" a="1"/>
  <c r="H26" i="10" a="1"/>
  <c r="K17" i="10" a="1"/>
  <c r="G5" i="10" a="1"/>
  <c r="H9" i="10" a="1"/>
  <c r="J53" i="10" a="1"/>
  <c r="H16" i="10" a="1"/>
  <c r="H51" i="10" a="1"/>
  <c r="H2" i="10" a="1"/>
  <c r="I25" i="10" a="1"/>
  <c r="I31" i="10" a="1"/>
  <c r="J37" i="10" a="1"/>
  <c r="H25" i="10" a="1"/>
  <c r="I46" i="10" a="1"/>
  <c r="H11" i="10" a="1"/>
  <c r="J32" i="10" a="1"/>
  <c r="H19" i="10" a="1"/>
  <c r="K41" i="10" a="1"/>
  <c r="K32" i="10" a="1"/>
  <c r="G46" i="10" a="1"/>
  <c r="G52" i="10" a="1"/>
  <c r="H47" i="10" a="1"/>
  <c r="J19" i="10" a="1"/>
  <c r="K20" i="10" a="1"/>
  <c r="H31" i="10" a="1"/>
  <c r="K15" i="10" a="1"/>
  <c r="G4" i="10" a="1"/>
  <c r="J16" i="10" a="1"/>
  <c r="J55" i="10" a="1"/>
  <c r="J25" i="10" a="1"/>
  <c r="I9" i="10" a="1"/>
  <c r="H36" i="10" a="1"/>
  <c r="I47" i="10" a="1"/>
  <c r="H13" i="10" a="1"/>
  <c r="G20" i="10" a="1"/>
  <c r="K33" i="10" a="1"/>
  <c r="K14" i="10" a="1"/>
  <c r="G14" i="10" a="1"/>
  <c r="J22" i="10" a="1"/>
  <c r="J45" i="10" a="1"/>
  <c r="I6" i="10" a="1"/>
  <c r="G25" i="10" a="1"/>
  <c r="K8" i="10" a="1"/>
  <c r="J52" i="10" a="1"/>
  <c r="G26" i="10" a="1"/>
  <c r="K5" i="10" a="1"/>
  <c r="H53" i="10" a="1"/>
  <c r="K25" i="10" a="1"/>
  <c r="J50" i="10" a="1"/>
  <c r="G19" i="10" a="1"/>
  <c r="H49" i="10" a="1"/>
  <c r="K53" i="10" a="1"/>
  <c r="G10" i="10" a="1"/>
  <c r="J7" i="10" a="1"/>
  <c r="G53" i="10" a="1"/>
  <c r="J27" i="10" a="1"/>
  <c r="I8" i="10" a="1"/>
  <c r="K45" i="10" a="1"/>
  <c r="G17" i="10" a="1"/>
  <c r="H21" i="10" a="1"/>
  <c r="J41" i="10" a="1"/>
  <c r="H56" i="10" a="1"/>
  <c r="J21" i="10" a="1"/>
  <c r="I22" i="10" a="1"/>
  <c r="K2" i="10" a="1"/>
  <c r="K26" i="10" a="1"/>
  <c r="I10" i="10" a="1"/>
  <c r="J54" i="10" a="1"/>
  <c r="H18" i="10" a="1"/>
  <c r="H24" i="10" a="1"/>
  <c r="G49" i="10" a="1"/>
  <c r="K57" i="10" a="1"/>
  <c r="K22" i="10" a="1"/>
  <c r="J24" i="10" a="1"/>
  <c r="J30" i="10" a="1"/>
  <c r="J20" i="10" a="1"/>
  <c r="I42" i="10" a="1"/>
  <c r="H55" i="10" a="1"/>
  <c r="J34" i="10" a="1"/>
  <c r="J28" i="10" a="1"/>
  <c r="G11" i="10" a="1"/>
  <c r="J44" i="10" a="1"/>
  <c r="K28" i="10" a="1"/>
  <c r="I21" i="10" a="1"/>
  <c r="K51" i="10" a="1"/>
  <c r="I43" i="10" a="1"/>
  <c r="H54" i="10" a="1"/>
  <c r="H17" i="10" a="1"/>
  <c r="K58" i="10" a="1"/>
  <c r="J15" i="10" a="1"/>
  <c r="G48" i="10" a="1"/>
  <c r="H5" i="10" a="1"/>
  <c r="G30" i="10" a="1"/>
  <c r="H57" i="10" a="1"/>
  <c r="J38" i="10" a="1"/>
  <c r="I29" i="10" a="1"/>
  <c r="G7" i="10" a="1"/>
  <c r="K34" i="10" a="1"/>
  <c r="J35" i="10" a="1"/>
  <c r="J23" i="10" a="1"/>
  <c r="I50" i="10" a="1"/>
  <c r="H27" i="10" a="1"/>
  <c r="I32" i="10" a="1"/>
  <c r="I35" i="10" a="1"/>
  <c r="K19" i="10" a="1"/>
  <c r="I11" i="10" a="1"/>
  <c r="K43" i="10" a="1"/>
  <c r="I53" i="10" a="1"/>
  <c r="K12" i="10" a="1"/>
  <c r="G56" i="10" a="1"/>
  <c r="I12" i="10" a="1"/>
  <c r="G28" i="10" a="1"/>
  <c r="J13" i="10" a="1"/>
  <c r="G57" i="10" a="1"/>
  <c r="I27" i="10" a="1"/>
  <c r="K35" i="10" a="1"/>
  <c r="J36" i="10" a="1"/>
  <c r="H46" i="10" a="1"/>
  <c r="I4" i="10" a="1"/>
  <c r="I2" i="10" a="1"/>
  <c r="J49" i="10" a="1"/>
  <c r="I55" i="10" a="1"/>
  <c r="K50" i="10" a="1"/>
  <c r="I52" i="10" a="1"/>
  <c r="I17" i="10" a="1"/>
  <c r="J33" i="10" a="1"/>
  <c r="I41" i="10" a="1"/>
  <c r="H29" i="10" a="1"/>
  <c r="G44" i="10" a="1"/>
  <c r="K52" i="10" a="1"/>
  <c r="G8" i="10" a="1"/>
  <c r="K27" i="10" a="1"/>
  <c r="H3" i="10" a="1"/>
  <c r="K4" i="10" a="1"/>
  <c r="G51" i="10" a="1"/>
  <c r="H35" i="10" a="1"/>
  <c r="I51" i="10" a="1"/>
  <c r="I3" i="10" a="1"/>
  <c r="H15" i="10" a="1"/>
  <c r="K16" i="10" a="1"/>
  <c r="I19" i="10" a="1"/>
  <c r="I49" i="10" a="1"/>
  <c r="J42" i="10" a="1"/>
  <c r="H45" i="10" a="1"/>
  <c r="K54" i="10" a="1"/>
  <c r="J58" i="10" a="1"/>
  <c r="H32" i="10" a="1"/>
  <c r="G47" i="10" a="1"/>
  <c r="J5" i="10" a="1"/>
  <c r="H34" i="10" a="1"/>
  <c r="J26" i="10" a="1"/>
  <c r="H22" i="10" a="1"/>
  <c r="I45" i="10" a="1"/>
  <c r="I14" i="10" a="1"/>
  <c r="J57" i="10" a="1"/>
  <c r="G29" i="10" a="1"/>
  <c r="G50" i="10" a="1"/>
  <c r="K7" i="10" a="1"/>
  <c r="J59" i="10" a="1"/>
  <c r="J43" i="10" a="1"/>
  <c r="J8" i="10" a="1"/>
  <c r="G32" i="10" a="1"/>
  <c r="G13" i="10" a="1"/>
  <c r="K18" i="10" a="1"/>
  <c r="H7" i="10" a="1"/>
  <c r="J47" i="10" a="1"/>
  <c r="I20" i="10" a="1"/>
  <c r="I48" i="10" a="1"/>
  <c r="K11" i="10" a="1"/>
  <c r="I16" i="10" a="1"/>
  <c r="G2" i="10" a="1"/>
  <c r="K10" i="10" a="1"/>
  <c r="G24" i="10" a="1"/>
  <c r="K47" i="10" a="1"/>
  <c r="I57" i="10" a="1"/>
  <c r="I56" i="10" a="1"/>
  <c r="G31" i="10" a="1"/>
  <c r="H28" i="10" a="1"/>
  <c r="K37" i="10" a="1"/>
  <c r="I15" i="10" a="1"/>
  <c r="K3" i="10" a="1"/>
  <c r="G18" i="10" a="1"/>
  <c r="I7" i="10" a="1"/>
  <c r="G23" i="10" a="1"/>
  <c r="H42" i="10" a="1"/>
  <c r="H44" i="10" a="1"/>
  <c r="J31" i="10" a="1"/>
  <c r="H48" i="10" a="1"/>
  <c r="H12" i="10" a="1"/>
  <c r="H50" i="10" a="1"/>
  <c r="J6" i="10" a="1"/>
  <c r="K59" i="10" a="1"/>
  <c r="J51" i="10" a="1"/>
  <c r="J29" i="10" a="1"/>
  <c r="I13" i="10" a="1"/>
  <c r="I24" i="10" a="1"/>
  <c r="J48" i="10" a="1"/>
  <c r="K60" i="10" a="1"/>
  <c r="J11" i="10" a="1"/>
  <c r="G6" i="10" a="1"/>
  <c r="J12" i="10" a="1"/>
  <c r="H20" i="10" a="1"/>
  <c r="H23" i="10" a="1"/>
  <c r="K55" i="10" a="1"/>
  <c r="K44" i="10" a="1"/>
  <c r="J2" i="10" a="1"/>
  <c r="J18" i="10" a="1"/>
  <c r="K23" i="10" a="1"/>
  <c r="G45" i="10" a="1"/>
  <c r="I34" i="10" a="1"/>
  <c r="G55" i="10" a="1"/>
  <c r="H4" i="10" a="1"/>
  <c r="G34" i="10" a="1"/>
  <c r="K21" i="10" a="1"/>
  <c r="G54" i="10" a="1"/>
  <c r="I54" i="10" a="1"/>
  <c r="H41" i="10" a="1"/>
  <c r="I5" i="10" a="1"/>
  <c r="K24" i="10" a="1"/>
  <c r="K6" i="10" a="1"/>
  <c r="K39" i="10" a="1"/>
  <c r="G22" i="10" a="1"/>
  <c r="J60" i="10" a="1"/>
  <c r="K49" i="10" a="1"/>
  <c r="H14" i="10" a="1"/>
  <c r="G42" i="10" a="1"/>
  <c r="J4" i="10" a="1"/>
  <c r="K9" i="10" a="1"/>
  <c r="I36" i="10" a="1"/>
  <c r="K31" i="10" a="1"/>
  <c r="J14" i="10" a="1"/>
  <c r="K13" i="10" a="1"/>
  <c r="K29" i="10" a="1"/>
  <c r="I30" i="10" a="1"/>
  <c r="G36" i="10" a="1"/>
  <c r="G16" i="10" a="1"/>
  <c r="I26" i="10" a="1"/>
  <c r="K48" i="10" a="1"/>
  <c r="G41" i="10" a="1"/>
  <c r="J9" i="10" a="1"/>
  <c r="G35" i="10" a="1"/>
  <c r="I23" i="10" a="1"/>
  <c r="K42" i="10" a="1"/>
  <c r="G27" i="10" a="1"/>
  <c r="I18" i="10" a="1"/>
  <c r="H52" i="10" a="1"/>
  <c r="K38" i="10" a="1"/>
  <c r="K36" i="10" a="1"/>
  <c r="G12" i="10" a="1"/>
  <c r="J56" i="10" a="1"/>
  <c r="K39" i="10" l="1"/>
  <c r="NQ44" i="8" a="1"/>
  <c r="NQ44" i="8" s="1"/>
  <c r="NQ45" i="8" a="1"/>
  <c r="NQ45" i="8" s="1"/>
  <c r="J34" i="10"/>
  <c r="H42" i="10"/>
  <c r="H6" i="10"/>
  <c r="H2" i="10"/>
  <c r="G20" i="10"/>
  <c r="J10" i="10"/>
  <c r="G25" i="10"/>
  <c r="J52" i="10"/>
  <c r="J35" i="10"/>
  <c r="I3" i="10"/>
  <c r="J55" i="10"/>
  <c r="I30" i="10"/>
  <c r="I23" i="10"/>
  <c r="I42" i="10"/>
  <c r="J21" i="10"/>
  <c r="G54" i="10"/>
  <c r="I41" i="10"/>
  <c r="J7" i="10"/>
  <c r="G27" i="10"/>
  <c r="J36" i="10"/>
  <c r="H49" i="10"/>
  <c r="G29" i="10"/>
  <c r="I21" i="10"/>
  <c r="J26" i="10"/>
  <c r="J2" i="10"/>
  <c r="I28" i="10"/>
  <c r="H10" i="10"/>
  <c r="J37" i="10"/>
  <c r="J43" i="10"/>
  <c r="I6" i="10"/>
  <c r="I20" i="10"/>
  <c r="H17" i="10"/>
  <c r="H48" i="10"/>
  <c r="H29" i="10"/>
  <c r="H25" i="10"/>
  <c r="J22" i="10"/>
  <c r="I11" i="10"/>
  <c r="H56" i="10"/>
  <c r="J33" i="10"/>
  <c r="I25" i="10"/>
  <c r="I48" i="10"/>
  <c r="G55" i="10"/>
  <c r="J23" i="10"/>
  <c r="H13" i="10"/>
  <c r="I17" i="10"/>
  <c r="I54" i="10"/>
  <c r="I9" i="10"/>
  <c r="I14" i="10"/>
  <c r="G22" i="10"/>
  <c r="G11" i="10"/>
  <c r="H24" i="10"/>
  <c r="I12" i="10"/>
  <c r="J13" i="10"/>
  <c r="I7" i="10"/>
  <c r="I45" i="10"/>
  <c r="H57" i="10"/>
  <c r="G15" i="10"/>
  <c r="G17" i="10"/>
  <c r="I51" i="10"/>
  <c r="J51" i="10"/>
  <c r="J11" i="10"/>
  <c r="H35" i="10"/>
  <c r="J17" i="10"/>
  <c r="I57" i="10"/>
  <c r="G52" i="10"/>
  <c r="G26" i="10"/>
  <c r="I43" i="10"/>
  <c r="J20" i="10"/>
  <c r="J47" i="10"/>
  <c r="G8" i="10"/>
  <c r="I34" i="10"/>
  <c r="G6" i="10"/>
  <c r="G43" i="10"/>
  <c r="H8" i="10"/>
  <c r="J48" i="10"/>
  <c r="I29" i="10"/>
  <c r="J31" i="10"/>
  <c r="J9" i="10"/>
  <c r="G42" i="10"/>
  <c r="G16" i="10"/>
  <c r="H47" i="10"/>
  <c r="H34" i="10"/>
  <c r="H15" i="10"/>
  <c r="H52" i="10"/>
  <c r="G18" i="10"/>
  <c r="I2" i="10"/>
  <c r="H41" i="10"/>
  <c r="I47" i="10"/>
  <c r="I22" i="10"/>
  <c r="I49" i="10"/>
  <c r="J59" i="10"/>
  <c r="H12" i="10"/>
  <c r="J27" i="10"/>
  <c r="G45" i="10"/>
  <c r="G4" i="10"/>
  <c r="I35" i="10"/>
  <c r="J53" i="10"/>
  <c r="J24" i="10"/>
  <c r="J58" i="10"/>
  <c r="I16" i="10"/>
  <c r="G36" i="10"/>
  <c r="H14" i="10"/>
  <c r="G32" i="10"/>
  <c r="I26" i="10"/>
  <c r="J16" i="10"/>
  <c r="H18" i="10"/>
  <c r="I36" i="10"/>
  <c r="H7" i="10"/>
  <c r="G46" i="10"/>
  <c r="G5" i="10"/>
  <c r="J32" i="10"/>
  <c r="G35" i="10"/>
  <c r="J50" i="10"/>
  <c r="H45" i="10"/>
  <c r="H23" i="10"/>
  <c r="H26" i="10"/>
  <c r="I56" i="10"/>
  <c r="H4" i="10"/>
  <c r="I31" i="10"/>
  <c r="I27" i="10"/>
  <c r="H3" i="10"/>
  <c r="J60" i="10"/>
  <c r="H54" i="10"/>
  <c r="I46" i="10"/>
  <c r="G48" i="10"/>
  <c r="H43" i="10"/>
  <c r="G50" i="10"/>
  <c r="G30" i="10"/>
  <c r="G47" i="10"/>
  <c r="G56" i="10"/>
  <c r="I5" i="10"/>
  <c r="G41" i="10"/>
  <c r="J41" i="10"/>
  <c r="H31" i="10"/>
  <c r="J54" i="10"/>
  <c r="J28" i="10"/>
  <c r="I8" i="10"/>
  <c r="G44" i="10"/>
  <c r="J15" i="10"/>
  <c r="G9" i="10"/>
  <c r="H53" i="10"/>
  <c r="H27" i="10"/>
  <c r="I55" i="10"/>
  <c r="H36" i="10"/>
  <c r="G10" i="10"/>
  <c r="H51" i="10"/>
  <c r="G3" i="10"/>
  <c r="J45" i="10"/>
  <c r="I18" i="10"/>
  <c r="G57" i="10"/>
  <c r="H9" i="10"/>
  <c r="G23" i="10"/>
  <c r="J4" i="10"/>
  <c r="I4" i="10"/>
  <c r="G53" i="10"/>
  <c r="H30" i="10"/>
  <c r="H22" i="10"/>
  <c r="I10" i="10"/>
  <c r="I13" i="10"/>
  <c r="G31" i="10"/>
  <c r="G24" i="10"/>
  <c r="J18" i="10"/>
  <c r="G34" i="10"/>
  <c r="J25" i="10"/>
  <c r="G7" i="10"/>
  <c r="J49" i="10"/>
  <c r="H11" i="10"/>
  <c r="I53" i="10"/>
  <c r="I24" i="10"/>
  <c r="H20" i="10"/>
  <c r="I52" i="10"/>
  <c r="H21" i="10"/>
  <c r="H46" i="10"/>
  <c r="G2" i="10"/>
  <c r="J5" i="10"/>
  <c r="I32" i="10"/>
  <c r="I15" i="10"/>
  <c r="G14" i="10"/>
  <c r="J38" i="10"/>
  <c r="G51" i="10"/>
  <c r="G49" i="10"/>
  <c r="I19" i="10"/>
  <c r="H55" i="10"/>
  <c r="H28" i="10"/>
  <c r="G21" i="10"/>
  <c r="G19" i="10"/>
  <c r="J44" i="10"/>
  <c r="H32" i="10"/>
  <c r="J46" i="10"/>
  <c r="J8" i="10"/>
  <c r="J6" i="10"/>
  <c r="I44" i="10"/>
  <c r="H5" i="10"/>
  <c r="J3" i="10"/>
  <c r="H16" i="10"/>
  <c r="I50" i="10"/>
  <c r="H19" i="10"/>
  <c r="J29" i="10"/>
  <c r="J12" i="10"/>
  <c r="J42" i="10"/>
  <c r="J56" i="10"/>
  <c r="J19" i="10"/>
  <c r="H44" i="10"/>
  <c r="J57" i="10"/>
  <c r="G28" i="10"/>
  <c r="J14" i="10"/>
  <c r="H50" i="10"/>
  <c r="G13" i="10"/>
  <c r="G12" i="10"/>
  <c r="J30" i="10"/>
  <c r="K14" i="10"/>
  <c r="K7" i="10"/>
  <c r="K18" i="10"/>
  <c r="K4" i="10"/>
  <c r="K59" i="10"/>
  <c r="K6" i="10"/>
  <c r="K52" i="10"/>
  <c r="K24" i="10"/>
  <c r="K9" i="10"/>
  <c r="K15" i="10"/>
  <c r="K2" i="10"/>
  <c r="K57" i="10"/>
  <c r="K28" i="10"/>
  <c r="K19" i="10"/>
  <c r="K21" i="10"/>
  <c r="K13" i="10"/>
  <c r="K31" i="10"/>
  <c r="K11" i="10"/>
  <c r="K29" i="10"/>
  <c r="K41" i="10"/>
  <c r="K3" i="10"/>
  <c r="K50" i="10"/>
  <c r="K54" i="10"/>
  <c r="K33" i="10"/>
  <c r="K38" i="10"/>
  <c r="K30" i="10"/>
  <c r="K26" i="10"/>
  <c r="K35" i="10"/>
  <c r="K5" i="10"/>
  <c r="K43" i="10"/>
  <c r="K51" i="10"/>
  <c r="K45" i="10"/>
  <c r="K22" i="10"/>
  <c r="K48" i="10"/>
  <c r="K23" i="10"/>
  <c r="K46" i="10"/>
  <c r="K60" i="10"/>
  <c r="K34" i="10"/>
  <c r="K25" i="10"/>
  <c r="K27" i="10"/>
  <c r="K47" i="10"/>
  <c r="K8" i="10"/>
  <c r="K55" i="10"/>
  <c r="K16" i="10"/>
  <c r="K53" i="10"/>
  <c r="K42" i="10"/>
  <c r="K44" i="10"/>
  <c r="K36" i="10"/>
  <c r="K12" i="10"/>
  <c r="K56" i="10"/>
  <c r="K10" i="10"/>
  <c r="K20" i="10"/>
  <c r="K32" i="10"/>
  <c r="K17" i="10"/>
  <c r="K49" i="10"/>
  <c r="K58" i="10"/>
  <c r="K37" i="10"/>
  <c r="T7" i="5"/>
  <c r="U7" i="5"/>
  <c r="S8" i="5"/>
  <c r="R8" i="5"/>
  <c r="NQ9" i="8" a="1"/>
  <c r="NQ9" i="8" s="1"/>
  <c r="NQ8" i="8" a="1"/>
  <c r="NQ8" i="8" s="1"/>
  <c r="NQ28" i="8" a="1"/>
  <c r="NQ28" i="8" s="1"/>
  <c r="NQ38" i="8" a="1"/>
  <c r="NQ38" i="8" s="1"/>
  <c r="NQ61" i="8" a="1"/>
  <c r="NQ61" i="8" s="1"/>
  <c r="NQ21" i="8" a="1"/>
  <c r="NQ21" i="8" s="1"/>
  <c r="NQ53" i="8" a="1"/>
  <c r="NQ53" i="8" s="1"/>
  <c r="NQ12" i="8" a="1"/>
  <c r="NQ12" i="8" s="1"/>
  <c r="NQ40" i="8" a="1"/>
  <c r="NQ40" i="8" s="1"/>
  <c r="NQ47" i="8" a="1"/>
  <c r="NQ47" i="8" s="1"/>
  <c r="NQ26" i="8" a="1"/>
  <c r="NQ26" i="8" s="1"/>
  <c r="NQ19" i="8" a="1"/>
  <c r="NQ19" i="8" s="1"/>
  <c r="NQ25" i="8" a="1"/>
  <c r="NQ25" i="8" s="1"/>
  <c r="NQ48" i="8" a="1"/>
  <c r="NQ48" i="8" s="1"/>
  <c r="NQ50" i="8" a="1"/>
  <c r="NQ50" i="8" s="1"/>
  <c r="NQ18" i="8" a="1"/>
  <c r="NQ18" i="8" s="1"/>
  <c r="NQ20" i="8" a="1"/>
  <c r="NQ20" i="8" s="1"/>
  <c r="NQ39" i="8" a="1"/>
  <c r="NQ39" i="8" s="1"/>
  <c r="NQ54" i="8" a="1"/>
  <c r="NQ54" i="8" s="1"/>
  <c r="NQ31" i="8" a="1"/>
  <c r="NQ31" i="8" s="1"/>
  <c r="NQ46" i="8" a="1"/>
  <c r="NQ46" i="8" s="1"/>
  <c r="NQ14" i="8" a="1"/>
  <c r="NQ14" i="8" s="1"/>
  <c r="NQ32" i="8" a="1"/>
  <c r="NQ32" i="8" s="1"/>
  <c r="NQ35" i="8" a="1"/>
  <c r="NQ35" i="8" s="1"/>
  <c r="NQ43" i="8" a="1"/>
  <c r="NQ43" i="8" s="1"/>
  <c r="NQ58" i="8" a="1"/>
  <c r="NQ58" i="8" s="1"/>
  <c r="NQ36" i="8" a="1"/>
  <c r="NQ36" i="8" s="1"/>
  <c r="NQ57" i="8" a="1"/>
  <c r="NQ57" i="8" s="1"/>
  <c r="NQ59" i="8" a="1"/>
  <c r="NQ59" i="8" s="1"/>
  <c r="NQ10" i="8" a="1"/>
  <c r="NQ10" i="8" s="1"/>
  <c r="NQ29" i="8" a="1"/>
  <c r="NQ29" i="8" s="1"/>
  <c r="NQ60" i="8" a="1"/>
  <c r="NQ60" i="8" s="1"/>
  <c r="NQ11" i="8" a="1"/>
  <c r="NQ11" i="8" s="1"/>
  <c r="NQ52" i="8" a="1"/>
  <c r="NQ52" i="8" s="1"/>
  <c r="NQ55" i="8" a="1"/>
  <c r="NQ55" i="8" s="1"/>
  <c r="NQ23" i="8" a="1"/>
  <c r="NQ23" i="8" s="1"/>
  <c r="NQ33" i="8" a="1"/>
  <c r="NQ33" i="8" s="1"/>
  <c r="NQ56" i="8" a="1"/>
  <c r="NQ56" i="8" s="1"/>
  <c r="NQ17" i="8" a="1"/>
  <c r="NQ17" i="8" s="1"/>
  <c r="NQ49" i="8" a="1"/>
  <c r="NQ49" i="8" s="1"/>
  <c r="NQ24" i="8" a="1"/>
  <c r="NQ24" i="8" s="1"/>
  <c r="NQ27" i="8" a="1"/>
  <c r="NQ27" i="8" s="1"/>
  <c r="NQ37" i="8" a="1"/>
  <c r="NQ37" i="8" s="1"/>
  <c r="NQ51" i="8" a="1"/>
  <c r="NQ51" i="8" s="1"/>
  <c r="NQ62" i="8" a="1"/>
  <c r="NQ62" i="8" s="1"/>
  <c r="NQ30" i="8" a="1"/>
  <c r="NQ30" i="8" s="1"/>
  <c r="NQ13" i="8" a="1"/>
  <c r="NQ13" i="8" s="1"/>
  <c r="NQ22" i="8" a="1"/>
  <c r="NQ22" i="8" s="1"/>
  <c r="NQ41" i="8" a="1"/>
  <c r="NQ41" i="8" s="1"/>
  <c r="NQ34" i="8" a="1"/>
  <c r="NQ34" i="8" s="1"/>
  <c r="NQ15" i="8" a="1"/>
  <c r="NQ15" i="8" s="1"/>
  <c r="NQ16" i="8" a="1"/>
  <c r="NQ16" i="8" s="1"/>
  <c r="NQ63" i="8" a="1"/>
  <c r="NQ63" i="8" s="1"/>
  <c r="NQ65" i="8" a="1"/>
  <c r="NQ65" i="8" s="1"/>
  <c r="NQ64" i="8" a="1"/>
  <c r="NQ64" i="8" s="1"/>
  <c r="NQ42" i="8" a="1"/>
  <c r="NQ42" i="8" s="1"/>
  <c r="L18" i="10" a="1"/>
  <c r="L15" i="10" a="1"/>
  <c r="L10" i="10" a="1"/>
  <c r="L2" i="10" a="1"/>
  <c r="L26" i="10" a="1"/>
  <c r="L34" i="10" a="1"/>
  <c r="L43" i="10" a="1"/>
  <c r="L25" i="10" a="1"/>
  <c r="L29" i="10" a="1"/>
  <c r="L35" i="10" a="1"/>
  <c r="L4" i="10" a="1"/>
  <c r="L51" i="10" a="1"/>
  <c r="L54" i="10" a="1"/>
  <c r="L30" i="10" a="1"/>
  <c r="L52" i="10" a="1"/>
  <c r="L50" i="10" a="1"/>
  <c r="L45" i="10" a="1"/>
  <c r="L41" i="10" a="1"/>
  <c r="L20" i="10" a="1"/>
  <c r="L39" i="10" a="1"/>
  <c r="L17" i="10" a="1"/>
  <c r="L16" i="10" a="1"/>
  <c r="L7" i="10" a="1"/>
  <c r="L48" i="10" a="1"/>
  <c r="L14" i="10" a="1"/>
  <c r="L47" i="10" a="1"/>
  <c r="L11" i="10" a="1"/>
  <c r="L60" i="10" a="1"/>
  <c r="L55" i="10" a="1"/>
  <c r="L12" i="10" a="1"/>
  <c r="L21" i="10" a="1"/>
  <c r="L13" i="10" a="1"/>
  <c r="L19" i="10" a="1"/>
  <c r="L3" i="10" a="1"/>
  <c r="L22" i="10" a="1"/>
  <c r="L23" i="10" a="1"/>
  <c r="L53" i="10" a="1"/>
  <c r="L37" i="10" a="1"/>
  <c r="L49" i="10" a="1"/>
  <c r="L42" i="10" a="1"/>
  <c r="L28" i="10" a="1"/>
  <c r="L56" i="10" a="1"/>
  <c r="L33" i="10" a="1"/>
  <c r="L5" i="10" a="1"/>
  <c r="L36" i="10" a="1"/>
  <c r="L38" i="10" a="1"/>
  <c r="L32" i="10" a="1"/>
  <c r="L31" i="10" a="1"/>
  <c r="L57" i="10" a="1"/>
  <c r="L46" i="10" a="1"/>
  <c r="L27" i="10" a="1"/>
  <c r="L44" i="10" a="1"/>
  <c r="L8" i="10" a="1"/>
  <c r="L9" i="10" a="1"/>
  <c r="L24" i="10" a="1"/>
  <c r="L6" i="10" a="1"/>
  <c r="L58" i="10" a="1"/>
  <c r="L59" i="10" a="1"/>
  <c r="L39" i="10" l="1"/>
  <c r="NR44" i="8" a="1"/>
  <c r="NR44" i="8" s="1"/>
  <c r="NR45" i="8" a="1"/>
  <c r="NR45" i="8" s="1"/>
  <c r="L27" i="10"/>
  <c r="L41" i="10"/>
  <c r="L50" i="10"/>
  <c r="L42" i="10"/>
  <c r="L23" i="10"/>
  <c r="L28" i="10"/>
  <c r="L6" i="10"/>
  <c r="L52" i="10"/>
  <c r="L26" i="10"/>
  <c r="L9" i="10"/>
  <c r="L47" i="10"/>
  <c r="L60" i="10"/>
  <c r="L10" i="10"/>
  <c r="L43" i="10"/>
  <c r="L34" i="10"/>
  <c r="L46" i="10"/>
  <c r="L4" i="10"/>
  <c r="L56" i="10"/>
  <c r="L49" i="10"/>
  <c r="L55" i="10"/>
  <c r="L15" i="10"/>
  <c r="L13" i="10"/>
  <c r="L22" i="10"/>
  <c r="L14" i="10"/>
  <c r="L59" i="10"/>
  <c r="L3" i="10"/>
  <c r="L18" i="10"/>
  <c r="L57" i="10"/>
  <c r="L24" i="10"/>
  <c r="L45" i="10"/>
  <c r="L37" i="10"/>
  <c r="L19" i="10"/>
  <c r="L30" i="10"/>
  <c r="L53" i="10"/>
  <c r="L44" i="10"/>
  <c r="L32" i="10"/>
  <c r="L17" i="10"/>
  <c r="L12" i="10"/>
  <c r="L29" i="10"/>
  <c r="L54" i="10"/>
  <c r="L20" i="10"/>
  <c r="L48" i="10"/>
  <c r="L5" i="10"/>
  <c r="L51" i="10"/>
  <c r="L16" i="10"/>
  <c r="L7" i="10"/>
  <c r="L11" i="10"/>
  <c r="L58" i="10"/>
  <c r="L36" i="10"/>
  <c r="L25" i="10"/>
  <c r="L2" i="10"/>
  <c r="L21" i="10"/>
  <c r="L38" i="10"/>
  <c r="L35" i="10"/>
  <c r="L31" i="10"/>
  <c r="L8" i="10"/>
  <c r="L33" i="10"/>
  <c r="NR65" i="8" a="1"/>
  <c r="NR65" i="8" s="1"/>
  <c r="NR63" i="8" a="1"/>
  <c r="NR63" i="8" s="1"/>
  <c r="NR59" i="8" a="1"/>
  <c r="NR59" i="8" s="1"/>
  <c r="NR47" i="8" a="1"/>
  <c r="NR47" i="8" s="1"/>
  <c r="NR61" i="8" a="1"/>
  <c r="NR61" i="8" s="1"/>
  <c r="NR16" i="8" a="1"/>
  <c r="NR16" i="8" s="1"/>
  <c r="NR39" i="8" a="1"/>
  <c r="NR39" i="8" s="1"/>
  <c r="NR54" i="8" a="1"/>
  <c r="NR54" i="8" s="1"/>
  <c r="NR8" i="8" a="1"/>
  <c r="NR8" i="8" s="1"/>
  <c r="NR21" i="8" a="1"/>
  <c r="NR21" i="8" s="1"/>
  <c r="NR40" i="8" a="1"/>
  <c r="NR40" i="8" s="1"/>
  <c r="NR58" i="8" a="1"/>
  <c r="NR58" i="8" s="1"/>
  <c r="NR41" i="8" a="1"/>
  <c r="NR41" i="8" s="1"/>
  <c r="NR57" i="8" a="1"/>
  <c r="NR57" i="8" s="1"/>
  <c r="NR53" i="8" a="1"/>
  <c r="NR53" i="8" s="1"/>
  <c r="NR31" i="8" a="1"/>
  <c r="NR31" i="8" s="1"/>
  <c r="NR29" i="8" a="1"/>
  <c r="NR29" i="8" s="1"/>
  <c r="NR27" i="8" a="1"/>
  <c r="NR27" i="8" s="1"/>
  <c r="NR30" i="8" a="1"/>
  <c r="NR30" i="8" s="1"/>
  <c r="NR56" i="8" a="1"/>
  <c r="NR56" i="8" s="1"/>
  <c r="NR37" i="8" a="1"/>
  <c r="NR37" i="8" s="1"/>
  <c r="NR24" i="8" a="1"/>
  <c r="NR24" i="8" s="1"/>
  <c r="NR28" i="8" a="1"/>
  <c r="NR28" i="8" s="1"/>
  <c r="NR25" i="8" a="1"/>
  <c r="NR25" i="8" s="1"/>
  <c r="NR42" i="8" a="1"/>
  <c r="NR42" i="8" s="1"/>
  <c r="NR20" i="8" a="1"/>
  <c r="NR20" i="8" s="1"/>
  <c r="NR46" i="8" a="1"/>
  <c r="NR46" i="8" s="1"/>
  <c r="NR22" i="8" a="1"/>
  <c r="NR22" i="8" s="1"/>
  <c r="NR49" i="8" a="1"/>
  <c r="NR49" i="8" s="1"/>
  <c r="NR62" i="8" a="1"/>
  <c r="NR62" i="8" s="1"/>
  <c r="NR18" i="8" a="1"/>
  <c r="NR18" i="8" s="1"/>
  <c r="NR43" i="8" a="1"/>
  <c r="NR43" i="8" s="1"/>
  <c r="NR26" i="8" a="1"/>
  <c r="NR26" i="8" s="1"/>
  <c r="NR55" i="8" a="1"/>
  <c r="NR55" i="8" s="1"/>
  <c r="NR19" i="8" a="1"/>
  <c r="NR19" i="8" s="1"/>
  <c r="NR11" i="8" a="1"/>
  <c r="NR11" i="8" s="1"/>
  <c r="NR15" i="8" a="1"/>
  <c r="NR15" i="8" s="1"/>
  <c r="NR33" i="8" a="1"/>
  <c r="NR33" i="8" s="1"/>
  <c r="NR23" i="8" a="1"/>
  <c r="NR23" i="8" s="1"/>
  <c r="NR35" i="8" a="1"/>
  <c r="NR35" i="8" s="1"/>
  <c r="NR64" i="8" a="1"/>
  <c r="NR64" i="8" s="1"/>
  <c r="NR48" i="8" a="1"/>
  <c r="NR48" i="8" s="1"/>
  <c r="NR50" i="8" a="1"/>
  <c r="NR50" i="8" s="1"/>
  <c r="NR14" i="8" a="1"/>
  <c r="NR14" i="8" s="1"/>
  <c r="NR10" i="8" a="1"/>
  <c r="NR10" i="8" s="1"/>
  <c r="NR51" i="8" a="1"/>
  <c r="NR51" i="8" s="1"/>
  <c r="NR17" i="8" a="1"/>
  <c r="NR17" i="8" s="1"/>
  <c r="NR32" i="8" a="1"/>
  <c r="NR32" i="8" s="1"/>
  <c r="NR36" i="8" a="1"/>
  <c r="NR36" i="8" s="1"/>
  <c r="NR9" i="8" a="1"/>
  <c r="NR9" i="8" s="1"/>
  <c r="NR60" i="8" a="1"/>
  <c r="NR60" i="8" s="1"/>
  <c r="NR38" i="8" a="1"/>
  <c r="NR38" i="8" s="1"/>
  <c r="NR52" i="8" a="1"/>
  <c r="NR52" i="8" s="1"/>
  <c r="NR13" i="8" a="1"/>
  <c r="NR13" i="8" s="1"/>
  <c r="NR12" i="8" a="1"/>
  <c r="NR12" i="8" s="1"/>
  <c r="NR34" i="8" a="1"/>
  <c r="NR34" i="8" s="1"/>
  <c r="T8" i="5"/>
  <c r="U8" i="5"/>
  <c r="S9" i="5"/>
  <c r="R9" i="5"/>
  <c r="M39" i="10" a="1"/>
  <c r="M41" i="10" a="1"/>
  <c r="M15" i="10" a="1"/>
  <c r="M57" i="10" a="1"/>
  <c r="M56" i="10" a="1"/>
  <c r="M7" i="10" a="1"/>
  <c r="M45" i="10" a="1"/>
  <c r="M60" i="10" a="1"/>
  <c r="M32" i="10" a="1"/>
  <c r="M38" i="10" a="1"/>
  <c r="M12" i="10" a="1"/>
  <c r="M49" i="10" a="1"/>
  <c r="M2" i="10" a="1"/>
  <c r="M29" i="10" a="1"/>
  <c r="M27" i="10" a="1"/>
  <c r="M3" i="10" a="1"/>
  <c r="M48" i="10" a="1"/>
  <c r="M31" i="10" a="1"/>
  <c r="M9" i="10" a="1"/>
  <c r="M14" i="10" a="1"/>
  <c r="M22" i="10" a="1"/>
  <c r="M8" i="10" a="1"/>
  <c r="M54" i="10" a="1"/>
  <c r="M55" i="10" a="1"/>
  <c r="M46" i="10" a="1"/>
  <c r="M58" i="10" a="1"/>
  <c r="M35" i="10" a="1"/>
  <c r="M53" i="10" a="1"/>
  <c r="M50" i="10" a="1"/>
  <c r="M18" i="10" a="1"/>
  <c r="M19" i="10" a="1"/>
  <c r="M23" i="10" a="1"/>
  <c r="M52" i="10" a="1"/>
  <c r="M6" i="10" a="1"/>
  <c r="M37" i="10" a="1"/>
  <c r="M34" i="10" a="1"/>
  <c r="M10" i="10" a="1"/>
  <c r="M13" i="10" a="1"/>
  <c r="M4" i="10" a="1"/>
  <c r="M5" i="10" a="1"/>
  <c r="M21" i="10" a="1"/>
  <c r="M20" i="10" a="1"/>
  <c r="M17" i="10" a="1"/>
  <c r="M30" i="10" a="1"/>
  <c r="M25" i="10" a="1"/>
  <c r="M24" i="10" a="1"/>
  <c r="M51" i="10" a="1"/>
  <c r="M28" i="10" a="1"/>
  <c r="M44" i="10" a="1"/>
  <c r="M33" i="10" a="1"/>
  <c r="M43" i="10" a="1"/>
  <c r="M11" i="10" a="1"/>
  <c r="M42" i="10" a="1"/>
  <c r="M36" i="10" a="1"/>
  <c r="M16" i="10" a="1"/>
  <c r="M47" i="10" a="1"/>
  <c r="M59" i="10" a="1"/>
  <c r="M26" i="10" a="1"/>
  <c r="M39" i="10" l="1"/>
  <c r="NS44" i="8" a="1"/>
  <c r="NS44" i="8" s="1"/>
  <c r="NS45" i="8" a="1"/>
  <c r="NS45" i="8" s="1"/>
  <c r="M58" i="10"/>
  <c r="M25" i="10"/>
  <c r="M23" i="10"/>
  <c r="M41" i="10"/>
  <c r="M18" i="10"/>
  <c r="M11" i="10"/>
  <c r="M17" i="10"/>
  <c r="M49" i="10"/>
  <c r="M21" i="10"/>
  <c r="M29" i="10"/>
  <c r="M3" i="10"/>
  <c r="M54" i="10"/>
  <c r="M48" i="10"/>
  <c r="M60" i="10"/>
  <c r="M47" i="10"/>
  <c r="M38" i="10"/>
  <c r="M43" i="10"/>
  <c r="M53" i="10"/>
  <c r="M7" i="10"/>
  <c r="M57" i="10"/>
  <c r="M55" i="10"/>
  <c r="M16" i="10"/>
  <c r="M30" i="10"/>
  <c r="M46" i="10"/>
  <c r="M8" i="10"/>
  <c r="M2" i="10"/>
  <c r="M45" i="10"/>
  <c r="M36" i="10"/>
  <c r="M32" i="10"/>
  <c r="M15" i="10"/>
  <c r="M10" i="10"/>
  <c r="M12" i="10"/>
  <c r="M4" i="10"/>
  <c r="M20" i="10"/>
  <c r="M50" i="10"/>
  <c r="M26" i="10"/>
  <c r="M42" i="10"/>
  <c r="M24" i="10"/>
  <c r="M6" i="10"/>
  <c r="M56" i="10"/>
  <c r="M9" i="10"/>
  <c r="M14" i="10"/>
  <c r="M13" i="10"/>
  <c r="M31" i="10"/>
  <c r="M51" i="10"/>
  <c r="M5" i="10"/>
  <c r="M33" i="10"/>
  <c r="M22" i="10"/>
  <c r="M52" i="10"/>
  <c r="M37" i="10"/>
  <c r="M59" i="10"/>
  <c r="M34" i="10"/>
  <c r="M28" i="10"/>
  <c r="M35" i="10"/>
  <c r="M27" i="10"/>
  <c r="M44" i="10"/>
  <c r="M19" i="10"/>
  <c r="U9" i="5"/>
  <c r="T9" i="5"/>
  <c r="NS8" i="8" a="1"/>
  <c r="NS8" i="8" s="1"/>
  <c r="NS65" i="8" a="1"/>
  <c r="NS65" i="8" s="1"/>
  <c r="NS14" i="8" a="1"/>
  <c r="NS14" i="8" s="1"/>
  <c r="NS21" i="8" a="1"/>
  <c r="NS21" i="8" s="1"/>
  <c r="NS47" i="8" a="1"/>
  <c r="NS47" i="8" s="1"/>
  <c r="NS32" i="8" a="1"/>
  <c r="NS32" i="8" s="1"/>
  <c r="NS27" i="8" a="1"/>
  <c r="NS27" i="8" s="1"/>
  <c r="NS55" i="8" a="1"/>
  <c r="NS55" i="8" s="1"/>
  <c r="NS10" i="8" a="1"/>
  <c r="NS10" i="8" s="1"/>
  <c r="NS16" i="8" a="1"/>
  <c r="NS16" i="8" s="1"/>
  <c r="NS54" i="8" a="1"/>
  <c r="NS54" i="8" s="1"/>
  <c r="NS39" i="8" a="1"/>
  <c r="NS39" i="8" s="1"/>
  <c r="NS59" i="8" a="1"/>
  <c r="NS59" i="8" s="1"/>
  <c r="NS62" i="8" a="1"/>
  <c r="NS62" i="8" s="1"/>
  <c r="NS49" i="8" a="1"/>
  <c r="NS49" i="8" s="1"/>
  <c r="NS43" i="8" a="1"/>
  <c r="NS43" i="8" s="1"/>
  <c r="NS28" i="8" a="1"/>
  <c r="NS28" i="8" s="1"/>
  <c r="NS22" i="8" a="1"/>
  <c r="NS22" i="8" s="1"/>
  <c r="NS56" i="8" a="1"/>
  <c r="NS56" i="8" s="1"/>
  <c r="NS24" i="8" a="1"/>
  <c r="NS24" i="8" s="1"/>
  <c r="NS30" i="8" a="1"/>
  <c r="NS30" i="8" s="1"/>
  <c r="NS19" i="8" a="1"/>
  <c r="NS19" i="8" s="1"/>
  <c r="NS11" i="8" a="1"/>
  <c r="NS11" i="8" s="1"/>
  <c r="NS33" i="8" a="1"/>
  <c r="NS33" i="8" s="1"/>
  <c r="NS51" i="8" a="1"/>
  <c r="NS51" i="8" s="1"/>
  <c r="NS42" i="8" a="1"/>
  <c r="NS42" i="8" s="1"/>
  <c r="NS36" i="8" a="1"/>
  <c r="NS36" i="8" s="1"/>
  <c r="NS17" i="8" a="1"/>
  <c r="NS17" i="8" s="1"/>
  <c r="NS50" i="8" a="1"/>
  <c r="NS50" i="8" s="1"/>
  <c r="NS52" i="8" a="1"/>
  <c r="NS52" i="8" s="1"/>
  <c r="NS60" i="8" a="1"/>
  <c r="NS60" i="8" s="1"/>
  <c r="NS23" i="8" a="1"/>
  <c r="NS23" i="8" s="1"/>
  <c r="NS18" i="8" a="1"/>
  <c r="NS18" i="8" s="1"/>
  <c r="NS35" i="8" a="1"/>
  <c r="NS35" i="8" s="1"/>
  <c r="NS48" i="8" a="1"/>
  <c r="NS48" i="8" s="1"/>
  <c r="NS64" i="8" a="1"/>
  <c r="NS64" i="8" s="1"/>
  <c r="NS29" i="8" a="1"/>
  <c r="NS29" i="8" s="1"/>
  <c r="NS31" i="8" a="1"/>
  <c r="NS31" i="8" s="1"/>
  <c r="NS58" i="8" a="1"/>
  <c r="NS58" i="8" s="1"/>
  <c r="NS25" i="8" a="1"/>
  <c r="NS25" i="8" s="1"/>
  <c r="NS20" i="8" a="1"/>
  <c r="NS20" i="8" s="1"/>
  <c r="NS41" i="8" a="1"/>
  <c r="NS41" i="8" s="1"/>
  <c r="NS34" i="8" a="1"/>
  <c r="NS34" i="8" s="1"/>
  <c r="NS37" i="8" a="1"/>
  <c r="NS37" i="8" s="1"/>
  <c r="NS15" i="8" a="1"/>
  <c r="NS15" i="8" s="1"/>
  <c r="NS57" i="8" a="1"/>
  <c r="NS57" i="8" s="1"/>
  <c r="NS63" i="8" a="1"/>
  <c r="NS63" i="8" s="1"/>
  <c r="NS38" i="8" a="1"/>
  <c r="NS38" i="8" s="1"/>
  <c r="NS46" i="8" a="1"/>
  <c r="NS46" i="8" s="1"/>
  <c r="NS9" i="8" a="1"/>
  <c r="NS9" i="8" s="1"/>
  <c r="NS26" i="8" a="1"/>
  <c r="NS26" i="8" s="1"/>
  <c r="NS12" i="8" a="1"/>
  <c r="NS12" i="8" s="1"/>
  <c r="NS13" i="8" a="1"/>
  <c r="NS13" i="8" s="1"/>
  <c r="NS61" i="8" a="1"/>
  <c r="NS61" i="8" s="1"/>
  <c r="NS40" i="8" a="1"/>
  <c r="NS40" i="8" s="1"/>
  <c r="NS53" i="8" a="1"/>
  <c r="NS53" i="8" s="1"/>
  <c r="S10" i="5"/>
  <c r="R10" i="5"/>
  <c r="N39" i="10" a="1"/>
  <c r="N18" i="10" a="1"/>
  <c r="N12" i="10" a="1"/>
  <c r="N29" i="10" a="1"/>
  <c r="N43" i="10" a="1"/>
  <c r="N24" i="10" a="1"/>
  <c r="N41" i="10" a="1"/>
  <c r="N51" i="10" a="1"/>
  <c r="N45" i="10" a="1"/>
  <c r="N38" i="10" a="1"/>
  <c r="N17" i="10" a="1"/>
  <c r="N57" i="10" a="1"/>
  <c r="N5" i="10" a="1"/>
  <c r="N33" i="10" a="1"/>
  <c r="N46" i="10" a="1"/>
  <c r="N34" i="10" a="1"/>
  <c r="N7" i="10" a="1"/>
  <c r="N25" i="10" a="1"/>
  <c r="N26" i="10" a="1"/>
  <c r="N23" i="10" a="1"/>
  <c r="N22" i="10" a="1"/>
  <c r="N13" i="10" a="1"/>
  <c r="N50" i="10" a="1"/>
  <c r="N8" i="10" a="1"/>
  <c r="N11" i="10" a="1"/>
  <c r="N56" i="10" a="1"/>
  <c r="N9" i="10" a="1"/>
  <c r="N58" i="10" a="1"/>
  <c r="N20" i="10" a="1"/>
  <c r="N31" i="10" a="1"/>
  <c r="N37" i="10" a="1"/>
  <c r="N32" i="10" a="1"/>
  <c r="N10" i="10" a="1"/>
  <c r="N4" i="10" a="1"/>
  <c r="N16" i="10" a="1"/>
  <c r="N15" i="10" a="1"/>
  <c r="N48" i="10" a="1"/>
  <c r="N14" i="10" a="1"/>
  <c r="N59" i="10" a="1"/>
  <c r="N28" i="10" a="1"/>
  <c r="N54" i="10" a="1"/>
  <c r="N6" i="10" a="1"/>
  <c r="N47" i="10" a="1"/>
  <c r="N30" i="10" a="1"/>
  <c r="N53" i="10" a="1"/>
  <c r="N49" i="10" a="1"/>
  <c r="N19" i="10" a="1"/>
  <c r="N36" i="10" a="1"/>
  <c r="N3" i="10" a="1"/>
  <c r="N27" i="10" a="1"/>
  <c r="N55" i="10" a="1"/>
  <c r="N35" i="10" a="1"/>
  <c r="N2" i="10" a="1"/>
  <c r="N42" i="10" a="1"/>
  <c r="N21" i="10" a="1"/>
  <c r="N60" i="10" a="1"/>
  <c r="N44" i="10" a="1"/>
  <c r="N52" i="10" a="1"/>
  <c r="N39" i="10" l="1"/>
  <c r="NT44" i="8" a="1"/>
  <c r="NT44" i="8" s="1"/>
  <c r="NT45" i="8" a="1"/>
  <c r="NT45" i="8" s="1"/>
  <c r="N12" i="10"/>
  <c r="N59" i="10"/>
  <c r="N2" i="10"/>
  <c r="N28" i="10"/>
  <c r="N49" i="10"/>
  <c r="N18" i="10"/>
  <c r="N7" i="10"/>
  <c r="N60" i="10"/>
  <c r="N21" i="10"/>
  <c r="N15" i="10"/>
  <c r="N53" i="10"/>
  <c r="N17" i="10"/>
  <c r="N34" i="10"/>
  <c r="N58" i="10"/>
  <c r="N4" i="10"/>
  <c r="N24" i="10"/>
  <c r="N31" i="10"/>
  <c r="N3" i="10"/>
  <c r="N6" i="10"/>
  <c r="N25" i="10"/>
  <c r="N32" i="10"/>
  <c r="N16" i="10"/>
  <c r="N29" i="10"/>
  <c r="N27" i="10"/>
  <c r="N26" i="10"/>
  <c r="N56" i="10"/>
  <c r="N57" i="10"/>
  <c r="N47" i="10"/>
  <c r="N46" i="10"/>
  <c r="N38" i="10"/>
  <c r="N9" i="10"/>
  <c r="N33" i="10"/>
  <c r="N55" i="10"/>
  <c r="N13" i="10"/>
  <c r="N41" i="10"/>
  <c r="N35" i="10"/>
  <c r="N36" i="10"/>
  <c r="N54" i="10"/>
  <c r="N52" i="10"/>
  <c r="N5" i="10"/>
  <c r="N22" i="10"/>
  <c r="N8" i="10"/>
  <c r="N51" i="10"/>
  <c r="N50" i="10"/>
  <c r="N30" i="10"/>
  <c r="N44" i="10"/>
  <c r="N14" i="10"/>
  <c r="N48" i="10"/>
  <c r="N45" i="10"/>
  <c r="N20" i="10"/>
  <c r="N37" i="10"/>
  <c r="N42" i="10"/>
  <c r="N19" i="10"/>
  <c r="N43" i="10"/>
  <c r="N10" i="10"/>
  <c r="N11" i="10"/>
  <c r="N23" i="10"/>
  <c r="U10" i="5"/>
  <c r="T10" i="5"/>
  <c r="NT12" i="8" a="1"/>
  <c r="NT12" i="8" s="1"/>
  <c r="NT42" i="8" a="1"/>
  <c r="NT42" i="8" s="1"/>
  <c r="NT25" i="8" a="1"/>
  <c r="NT25" i="8" s="1"/>
  <c r="NT55" i="8" a="1"/>
  <c r="NT55" i="8" s="1"/>
  <c r="NT30" i="8" a="1"/>
  <c r="NT30" i="8" s="1"/>
  <c r="NT46" i="8" a="1"/>
  <c r="NT46" i="8" s="1"/>
  <c r="NT41" i="8" a="1"/>
  <c r="NT41" i="8" s="1"/>
  <c r="NT26" i="8" a="1"/>
  <c r="NT26" i="8" s="1"/>
  <c r="NT58" i="8" a="1"/>
  <c r="NT58" i="8" s="1"/>
  <c r="NT20" i="8" a="1"/>
  <c r="NT20" i="8" s="1"/>
  <c r="NT47" i="8" a="1"/>
  <c r="NT47" i="8" s="1"/>
  <c r="NT33" i="8" a="1"/>
  <c r="NT33" i="8" s="1"/>
  <c r="NT8" i="8" a="1"/>
  <c r="NT8" i="8" s="1"/>
  <c r="NT24" i="8" a="1"/>
  <c r="NT24" i="8" s="1"/>
  <c r="NT65" i="8" a="1"/>
  <c r="NT65" i="8" s="1"/>
  <c r="NT16" i="8" a="1"/>
  <c r="NT16" i="8" s="1"/>
  <c r="NT32" i="8" a="1"/>
  <c r="NT32" i="8" s="1"/>
  <c r="NT50" i="8" a="1"/>
  <c r="NT50" i="8" s="1"/>
  <c r="NT9" i="8" a="1"/>
  <c r="NT9" i="8" s="1"/>
  <c r="NT38" i="8" a="1"/>
  <c r="NT38" i="8" s="1"/>
  <c r="NT14" i="8" a="1"/>
  <c r="NT14" i="8" s="1"/>
  <c r="NT18" i="8" a="1"/>
  <c r="NT18" i="8" s="1"/>
  <c r="NT19" i="8" a="1"/>
  <c r="NT19" i="8" s="1"/>
  <c r="NT53" i="8" a="1"/>
  <c r="NT53" i="8" s="1"/>
  <c r="NT52" i="8" a="1"/>
  <c r="NT52" i="8" s="1"/>
  <c r="NT48" i="8" a="1"/>
  <c r="NT48" i="8" s="1"/>
  <c r="NT61" i="8" a="1"/>
  <c r="NT61" i="8" s="1"/>
  <c r="NT56" i="8" a="1"/>
  <c r="NT56" i="8" s="1"/>
  <c r="NT54" i="8" a="1"/>
  <c r="NT54" i="8" s="1"/>
  <c r="NT34" i="8" a="1"/>
  <c r="NT34" i="8" s="1"/>
  <c r="NT28" i="8" a="1"/>
  <c r="NT28" i="8" s="1"/>
  <c r="NT15" i="8" a="1"/>
  <c r="NT15" i="8" s="1"/>
  <c r="NT31" i="8" a="1"/>
  <c r="NT31" i="8" s="1"/>
  <c r="NT11" i="8" a="1"/>
  <c r="NT11" i="8" s="1"/>
  <c r="NT22" i="8" a="1"/>
  <c r="NT22" i="8" s="1"/>
  <c r="NT37" i="8" a="1"/>
  <c r="NT37" i="8" s="1"/>
  <c r="NT43" i="8" a="1"/>
  <c r="NT43" i="8" s="1"/>
  <c r="NT27" i="8" a="1"/>
  <c r="NT27" i="8" s="1"/>
  <c r="NT10" i="8" a="1"/>
  <c r="NT10" i="8" s="1"/>
  <c r="NT13" i="8" a="1"/>
  <c r="NT13" i="8" s="1"/>
  <c r="NT17" i="8" a="1"/>
  <c r="NT17" i="8" s="1"/>
  <c r="NT64" i="8" a="1"/>
  <c r="NT64" i="8" s="1"/>
  <c r="NT21" i="8" a="1"/>
  <c r="NT21" i="8" s="1"/>
  <c r="NT39" i="8" a="1"/>
  <c r="NT39" i="8" s="1"/>
  <c r="NT23" i="8" a="1"/>
  <c r="NT23" i="8" s="1"/>
  <c r="NT35" i="8" a="1"/>
  <c r="NT35" i="8" s="1"/>
  <c r="NT29" i="8" a="1"/>
  <c r="NT29" i="8" s="1"/>
  <c r="NT40" i="8" a="1"/>
  <c r="NT40" i="8" s="1"/>
  <c r="NT60" i="8" a="1"/>
  <c r="NT60" i="8" s="1"/>
  <c r="NT57" i="8" a="1"/>
  <c r="NT57" i="8" s="1"/>
  <c r="NT49" i="8" a="1"/>
  <c r="NT49" i="8" s="1"/>
  <c r="NT36" i="8" a="1"/>
  <c r="NT36" i="8" s="1"/>
  <c r="NT51" i="8" a="1"/>
  <c r="NT51" i="8" s="1"/>
  <c r="NT59" i="8" a="1"/>
  <c r="NT59" i="8" s="1"/>
  <c r="NT62" i="8" a="1"/>
  <c r="NT62" i="8" s="1"/>
  <c r="NT63" i="8" a="1"/>
  <c r="NT63" i="8" s="1"/>
  <c r="R11" i="5"/>
  <c r="S11" i="5"/>
  <c r="O39" i="10" a="1"/>
  <c r="O24" i="10" a="1"/>
  <c r="O14" i="10" a="1"/>
  <c r="O37" i="10" a="1"/>
  <c r="O29" i="10" a="1"/>
  <c r="O16" i="10" a="1"/>
  <c r="O47" i="10" a="1"/>
  <c r="O44" i="10" a="1"/>
  <c r="O56" i="10" a="1"/>
  <c r="O6" i="10" a="1"/>
  <c r="O4" i="10" a="1"/>
  <c r="O34" i="10" a="1"/>
  <c r="O23" i="10" a="1"/>
  <c r="O26" i="10" a="1"/>
  <c r="O45" i="10" a="1"/>
  <c r="O58" i="10" a="1"/>
  <c r="O48" i="10" a="1"/>
  <c r="O28" i="10" a="1"/>
  <c r="O32" i="10" a="1"/>
  <c r="O25" i="10" a="1"/>
  <c r="O10" i="10" a="1"/>
  <c r="O35" i="10" a="1"/>
  <c r="O57" i="10" a="1"/>
  <c r="O42" i="10" a="1"/>
  <c r="O53" i="10" a="1"/>
  <c r="O41" i="10" a="1"/>
  <c r="O60" i="10" a="1"/>
  <c r="O3" i="10" a="1"/>
  <c r="O7" i="10" a="1"/>
  <c r="O51" i="10" a="1"/>
  <c r="O46" i="10" a="1"/>
  <c r="O13" i="10" a="1"/>
  <c r="O31" i="10" a="1"/>
  <c r="O55" i="10" a="1"/>
  <c r="O12" i="10" a="1"/>
  <c r="O38" i="10" a="1"/>
  <c r="O8" i="10" a="1"/>
  <c r="O36" i="10" a="1"/>
  <c r="O17" i="10" a="1"/>
  <c r="O20" i="10" a="1"/>
  <c r="O52" i="10" a="1"/>
  <c r="O49" i="10" a="1"/>
  <c r="O11" i="10" a="1"/>
  <c r="O22" i="10" a="1"/>
  <c r="O21" i="10" a="1"/>
  <c r="O19" i="10" a="1"/>
  <c r="O15" i="10" a="1"/>
  <c r="O59" i="10" a="1"/>
  <c r="O2" i="10" a="1"/>
  <c r="O54" i="10" a="1"/>
  <c r="O27" i="10" a="1"/>
  <c r="O43" i="10" a="1"/>
  <c r="O50" i="10" a="1"/>
  <c r="O33" i="10" a="1"/>
  <c r="O9" i="10" a="1"/>
  <c r="O30" i="10" a="1"/>
  <c r="O18" i="10" a="1"/>
  <c r="O5" i="10" a="1"/>
  <c r="O39" i="10" l="1"/>
  <c r="NU44" i="8" a="1"/>
  <c r="NU44" i="8" s="1"/>
  <c r="NU45" i="8" a="1"/>
  <c r="NU45" i="8" s="1"/>
  <c r="O16" i="10"/>
  <c r="O45" i="10"/>
  <c r="O14" i="10"/>
  <c r="O20" i="10"/>
  <c r="O5" i="10"/>
  <c r="O6" i="10"/>
  <c r="O21" i="10"/>
  <c r="O50" i="10"/>
  <c r="O19" i="10"/>
  <c r="O18" i="10"/>
  <c r="O35" i="10"/>
  <c r="O24" i="10"/>
  <c r="O34" i="10"/>
  <c r="O43" i="10"/>
  <c r="O53" i="10"/>
  <c r="O47" i="10"/>
  <c r="O4" i="10"/>
  <c r="O59" i="10"/>
  <c r="O29" i="10"/>
  <c r="O31" i="10"/>
  <c r="O12" i="10"/>
  <c r="O55" i="10"/>
  <c r="O32" i="10"/>
  <c r="O57" i="10"/>
  <c r="O11" i="10"/>
  <c r="O27" i="10"/>
  <c r="O44" i="10"/>
  <c r="O26" i="10"/>
  <c r="O30" i="10"/>
  <c r="O37" i="10"/>
  <c r="O58" i="10"/>
  <c r="O60" i="10"/>
  <c r="O33" i="10"/>
  <c r="O46" i="10"/>
  <c r="O15" i="10"/>
  <c r="O8" i="10"/>
  <c r="O51" i="10"/>
  <c r="O42" i="10"/>
  <c r="O10" i="10"/>
  <c r="O9" i="10"/>
  <c r="O41" i="10"/>
  <c r="O17" i="10"/>
  <c r="O25" i="10"/>
  <c r="O28" i="10"/>
  <c r="O2" i="10"/>
  <c r="O52" i="10"/>
  <c r="O54" i="10"/>
  <c r="O49" i="10"/>
  <c r="O48" i="10"/>
  <c r="O13" i="10"/>
  <c r="O36" i="10"/>
  <c r="O3" i="10"/>
  <c r="O23" i="10"/>
  <c r="O56" i="10"/>
  <c r="O38" i="10"/>
  <c r="O22" i="10"/>
  <c r="O7" i="10"/>
  <c r="R12" i="5"/>
  <c r="S12" i="5"/>
  <c r="NU43" i="8" a="1"/>
  <c r="NU43" i="8" s="1"/>
  <c r="NU60" i="8" a="1"/>
  <c r="NU60" i="8" s="1"/>
  <c r="NU9" i="8" a="1"/>
  <c r="NU9" i="8" s="1"/>
  <c r="NU52" i="8" a="1"/>
  <c r="NU52" i="8" s="1"/>
  <c r="NU11" i="8" a="1"/>
  <c r="NU11" i="8" s="1"/>
  <c r="NU17" i="8" a="1"/>
  <c r="NU17" i="8" s="1"/>
  <c r="NU33" i="8" a="1"/>
  <c r="NU33" i="8" s="1"/>
  <c r="NU10" i="8" a="1"/>
  <c r="NU10" i="8" s="1"/>
  <c r="NU40" i="8" a="1"/>
  <c r="NU40" i="8" s="1"/>
  <c r="NU51" i="8" a="1"/>
  <c r="NU51" i="8" s="1"/>
  <c r="NU28" i="8" a="1"/>
  <c r="NU28" i="8" s="1"/>
  <c r="NU12" i="8" a="1"/>
  <c r="NU12" i="8" s="1"/>
  <c r="NU21" i="8" a="1"/>
  <c r="NU21" i="8" s="1"/>
  <c r="NU39" i="8" a="1"/>
  <c r="NU39" i="8" s="1"/>
  <c r="NU59" i="8" a="1"/>
  <c r="NU59" i="8" s="1"/>
  <c r="NU27" i="8" a="1"/>
  <c r="NU27" i="8" s="1"/>
  <c r="NU56" i="8" a="1"/>
  <c r="NU56" i="8" s="1"/>
  <c r="NU48" i="8" a="1"/>
  <c r="NU48" i="8" s="1"/>
  <c r="NU34" i="8" a="1"/>
  <c r="NU34" i="8" s="1"/>
  <c r="NU13" i="8" a="1"/>
  <c r="NU13" i="8" s="1"/>
  <c r="NU65" i="8" a="1"/>
  <c r="NU65" i="8" s="1"/>
  <c r="NU64" i="8" a="1"/>
  <c r="NU64" i="8" s="1"/>
  <c r="NU25" i="8" a="1"/>
  <c r="NU25" i="8" s="1"/>
  <c r="NU46" i="8" a="1"/>
  <c r="NU46" i="8" s="1"/>
  <c r="NU55" i="8" a="1"/>
  <c r="NU55" i="8" s="1"/>
  <c r="NU16" i="8" a="1"/>
  <c r="NU16" i="8" s="1"/>
  <c r="NU61" i="8" a="1"/>
  <c r="NU61" i="8" s="1"/>
  <c r="NU53" i="8" a="1"/>
  <c r="NU53" i="8" s="1"/>
  <c r="NU32" i="8" a="1"/>
  <c r="NU32" i="8" s="1"/>
  <c r="NU14" i="8" a="1"/>
  <c r="NU14" i="8" s="1"/>
  <c r="NU20" i="8" a="1"/>
  <c r="NU20" i="8" s="1"/>
  <c r="NU36" i="8" a="1"/>
  <c r="NU36" i="8" s="1"/>
  <c r="NU31" i="8" a="1"/>
  <c r="NU31" i="8" s="1"/>
  <c r="NU15" i="8" a="1"/>
  <c r="NU15" i="8" s="1"/>
  <c r="NU62" i="8" a="1"/>
  <c r="NU62" i="8" s="1"/>
  <c r="NU37" i="8" a="1"/>
  <c r="NU37" i="8" s="1"/>
  <c r="NU47" i="8" a="1"/>
  <c r="NU47" i="8" s="1"/>
  <c r="NU50" i="8" a="1"/>
  <c r="NU50" i="8" s="1"/>
  <c r="NU24" i="8" a="1"/>
  <c r="NU24" i="8" s="1"/>
  <c r="NU49" i="8" a="1"/>
  <c r="NU49" i="8" s="1"/>
  <c r="NU42" i="8" a="1"/>
  <c r="NU42" i="8" s="1"/>
  <c r="NU38" i="8" a="1"/>
  <c r="NU38" i="8" s="1"/>
  <c r="NU22" i="8" a="1"/>
  <c r="NU22" i="8" s="1"/>
  <c r="NU35" i="8" a="1"/>
  <c r="NU35" i="8" s="1"/>
  <c r="NU63" i="8" a="1"/>
  <c r="NU63" i="8" s="1"/>
  <c r="NU19" i="8" a="1"/>
  <c r="NU19" i="8" s="1"/>
  <c r="NU58" i="8" a="1"/>
  <c r="NU58" i="8" s="1"/>
  <c r="NU57" i="8" a="1"/>
  <c r="NU57" i="8" s="1"/>
  <c r="NU26" i="8" a="1"/>
  <c r="NU26" i="8" s="1"/>
  <c r="NU41" i="8" a="1"/>
  <c r="NU41" i="8" s="1"/>
  <c r="NU30" i="8" a="1"/>
  <c r="NU30" i="8" s="1"/>
  <c r="NU8" i="8" a="1"/>
  <c r="NU8" i="8" s="1"/>
  <c r="NU23" i="8" a="1"/>
  <c r="NU23" i="8" s="1"/>
  <c r="NU18" i="8" a="1"/>
  <c r="NU18" i="8" s="1"/>
  <c r="NU54" i="8" a="1"/>
  <c r="NU54" i="8" s="1"/>
  <c r="NU29" i="8" a="1"/>
  <c r="NU29" i="8" s="1"/>
  <c r="T11" i="5"/>
  <c r="U11" i="5"/>
  <c r="P39" i="10" a="1"/>
  <c r="P54" i="10" a="1"/>
  <c r="P50" i="10" a="1"/>
  <c r="P49" i="10" a="1"/>
  <c r="P30" i="10" a="1"/>
  <c r="P28" i="10" a="1"/>
  <c r="P16" i="10" a="1"/>
  <c r="P53" i="10" a="1"/>
  <c r="P51" i="10" a="1"/>
  <c r="P31" i="10" a="1"/>
  <c r="P22" i="10" a="1"/>
  <c r="P57" i="10" a="1"/>
  <c r="P24" i="10" a="1"/>
  <c r="P29" i="10" a="1"/>
  <c r="P2" i="10" a="1"/>
  <c r="P58" i="10" a="1"/>
  <c r="P27" i="10" a="1"/>
  <c r="P7" i="10" a="1"/>
  <c r="P10" i="10" a="1"/>
  <c r="P14" i="10" a="1"/>
  <c r="P4" i="10" a="1"/>
  <c r="P36" i="10" a="1"/>
  <c r="P19" i="10" a="1"/>
  <c r="P35" i="10" a="1"/>
  <c r="P15" i="10" a="1"/>
  <c r="P8" i="10" a="1"/>
  <c r="P17" i="10" a="1"/>
  <c r="P41" i="10" a="1"/>
  <c r="P13" i="10" a="1"/>
  <c r="P6" i="10" a="1"/>
  <c r="P34" i="10" a="1"/>
  <c r="P33" i="10" a="1"/>
  <c r="P9" i="10" a="1"/>
  <c r="P38" i="10" a="1"/>
  <c r="P55" i="10" a="1"/>
  <c r="P21" i="10" a="1"/>
  <c r="P60" i="10" a="1"/>
  <c r="P43" i="10" a="1"/>
  <c r="P46" i="10" a="1"/>
  <c r="P18" i="10" a="1"/>
  <c r="P45" i="10" a="1"/>
  <c r="P23" i="10" a="1"/>
  <c r="P25" i="10" a="1"/>
  <c r="P12" i="10" a="1"/>
  <c r="P47" i="10" a="1"/>
  <c r="P59" i="10" a="1"/>
  <c r="P26" i="10" a="1"/>
  <c r="P44" i="10" a="1"/>
  <c r="P20" i="10" a="1"/>
  <c r="P5" i="10" a="1"/>
  <c r="P52" i="10" a="1"/>
  <c r="P32" i="10" a="1"/>
  <c r="P56" i="10" a="1"/>
  <c r="P3" i="10" a="1"/>
  <c r="P11" i="10" a="1"/>
  <c r="P42" i="10" a="1"/>
  <c r="P37" i="10" a="1"/>
  <c r="P48" i="10" a="1"/>
  <c r="P39" i="10" l="1"/>
  <c r="NV44" i="8" a="1"/>
  <c r="NV44" i="8" s="1"/>
  <c r="NV45" i="8" a="1"/>
  <c r="NV45" i="8" s="1"/>
  <c r="P60" i="10"/>
  <c r="P34" i="10"/>
  <c r="P2" i="10"/>
  <c r="P4" i="10"/>
  <c r="P44" i="10"/>
  <c r="P51" i="10"/>
  <c r="P7" i="10"/>
  <c r="P49" i="10"/>
  <c r="P9" i="10"/>
  <c r="P5" i="10"/>
  <c r="P24" i="10"/>
  <c r="P56" i="10"/>
  <c r="P6" i="10"/>
  <c r="P57" i="10"/>
  <c r="P30" i="10"/>
  <c r="P12" i="10"/>
  <c r="P53" i="10"/>
  <c r="P14" i="10"/>
  <c r="P55" i="10"/>
  <c r="P58" i="10"/>
  <c r="P36" i="10"/>
  <c r="P52" i="10"/>
  <c r="P17" i="10"/>
  <c r="P19" i="10"/>
  <c r="P28" i="10"/>
  <c r="P20" i="10"/>
  <c r="P10" i="10"/>
  <c r="P48" i="10"/>
  <c r="P43" i="10"/>
  <c r="P27" i="10"/>
  <c r="P38" i="10"/>
  <c r="P54" i="10"/>
  <c r="P31" i="10"/>
  <c r="P35" i="10"/>
  <c r="P45" i="10"/>
  <c r="P13" i="10"/>
  <c r="P29" i="10"/>
  <c r="P37" i="10"/>
  <c r="P21" i="10"/>
  <c r="P50" i="10"/>
  <c r="P47" i="10"/>
  <c r="P33" i="10"/>
  <c r="P59" i="10"/>
  <c r="P23" i="10"/>
  <c r="P22" i="10"/>
  <c r="P11" i="10"/>
  <c r="P18" i="10"/>
  <c r="P42" i="10"/>
  <c r="P32" i="10"/>
  <c r="P16" i="10"/>
  <c r="P15" i="10"/>
  <c r="P41" i="10"/>
  <c r="P46" i="10"/>
  <c r="P8" i="10"/>
  <c r="P3" i="10"/>
  <c r="P26" i="10"/>
  <c r="P25" i="10"/>
  <c r="S13" i="5"/>
  <c r="R13" i="5"/>
  <c r="NV64" i="8" a="1"/>
  <c r="NV64" i="8" s="1"/>
  <c r="NV63" i="8" a="1"/>
  <c r="NV63" i="8" s="1"/>
  <c r="NV13" i="8" a="1"/>
  <c r="NV13" i="8" s="1"/>
  <c r="NV49" i="8" a="1"/>
  <c r="NV49" i="8" s="1"/>
  <c r="NV17" i="8" a="1"/>
  <c r="NV17" i="8" s="1"/>
  <c r="NV50" i="8" a="1"/>
  <c r="NV50" i="8" s="1"/>
  <c r="NV28" i="8" a="1"/>
  <c r="NV28" i="8" s="1"/>
  <c r="NV10" i="8" a="1"/>
  <c r="NV10" i="8" s="1"/>
  <c r="NV26" i="8" a="1"/>
  <c r="NV26" i="8" s="1"/>
  <c r="NV39" i="8" a="1"/>
  <c r="NV39" i="8" s="1"/>
  <c r="NV55" i="8" a="1"/>
  <c r="NV55" i="8" s="1"/>
  <c r="NV15" i="8" a="1"/>
  <c r="NV15" i="8" s="1"/>
  <c r="NV59" i="8" a="1"/>
  <c r="NV59" i="8" s="1"/>
  <c r="NV52" i="8" a="1"/>
  <c r="NV52" i="8" s="1"/>
  <c r="NV18" i="8" a="1"/>
  <c r="NV18" i="8" s="1"/>
  <c r="NV51" i="8" a="1"/>
  <c r="NV51" i="8" s="1"/>
  <c r="NV57" i="8" a="1"/>
  <c r="NV57" i="8" s="1"/>
  <c r="NV8" i="8" a="1"/>
  <c r="NV8" i="8" s="1"/>
  <c r="NV38" i="8" a="1"/>
  <c r="NV38" i="8" s="1"/>
  <c r="NV58" i="8" a="1"/>
  <c r="NV58" i="8" s="1"/>
  <c r="NV14" i="8" a="1"/>
  <c r="NV14" i="8" s="1"/>
  <c r="NV56" i="8" a="1"/>
  <c r="NV56" i="8" s="1"/>
  <c r="NV65" i="8" a="1"/>
  <c r="NV65" i="8" s="1"/>
  <c r="NV53" i="8" a="1"/>
  <c r="NV53" i="8" s="1"/>
  <c r="NV40" i="8" a="1"/>
  <c r="NV40" i="8" s="1"/>
  <c r="NV11" i="8" a="1"/>
  <c r="NV11" i="8" s="1"/>
  <c r="NV37" i="8" a="1"/>
  <c r="NV37" i="8" s="1"/>
  <c r="NV33" i="8" a="1"/>
  <c r="NV33" i="8" s="1"/>
  <c r="NV32" i="8" a="1"/>
  <c r="NV32" i="8" s="1"/>
  <c r="NV61" i="8" a="1"/>
  <c r="NV61" i="8" s="1"/>
  <c r="NV42" i="8" a="1"/>
  <c r="NV42" i="8" s="1"/>
  <c r="NV16" i="8" a="1"/>
  <c r="NV16" i="8" s="1"/>
  <c r="NV21" i="8" a="1"/>
  <c r="NV21" i="8" s="1"/>
  <c r="NV47" i="8" a="1"/>
  <c r="NV47" i="8" s="1"/>
  <c r="NV25" i="8" a="1"/>
  <c r="NV25" i="8" s="1"/>
  <c r="NV22" i="8" a="1"/>
  <c r="NV22" i="8" s="1"/>
  <c r="NV24" i="8" a="1"/>
  <c r="NV24" i="8" s="1"/>
  <c r="NV20" i="8" a="1"/>
  <c r="NV20" i="8" s="1"/>
  <c r="NV19" i="8" a="1"/>
  <c r="NV19" i="8" s="1"/>
  <c r="NV12" i="8" a="1"/>
  <c r="NV12" i="8" s="1"/>
  <c r="NV9" i="8" a="1"/>
  <c r="NV9" i="8" s="1"/>
  <c r="NV34" i="8" a="1"/>
  <c r="NV34" i="8" s="1"/>
  <c r="NV31" i="8" a="1"/>
  <c r="NV31" i="8" s="1"/>
  <c r="NV29" i="8" a="1"/>
  <c r="NV29" i="8" s="1"/>
  <c r="NV41" i="8" a="1"/>
  <c r="NV41" i="8" s="1"/>
  <c r="NV27" i="8" a="1"/>
  <c r="NV27" i="8" s="1"/>
  <c r="NV23" i="8" a="1"/>
  <c r="NV23" i="8" s="1"/>
  <c r="NV46" i="8" a="1"/>
  <c r="NV46" i="8" s="1"/>
  <c r="NV60" i="8" a="1"/>
  <c r="NV60" i="8" s="1"/>
  <c r="NV43" i="8" a="1"/>
  <c r="NV43" i="8" s="1"/>
  <c r="NV30" i="8" a="1"/>
  <c r="NV30" i="8" s="1"/>
  <c r="NV54" i="8" a="1"/>
  <c r="NV54" i="8" s="1"/>
  <c r="NV48" i="8" a="1"/>
  <c r="NV48" i="8" s="1"/>
  <c r="NV36" i="8" a="1"/>
  <c r="NV36" i="8" s="1"/>
  <c r="NV62" i="8" a="1"/>
  <c r="NV62" i="8" s="1"/>
  <c r="NV35" i="8" a="1"/>
  <c r="NV35" i="8" s="1"/>
  <c r="T12" i="5"/>
  <c r="U12" i="5"/>
  <c r="Q39" i="10" a="1"/>
  <c r="Q41" i="10" a="1"/>
  <c r="Q58" i="10" a="1"/>
  <c r="Q6" i="10" a="1"/>
  <c r="Q16" i="10" a="1"/>
  <c r="Q48" i="10" a="1"/>
  <c r="Q29" i="10" a="1"/>
  <c r="Q21" i="10" a="1"/>
  <c r="Q32" i="10" a="1"/>
  <c r="Q35" i="10" a="1"/>
  <c r="Q54" i="10" a="1"/>
  <c r="Q4" i="10" a="1"/>
  <c r="Q14" i="10" a="1"/>
  <c r="Q38" i="10" a="1"/>
  <c r="Q23" i="10" a="1"/>
  <c r="Q12" i="10" a="1"/>
  <c r="Q59" i="10" a="1"/>
  <c r="Q47" i="10" a="1"/>
  <c r="Q49" i="10" a="1"/>
  <c r="Q51" i="10" a="1"/>
  <c r="Q7" i="10" a="1"/>
  <c r="Q60" i="10" a="1"/>
  <c r="Q11" i="10" a="1"/>
  <c r="Q5" i="10" a="1"/>
  <c r="Q45" i="10" a="1"/>
  <c r="Q9" i="10" a="1"/>
  <c r="Q15" i="10" a="1"/>
  <c r="Q13" i="10" a="1"/>
  <c r="Q33" i="10" a="1"/>
  <c r="Q56" i="10" a="1"/>
  <c r="Q42" i="10" a="1"/>
  <c r="Q28" i="10" a="1"/>
  <c r="Q3" i="10" a="1"/>
  <c r="Q34" i="10" a="1"/>
  <c r="Q20" i="10" a="1"/>
  <c r="Q44" i="10" a="1"/>
  <c r="Q36" i="10" a="1"/>
  <c r="Q53" i="10" a="1"/>
  <c r="Q57" i="10" a="1"/>
  <c r="Q26" i="10" a="1"/>
  <c r="Q22" i="10" a="1"/>
  <c r="Q30" i="10" a="1"/>
  <c r="Q52" i="10" a="1"/>
  <c r="Q27" i="10" a="1"/>
  <c r="Q8" i="10" a="1"/>
  <c r="Q2" i="10" a="1"/>
  <c r="Q50" i="10" a="1"/>
  <c r="Q43" i="10" a="1"/>
  <c r="Q46" i="10" a="1"/>
  <c r="Q19" i="10" a="1"/>
  <c r="Q25" i="10" a="1"/>
  <c r="Q55" i="10" a="1"/>
  <c r="Q10" i="10" a="1"/>
  <c r="Q17" i="10" a="1"/>
  <c r="Q31" i="10" a="1"/>
  <c r="Q37" i="10" a="1"/>
  <c r="Q18" i="10" a="1"/>
  <c r="Q24" i="10" a="1"/>
  <c r="Q39" i="10" l="1"/>
  <c r="NW44" i="8" a="1"/>
  <c r="NW44" i="8" s="1"/>
  <c r="NW45" i="8" a="1"/>
  <c r="NW45" i="8" s="1"/>
  <c r="Q18" i="10"/>
  <c r="Q50" i="10"/>
  <c r="Q57" i="10"/>
  <c r="Q46" i="10"/>
  <c r="Q10" i="10"/>
  <c r="Q52" i="10"/>
  <c r="Q56" i="10"/>
  <c r="Q2" i="10"/>
  <c r="Q4" i="10"/>
  <c r="Q44" i="10"/>
  <c r="Q11" i="10"/>
  <c r="Q15" i="10"/>
  <c r="Q45" i="10"/>
  <c r="Q26" i="10"/>
  <c r="Q30" i="10"/>
  <c r="Q47" i="10"/>
  <c r="Q48" i="10"/>
  <c r="Q32" i="10"/>
  <c r="Q24" i="10"/>
  <c r="Q3" i="10"/>
  <c r="Q5" i="10"/>
  <c r="Q29" i="10"/>
  <c r="Q36" i="10"/>
  <c r="Q59" i="10"/>
  <c r="Q38" i="10"/>
  <c r="Q33" i="10"/>
  <c r="Q25" i="10"/>
  <c r="Q55" i="10"/>
  <c r="Q22" i="10"/>
  <c r="Q53" i="10"/>
  <c r="Q23" i="10"/>
  <c r="Q49" i="10"/>
  <c r="Q19" i="10"/>
  <c r="Q41" i="10"/>
  <c r="Q13" i="10"/>
  <c r="Q16" i="10"/>
  <c r="Q7" i="10"/>
  <c r="Q37" i="10"/>
  <c r="Q6" i="10"/>
  <c r="Q51" i="10"/>
  <c r="Q28" i="10"/>
  <c r="Q43" i="10"/>
  <c r="Q60" i="10"/>
  <c r="Q42" i="10"/>
  <c r="Q31" i="10"/>
  <c r="Q8" i="10"/>
  <c r="Q9" i="10"/>
  <c r="Q12" i="10"/>
  <c r="Q54" i="10"/>
  <c r="Q27" i="10"/>
  <c r="Q34" i="10"/>
  <c r="Q17" i="10"/>
  <c r="Q21" i="10"/>
  <c r="Q58" i="10"/>
  <c r="Q20" i="10"/>
  <c r="Q14" i="10"/>
  <c r="Q35" i="10"/>
  <c r="NW57" i="8" a="1"/>
  <c r="NW57" i="8" s="1"/>
  <c r="NW36" i="8" a="1"/>
  <c r="NW36" i="8" s="1"/>
  <c r="NW50" i="8" a="1"/>
  <c r="NW50" i="8" s="1"/>
  <c r="NW52" i="8" a="1"/>
  <c r="NW52" i="8" s="1"/>
  <c r="NW18" i="8" a="1"/>
  <c r="NW18" i="8" s="1"/>
  <c r="NW23" i="8" a="1"/>
  <c r="NW23" i="8" s="1"/>
  <c r="NW13" i="8" a="1"/>
  <c r="NW13" i="8" s="1"/>
  <c r="NW48" i="8" a="1"/>
  <c r="NW48" i="8" s="1"/>
  <c r="NW40" i="8" a="1"/>
  <c r="NW40" i="8" s="1"/>
  <c r="NW32" i="8" a="1"/>
  <c r="NW32" i="8" s="1"/>
  <c r="NW41" i="8" a="1"/>
  <c r="NW41" i="8" s="1"/>
  <c r="NW54" i="8" a="1"/>
  <c r="NW54" i="8" s="1"/>
  <c r="NW16" i="8" a="1"/>
  <c r="NW16" i="8" s="1"/>
  <c r="NW53" i="8" a="1"/>
  <c r="NW53" i="8" s="1"/>
  <c r="NW17" i="8" a="1"/>
  <c r="NW17" i="8" s="1"/>
  <c r="NW29" i="8" a="1"/>
  <c r="NW29" i="8" s="1"/>
  <c r="NW11" i="8" a="1"/>
  <c r="NW11" i="8" s="1"/>
  <c r="NW27" i="8" a="1"/>
  <c r="NW27" i="8" s="1"/>
  <c r="NW61" i="8" a="1"/>
  <c r="NW61" i="8" s="1"/>
  <c r="NW58" i="8" a="1"/>
  <c r="NW58" i="8" s="1"/>
  <c r="NW19" i="8" a="1"/>
  <c r="NW19" i="8" s="1"/>
  <c r="NW33" i="8" a="1"/>
  <c r="NW33" i="8" s="1"/>
  <c r="NW14" i="8" a="1"/>
  <c r="NW14" i="8" s="1"/>
  <c r="NW55" i="8" a="1"/>
  <c r="NW55" i="8" s="1"/>
  <c r="NW31" i="8" a="1"/>
  <c r="NW31" i="8" s="1"/>
  <c r="NW42" i="8" a="1"/>
  <c r="NW42" i="8" s="1"/>
  <c r="NW59" i="8" a="1"/>
  <c r="NW59" i="8" s="1"/>
  <c r="NW37" i="8" a="1"/>
  <c r="NW37" i="8" s="1"/>
  <c r="NW35" i="8" a="1"/>
  <c r="NW35" i="8" s="1"/>
  <c r="NW51" i="8" a="1"/>
  <c r="NW51" i="8" s="1"/>
  <c r="NW38" i="8" a="1"/>
  <c r="NW38" i="8" s="1"/>
  <c r="NW15" i="8" a="1"/>
  <c r="NW15" i="8" s="1"/>
  <c r="NW28" i="8" a="1"/>
  <c r="NW28" i="8" s="1"/>
  <c r="NW22" i="8" a="1"/>
  <c r="NW22" i="8" s="1"/>
  <c r="NW24" i="8" a="1"/>
  <c r="NW24" i="8" s="1"/>
  <c r="NW62" i="8" a="1"/>
  <c r="NW62" i="8" s="1"/>
  <c r="NW25" i="8" a="1"/>
  <c r="NW25" i="8" s="1"/>
  <c r="NW30" i="8" a="1"/>
  <c r="NW30" i="8" s="1"/>
  <c r="NW47" i="8" a="1"/>
  <c r="NW47" i="8" s="1"/>
  <c r="NW46" i="8" a="1"/>
  <c r="NW46" i="8" s="1"/>
  <c r="NW49" i="8" a="1"/>
  <c r="NW49" i="8" s="1"/>
  <c r="NW63" i="8" a="1"/>
  <c r="NW63" i="8" s="1"/>
  <c r="NW43" i="8" a="1"/>
  <c r="NW43" i="8" s="1"/>
  <c r="NW26" i="8" a="1"/>
  <c r="NW26" i="8" s="1"/>
  <c r="NW56" i="8" a="1"/>
  <c r="NW56" i="8" s="1"/>
  <c r="NW10" i="8" a="1"/>
  <c r="NW10" i="8" s="1"/>
  <c r="NW60" i="8" a="1"/>
  <c r="NW60" i="8" s="1"/>
  <c r="NW39" i="8" a="1"/>
  <c r="NW39" i="8" s="1"/>
  <c r="NW34" i="8" a="1"/>
  <c r="NW34" i="8" s="1"/>
  <c r="NW64" i="8" a="1"/>
  <c r="NW64" i="8" s="1"/>
  <c r="NW65" i="8" a="1"/>
  <c r="NW65" i="8" s="1"/>
  <c r="NW20" i="8" a="1"/>
  <c r="NW20" i="8" s="1"/>
  <c r="NW9" i="8" a="1"/>
  <c r="NW9" i="8" s="1"/>
  <c r="NW12" i="8" a="1"/>
  <c r="NW12" i="8" s="1"/>
  <c r="NW21" i="8" a="1"/>
  <c r="NW21" i="8" s="1"/>
  <c r="NW8" i="8" a="1"/>
  <c r="NW8" i="8" s="1"/>
  <c r="T13" i="5"/>
  <c r="U13" i="5"/>
  <c r="R14" i="5"/>
  <c r="S14" i="5"/>
  <c r="R39" i="10" a="1"/>
  <c r="R44" i="10" a="1"/>
  <c r="R12" i="10" a="1"/>
  <c r="R17" i="10" a="1"/>
  <c r="R57" i="10" a="1"/>
  <c r="R42" i="10" a="1"/>
  <c r="R19" i="10" a="1"/>
  <c r="R60" i="10" a="1"/>
  <c r="R48" i="10" a="1"/>
  <c r="R23" i="10" a="1"/>
  <c r="R9" i="10" a="1"/>
  <c r="R51" i="10" a="1"/>
  <c r="R20" i="10" a="1"/>
  <c r="R45" i="10" a="1"/>
  <c r="R11" i="10" a="1"/>
  <c r="R10" i="10" a="1"/>
  <c r="R32" i="10" a="1"/>
  <c r="R15" i="10" a="1"/>
  <c r="R34" i="10" a="1"/>
  <c r="R2" i="10" a="1"/>
  <c r="R43" i="10" a="1"/>
  <c r="R25" i="10" a="1"/>
  <c r="R26" i="10" a="1"/>
  <c r="R14" i="10" a="1"/>
  <c r="R55" i="10" a="1"/>
  <c r="R18" i="10" a="1"/>
  <c r="R16" i="10" a="1"/>
  <c r="R53" i="10" a="1"/>
  <c r="R38" i="10" a="1"/>
  <c r="R54" i="10" a="1"/>
  <c r="R13" i="10" a="1"/>
  <c r="R33" i="10" a="1"/>
  <c r="R24" i="10" a="1"/>
  <c r="R8" i="10" a="1"/>
  <c r="R22" i="10" a="1"/>
  <c r="R37" i="10" a="1"/>
  <c r="R6" i="10" a="1"/>
  <c r="R49" i="10" a="1"/>
  <c r="R52" i="10" a="1"/>
  <c r="R58" i="10" a="1"/>
  <c r="R28" i="10" a="1"/>
  <c r="R56" i="10" a="1"/>
  <c r="R35" i="10" a="1"/>
  <c r="R30" i="10" a="1"/>
  <c r="R27" i="10" a="1"/>
  <c r="R5" i="10" a="1"/>
  <c r="R47" i="10" a="1"/>
  <c r="R50" i="10" a="1"/>
  <c r="R36" i="10" a="1"/>
  <c r="R31" i="10" a="1"/>
  <c r="R29" i="10" a="1"/>
  <c r="R3" i="10" a="1"/>
  <c r="R59" i="10" a="1"/>
  <c r="R4" i="10" a="1"/>
  <c r="R21" i="10" a="1"/>
  <c r="R7" i="10" a="1"/>
  <c r="R41" i="10" a="1"/>
  <c r="R46" i="10" a="1"/>
  <c r="R39" i="10" l="1"/>
  <c r="NX44" i="8" a="1"/>
  <c r="NX44" i="8" s="1"/>
  <c r="NX45" i="8" a="1"/>
  <c r="NX45" i="8" s="1"/>
  <c r="R36" i="10"/>
  <c r="R25" i="10"/>
  <c r="R33" i="10"/>
  <c r="R30" i="10"/>
  <c r="R60" i="10"/>
  <c r="R47" i="10"/>
  <c r="R52" i="10"/>
  <c r="R27" i="10"/>
  <c r="R51" i="10"/>
  <c r="R43" i="10"/>
  <c r="R16" i="10"/>
  <c r="R37" i="10"/>
  <c r="R31" i="10"/>
  <c r="R48" i="10"/>
  <c r="R50" i="10"/>
  <c r="R3" i="10"/>
  <c r="R55" i="10"/>
  <c r="R24" i="10"/>
  <c r="R46" i="10"/>
  <c r="R28" i="10"/>
  <c r="R29" i="10"/>
  <c r="R8" i="10"/>
  <c r="R45" i="10"/>
  <c r="R12" i="10"/>
  <c r="R5" i="10"/>
  <c r="R59" i="10"/>
  <c r="R42" i="10"/>
  <c r="R54" i="10"/>
  <c r="R44" i="10"/>
  <c r="R9" i="10"/>
  <c r="R7" i="10"/>
  <c r="R58" i="10"/>
  <c r="R49" i="10"/>
  <c r="R38" i="10"/>
  <c r="R56" i="10"/>
  <c r="R10" i="10"/>
  <c r="R34" i="10"/>
  <c r="R35" i="10"/>
  <c r="R57" i="10"/>
  <c r="R2" i="10"/>
  <c r="R23" i="10"/>
  <c r="R19" i="10"/>
  <c r="R22" i="10"/>
  <c r="R15" i="10"/>
  <c r="R14" i="10"/>
  <c r="R26" i="10"/>
  <c r="R13" i="10"/>
  <c r="R41" i="10"/>
  <c r="R17" i="10"/>
  <c r="R11" i="10"/>
  <c r="R4" i="10"/>
  <c r="R20" i="10"/>
  <c r="R6" i="10"/>
  <c r="R18" i="10"/>
  <c r="R53" i="10"/>
  <c r="R21" i="10"/>
  <c r="R32" i="10"/>
  <c r="S15" i="5"/>
  <c r="S16" i="5" s="1"/>
  <c r="R15" i="5"/>
  <c r="T14" i="5"/>
  <c r="U14" i="5"/>
  <c r="NX36" i="8" a="1"/>
  <c r="NX36" i="8" s="1"/>
  <c r="NX21" i="8" a="1"/>
  <c r="NX21" i="8" s="1"/>
  <c r="NX47" i="8" a="1"/>
  <c r="NX47" i="8" s="1"/>
  <c r="NX34" i="8" a="1"/>
  <c r="NX34" i="8" s="1"/>
  <c r="NX13" i="8" a="1"/>
  <c r="NX13" i="8" s="1"/>
  <c r="NX50" i="8" a="1"/>
  <c r="NX50" i="8" s="1"/>
  <c r="NX46" i="8" a="1"/>
  <c r="NX46" i="8" s="1"/>
  <c r="NX12" i="8" a="1"/>
  <c r="NX12" i="8" s="1"/>
  <c r="NX58" i="8" a="1"/>
  <c r="NX58" i="8" s="1"/>
  <c r="NX9" i="8" a="1"/>
  <c r="NX9" i="8" s="1"/>
  <c r="NX35" i="8" a="1"/>
  <c r="NX35" i="8" s="1"/>
  <c r="NX32" i="8" a="1"/>
  <c r="NX32" i="8" s="1"/>
  <c r="NX17" i="8" a="1"/>
  <c r="NX17" i="8" s="1"/>
  <c r="NX52" i="8" a="1"/>
  <c r="NX52" i="8" s="1"/>
  <c r="NX56" i="8" a="1"/>
  <c r="NX56" i="8" s="1"/>
  <c r="NX63" i="8" a="1"/>
  <c r="NX63" i="8" s="1"/>
  <c r="NX37" i="8" a="1"/>
  <c r="NX37" i="8" s="1"/>
  <c r="NX26" i="8" a="1"/>
  <c r="NX26" i="8" s="1"/>
  <c r="NX61" i="8" a="1"/>
  <c r="NX61" i="8" s="1"/>
  <c r="NX39" i="8" a="1"/>
  <c r="NX39" i="8" s="1"/>
  <c r="NX18" i="8" a="1"/>
  <c r="NX18" i="8" s="1"/>
  <c r="NX31" i="8" a="1"/>
  <c r="NX31" i="8" s="1"/>
  <c r="NX14" i="8" a="1"/>
  <c r="NX14" i="8" s="1"/>
  <c r="NX8" i="8" a="1"/>
  <c r="NX8" i="8" s="1"/>
  <c r="NX11" i="8" a="1"/>
  <c r="NX11" i="8" s="1"/>
  <c r="NX49" i="8" a="1"/>
  <c r="NX49" i="8" s="1"/>
  <c r="NX33" i="8" a="1"/>
  <c r="NX33" i="8" s="1"/>
  <c r="NX54" i="8" a="1"/>
  <c r="NX54" i="8" s="1"/>
  <c r="NX25" i="8" a="1"/>
  <c r="NX25" i="8" s="1"/>
  <c r="NX55" i="8" a="1"/>
  <c r="NX55" i="8" s="1"/>
  <c r="NX53" i="8" a="1"/>
  <c r="NX53" i="8" s="1"/>
  <c r="NX27" i="8" a="1"/>
  <c r="NX27" i="8" s="1"/>
  <c r="NX41" i="8" a="1"/>
  <c r="NX41" i="8" s="1"/>
  <c r="NX48" i="8" a="1"/>
  <c r="NX48" i="8" s="1"/>
  <c r="NX29" i="8" a="1"/>
  <c r="NX29" i="8" s="1"/>
  <c r="NX15" i="8" a="1"/>
  <c r="NX15" i="8" s="1"/>
  <c r="NX62" i="8" a="1"/>
  <c r="NX62" i="8" s="1"/>
  <c r="NX65" i="8" a="1"/>
  <c r="NX65" i="8" s="1"/>
  <c r="NX42" i="8" a="1"/>
  <c r="NX42" i="8" s="1"/>
  <c r="NX23" i="8" a="1"/>
  <c r="NX23" i="8" s="1"/>
  <c r="NX30" i="8" a="1"/>
  <c r="NX30" i="8" s="1"/>
  <c r="NX20" i="8" a="1"/>
  <c r="NX20" i="8" s="1"/>
  <c r="NX40" i="8" a="1"/>
  <c r="NX40" i="8" s="1"/>
  <c r="NX28" i="8" a="1"/>
  <c r="NX28" i="8" s="1"/>
  <c r="NX64" i="8" a="1"/>
  <c r="NX64" i="8" s="1"/>
  <c r="NX38" i="8" a="1"/>
  <c r="NX38" i="8" s="1"/>
  <c r="NX60" i="8" a="1"/>
  <c r="NX60" i="8" s="1"/>
  <c r="NX22" i="8" a="1"/>
  <c r="NX22" i="8" s="1"/>
  <c r="NX57" i="8" a="1"/>
  <c r="NX57" i="8" s="1"/>
  <c r="NX43" i="8" a="1"/>
  <c r="NX43" i="8" s="1"/>
  <c r="NX51" i="8" a="1"/>
  <c r="NX51" i="8" s="1"/>
  <c r="NX59" i="8" a="1"/>
  <c r="NX59" i="8" s="1"/>
  <c r="NX19" i="8" a="1"/>
  <c r="NX19" i="8" s="1"/>
  <c r="NX16" i="8" a="1"/>
  <c r="NX16" i="8" s="1"/>
  <c r="NX24" i="8" a="1"/>
  <c r="NX24" i="8" s="1"/>
  <c r="NX10" i="8" a="1"/>
  <c r="NX10" i="8" s="1"/>
  <c r="S39" i="10" a="1"/>
  <c r="S31" i="10" a="1"/>
  <c r="S37" i="10" a="1"/>
  <c r="S51" i="10" a="1"/>
  <c r="S42" i="10" a="1"/>
  <c r="S35" i="10" a="1"/>
  <c r="S52" i="10" a="1"/>
  <c r="S8" i="10" a="1"/>
  <c r="S50" i="10" a="1"/>
  <c r="S23" i="10" a="1"/>
  <c r="S16" i="10" a="1"/>
  <c r="S32" i="10" a="1"/>
  <c r="S30" i="10" a="1"/>
  <c r="S33" i="10" a="1"/>
  <c r="S49" i="10" a="1"/>
  <c r="S54" i="10" a="1"/>
  <c r="S22" i="10" a="1"/>
  <c r="S3" i="10" a="1"/>
  <c r="S60" i="10" a="1"/>
  <c r="S56" i="10" a="1"/>
  <c r="S20" i="10" a="1"/>
  <c r="S19" i="10" a="1"/>
  <c r="S47" i="10" a="1"/>
  <c r="S27" i="10" a="1"/>
  <c r="S41" i="10" a="1"/>
  <c r="S53" i="10" a="1"/>
  <c r="S9" i="10" a="1"/>
  <c r="S10" i="10" a="1"/>
  <c r="S43" i="10" a="1"/>
  <c r="S24" i="10" a="1"/>
  <c r="S38" i="10" a="1"/>
  <c r="S28" i="10" a="1"/>
  <c r="S59" i="10" a="1"/>
  <c r="S26" i="10" a="1"/>
  <c r="S55" i="10" a="1"/>
  <c r="S48" i="10" a="1"/>
  <c r="S4" i="10" a="1"/>
  <c r="S7" i="10" a="1"/>
  <c r="S17" i="10" a="1"/>
  <c r="S12" i="10" a="1"/>
  <c r="S15" i="10" a="1"/>
  <c r="S11" i="10" a="1"/>
  <c r="S25" i="10" a="1"/>
  <c r="S57" i="10" a="1"/>
  <c r="S14" i="10" a="1"/>
  <c r="S18" i="10" a="1"/>
  <c r="S36" i="10" a="1"/>
  <c r="S29" i="10" a="1"/>
  <c r="S6" i="10" a="1"/>
  <c r="S21" i="10" a="1"/>
  <c r="S44" i="10" a="1"/>
  <c r="S34" i="10" a="1"/>
  <c r="S13" i="10" a="1"/>
  <c r="S46" i="10" a="1"/>
  <c r="S58" i="10" a="1"/>
  <c r="S5" i="10" a="1"/>
  <c r="S2" i="10" a="1"/>
  <c r="S45" i="10" a="1"/>
  <c r="S39" i="10" l="1"/>
  <c r="NY44" i="8" a="1"/>
  <c r="NY44" i="8" s="1"/>
  <c r="NY45" i="8" a="1"/>
  <c r="NY45" i="8" s="1"/>
  <c r="S25" i="10"/>
  <c r="S15" i="10"/>
  <c r="S51" i="10"/>
  <c r="S10" i="10"/>
  <c r="S52" i="10"/>
  <c r="S41" i="10"/>
  <c r="S22" i="10"/>
  <c r="S35" i="10"/>
  <c r="S14" i="10"/>
  <c r="S42" i="10"/>
  <c r="S60" i="10"/>
  <c r="S57" i="10"/>
  <c r="S26" i="10"/>
  <c r="S56" i="10"/>
  <c r="S12" i="10"/>
  <c r="S33" i="10"/>
  <c r="S58" i="10"/>
  <c r="S8" i="10"/>
  <c r="S16" i="10"/>
  <c r="S3" i="10"/>
  <c r="S48" i="10"/>
  <c r="S27" i="10"/>
  <c r="S32" i="10"/>
  <c r="S11" i="10"/>
  <c r="S36" i="10"/>
  <c r="S9" i="10"/>
  <c r="S5" i="10"/>
  <c r="S31" i="10"/>
  <c r="S17" i="10"/>
  <c r="S13" i="10"/>
  <c r="S2" i="10"/>
  <c r="S23" i="10"/>
  <c r="S55" i="10"/>
  <c r="S45" i="10"/>
  <c r="S20" i="10"/>
  <c r="S47" i="10"/>
  <c r="S50" i="10"/>
  <c r="S29" i="10"/>
  <c r="S49" i="10"/>
  <c r="S30" i="10"/>
  <c r="S18" i="10"/>
  <c r="S19" i="10"/>
  <c r="S6" i="10"/>
  <c r="S34" i="10"/>
  <c r="S59" i="10"/>
  <c r="S44" i="10"/>
  <c r="S4" i="10"/>
  <c r="S37" i="10"/>
  <c r="S54" i="10"/>
  <c r="S38" i="10"/>
  <c r="S43" i="10"/>
  <c r="S28" i="10"/>
  <c r="S24" i="10"/>
  <c r="S53" i="10"/>
  <c r="S21" i="10"/>
  <c r="S46" i="10"/>
  <c r="S7" i="10"/>
  <c r="T15" i="5"/>
  <c r="U15" i="5"/>
  <c r="NY49" i="8" a="1"/>
  <c r="NY49" i="8" s="1"/>
  <c r="NY11" i="8" a="1"/>
  <c r="NY11" i="8" s="1"/>
  <c r="NY30" i="8" a="1"/>
  <c r="NY30" i="8" s="1"/>
  <c r="NY53" i="8" a="1"/>
  <c r="NY53" i="8" s="1"/>
  <c r="NY8" i="8" a="1"/>
  <c r="NY8" i="8" s="1"/>
  <c r="NY34" i="8" a="1"/>
  <c r="NY34" i="8" s="1"/>
  <c r="NY33" i="8" a="1"/>
  <c r="NY33" i="8" s="1"/>
  <c r="NY57" i="8" a="1"/>
  <c r="NY57" i="8" s="1"/>
  <c r="NY10" i="8" a="1"/>
  <c r="NY10" i="8" s="1"/>
  <c r="NY12" i="8" a="1"/>
  <c r="NY12" i="8" s="1"/>
  <c r="NY21" i="8" a="1"/>
  <c r="NY21" i="8" s="1"/>
  <c r="NY13" i="8" a="1"/>
  <c r="NY13" i="8" s="1"/>
  <c r="NY41" i="8" a="1"/>
  <c r="NY41" i="8" s="1"/>
  <c r="NY52" i="8" a="1"/>
  <c r="NY52" i="8" s="1"/>
  <c r="NY31" i="8" a="1"/>
  <c r="NY31" i="8" s="1"/>
  <c r="NY23" i="8" a="1"/>
  <c r="NY23" i="8" s="1"/>
  <c r="NY40" i="8" a="1"/>
  <c r="NY40" i="8" s="1"/>
  <c r="NY16" i="8" a="1"/>
  <c r="NY16" i="8" s="1"/>
  <c r="NY64" i="8" a="1"/>
  <c r="NY64" i="8" s="1"/>
  <c r="NY48" i="8" a="1"/>
  <c r="NY48" i="8" s="1"/>
  <c r="NY39" i="8" a="1"/>
  <c r="NY39" i="8" s="1"/>
  <c r="NY46" i="8" a="1"/>
  <c r="NY46" i="8" s="1"/>
  <c r="NY25" i="8" a="1"/>
  <c r="NY25" i="8" s="1"/>
  <c r="NY20" i="8" a="1"/>
  <c r="NY20" i="8" s="1"/>
  <c r="NY61" i="8" a="1"/>
  <c r="NY61" i="8" s="1"/>
  <c r="NY17" i="8" a="1"/>
  <c r="NY17" i="8" s="1"/>
  <c r="NY35" i="8" a="1"/>
  <c r="NY35" i="8" s="1"/>
  <c r="NY56" i="8" a="1"/>
  <c r="NY56" i="8" s="1"/>
  <c r="NY32" i="8" a="1"/>
  <c r="NY32" i="8" s="1"/>
  <c r="NY26" i="8" a="1"/>
  <c r="NY26" i="8" s="1"/>
  <c r="NY36" i="8" a="1"/>
  <c r="NY36" i="8" s="1"/>
  <c r="NY54" i="8" a="1"/>
  <c r="NY54" i="8" s="1"/>
  <c r="NY50" i="8" a="1"/>
  <c r="NY50" i="8" s="1"/>
  <c r="NY65" i="8" a="1"/>
  <c r="NY65" i="8" s="1"/>
  <c r="NY15" i="8" a="1"/>
  <c r="NY15" i="8" s="1"/>
  <c r="NY58" i="8" a="1"/>
  <c r="NY58" i="8" s="1"/>
  <c r="NY60" i="8" a="1"/>
  <c r="NY60" i="8" s="1"/>
  <c r="NY63" i="8" a="1"/>
  <c r="NY63" i="8" s="1"/>
  <c r="NY51" i="8" a="1"/>
  <c r="NY51" i="8" s="1"/>
  <c r="NY18" i="8" a="1"/>
  <c r="NY18" i="8" s="1"/>
  <c r="NY59" i="8" a="1"/>
  <c r="NY59" i="8" s="1"/>
  <c r="NY22" i="8" a="1"/>
  <c r="NY22" i="8" s="1"/>
  <c r="NY27" i="8" a="1"/>
  <c r="NY27" i="8" s="1"/>
  <c r="NY38" i="8" a="1"/>
  <c r="NY38" i="8" s="1"/>
  <c r="NY62" i="8" a="1"/>
  <c r="NY62" i="8" s="1"/>
  <c r="NY14" i="8" a="1"/>
  <c r="NY14" i="8" s="1"/>
  <c r="NY24" i="8" a="1"/>
  <c r="NY24" i="8" s="1"/>
  <c r="NY19" i="8" a="1"/>
  <c r="NY19" i="8" s="1"/>
  <c r="NY28" i="8" a="1"/>
  <c r="NY28" i="8" s="1"/>
  <c r="NY42" i="8" a="1"/>
  <c r="NY42" i="8" s="1"/>
  <c r="NY55" i="8" a="1"/>
  <c r="NY55" i="8" s="1"/>
  <c r="NY43" i="8" a="1"/>
  <c r="NY43" i="8" s="1"/>
  <c r="NY47" i="8" a="1"/>
  <c r="NY47" i="8" s="1"/>
  <c r="NY37" i="8" a="1"/>
  <c r="NY37" i="8" s="1"/>
  <c r="NY9" i="8" a="1"/>
  <c r="NY9" i="8" s="1"/>
  <c r="NY29" i="8" a="1"/>
  <c r="NY29" i="8" s="1"/>
  <c r="T16" i="5"/>
  <c r="T39" i="10" a="1"/>
  <c r="U25" i="10" a="1"/>
  <c r="T13" i="10" a="1"/>
  <c r="T5" i="10" a="1"/>
  <c r="T46" i="10" a="1"/>
  <c r="U37" i="10" a="1"/>
  <c r="U43" i="10" a="1"/>
  <c r="U9" i="10" a="1"/>
  <c r="T6" i="10" a="1"/>
  <c r="T52" i="10" a="1"/>
  <c r="U57" i="10" a="1"/>
  <c r="U45" i="10" a="1"/>
  <c r="T50" i="10" a="1"/>
  <c r="U58" i="10" a="1"/>
  <c r="U21" i="10" a="1"/>
  <c r="T53" i="10" a="1"/>
  <c r="T29" i="10" a="1"/>
  <c r="T41" i="10" a="1"/>
  <c r="U39" i="10" a="1"/>
  <c r="U28" i="10" a="1"/>
  <c r="T2" i="10" a="1"/>
  <c r="U19" i="10" a="1"/>
  <c r="T44" i="10" a="1"/>
  <c r="U16" i="10" a="1"/>
  <c r="T32" i="10" a="1"/>
  <c r="T16" i="10" a="1"/>
  <c r="T25" i="10" a="1"/>
  <c r="U8" i="10" a="1"/>
  <c r="U6" i="10" a="1"/>
  <c r="T37" i="10" a="1"/>
  <c r="U2" i="10" a="1"/>
  <c r="T21" i="10" a="1"/>
  <c r="U50" i="10" a="1"/>
  <c r="T60" i="10" a="1"/>
  <c r="U13" i="10" a="1"/>
  <c r="T59" i="10" a="1"/>
  <c r="U42" i="10" a="1"/>
  <c r="T48" i="10" a="1"/>
  <c r="U46" i="10" a="1"/>
  <c r="U49" i="10" a="1"/>
  <c r="T12" i="10" a="1"/>
  <c r="U14" i="10" a="1"/>
  <c r="T38" i="10" a="1"/>
  <c r="T4" i="10" a="1"/>
  <c r="U20" i="10" a="1"/>
  <c r="T31" i="10" a="1"/>
  <c r="T10" i="10" a="1"/>
  <c r="U38" i="10" a="1"/>
  <c r="T11" i="10" a="1"/>
  <c r="U26" i="10" a="1"/>
  <c r="T26" i="10" a="1"/>
  <c r="T3" i="10" a="1"/>
  <c r="U56" i="10" a="1"/>
  <c r="T55" i="10" a="1"/>
  <c r="T17" i="10" a="1"/>
  <c r="U29" i="10" a="1"/>
  <c r="U35" i="10" a="1"/>
  <c r="U11" i="10" a="1"/>
  <c r="T56" i="10" a="1"/>
  <c r="U33" i="10" a="1"/>
  <c r="T14" i="10" a="1"/>
  <c r="U41" i="10" a="1"/>
  <c r="T22" i="10" a="1"/>
  <c r="T20" i="10" a="1"/>
  <c r="T33" i="10" a="1"/>
  <c r="T36" i="10" a="1"/>
  <c r="U53" i="10" a="1"/>
  <c r="U31" i="10" a="1"/>
  <c r="T30" i="10" a="1"/>
  <c r="U32" i="10" a="1"/>
  <c r="U12" i="10" a="1"/>
  <c r="T18" i="10" a="1"/>
  <c r="U60" i="10" a="1"/>
  <c r="T43" i="10" a="1"/>
  <c r="U54" i="10" a="1"/>
  <c r="T57" i="10" a="1"/>
  <c r="T9" i="10" a="1"/>
  <c r="T24" i="10" a="1"/>
  <c r="T7" i="10" a="1"/>
  <c r="U27" i="10" a="1"/>
  <c r="U7" i="10" a="1"/>
  <c r="T45" i="10" a="1"/>
  <c r="U47" i="10" a="1"/>
  <c r="U3" i="10" a="1"/>
  <c r="U4" i="10" a="1"/>
  <c r="U48" i="10" a="1"/>
  <c r="T8" i="10" a="1"/>
  <c r="U51" i="10" a="1"/>
  <c r="T42" i="10" a="1"/>
  <c r="U24" i="10" a="1"/>
  <c r="U10" i="10" a="1"/>
  <c r="U55" i="10" a="1"/>
  <c r="T28" i="10" a="1"/>
  <c r="U23" i="10" a="1"/>
  <c r="U44" i="10" a="1"/>
  <c r="T49" i="10" a="1"/>
  <c r="U40" i="10" a="1"/>
  <c r="T51" i="10" a="1"/>
  <c r="T34" i="10" a="1"/>
  <c r="U30" i="10" a="1"/>
  <c r="U5" i="10" a="1"/>
  <c r="U36" i="10" a="1"/>
  <c r="U34" i="10" a="1"/>
  <c r="U59" i="10" a="1"/>
  <c r="T27" i="10" a="1"/>
  <c r="U17" i="10" a="1"/>
  <c r="U15" i="10" a="1"/>
  <c r="T47" i="10" a="1"/>
  <c r="T54" i="10" a="1"/>
  <c r="T58" i="10" a="1"/>
  <c r="T23" i="10" a="1"/>
  <c r="T19" i="10" a="1"/>
  <c r="U22" i="10" a="1"/>
  <c r="U18" i="10" a="1"/>
  <c r="U52" i="10" a="1"/>
  <c r="T15" i="10" a="1"/>
  <c r="T35" i="10" a="1"/>
  <c r="U40" i="10" l="1"/>
  <c r="OA44" i="8" a="1"/>
  <c r="OA44" i="8" s="1"/>
  <c r="T39" i="10"/>
  <c r="NZ44" i="8" a="1"/>
  <c r="NZ44" i="8" s="1"/>
  <c r="NZ45" i="8" a="1"/>
  <c r="NZ45" i="8" s="1"/>
  <c r="U39" i="10"/>
  <c r="OA45" i="8" a="1"/>
  <c r="OA45" i="8" s="1"/>
  <c r="U42" i="10"/>
  <c r="U10" i="10"/>
  <c r="U5" i="10"/>
  <c r="U21" i="10"/>
  <c r="U53" i="10"/>
  <c r="U46" i="10"/>
  <c r="U14" i="10"/>
  <c r="T28" i="10"/>
  <c r="T20" i="10"/>
  <c r="T50" i="10"/>
  <c r="T44" i="10"/>
  <c r="T47" i="10"/>
  <c r="T9" i="10"/>
  <c r="T56" i="10"/>
  <c r="T5" i="10"/>
  <c r="U59" i="10"/>
  <c r="U36" i="10"/>
  <c r="U33" i="10"/>
  <c r="U22" i="10"/>
  <c r="U57" i="10"/>
  <c r="U2" i="10"/>
  <c r="U3" i="10"/>
  <c r="T16" i="10"/>
  <c r="T21" i="10"/>
  <c r="T43" i="10"/>
  <c r="T27" i="10"/>
  <c r="T12" i="10"/>
  <c r="T17" i="10"/>
  <c r="T48" i="10"/>
  <c r="T31" i="10"/>
  <c r="T2" i="10"/>
  <c r="T15" i="10"/>
  <c r="T13" i="10"/>
  <c r="T38" i="10"/>
  <c r="T52" i="10"/>
  <c r="T53" i="10"/>
  <c r="U4" i="10"/>
  <c r="U56" i="10"/>
  <c r="U31" i="10"/>
  <c r="U12" i="10"/>
  <c r="U17" i="10"/>
  <c r="U60" i="10"/>
  <c r="U35" i="10"/>
  <c r="U7" i="10"/>
  <c r="U18" i="10"/>
  <c r="U55" i="10"/>
  <c r="U9" i="10"/>
  <c r="U41" i="10"/>
  <c r="U43" i="10"/>
  <c r="U51" i="10"/>
  <c r="U23" i="10"/>
  <c r="T18" i="10"/>
  <c r="T6" i="10"/>
  <c r="T34" i="10"/>
  <c r="T29" i="10"/>
  <c r="T24" i="10"/>
  <c r="T41" i="10"/>
  <c r="T30" i="10"/>
  <c r="T32" i="10"/>
  <c r="T33" i="10"/>
  <c r="T3" i="10"/>
  <c r="T57" i="10"/>
  <c r="T11" i="10"/>
  <c r="T58" i="10"/>
  <c r="U8" i="10"/>
  <c r="U28" i="10"/>
  <c r="U26" i="10"/>
  <c r="U27" i="10"/>
  <c r="U19" i="10"/>
  <c r="U24" i="10"/>
  <c r="T51" i="10"/>
  <c r="T36" i="10"/>
  <c r="T22" i="10"/>
  <c r="T26" i="10"/>
  <c r="T54" i="10"/>
  <c r="T55" i="10"/>
  <c r="T8" i="10"/>
  <c r="U54" i="10"/>
  <c r="U50" i="10"/>
  <c r="U52" i="10"/>
  <c r="U11" i="10"/>
  <c r="U34" i="10"/>
  <c r="U49" i="10"/>
  <c r="U48" i="10"/>
  <c r="T19" i="10"/>
  <c r="U37" i="10"/>
  <c r="U30" i="10"/>
  <c r="U29" i="10"/>
  <c r="U47" i="10"/>
  <c r="U16" i="10"/>
  <c r="U20" i="10"/>
  <c r="U15" i="10"/>
  <c r="U38" i="10"/>
  <c r="U32" i="10"/>
  <c r="U6" i="10"/>
  <c r="U45" i="10"/>
  <c r="U44" i="10"/>
  <c r="U58" i="10"/>
  <c r="U25" i="10"/>
  <c r="U13" i="10"/>
  <c r="T60" i="10"/>
  <c r="T49" i="10"/>
  <c r="T7" i="10"/>
  <c r="T45" i="10"/>
  <c r="T35" i="10"/>
  <c r="T23" i="10"/>
  <c r="T4" i="10"/>
  <c r="T59" i="10"/>
  <c r="T10" i="10"/>
  <c r="T46" i="10"/>
  <c r="T14" i="10"/>
  <c r="T42" i="10"/>
  <c r="T25" i="10"/>
  <c r="T37" i="10"/>
  <c r="NZ65" i="8" a="1"/>
  <c r="NZ65" i="8" s="1"/>
  <c r="NZ15" i="8" a="1"/>
  <c r="NZ15" i="8" s="1"/>
  <c r="NZ43" i="8" a="1"/>
  <c r="NZ43" i="8" s="1"/>
  <c r="NZ58" i="8" a="1"/>
  <c r="NZ58" i="8" s="1"/>
  <c r="NZ54" i="8" a="1"/>
  <c r="NZ54" i="8" s="1"/>
  <c r="NZ11" i="8" a="1"/>
  <c r="NZ11" i="8" s="1"/>
  <c r="NZ20" i="8" a="1"/>
  <c r="NZ20" i="8" s="1"/>
  <c r="NZ52" i="8" a="1"/>
  <c r="NZ52" i="8" s="1"/>
  <c r="NZ56" i="8" a="1"/>
  <c r="NZ56" i="8" s="1"/>
  <c r="NZ22" i="8" a="1"/>
  <c r="NZ22" i="8" s="1"/>
  <c r="NZ40" i="8" a="1"/>
  <c r="NZ40" i="8" s="1"/>
  <c r="NZ39" i="8" a="1"/>
  <c r="NZ39" i="8" s="1"/>
  <c r="NZ57" i="8" a="1"/>
  <c r="NZ57" i="8" s="1"/>
  <c r="NZ35" i="8" a="1"/>
  <c r="NZ35" i="8" s="1"/>
  <c r="NZ9" i="8" a="1"/>
  <c r="NZ9" i="8" s="1"/>
  <c r="NZ18" i="8" a="1"/>
  <c r="NZ18" i="8" s="1"/>
  <c r="NZ21" i="8" a="1"/>
  <c r="NZ21" i="8" s="1"/>
  <c r="NZ14" i="8" a="1"/>
  <c r="NZ14" i="8" s="1"/>
  <c r="NZ24" i="8" a="1"/>
  <c r="NZ24" i="8" s="1"/>
  <c r="NZ63" i="8" a="1"/>
  <c r="NZ63" i="8" s="1"/>
  <c r="NZ55" i="8" a="1"/>
  <c r="NZ55" i="8" s="1"/>
  <c r="NZ60" i="8" a="1"/>
  <c r="NZ60" i="8" s="1"/>
  <c r="NZ38" i="8" a="1"/>
  <c r="NZ38" i="8" s="1"/>
  <c r="NZ28" i="8" a="1"/>
  <c r="NZ28" i="8" s="1"/>
  <c r="NZ47" i="8" a="1"/>
  <c r="NZ47" i="8" s="1"/>
  <c r="NZ17" i="8" a="1"/>
  <c r="NZ17" i="8" s="1"/>
  <c r="NZ23" i="8" a="1"/>
  <c r="NZ23" i="8" s="1"/>
  <c r="NZ37" i="8" a="1"/>
  <c r="NZ37" i="8" s="1"/>
  <c r="NZ29" i="8" a="1"/>
  <c r="NZ29" i="8" s="1"/>
  <c r="NZ27" i="8" a="1"/>
  <c r="NZ27" i="8" s="1"/>
  <c r="NZ32" i="8" a="1"/>
  <c r="NZ32" i="8" s="1"/>
  <c r="NZ46" i="8" a="1"/>
  <c r="NZ46" i="8" s="1"/>
  <c r="NZ51" i="8" a="1"/>
  <c r="NZ51" i="8" s="1"/>
  <c r="NZ59" i="8" a="1"/>
  <c r="NZ59" i="8" s="1"/>
  <c r="NZ48" i="8" a="1"/>
  <c r="NZ48" i="8" s="1"/>
  <c r="NZ12" i="8" a="1"/>
  <c r="NZ12" i="8" s="1"/>
  <c r="NZ25" i="8" a="1"/>
  <c r="NZ25" i="8" s="1"/>
  <c r="NZ8" i="8" a="1"/>
  <c r="NZ8" i="8" s="1"/>
  <c r="NZ34" i="8" a="1"/>
  <c r="NZ34" i="8" s="1"/>
  <c r="NZ64" i="8" a="1"/>
  <c r="NZ64" i="8" s="1"/>
  <c r="NZ41" i="8" a="1"/>
  <c r="NZ41" i="8" s="1"/>
  <c r="NZ61" i="8" a="1"/>
  <c r="NZ61" i="8" s="1"/>
  <c r="NZ62" i="8" a="1"/>
  <c r="NZ62" i="8" s="1"/>
  <c r="NZ42" i="8" a="1"/>
  <c r="NZ42" i="8" s="1"/>
  <c r="NZ49" i="8" a="1"/>
  <c r="NZ49" i="8" s="1"/>
  <c r="NZ16" i="8" a="1"/>
  <c r="NZ16" i="8" s="1"/>
  <c r="NZ10" i="8" a="1"/>
  <c r="NZ10" i="8" s="1"/>
  <c r="NZ31" i="8" a="1"/>
  <c r="NZ31" i="8" s="1"/>
  <c r="NZ30" i="8" a="1"/>
  <c r="NZ30" i="8" s="1"/>
  <c r="NZ33" i="8" a="1"/>
  <c r="NZ33" i="8" s="1"/>
  <c r="NZ13" i="8" a="1"/>
  <c r="NZ13" i="8" s="1"/>
  <c r="NZ19" i="8" a="1"/>
  <c r="NZ19" i="8" s="1"/>
  <c r="NZ50" i="8" a="1"/>
  <c r="NZ50" i="8" s="1"/>
  <c r="NZ36" i="8" a="1"/>
  <c r="NZ36" i="8" s="1"/>
  <c r="NZ26" i="8" a="1"/>
  <c r="NZ26" i="8" s="1"/>
  <c r="NZ53" i="8" a="1"/>
  <c r="NZ53" i="8" s="1"/>
  <c r="OA65" i="8" a="1"/>
  <c r="OA65" i="8" s="1"/>
  <c r="OA42" i="8" a="1"/>
  <c r="OA42" i="8" s="1"/>
  <c r="OA17" i="8" a="1"/>
  <c r="OA17" i="8" s="1"/>
  <c r="OA31" i="8" a="1"/>
  <c r="OA31" i="8" s="1"/>
  <c r="OA54" i="8" a="1"/>
  <c r="OA54" i="8" s="1"/>
  <c r="OA55" i="8" a="1"/>
  <c r="OA55" i="8" s="1"/>
  <c r="OA29" i="8" a="1"/>
  <c r="OA29" i="8" s="1"/>
  <c r="OA20" i="8" a="1"/>
  <c r="OA20" i="8" s="1"/>
  <c r="OA57" i="8" a="1"/>
  <c r="OA57" i="8" s="1"/>
  <c r="OA36" i="8" a="1"/>
  <c r="OA36" i="8" s="1"/>
  <c r="OA52" i="8" a="1"/>
  <c r="OA52" i="8" s="1"/>
  <c r="OA22" i="8" a="1"/>
  <c r="OA22" i="8" s="1"/>
  <c r="OA53" i="8" a="1"/>
  <c r="OA53" i="8" s="1"/>
  <c r="OA46" i="8" a="1"/>
  <c r="OA46" i="8" s="1"/>
  <c r="OA59" i="8" a="1"/>
  <c r="OA59" i="8" s="1"/>
  <c r="OA13" i="8" a="1"/>
  <c r="OA13" i="8" s="1"/>
  <c r="OA10" i="8" a="1"/>
  <c r="OA10" i="8" s="1"/>
  <c r="OA27" i="8" a="1"/>
  <c r="OA27" i="8" s="1"/>
  <c r="OA50" i="8" a="1"/>
  <c r="OA50" i="8" s="1"/>
  <c r="OA8" i="8" a="1"/>
  <c r="OA8" i="8" s="1"/>
  <c r="OA15" i="8" a="1"/>
  <c r="OA15" i="8" s="1"/>
  <c r="OA41" i="8" a="1"/>
  <c r="OA41" i="8" s="1"/>
  <c r="OA38" i="8" a="1"/>
  <c r="OA38" i="8" s="1"/>
  <c r="OA33" i="8" a="1"/>
  <c r="OA33" i="8" s="1"/>
  <c r="OA25" i="8" a="1"/>
  <c r="OA25" i="8" s="1"/>
  <c r="OA9" i="8" a="1"/>
  <c r="OA9" i="8" s="1"/>
  <c r="OA34" i="8" a="1"/>
  <c r="OA34" i="8" s="1"/>
  <c r="OA14" i="8" a="1"/>
  <c r="OA14" i="8" s="1"/>
  <c r="OA24" i="8" a="1"/>
  <c r="OA24" i="8" s="1"/>
  <c r="OA19" i="8" a="1"/>
  <c r="OA19" i="8" s="1"/>
  <c r="OA23" i="8" a="1"/>
  <c r="OA23" i="8" s="1"/>
  <c r="OA37" i="8" a="1"/>
  <c r="OA37" i="8" s="1"/>
  <c r="OA12" i="8" a="1"/>
  <c r="OA12" i="8" s="1"/>
  <c r="OA62" i="8" a="1"/>
  <c r="OA62" i="8" s="1"/>
  <c r="OA47" i="8" a="1"/>
  <c r="OA47" i="8" s="1"/>
  <c r="OA18" i="8" a="1"/>
  <c r="OA18" i="8" s="1"/>
  <c r="OA40" i="8" a="1"/>
  <c r="OA40" i="8" s="1"/>
  <c r="OA61" i="8" a="1"/>
  <c r="OA61" i="8" s="1"/>
  <c r="OA11" i="8" a="1"/>
  <c r="OA11" i="8" s="1"/>
  <c r="OA43" i="8" a="1"/>
  <c r="OA43" i="8" s="1"/>
  <c r="OA49" i="8" a="1"/>
  <c r="OA49" i="8" s="1"/>
  <c r="OA28" i="8" a="1"/>
  <c r="OA28" i="8" s="1"/>
  <c r="OA60" i="8" a="1"/>
  <c r="OA60" i="8" s="1"/>
  <c r="OA64" i="8" a="1"/>
  <c r="OA64" i="8" s="1"/>
  <c r="OA21" i="8" a="1"/>
  <c r="OA21" i="8" s="1"/>
  <c r="OA51" i="8" a="1"/>
  <c r="OA51" i="8" s="1"/>
  <c r="OA56" i="8" a="1"/>
  <c r="OA56" i="8" s="1"/>
  <c r="OA39" i="8" a="1"/>
  <c r="OA39" i="8" s="1"/>
  <c r="OA63" i="8" a="1"/>
  <c r="OA63" i="8" s="1"/>
  <c r="OA32" i="8" a="1"/>
  <c r="OA32" i="8" s="1"/>
  <c r="OA16" i="8" a="1"/>
  <c r="OA16" i="8" s="1"/>
  <c r="OA30" i="8" a="1"/>
  <c r="OA30" i="8" s="1"/>
  <c r="OA26" i="8" a="1"/>
  <c r="OA26" i="8" s="1"/>
  <c r="OA35" i="8" a="1"/>
  <c r="OA35" i="8" s="1"/>
  <c r="OA58" i="8" a="1"/>
  <c r="OA58" i="8" s="1"/>
  <c r="OA48" i="8" a="1"/>
  <c r="OA48" i="8" s="1"/>
  <c r="U14" i="11" l="1"/>
  <c r="U12" i="11"/>
</calcChain>
</file>

<file path=xl/sharedStrings.xml><?xml version="1.0" encoding="utf-8"?>
<sst xmlns="http://schemas.openxmlformats.org/spreadsheetml/2006/main" count="3657" uniqueCount="185">
  <si>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</si>
  <si>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</si>
  <si>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</si>
  <si>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</si>
  <si>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</si>
  <si>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</si>
  <si>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</si>
  <si>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</si>
  <si>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</si>
  <si>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</si>
  <si>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</si>
  <si>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</t>
  </si>
  <si>
    <t>Tue</t>
  </si>
  <si>
    <t>Wed</t>
  </si>
  <si>
    <t>Thu</t>
  </si>
  <si>
    <t>Fri</t>
  </si>
  <si>
    <t>Sat</t>
  </si>
  <si>
    <t>Sun</t>
  </si>
  <si>
    <t>Week #</t>
  </si>
  <si>
    <t>January</t>
  </si>
  <si>
    <t>Date</t>
  </si>
  <si>
    <t>New Year Day</t>
  </si>
  <si>
    <t>Name</t>
  </si>
  <si>
    <t>Select Working Days</t>
  </si>
  <si>
    <t>No</t>
  </si>
  <si>
    <t>Yes</t>
  </si>
  <si>
    <t>Leaves This Month</t>
  </si>
  <si>
    <t>Leaves This Year</t>
  </si>
  <si>
    <t>Leave Name</t>
  </si>
  <si>
    <t>Code</t>
  </si>
  <si>
    <t>Half Day Leave</t>
  </si>
  <si>
    <t>H</t>
  </si>
  <si>
    <t>Leave</t>
  </si>
  <si>
    <t>L</t>
  </si>
  <si>
    <t>Local Holiday</t>
  </si>
  <si>
    <t>LH</t>
  </si>
  <si>
    <t>Start Date</t>
  </si>
  <si>
    <t>End Date</t>
  </si>
  <si>
    <t>Days (with 31 Days per Month)</t>
  </si>
  <si>
    <t>Canada Holiday</t>
  </si>
  <si>
    <t>Belarus Holiday</t>
  </si>
  <si>
    <t>Irina Lunin</t>
  </si>
  <si>
    <t>Dmitry Agapitov</t>
  </si>
  <si>
    <t>Pavlo Pochapsky</t>
  </si>
  <si>
    <t>Alexander Groman</t>
  </si>
  <si>
    <t>Glen Stone</t>
  </si>
  <si>
    <t>Susan Lu</t>
  </si>
  <si>
    <t>Nikita Iurev</t>
  </si>
  <si>
    <t>Not Employee</t>
  </si>
  <si>
    <t>N</t>
  </si>
  <si>
    <t>?</t>
  </si>
  <si>
    <t>Prospective</t>
  </si>
  <si>
    <t>Victoria Day</t>
  </si>
  <si>
    <t>Canada Day</t>
  </si>
  <si>
    <t>Civic Holiday</t>
  </si>
  <si>
    <t>Labour Day</t>
  </si>
  <si>
    <t>Thanksgiving</t>
  </si>
  <si>
    <t>Christmas Day</t>
  </si>
  <si>
    <t>Boxing Day</t>
  </si>
  <si>
    <t>Famaily Day</t>
  </si>
  <si>
    <t>Radonitsa</t>
  </si>
  <si>
    <t>Victory Day</t>
  </si>
  <si>
    <t>Independence Day</t>
  </si>
  <si>
    <t>October Revolution Day</t>
  </si>
  <si>
    <t>Orthodox Christmas Day</t>
  </si>
  <si>
    <t>Women's Day</t>
  </si>
  <si>
    <t>Holiday</t>
  </si>
  <si>
    <t xml:space="preserve">Alexander Utkin </t>
  </si>
  <si>
    <t xml:space="preserve">Alex Kapsh </t>
  </si>
  <si>
    <t xml:space="preserve">Anton Trinkunas </t>
  </si>
  <si>
    <t xml:space="preserve">Guy Geles </t>
  </si>
  <si>
    <t>Matthew Ellwood</t>
  </si>
  <si>
    <t xml:space="preserve">Makar Bougaev </t>
  </si>
  <si>
    <t>Louis Psihalos</t>
  </si>
  <si>
    <t>May Lam</t>
  </si>
  <si>
    <t>Mohammed Akbar</t>
  </si>
  <si>
    <t>Albert Wong</t>
  </si>
  <si>
    <t>Val Romashkin</t>
  </si>
  <si>
    <t>Michael Talis</t>
  </si>
  <si>
    <t>Steven Snowdon</t>
  </si>
  <si>
    <t>Colin Richards</t>
  </si>
  <si>
    <t>Stephen Fang</t>
  </si>
  <si>
    <t>Cathy Xu</t>
  </si>
  <si>
    <t>Alistair Zhu</t>
  </si>
  <si>
    <t>Dmitry Lopyrev</t>
  </si>
  <si>
    <t>Nikita Pliassounov</t>
  </si>
  <si>
    <t>Areag Osman</t>
  </si>
  <si>
    <t>Alex Tkachev</t>
  </si>
  <si>
    <t>Andriy Malivanchuk</t>
  </si>
  <si>
    <t>Chris Just</t>
  </si>
  <si>
    <t>Valentina Alekseeva</t>
  </si>
  <si>
    <t>Dmitri Golovenkin</t>
  </si>
  <si>
    <t>Anna Kalimouline</t>
  </si>
  <si>
    <t>Roman Dolgov</t>
  </si>
  <si>
    <t>Yegor Kozlov</t>
  </si>
  <si>
    <t>Shohrukh Davlatov</t>
  </si>
  <si>
    <t>Vitaliy Kotov</t>
  </si>
  <si>
    <t>Eugen Goroluov</t>
  </si>
  <si>
    <t>Aleksey Glushchenko</t>
  </si>
  <si>
    <t>Irina Gribushkina</t>
  </si>
  <si>
    <t>Anna Shchemel</t>
  </si>
  <si>
    <t>Nikita Belikau</t>
  </si>
  <si>
    <t>Aleksandr Pototskiy</t>
  </si>
  <si>
    <t>Maxim Yakushkin</t>
  </si>
  <si>
    <t>Darya Kovalevskaya</t>
  </si>
  <si>
    <t>Aleksandr Yashyn</t>
  </si>
  <si>
    <t>Michail Tolmats</t>
  </si>
  <si>
    <t>Daniil Morozov</t>
  </si>
  <si>
    <t>Roman Ogolikhin</t>
  </si>
  <si>
    <t>Olga Matsiuk</t>
  </si>
  <si>
    <t>Team</t>
  </si>
  <si>
    <t>Location</t>
  </si>
  <si>
    <t>Alpha</t>
  </si>
  <si>
    <t>ngStars</t>
  </si>
  <si>
    <t>Titan</t>
  </si>
  <si>
    <t>Teams</t>
  </si>
  <si>
    <t>SoftTeco</t>
  </si>
  <si>
    <t>Canada</t>
  </si>
  <si>
    <t>Belarus</t>
  </si>
  <si>
    <t>NW</t>
  </si>
  <si>
    <t>Role</t>
  </si>
  <si>
    <t>Team Lead</t>
  </si>
  <si>
    <t>BE Lead</t>
  </si>
  <si>
    <t>FE Lead</t>
  </si>
  <si>
    <t>BE</t>
  </si>
  <si>
    <t>FE</t>
  </si>
  <si>
    <t>FS</t>
  </si>
  <si>
    <t>QA Dev</t>
  </si>
  <si>
    <t>QA BA</t>
  </si>
  <si>
    <t>QA Lead</t>
  </si>
  <si>
    <t>Utilization</t>
  </si>
  <si>
    <t>Specialization</t>
  </si>
  <si>
    <t>Dev</t>
  </si>
  <si>
    <t>QA</t>
  </si>
  <si>
    <t>Architect</t>
  </si>
  <si>
    <t>Q1</t>
  </si>
  <si>
    <t>Q2</t>
  </si>
  <si>
    <t>Q3</t>
  </si>
  <si>
    <t>Q4</t>
  </si>
  <si>
    <t>Q5</t>
  </si>
  <si>
    <t>Q6</t>
  </si>
  <si>
    <t>Q7</t>
  </si>
  <si>
    <t>Dev Sprint</t>
  </si>
  <si>
    <t>Q8</t>
  </si>
  <si>
    <t>Q9</t>
  </si>
  <si>
    <t>Q10</t>
  </si>
  <si>
    <t>Q11</t>
  </si>
  <si>
    <t>Q12</t>
  </si>
  <si>
    <t>Month Shift</t>
  </si>
  <si>
    <t>Capacity Buffer</t>
  </si>
  <si>
    <t>Grand Total</t>
  </si>
  <si>
    <t xml:space="preserve"> Q1</t>
  </si>
  <si>
    <t xml:space="preserve"> Q2</t>
  </si>
  <si>
    <t xml:space="preserve"> Q3</t>
  </si>
  <si>
    <t xml:space="preserve"> Q4</t>
  </si>
  <si>
    <t xml:space="preserve"> Q5</t>
  </si>
  <si>
    <t xml:space="preserve"> Q6</t>
  </si>
  <si>
    <t xml:space="preserve"> Q9</t>
  </si>
  <si>
    <t xml:space="preserve"> Q10</t>
  </si>
  <si>
    <t xml:space="preserve"> Q11</t>
  </si>
  <si>
    <t xml:space="preserve"> Q12</t>
  </si>
  <si>
    <t>Quasar</t>
  </si>
  <si>
    <t>Fabio Gallo</t>
  </si>
  <si>
    <t>Q13</t>
  </si>
  <si>
    <t>Q14</t>
  </si>
  <si>
    <t xml:space="preserve"> Q13</t>
  </si>
  <si>
    <t xml:space="preserve"> Q14</t>
  </si>
  <si>
    <t xml:space="preserve"> Q7</t>
  </si>
  <si>
    <t>Historical</t>
  </si>
  <si>
    <t>Total</t>
  </si>
  <si>
    <t>ngStarts</t>
  </si>
  <si>
    <t>Director</t>
  </si>
  <si>
    <t>Teach Lead</t>
  </si>
  <si>
    <t>Manager</t>
  </si>
  <si>
    <t>Pulkit Bhatia</t>
  </si>
  <si>
    <t>Tally Bechard</t>
  </si>
  <si>
    <t>Remaining</t>
  </si>
  <si>
    <t>Remaining QA BA Capacity</t>
  </si>
  <si>
    <t>Remaining QA BA Capacity for UME</t>
  </si>
  <si>
    <t>Olga Zimina</t>
  </si>
  <si>
    <t>Alexander Simanovich</t>
  </si>
  <si>
    <t>Elena Rabko</t>
  </si>
  <si>
    <t>`</t>
  </si>
  <si>
    <t>Jane Wang</t>
  </si>
  <si>
    <t>Joon Kim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</si>
</sst>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"/>
    <numFmt numFmtId="165" formatCode=";;;"/>
    <numFmt numFmtId="166" formatCode="dd\ mmm\,\ yyyy"/>
  </numFmts>
  <fonts count="2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i/>
      <sz val="9"/>
      <color theme="3" tint="0.3999755851924192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C99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4" fillId="9" borderId="0" applyNumberFormat="0" applyBorder="0" applyAlignment="0" applyProtection="0"/>
    <xf numFmtId="0" fontId="15" fillId="10" borderId="0" applyNumberFormat="0" applyBorder="0" applyAlignment="0" applyProtection="0"/>
    <xf numFmtId="0" fontId="13" fillId="11" borderId="0" applyNumberFormat="0" applyBorder="0" applyAlignment="0" applyProtection="0"/>
    <xf numFmtId="0" fontId="16" fillId="12" borderId="11" applyNumberFormat="0" applyAlignment="0" applyProtection="0"/>
  </cellStyleXfs>
  <cellXfs count="100">
    <xf numFmtId="0" fontId="0" fillId="0" borderId="0" xfId="0"/>
    <xf numFmtId="0" fontId="0" fillId="0" borderId="1" xfId="0" applyBorder="1"/>
    <xf numFmtId="0" fontId="0" fillId="0" borderId="1" xfId="0" applyFill="1" applyBorder="1"/>
    <xf numFmtId="0" fontId="2" fillId="0" borderId="0" xfId="0" applyFont="1" applyBorder="1"/>
    <xf numFmtId="0" fontId="3" fillId="2" borderId="1" xfId="0" applyFont="1" applyFill="1" applyBorder="1"/>
    <xf numFmtId="0" fontId="0" fillId="0" borderId="1" xfId="0" applyFont="1" applyBorder="1"/>
    <xf numFmtId="14" fontId="0" fillId="0" borderId="0" xfId="0" applyNumberFormat="1"/>
    <xf numFmtId="164" fontId="1" fillId="2" borderId="1" xfId="0" applyNumberFormat="1" applyFont="1" applyFill="1" applyBorder="1" applyAlignment="1">
      <alignment horizontal="center" vertical="center"/>
    </xf>
    <xf numFmtId="16" fontId="1" fillId="2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65" fontId="6" fillId="0" borderId="0" xfId="0" applyNumberFormat="1" applyFont="1" applyBorder="1" applyAlignment="1">
      <alignment horizontal="center"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65" fontId="2" fillId="0" borderId="0" xfId="0" applyNumberFormat="1" applyFont="1" applyBorder="1"/>
    <xf numFmtId="0" fontId="0" fillId="0" borderId="4" xfId="0" applyBorder="1"/>
    <xf numFmtId="0" fontId="8" fillId="6" borderId="4" xfId="0" applyFont="1" applyFill="1" applyBorder="1" applyAlignment="1">
      <alignment horizontal="centerContinuous"/>
    </xf>
    <xf numFmtId="0" fontId="7" fillId="0" borderId="1" xfId="0" applyFont="1" applyBorder="1"/>
    <xf numFmtId="166" fontId="7" fillId="0" borderId="1" xfId="0" applyNumberFormat="1" applyFont="1" applyBorder="1"/>
    <xf numFmtId="0" fontId="0" fillId="7" borderId="1" xfId="0" applyFill="1" applyBorder="1" applyAlignment="1">
      <alignment horizontal="center"/>
    </xf>
    <xf numFmtId="0" fontId="9" fillId="0" borderId="0" xfId="0" applyFont="1" applyAlignment="1">
      <alignment horizontal="left" indent="1"/>
    </xf>
    <xf numFmtId="1" fontId="1" fillId="3" borderId="1" xfId="0" applyNumberFormat="1" applyFont="1" applyFill="1" applyBorder="1" applyAlignment="1">
      <alignment horizontal="center" vertical="center"/>
    </xf>
    <xf numFmtId="0" fontId="0" fillId="7" borderId="1" xfId="0" applyFill="1" applyBorder="1"/>
    <xf numFmtId="14" fontId="7" fillId="0" borderId="1" xfId="0" applyNumberFormat="1" applyFont="1" applyBorder="1"/>
    <xf numFmtId="0" fontId="7" fillId="0" borderId="1" xfId="0" applyFont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14" fontId="0" fillId="0" borderId="8" xfId="0" applyNumberFormat="1" applyBorder="1"/>
    <xf numFmtId="1" fontId="0" fillId="0" borderId="7" xfId="0" applyNumberFormat="1" applyBorder="1"/>
    <xf numFmtId="0" fontId="0" fillId="0" borderId="0" xfId="0" applyNumberFormat="1"/>
    <xf numFmtId="1" fontId="11" fillId="0" borderId="0" xfId="0" applyNumberFormat="1" applyFont="1" applyBorder="1" applyAlignment="1">
      <alignment horizontal="center" vertical="center"/>
    </xf>
    <xf numFmtId="0" fontId="2" fillId="0" borderId="3" xfId="0" applyFont="1" applyBorder="1"/>
    <xf numFmtId="0" fontId="2" fillId="0" borderId="6" xfId="0" applyFont="1" applyBorder="1"/>
    <xf numFmtId="0" fontId="2" fillId="0" borderId="2" xfId="0" applyFont="1" applyBorder="1"/>
    <xf numFmtId="0" fontId="0" fillId="0" borderId="6" xfId="0" applyFill="1" applyBorder="1"/>
    <xf numFmtId="0" fontId="0" fillId="0" borderId="10" xfId="0" applyFill="1" applyBorder="1"/>
    <xf numFmtId="0" fontId="12" fillId="0" borderId="3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7" fillId="0" borderId="9" xfId="0" applyFont="1" applyBorder="1"/>
    <xf numFmtId="0" fontId="0" fillId="0" borderId="10" xfId="0" applyBorder="1"/>
    <xf numFmtId="0" fontId="0" fillId="6" borderId="6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9" fontId="0" fillId="0" borderId="0" xfId="0" applyNumberFormat="1"/>
    <xf numFmtId="165" fontId="6" fillId="0" borderId="0" xfId="0" applyNumberFormat="1" applyFont="1" applyBorder="1"/>
    <xf numFmtId="165" fontId="6" fillId="8" borderId="0" xfId="0" applyNumberFormat="1" applyFont="1" applyFill="1" applyBorder="1"/>
    <xf numFmtId="0" fontId="0" fillId="0" borderId="0" xfId="0" quotePrefix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16" fontId="0" fillId="0" borderId="0" xfId="0" applyNumberFormat="1"/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0" borderId="0" xfId="0" pivotButton="1"/>
    <xf numFmtId="1" fontId="0" fillId="0" borderId="0" xfId="0" applyNumberFormat="1"/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0" fontId="15" fillId="10" borderId="0" xfId="2" applyAlignment="1">
      <alignment horizontal="left"/>
    </xf>
    <xf numFmtId="0" fontId="0" fillId="0" borderId="0" xfId="0" applyAlignment="1">
      <alignment horizontal="right"/>
    </xf>
    <xf numFmtId="0" fontId="14" fillId="9" borderId="0" xfId="1"/>
    <xf numFmtId="9" fontId="14" fillId="9" borderId="0" xfId="1" applyNumberFormat="1"/>
    <xf numFmtId="0" fontId="14" fillId="9" borderId="0" xfId="1" applyNumberFormat="1"/>
    <xf numFmtId="0" fontId="10" fillId="11" borderId="0" xfId="3" applyFont="1"/>
    <xf numFmtId="0" fontId="0" fillId="0" borderId="5" xfId="0" applyBorder="1"/>
    <xf numFmtId="0" fontId="0" fillId="0" borderId="5" xfId="0" applyFill="1" applyBorder="1"/>
    <xf numFmtId="0" fontId="0" fillId="5" borderId="5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10" fillId="0" borderId="0" xfId="0" applyFont="1"/>
    <xf numFmtId="0" fontId="17" fillId="13" borderId="12" xfId="0" applyFont="1" applyFill="1" applyBorder="1"/>
    <xf numFmtId="0" fontId="0" fillId="3" borderId="0" xfId="0" applyFill="1" applyBorder="1"/>
    <xf numFmtId="0" fontId="0" fillId="0" borderId="1" xfId="0" applyNumberFormat="1" applyBorder="1"/>
    <xf numFmtId="0" fontId="14" fillId="9" borderId="1" xfId="1" applyNumberFormat="1" applyBorder="1"/>
    <xf numFmtId="1" fontId="16" fillId="12" borderId="9" xfId="4" applyNumberFormat="1" applyBorder="1"/>
    <xf numFmtId="0" fontId="15" fillId="10" borderId="13" xfId="2" applyBorder="1"/>
    <xf numFmtId="0" fontId="15" fillId="10" borderId="14" xfId="2" applyBorder="1"/>
    <xf numFmtId="0" fontId="15" fillId="10" borderId="9" xfId="2" applyBorder="1"/>
    <xf numFmtId="0" fontId="0" fillId="0" borderId="0" xfId="0" applyNumberFormat="1" applyBorder="1"/>
    <xf numFmtId="0" fontId="0" fillId="0" borderId="0" xfId="0" applyBorder="1"/>
    <xf numFmtId="9" fontId="0" fillId="0" borderId="0" xfId="0" applyNumberFormat="1" applyBorder="1"/>
    <xf numFmtId="0" fontId="0" fillId="0" borderId="5" xfId="0" applyNumberFormat="1" applyBorder="1"/>
    <xf numFmtId="1" fontId="18" fillId="0" borderId="0" xfId="0" applyNumberFormat="1" applyFont="1"/>
    <xf numFmtId="1" fontId="19" fillId="11" borderId="0" xfId="3" applyNumberFormat="1" applyFont="1"/>
    <xf numFmtId="1" fontId="20" fillId="0" borderId="0" xfId="0" applyNumberFormat="1" applyFont="1"/>
    <xf numFmtId="1" fontId="21" fillId="11" borderId="0" xfId="3" applyNumberFormat="1" applyFont="1"/>
    <xf numFmtId="0" fontId="4" fillId="3" borderId="5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 wrapText="1"/>
    </xf>
    <xf numFmtId="0" fontId="4" fillId="6" borderId="6" xfId="0" applyFont="1" applyFill="1" applyBorder="1" applyAlignment="1">
      <alignment horizontal="center" vertical="center" wrapText="1"/>
    </xf>
  </cellXfs>
  <cellStyles count="5">
    <cellStyle name="20% - Accent1" xfId="3" builtinId="30"/>
    <cellStyle name="Bad" xfId="1" builtinId="27"/>
    <cellStyle name="Input" xfId="4" builtinId="20"/>
    <cellStyle name="Neutral" xfId="2" builtinId="28"/>
    <cellStyle name="Normal" xfId="0" builtinId="0"/>
  </cellStyles>
  <dxfs count="136">
    <dxf>
      <numFmt numFmtId="1" formatCode="0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dd\ mmm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dd\ mmm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6" formatCode="dd\ mmm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</dxfs>
  <tableStyles count="0" defaultTableStyle="TableStyleMedium2" defaultPivotStyle="PivotStyleLight16"/>
  <colors>
    <mruColors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166</xdr:col>
      <xdr:colOff>177053</xdr:colOff>
      <xdr:row>2</xdr:row>
      <xdr:rowOff>152401</xdr:rowOff>
    </xdr:from>
    <xdr:to>
      <xdr:col>176</xdr:col>
      <xdr:colOff>119810</xdr:colOff>
      <xdr:row>2</xdr:row>
      <xdr:rowOff>466726</xdr:rowOff>
    </xdr:to>
    <xdr:sp macro="" textlink="Sheet3!G2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82291" y="552451"/>
          <a:ext cx="2417669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4E15872-7C8C-4EBC-AD95-7C1F4FF55BFC}" type="TxLink">
            <a:rPr lang="en-US" sz="2400" b="1" i="1" u="none" strike="noStrike">
              <a:solidFill>
                <a:schemeClr val="tx2">
                  <a:lumMod val="60000"/>
                  <a:lumOff val="40000"/>
                </a:schemeClr>
              </a:solidFill>
              <a:latin typeface="Calibri"/>
            </a:rPr>
            <a:pPr algn="ctr"/>
            <a:t>September 2018</a:t>
          </a:fld>
          <a:endParaRPr lang="en-US" sz="2400" b="1" i="1" u="sng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absolute">
    <xdr:from>
      <xdr:col>176</xdr:col>
      <xdr:colOff>7937</xdr:colOff>
      <xdr:row>2</xdr:row>
      <xdr:rowOff>100013</xdr:rowOff>
    </xdr:from>
    <xdr:to>
      <xdr:col>177</xdr:col>
      <xdr:colOff>185737</xdr:colOff>
      <xdr:row>3</xdr:row>
      <xdr:rowOff>953</xdr:rowOff>
    </xdr:to>
    <xdr:pic macro="[0]!NextMonth">
      <xdr:nvPicPr>
        <xdr:cNvPr id="7" name="Graphic 6" descr="Play">
          <a:extLst>
            <a:ext uri="{FF2B5EF4-FFF2-40B4-BE49-F238E27FC236}">
              <a16:creationId xmlns:a16="http://schemas.microsoft.com/office/drawing/2014/main" id="{4E016A8C-AB25-497C-8B50-83705B707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96025" y="500063"/>
          <a:ext cx="419100" cy="419100"/>
        </a:xfrm>
        <a:prstGeom prst="rect">
          <a:avLst/>
        </a:prstGeom>
      </xdr:spPr>
    </xdr:pic>
    <xdr:clientData/>
  </xdr:twoCellAnchor>
  <xdr:twoCellAnchor editAs="absolute">
    <xdr:from>
      <xdr:col>165</xdr:col>
      <xdr:colOff>157162</xdr:colOff>
      <xdr:row>2</xdr:row>
      <xdr:rowOff>100013</xdr:rowOff>
    </xdr:from>
    <xdr:to>
      <xdr:col>167</xdr:col>
      <xdr:colOff>88899</xdr:colOff>
      <xdr:row>3</xdr:row>
      <xdr:rowOff>953</xdr:rowOff>
    </xdr:to>
    <xdr:pic macro="[0]!PreviousMonth">
      <xdr:nvPicPr>
        <xdr:cNvPr id="9" name="Graphic 8" descr="Play">
          <a:extLst>
            <a:ext uri="{FF2B5EF4-FFF2-40B4-BE49-F238E27FC236}">
              <a16:creationId xmlns:a16="http://schemas.microsoft.com/office/drawing/2014/main" id="{831E49F6-402C-4EC9-BA26-23C4CD2B9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3714750" y="500063"/>
          <a:ext cx="419100" cy="4191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 Folomechine" refreshedDate="43349.481531018515" createdVersion="6" refreshedVersion="6" minRefreshableVersion="3" recordCount="59" xr:uid="{00000000-000A-0000-FFFF-FFFF04000000}">
  <cacheSource type="worksheet">
    <worksheetSource name="RdTeam"/>
  </cacheSource>
  <cacheFields count="22">
    <cacheField name="Name" numFmtId="0">
      <sharedItems/>
    </cacheField>
    <cacheField name="Team" numFmtId="0">
      <sharedItems count="5">
        <s v="Alpha"/>
        <s v="ngStars"/>
        <s v="NW"/>
        <s v="Titan"/>
        <s v="SoftTeco"/>
      </sharedItems>
    </cacheField>
    <cacheField name="Location" numFmtId="0">
      <sharedItems/>
    </cacheField>
    <cacheField name="Role" numFmtId="0">
      <sharedItems/>
    </cacheField>
    <cacheField name="Specialization" numFmtId="0">
      <sharedItems count="5">
        <s v="BE"/>
        <s v="FS"/>
        <s v="FE"/>
        <s v="QA BA"/>
        <s v="QA Dev"/>
      </sharedItems>
    </cacheField>
    <cacheField name="Utilization" numFmtId="9">
      <sharedItems containsSemiMixedTypes="0" containsString="0" containsNumber="1" minValue="0" maxValue="0.75"/>
    </cacheField>
    <cacheField name="Q1" numFmtId="0">
      <sharedItems containsSemiMixedTypes="0" containsString="0" containsNumber="1" minValue="0" maxValue="3.0000000000000004"/>
    </cacheField>
    <cacheField name="Q2" numFmtId="0">
      <sharedItems containsSemiMixedTypes="0" containsString="0" containsNumber="1" minValue="0" maxValue="6.0000000000000009"/>
    </cacheField>
    <cacheField name="Q3" numFmtId="0">
      <sharedItems containsSemiMixedTypes="0" containsString="0" containsNumber="1" minValue="0" maxValue="6.0000000000000009"/>
    </cacheField>
    <cacheField name="Q4" numFmtId="0">
      <sharedItems containsSemiMixedTypes="0" containsString="0" containsNumber="1" minValue="0" maxValue="6.0000000000000009"/>
    </cacheField>
    <cacheField name="Q5" numFmtId="0">
      <sharedItems containsSemiMixedTypes="0" containsString="0" containsNumber="1" minValue="0" maxValue="6.0000000000000009"/>
    </cacheField>
    <cacheField name="Q6" numFmtId="0">
      <sharedItems containsSemiMixedTypes="0" containsString="0" containsNumber="1" minValue="0" maxValue="6.0000000000000009"/>
    </cacheField>
    <cacheField name="Q7" numFmtId="0">
      <sharedItems containsSemiMixedTypes="0" containsString="0" containsNumber="1" minValue="0" maxValue="5.4"/>
    </cacheField>
    <cacheField name="Q8" numFmtId="0">
      <sharedItems containsSemiMixedTypes="0" containsString="0" containsNumber="1" minValue="0" maxValue="3.0000000000000004"/>
    </cacheField>
    <cacheField name="Q9" numFmtId="0">
      <sharedItems containsSemiMixedTypes="0" containsString="0" containsNumber="1" minValue="0" maxValue="6.0000000000000009"/>
    </cacheField>
    <cacheField name="Q10" numFmtId="0">
      <sharedItems containsSemiMixedTypes="0" containsString="0" containsNumber="1" minValue="0" maxValue="6.0000000000000009"/>
    </cacheField>
    <cacheField name="Q11" numFmtId="0">
      <sharedItems containsSemiMixedTypes="0" containsString="0" containsNumber="1" minValue="0" maxValue="6.0000000000000009"/>
    </cacheField>
    <cacheField name="Q12" numFmtId="0">
      <sharedItems containsSemiMixedTypes="0" containsString="0" containsNumber="1" minValue="0" maxValue="6.0000000000000009"/>
    </cacheField>
    <cacheField name="Q13" numFmtId="0">
      <sharedItems containsSemiMixedTypes="0" containsString="0" containsNumber="1" minValue="0" maxValue="6.0000000000000009"/>
    </cacheField>
    <cacheField name="Q14" numFmtId="0">
      <sharedItems containsSemiMixedTypes="0" containsString="0" containsNumber="1" minValue="0" maxValue="3.0000000000000004"/>
    </cacheField>
    <cacheField name="Remaining" numFmtId="0">
      <sharedItems containsSemiMixedTypes="0" containsString="0" containsNumber="1" minValue="0" maxValue="11.400000000000002"/>
    </cacheField>
    <cacheField name="Q" numFmtId="0" formula="Q1+Q2+Q3+Q4+Q5+Q6+Q7+Q9+Q10+Q11+Q12+Q13+Q14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">
  <r>
    <s v="Irina Lunin"/>
    <x v="0"/>
    <s v="Canada"/>
    <s v="Director"/>
    <x v="0"/>
    <n v="0"/>
    <n v="0"/>
    <n v="0"/>
    <n v="0"/>
    <n v="0"/>
    <n v="0"/>
    <n v="0"/>
    <n v="0"/>
    <n v="0"/>
    <n v="0"/>
    <n v="0"/>
    <n v="0"/>
    <n v="0"/>
    <n v="0"/>
    <n v="0"/>
    <n v="0"/>
  </r>
  <r>
    <s v="Dmitry Agapitov"/>
    <x v="0"/>
    <s v="Canada"/>
    <s v="Manager"/>
    <x v="1"/>
    <n v="0.2"/>
    <n v="0.80000000000000016"/>
    <n v="1.4400000000000004"/>
    <n v="1.6000000000000003"/>
    <n v="1.0400000000000003"/>
    <n v="1.2000000000000002"/>
    <n v="1.4400000000000004"/>
    <n v="1.2800000000000002"/>
    <n v="0.48000000000000009"/>
    <n v="0"/>
    <n v="0.96000000000000019"/>
    <n v="1.6000000000000003"/>
    <n v="1.1200000000000001"/>
    <n v="1.6000000000000003"/>
    <n v="0.80000000000000016"/>
    <n v="3.0400000000000005"/>
  </r>
  <r>
    <s v="Pavlo Pochapsky"/>
    <x v="0"/>
    <s v="Canada"/>
    <s v="Architect"/>
    <x v="2"/>
    <n v="0.5"/>
    <n v="2"/>
    <n v="3.2"/>
    <n v="0"/>
    <n v="0"/>
    <n v="0"/>
    <n v="0"/>
    <n v="0"/>
    <n v="0"/>
    <n v="0"/>
    <n v="0"/>
    <n v="0"/>
    <n v="0"/>
    <n v="0"/>
    <n v="0"/>
    <n v="0"/>
  </r>
  <r>
    <s v="Alexander Groman"/>
    <x v="0"/>
    <s v="Canada"/>
    <s v="Dev"/>
    <x v="0"/>
    <n v="0.5"/>
    <n v="2"/>
    <n v="2.8000000000000003"/>
    <n v="4"/>
    <n v="2.8000000000000003"/>
    <n v="4"/>
    <n v="3"/>
    <n v="2.4000000000000004"/>
    <n v="1.6"/>
    <n v="3.6"/>
    <n v="3.6"/>
    <n v="3.6"/>
    <n v="3.6"/>
    <n v="2"/>
    <n v="2"/>
    <n v="5.6000000000000005"/>
  </r>
  <r>
    <s v="Susan Lu"/>
    <x v="0"/>
    <s v="Canada"/>
    <s v="QA"/>
    <x v="3"/>
    <n v="0.75"/>
    <n v="3.0000000000000004"/>
    <n v="6.0000000000000009"/>
    <n v="6.0000000000000009"/>
    <n v="4.5000000000000009"/>
    <n v="6.0000000000000009"/>
    <n v="4.2000000000000011"/>
    <n v="0"/>
    <n v="0"/>
    <n v="3.3000000000000007"/>
    <n v="5.4"/>
    <n v="6.0000000000000009"/>
    <n v="4.8000000000000007"/>
    <n v="6.0000000000000009"/>
    <n v="3.0000000000000004"/>
    <n v="11.400000000000002"/>
  </r>
  <r>
    <s v="Fabio Gallo"/>
    <x v="0"/>
    <s v="Canada"/>
    <s v="Dev"/>
    <x v="2"/>
    <n v="0.5"/>
    <n v="2"/>
    <n v="4"/>
    <n v="3"/>
    <n v="2.6"/>
    <n v="3.6"/>
    <n v="3.2"/>
    <n v="3.6"/>
    <n v="2"/>
    <n v="3.2"/>
    <n v="3.2"/>
    <n v="4"/>
    <n v="2.8000000000000003"/>
    <n v="4"/>
    <n v="2"/>
    <n v="7.6000000000000005"/>
  </r>
  <r>
    <s v="Glen Stone"/>
    <x v="0"/>
    <s v="Canada"/>
    <s v="Dev"/>
    <x v="1"/>
    <n v="0.75"/>
    <n v="3.0000000000000004"/>
    <n v="6.0000000000000009"/>
    <n v="6.0000000000000009"/>
    <n v="4.5000000000000009"/>
    <n v="6.0000000000000009"/>
    <n v="6.0000000000000009"/>
    <n v="5.4"/>
    <n v="3.0000000000000004"/>
    <n v="5.1000000000000005"/>
    <n v="5.4"/>
    <n v="4.8000000000000007"/>
    <n v="3.6000000000000005"/>
    <n v="6.0000000000000009"/>
    <n v="3.0000000000000004"/>
    <n v="11.400000000000002"/>
  </r>
  <r>
    <s v="Nikita Iurev"/>
    <x v="0"/>
    <s v="Canada"/>
    <s v="Dev"/>
    <x v="2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Alexander Utkin "/>
    <x v="1"/>
    <s v="Canada"/>
    <s v="Team Lead"/>
    <x v="1"/>
    <n v="0.2"/>
    <n v="0.80000000000000016"/>
    <n v="1.6000000000000003"/>
    <n v="1.6000000000000003"/>
    <n v="1.2000000000000002"/>
    <n v="1.6000000000000003"/>
    <n v="1.2800000000000002"/>
    <n v="0"/>
    <n v="0"/>
    <n v="0.88000000000000012"/>
    <n v="1.4400000000000004"/>
    <n v="1.6000000000000003"/>
    <n v="1.4400000000000004"/>
    <n v="1.6000000000000003"/>
    <n v="0.80000000000000016"/>
    <n v="3.0400000000000005"/>
  </r>
  <r>
    <s v="Alex Kapsh "/>
    <x v="1"/>
    <s v="Canada"/>
    <s v="QA"/>
    <x v="4"/>
    <n v="0.75"/>
    <n v="0"/>
    <n v="0"/>
    <n v="0"/>
    <n v="0.30000000000000004"/>
    <n v="0"/>
    <n v="0"/>
    <n v="0"/>
    <n v="0"/>
    <n v="0"/>
    <n v="0"/>
    <n v="0"/>
    <n v="0"/>
    <n v="0"/>
    <n v="0"/>
    <n v="0"/>
  </r>
  <r>
    <s v="Anton Trinkunas "/>
    <x v="1"/>
    <s v="Canada"/>
    <s v="Dev"/>
    <x v="1"/>
    <n v="0.75"/>
    <n v="3.0000000000000004"/>
    <n v="5.4"/>
    <n v="6.0000000000000009"/>
    <n v="4.5000000000000009"/>
    <n v="3.0000000000000004"/>
    <n v="3.0000000000000004"/>
    <n v="5.4"/>
    <n v="3.0000000000000004"/>
    <n v="5.4"/>
    <n v="4.2000000000000011"/>
    <n v="6.0000000000000009"/>
    <n v="5.4"/>
    <n v="6.0000000000000009"/>
    <n v="3.0000000000000004"/>
    <n v="11.400000000000002"/>
  </r>
  <r>
    <s v="Guy Geles "/>
    <x v="1"/>
    <s v="Canada"/>
    <s v="Dev"/>
    <x v="1"/>
    <n v="0.75"/>
    <n v="3.0000000000000004"/>
    <n v="5.4"/>
    <n v="6.0000000000000009"/>
    <n v="4.5000000000000009"/>
    <n v="5.4"/>
    <n v="6.0000000000000009"/>
    <n v="4.8000000000000007"/>
    <n v="2.4000000000000004"/>
    <n v="5.4"/>
    <n v="5.4"/>
    <n v="4.2000000000000011"/>
    <n v="3.6000000000000005"/>
    <n v="6.0000000000000009"/>
    <n v="3.0000000000000004"/>
    <n v="11.400000000000002"/>
  </r>
  <r>
    <s v="Matthew Ellwood"/>
    <x v="1"/>
    <s v="Canada"/>
    <s v="Dev"/>
    <x v="1"/>
    <n v="0.75"/>
    <n v="3.0000000000000004"/>
    <n v="6.0000000000000009"/>
    <n v="5.4"/>
    <n v="4.5000000000000009"/>
    <n v="4.8000000000000007"/>
    <n v="4.8000000000000007"/>
    <n v="5.4"/>
    <n v="3.0000000000000004"/>
    <n v="5.4"/>
    <n v="3.3000000000000007"/>
    <n v="3.0000000000000004"/>
    <n v="5.4"/>
    <n v="6.0000000000000009"/>
    <n v="3.0000000000000004"/>
    <n v="11.400000000000002"/>
  </r>
  <r>
    <s v="Makar Bougaev "/>
    <x v="1"/>
    <s v="Canada"/>
    <s v="Dev"/>
    <x v="2"/>
    <n v="0.75"/>
    <n v="3.0000000000000004"/>
    <n v="6.0000000000000009"/>
    <n v="6.0000000000000009"/>
    <n v="3.3000000000000007"/>
    <n v="3.6000000000000005"/>
    <n v="6.0000000000000009"/>
    <n v="5.4"/>
    <n v="3.0000000000000004"/>
    <n v="5.4"/>
    <n v="1.2000000000000002"/>
    <n v="6.0000000000000009"/>
    <n v="5.4"/>
    <n v="6.0000000000000009"/>
    <n v="3.0000000000000004"/>
    <n v="11.400000000000002"/>
  </r>
  <r>
    <s v="Louis Psihalos"/>
    <x v="1"/>
    <s v="Canada"/>
    <s v="QA"/>
    <x v="3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May Lam"/>
    <x v="1"/>
    <s v="Canada"/>
    <s v="QA"/>
    <x v="3"/>
    <n v="0.75"/>
    <n v="3.0000000000000004"/>
    <n v="6.0000000000000009"/>
    <n v="6.0000000000000009"/>
    <n v="2.7"/>
    <n v="6.0000000000000009"/>
    <n v="6.0000000000000009"/>
    <n v="5.4"/>
    <n v="3.0000000000000004"/>
    <n v="5.4"/>
    <n v="5.4"/>
    <n v="6.0000000000000009"/>
    <n v="5.4"/>
    <n v="6.0000000000000009"/>
    <n v="3.0000000000000004"/>
    <n v="11.400000000000002"/>
  </r>
  <r>
    <s v="Mohammed Akbar"/>
    <x v="2"/>
    <s v="Canada"/>
    <s v="Team Lead"/>
    <x v="1"/>
    <n v="0.15"/>
    <n v="0.6"/>
    <n v="1.2"/>
    <n v="1.08"/>
    <n v="0.89999999999999991"/>
    <n v="1.2"/>
    <n v="1.08"/>
    <n v="1.08"/>
    <n v="0.6"/>
    <n v="1.02"/>
    <n v="0.6"/>
    <n v="0.96"/>
    <n v="1.08"/>
    <n v="1.2"/>
    <n v="0.6"/>
    <n v="2.2799999999999998"/>
  </r>
  <r>
    <s v="Albert Wong"/>
    <x v="2"/>
    <s v="Canada"/>
    <s v="Dev"/>
    <x v="1"/>
    <n v="0.75"/>
    <n v="2.4000000000000004"/>
    <n v="6.0000000000000009"/>
    <n v="6.0000000000000009"/>
    <n v="4.5000000000000009"/>
    <n v="4.8000000000000007"/>
    <n v="0.60000000000000009"/>
    <n v="5.4"/>
    <n v="1.8000000000000003"/>
    <n v="5.4"/>
    <n v="5.4"/>
    <n v="6.0000000000000009"/>
    <n v="5.4"/>
    <n v="6.0000000000000009"/>
    <n v="3.0000000000000004"/>
    <n v="11.400000000000002"/>
  </r>
  <r>
    <s v="Val Romashkin"/>
    <x v="2"/>
    <s v="Canada"/>
    <s v="Dev"/>
    <x v="1"/>
    <n v="0.75"/>
    <n v="3.0000000000000004"/>
    <n v="4.8000000000000007"/>
    <n v="5.4"/>
    <n v="4.5000000000000009"/>
    <n v="3.6000000000000005"/>
    <n v="4.8000000000000007"/>
    <n v="4.2000000000000011"/>
    <n v="1.2000000000000002"/>
    <n v="3.6000000000000005"/>
    <n v="5.4"/>
    <n v="6.0000000000000009"/>
    <n v="5.4"/>
    <n v="6.0000000000000009"/>
    <n v="3.0000000000000004"/>
    <n v="11.400000000000002"/>
  </r>
  <r>
    <s v="Michael Talis"/>
    <x v="2"/>
    <s v="Canada"/>
    <s v="Dev"/>
    <x v="1"/>
    <n v="0.75"/>
    <n v="3.0000000000000004"/>
    <n v="6.0000000000000009"/>
    <n v="6.0000000000000009"/>
    <n v="4.5000000000000009"/>
    <n v="6.0000000000000009"/>
    <n v="5.4"/>
    <n v="4.8000000000000007"/>
    <n v="2.4000000000000004"/>
    <n v="4.8000000000000007"/>
    <n v="5.4"/>
    <n v="6.0000000000000009"/>
    <n v="3.6000000000000005"/>
    <n v="4.2000000000000011"/>
    <n v="3.0000000000000004"/>
    <n v="8.4000000000000021"/>
  </r>
  <r>
    <s v="Steven Snowdon"/>
    <x v="2"/>
    <s v="Canada"/>
    <s v="Dev"/>
    <x v="1"/>
    <n v="0.75"/>
    <n v="3.0000000000000004"/>
    <n v="6.0000000000000009"/>
    <n v="6.0000000000000009"/>
    <n v="2.1000000000000005"/>
    <n v="6.0000000000000009"/>
    <n v="6.0000000000000009"/>
    <n v="5.4"/>
    <n v="3.0000000000000004"/>
    <n v="5.4"/>
    <n v="5.4"/>
    <n v="6.0000000000000009"/>
    <n v="3.6000000000000005"/>
    <n v="6.0000000000000009"/>
    <n v="3.0000000000000004"/>
    <n v="11.400000000000002"/>
  </r>
  <r>
    <s v="Colin Richards"/>
    <x v="2"/>
    <s v="Canada"/>
    <s v="Dev"/>
    <x v="2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Stephen Fang"/>
    <x v="2"/>
    <s v="Canada"/>
    <s v="QA"/>
    <x v="4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Cathy Xu"/>
    <x v="2"/>
    <s v="Canada"/>
    <s v="QA"/>
    <x v="3"/>
    <n v="0.75"/>
    <n v="3.0000000000000004"/>
    <n v="6.0000000000000009"/>
    <n v="6.0000000000000009"/>
    <n v="3.9000000000000004"/>
    <n v="4.8000000000000007"/>
    <n v="1.2000000000000002"/>
    <n v="0"/>
    <n v="0"/>
    <n v="0"/>
    <n v="0"/>
    <n v="0"/>
    <n v="0"/>
    <n v="0"/>
    <n v="0"/>
    <n v="0"/>
  </r>
  <r>
    <s v="Alistair Zhu"/>
    <x v="2"/>
    <s v="Canada"/>
    <s v="QA"/>
    <x v="3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Dmitry Lopyrev"/>
    <x v="1"/>
    <s v="Canada"/>
    <s v="Team Lead"/>
    <x v="1"/>
    <n v="0.5"/>
    <n v="1.6"/>
    <n v="4"/>
    <n v="4"/>
    <n v="1.2000000000000002"/>
    <n v="2"/>
    <n v="2.8000000000000003"/>
    <n v="3.6"/>
    <n v="2"/>
    <n v="2.6"/>
    <n v="3.6"/>
    <n v="4"/>
    <n v="2.4000000000000004"/>
    <n v="4"/>
    <n v="2"/>
    <n v="7.2"/>
  </r>
  <r>
    <s v="Nikita Pliassounov"/>
    <x v="2"/>
    <s v="Canada"/>
    <s v="Dev"/>
    <x v="1"/>
    <n v="0.75"/>
    <n v="3.0000000000000004"/>
    <n v="6.0000000000000009"/>
    <n v="6.0000000000000009"/>
    <n v="3.9000000000000004"/>
    <n v="6.0000000000000009"/>
    <n v="5.4"/>
    <n v="5.4"/>
    <n v="3.0000000000000004"/>
    <n v="3.6000000000000005"/>
    <n v="3.6000000000000005"/>
    <n v="6.0000000000000009"/>
    <n v="5.4"/>
    <n v="6.0000000000000009"/>
    <n v="3.0000000000000004"/>
    <n v="11.400000000000002"/>
  </r>
  <r>
    <s v="Areag Osman"/>
    <x v="1"/>
    <s v="Canada"/>
    <s v="Dev"/>
    <x v="1"/>
    <n v="0.75"/>
    <n v="2.4000000000000004"/>
    <n v="6.0000000000000009"/>
    <n v="5.4"/>
    <n v="3.6000000000000005"/>
    <n v="4.5000000000000009"/>
    <n v="3.6000000000000005"/>
    <n v="3.0000000000000004"/>
    <n v="1.8000000000000003"/>
    <n v="5.4"/>
    <n v="5.4"/>
    <n v="5.4"/>
    <n v="0"/>
    <n v="3.0000000000000004"/>
    <n v="3.0000000000000004"/>
    <n v="6.0000000000000009"/>
  </r>
  <r>
    <s v="Alex Tkachev"/>
    <x v="3"/>
    <s v="Canada"/>
    <s v="Dev"/>
    <x v="0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Andriy Malivanchuk"/>
    <x v="3"/>
    <s v="Canada"/>
    <s v="Dev"/>
    <x v="2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Chris Just"/>
    <x v="2"/>
    <s v="Canada"/>
    <s v="QA"/>
    <x v="4"/>
    <n v="0.75"/>
    <n v="2.7"/>
    <n v="6.0000000000000009"/>
    <n v="6.0000000000000009"/>
    <n v="4.5000000000000009"/>
    <n v="5.1000000000000005"/>
    <n v="6.0000000000000009"/>
    <n v="4.8000000000000007"/>
    <n v="3.0000000000000004"/>
    <n v="4.8000000000000007"/>
    <n v="4.5000000000000009"/>
    <n v="6.0000000000000009"/>
    <n v="4.5000000000000009"/>
    <n v="6.0000000000000009"/>
    <n v="3.0000000000000004"/>
    <n v="11.400000000000002"/>
  </r>
  <r>
    <s v="Valentina Alekseeva"/>
    <x v="1"/>
    <s v="Canada"/>
    <s v="QA"/>
    <x v="4"/>
    <n v="0.375"/>
    <n v="1.5000000000000002"/>
    <n v="3.0000000000000004"/>
    <n v="3.0000000000000004"/>
    <n v="2.2500000000000004"/>
    <n v="3.0000000000000004"/>
    <n v="0.90000000000000013"/>
    <n v="1.8000000000000003"/>
    <n v="1.5000000000000002"/>
    <n v="2.7"/>
    <n v="2.4000000000000004"/>
    <n v="3.0000000000000004"/>
    <n v="2.7"/>
    <n v="3.0000000000000004"/>
    <n v="1.5000000000000002"/>
    <n v="5.7000000000000011"/>
  </r>
  <r>
    <s v="Valentina Alekseeva"/>
    <x v="1"/>
    <s v="Canada"/>
    <s v="QA"/>
    <x v="3"/>
    <n v="0.375"/>
    <n v="1.5000000000000002"/>
    <n v="3.0000000000000004"/>
    <n v="3.0000000000000004"/>
    <n v="2.2500000000000004"/>
    <n v="3.0000000000000004"/>
    <n v="0.90000000000000013"/>
    <n v="1.8000000000000003"/>
    <n v="1.5000000000000002"/>
    <n v="2.7"/>
    <n v="2.4000000000000004"/>
    <n v="3.0000000000000004"/>
    <n v="2.7"/>
    <n v="3.0000000000000004"/>
    <n v="1.5000000000000002"/>
    <n v="5.7000000000000011"/>
  </r>
  <r>
    <s v="Dmitri Golovenkin"/>
    <x v="2"/>
    <s v="Canada"/>
    <s v="QA"/>
    <x v="3"/>
    <n v="0.75"/>
    <n v="3.0000000000000004"/>
    <n v="2.4000000000000004"/>
    <n v="6.0000000000000009"/>
    <n v="4.5000000000000009"/>
    <n v="6.0000000000000009"/>
    <n v="6.0000000000000009"/>
    <n v="5.4"/>
    <n v="3.0000000000000004"/>
    <n v="5.4"/>
    <n v="5.4"/>
    <n v="6.0000000000000009"/>
    <n v="4.8000000000000007"/>
    <n v="5.4"/>
    <n v="3.0000000000000004"/>
    <n v="10.8"/>
  </r>
  <r>
    <s v="Anna Kalimouline"/>
    <x v="1"/>
    <s v="Canada"/>
    <s v="QA"/>
    <x v="3"/>
    <n v="0.75"/>
    <n v="3.0000000000000004"/>
    <n v="6.0000000000000009"/>
    <n v="6.0000000000000009"/>
    <n v="4.5000000000000009"/>
    <n v="4.8000000000000007"/>
    <n v="6.0000000000000009"/>
    <n v="5.4"/>
    <n v="3.0000000000000004"/>
    <n v="4.8000000000000007"/>
    <n v="1.8000000000000003"/>
    <n v="4.2000000000000011"/>
    <n v="5.4"/>
    <n v="6.0000000000000009"/>
    <n v="3.0000000000000004"/>
    <n v="11.400000000000002"/>
  </r>
  <r>
    <s v="Pulkit Bhatia"/>
    <x v="1"/>
    <s v="Canada"/>
    <s v="QA"/>
    <x v="3"/>
    <n v="0.4"/>
    <n v="0"/>
    <n v="0"/>
    <n v="0"/>
    <n v="2.0800000000000005"/>
    <n v="3.2000000000000006"/>
    <n v="3.2000000000000006"/>
    <n v="2.8800000000000008"/>
    <n v="1.6000000000000003"/>
    <n v="2.8800000000000008"/>
    <n v="2.8800000000000008"/>
    <n v="2.5600000000000005"/>
    <n v="0"/>
    <n v="0"/>
    <n v="0"/>
    <n v="0"/>
  </r>
  <r>
    <s v="Tally Bechard"/>
    <x v="2"/>
    <s v="Canada"/>
    <s v="Dev"/>
    <x v="0"/>
    <n v="0.4"/>
    <n v="0"/>
    <n v="0"/>
    <n v="0"/>
    <n v="2.0800000000000005"/>
    <n v="3.2000000000000006"/>
    <n v="3.2000000000000006"/>
    <n v="2.8800000000000008"/>
    <n v="1.6000000000000003"/>
    <n v="2.8800000000000008"/>
    <n v="2.5600000000000005"/>
    <n v="3.2000000000000006"/>
    <n v="2.8800000000000008"/>
    <n v="3.2000000000000006"/>
    <n v="1.6000000000000003"/>
    <n v="6.080000000000001"/>
  </r>
  <r>
    <s v="Jane Wang"/>
    <x v="2"/>
    <s v="Canada"/>
    <s v="QA"/>
    <x v="3"/>
    <n v="0.3"/>
    <n v="0"/>
    <n v="0"/>
    <n v="0"/>
    <n v="0"/>
    <n v="0"/>
    <n v="0"/>
    <n v="0"/>
    <n v="0"/>
    <n v="0"/>
    <n v="1.44"/>
    <n v="2.4"/>
    <n v="2.16"/>
    <n v="2.4"/>
    <n v="1.2"/>
    <n v="4.5599999999999996"/>
  </r>
  <r>
    <s v="Joon Kim"/>
    <x v="1"/>
    <s v="Canada"/>
    <s v="QA"/>
    <x v="3"/>
    <n v="0"/>
    <n v="0"/>
    <n v="0"/>
    <n v="0"/>
    <n v="0"/>
    <n v="0"/>
    <n v="0"/>
    <n v="0"/>
    <n v="0"/>
    <n v="0"/>
    <n v="0"/>
    <n v="0"/>
    <n v="0"/>
    <n v="0"/>
    <n v="0"/>
    <n v="0"/>
  </r>
  <r>
    <s v="Roman Dolgov"/>
    <x v="4"/>
    <s v="Canada"/>
    <s v="Team Lead"/>
    <x v="1"/>
    <n v="0.2"/>
    <n v="0.80000000000000016"/>
    <n v="1.6000000000000003"/>
    <n v="1.6000000000000003"/>
    <n v="1.1200000000000001"/>
    <n v="1.6000000000000003"/>
    <n v="1.3600000000000003"/>
    <n v="1.4400000000000004"/>
    <n v="0.40000000000000008"/>
    <n v="1.3600000000000003"/>
    <n v="1.4400000000000004"/>
    <n v="1.4400000000000004"/>
    <n v="1.4400000000000004"/>
    <n v="1.6000000000000003"/>
    <n v="0.80000000000000016"/>
    <n v="3.0400000000000005"/>
  </r>
  <r>
    <s v="Yegor Kozlov"/>
    <x v="4"/>
    <s v="Belarus"/>
    <s v="FE Lead"/>
    <x v="2"/>
    <n v="0.6"/>
    <n v="1.92"/>
    <n v="4.32"/>
    <n v="1.44"/>
    <n v="3.36"/>
    <n v="4.8"/>
    <n v="4.8"/>
    <n v="4.32"/>
    <n v="2.4"/>
    <n v="4.8"/>
    <n v="4.8"/>
    <n v="4.8"/>
    <n v="4.8"/>
    <n v="4.8"/>
    <n v="2.4"/>
    <n v="9.1199999999999992"/>
  </r>
  <r>
    <s v="Shohrukh Davlatov"/>
    <x v="4"/>
    <s v="Belarus"/>
    <s v="FE Lead"/>
    <x v="2"/>
    <n v="0.6"/>
    <n v="1.92"/>
    <n v="4.32"/>
    <n v="4.32"/>
    <n v="2.4"/>
    <n v="4.8"/>
    <n v="0"/>
    <n v="0"/>
    <n v="0"/>
    <n v="0"/>
    <n v="0"/>
    <n v="0"/>
    <n v="0"/>
    <n v="0"/>
    <n v="0"/>
    <n v="0"/>
  </r>
  <r>
    <s v="Vitaliy Kotov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1.8000000000000003"/>
    <n v="3.0000000000000004"/>
    <n v="3.0000000000000004"/>
    <n v="6.0000000000000009"/>
  </r>
  <r>
    <s v="Eugen Goroluov"/>
    <x v="4"/>
    <s v="Belarus"/>
    <s v="BE Lead"/>
    <x v="0"/>
    <n v="0.6"/>
    <n v="1.92"/>
    <n v="4.32"/>
    <n v="4.32"/>
    <n v="4.8"/>
    <n v="4.8"/>
    <n v="4.8"/>
    <n v="4.32"/>
    <n v="2.4"/>
    <n v="4.8"/>
    <n v="3.84"/>
    <n v="0.96"/>
    <n v="4.8"/>
    <n v="4.8"/>
    <n v="2.4"/>
    <n v="9.1199999999999992"/>
  </r>
  <r>
    <s v="Aleksey Glushchenko"/>
    <x v="4"/>
    <s v="Belarus"/>
    <s v="QA"/>
    <x v="4"/>
    <n v="0.75"/>
    <n v="2.4000000000000004"/>
    <n v="5.4"/>
    <n v="5.4"/>
    <n v="6.0000000000000009"/>
    <n v="6.0000000000000009"/>
    <n v="6.0000000000000009"/>
    <n v="5.4"/>
    <n v="3.0000000000000004"/>
    <n v="4.8000000000000007"/>
    <n v="1.2000000000000002"/>
    <n v="6.0000000000000009"/>
    <n v="6.0000000000000009"/>
    <n v="6.0000000000000009"/>
    <n v="3.0000000000000004"/>
    <n v="11.400000000000002"/>
  </r>
  <r>
    <s v="Irina Gribushkina"/>
    <x v="4"/>
    <s v="Belarus"/>
    <s v="QA Lead"/>
    <x v="3"/>
    <n v="0.6"/>
    <n v="1.92"/>
    <n v="4.32"/>
    <n v="1.44"/>
    <n v="2.88"/>
    <n v="4.8"/>
    <n v="4.8"/>
    <n v="4.32"/>
    <n v="2.4"/>
    <n v="4.8"/>
    <n v="1.44"/>
    <n v="3.36"/>
    <n v="4.8"/>
    <n v="4.8"/>
    <n v="2.4"/>
    <n v="9.1199999999999992"/>
  </r>
  <r>
    <s v="Anna Shchemel"/>
    <x v="4"/>
    <s v="Belarus"/>
    <s v="QA Lead"/>
    <x v="3"/>
    <n v="0.6"/>
    <n v="1.92"/>
    <n v="4.32"/>
    <n v="4.32"/>
    <n v="4.8"/>
    <n v="4.8"/>
    <n v="4.8"/>
    <n v="4.32"/>
    <n v="2.4"/>
    <n v="4.8"/>
    <n v="3.84"/>
    <n v="0.96"/>
    <n v="4.8"/>
    <n v="4.8"/>
    <n v="2.4"/>
    <n v="9.1199999999999992"/>
  </r>
  <r>
    <s v="Nikita Belikau"/>
    <x v="4"/>
    <s v="Belarus"/>
    <s v="Dev"/>
    <x v="0"/>
    <n v="0.75"/>
    <n v="2.4000000000000004"/>
    <n v="5.4"/>
    <n v="5.4"/>
    <n v="6.0000000000000009"/>
    <n v="6.0000000000000009"/>
    <n v="0"/>
    <n v="0"/>
    <n v="0"/>
    <n v="0"/>
    <n v="0"/>
    <n v="0"/>
    <n v="0"/>
    <n v="0"/>
    <n v="0"/>
    <n v="0"/>
  </r>
  <r>
    <s v="Aleksandr Pototskiy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4.2000000000000011"/>
    <n v="1.2000000000000002"/>
    <n v="6.0000000000000009"/>
    <n v="6.0000000000000009"/>
    <n v="6.0000000000000009"/>
    <n v="3.0000000000000004"/>
    <n v="11.400000000000002"/>
  </r>
  <r>
    <s v="Maxim Yakushkin"/>
    <x v="4"/>
    <s v="Belarus"/>
    <s v="Dev"/>
    <x v="0"/>
    <n v="0.75"/>
    <n v="2.4000000000000004"/>
    <n v="5.4"/>
    <n v="5.4"/>
    <n v="4.8000000000000007"/>
    <n v="4.2000000000000011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11.400000000000002"/>
  </r>
  <r>
    <s v="Darya Kovalevskaya"/>
    <x v="4"/>
    <s v="Belarus"/>
    <s v="QA"/>
    <x v="3"/>
    <n v="0.75"/>
    <n v="2.4000000000000004"/>
    <n v="5.4"/>
    <n v="5.4"/>
    <n v="6.0000000000000009"/>
    <n v="6.0000000000000009"/>
    <n v="6.0000000000000009"/>
    <n v="3.0000000000000004"/>
    <n v="0"/>
    <n v="5.4"/>
    <n v="6.0000000000000009"/>
    <n v="6.0000000000000009"/>
    <n v="6.0000000000000009"/>
    <n v="6.0000000000000009"/>
    <n v="3.0000000000000004"/>
    <n v="11.400000000000002"/>
  </r>
  <r>
    <s v="Aleksandr Yashyn"/>
    <x v="4"/>
    <s v="Belarus"/>
    <s v="QA"/>
    <x v="3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11.400000000000002"/>
  </r>
  <r>
    <s v="Michail Tolmats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4.2000000000000011"/>
    <n v="1.2000000000000002"/>
    <n v="3.0000000000000004"/>
    <n v="4.8000000000000007"/>
  </r>
  <r>
    <s v="Daniil Morozov"/>
    <x v="4"/>
    <s v="Belarus"/>
    <s v="Dev"/>
    <x v="2"/>
    <n v="0.75"/>
    <n v="2.4000000000000004"/>
    <n v="5.4"/>
    <n v="5.4"/>
    <n v="6.0000000000000009"/>
    <n v="6.0000000000000009"/>
    <n v="6.0000000000000009"/>
    <n v="5.4"/>
    <n v="1.8000000000000003"/>
    <n v="1.2000000000000002"/>
    <n v="6.0000000000000009"/>
    <n v="6.0000000000000009"/>
    <n v="6.0000000000000009"/>
    <n v="6.0000000000000009"/>
    <n v="3.0000000000000004"/>
    <n v="11.400000000000002"/>
  </r>
  <r>
    <s v="Roman Ogolikhin"/>
    <x v="4"/>
    <s v="Belarus"/>
    <s v="Dev"/>
    <x v="0"/>
    <n v="0.75"/>
    <n v="2.4000000000000004"/>
    <n v="5.4"/>
    <n v="5.4"/>
    <n v="6.0000000000000009"/>
    <n v="6.0000000000000009"/>
    <n v="6.0000000000000009"/>
    <n v="5.4"/>
    <n v="0"/>
    <n v="1.2000000000000002"/>
    <n v="6.0000000000000009"/>
    <n v="6.0000000000000009"/>
    <n v="6.0000000000000009"/>
    <n v="6.0000000000000009"/>
    <n v="3.0000000000000004"/>
    <n v="11.400000000000002"/>
  </r>
  <r>
    <s v="Olga Matsiuk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11.400000000000002"/>
  </r>
  <r>
    <s v="Olga Zimina"/>
    <x v="2"/>
    <s v="Belarus"/>
    <s v="QA"/>
    <x v="3"/>
    <n v="0.15"/>
    <n v="0"/>
    <n v="0"/>
    <n v="0"/>
    <n v="0"/>
    <n v="0"/>
    <n v="1.2"/>
    <n v="1.08"/>
    <n v="0.6"/>
    <n v="0.36"/>
    <n v="0.84"/>
    <n v="1.2"/>
    <n v="1.2"/>
    <n v="1.2"/>
    <n v="0.6"/>
    <n v="2.2799999999999998"/>
  </r>
  <r>
    <s v="Alexander Simanovich"/>
    <x v="2"/>
    <s v="Belarus"/>
    <s v="QA"/>
    <x v="3"/>
    <n v="0.75"/>
    <n v="0"/>
    <n v="0"/>
    <n v="0"/>
    <n v="0"/>
    <n v="0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11.400000000000002"/>
  </r>
  <r>
    <s v="Elena Rabko"/>
    <x v="1"/>
    <s v="Belarus"/>
    <s v="QA"/>
    <x v="3"/>
    <n v="0.75"/>
    <n v="0"/>
    <n v="0"/>
    <n v="0"/>
    <n v="0"/>
    <n v="0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11.4000000000000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Team">
  <location ref="A1:O7" firstHeaderRow="0" firstDataRow="1" firstDataCol="1"/>
  <pivotFields count="22">
    <pivotField subtotalTop="0" showAll="0"/>
    <pivotField axis="axisRow" subtotalTop="0" showAll="0">
      <items count="6">
        <item sd="0" x="0"/>
        <item sd="0" x="1"/>
        <item sd="0" x="2"/>
        <item sd="0" x="4"/>
        <item sd="0" x="3"/>
        <item t="default" sd="0"/>
      </items>
    </pivotField>
    <pivotField subtotalTop="0" showAll="0"/>
    <pivotField subtotalTop="0" showAll="0"/>
    <pivotField axis="axisRow" subtotalTop="0" showAll="0">
      <items count="6">
        <item x="0"/>
        <item x="2"/>
        <item x="1"/>
        <item x="3"/>
        <item x="4"/>
        <item t="default"/>
      </items>
    </pivotField>
    <pivotField numFmtId="9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howAll="0"/>
    <pivotField dataField="1" showAll="0"/>
    <pivotField showAll="0"/>
    <pivotField dataField="1" dragToRow="0" dragToCol="0" dragToPage="0" showAll="0" defaultSubtotal="0"/>
  </pivotFields>
  <rowFields count="2">
    <field x="1"/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name=" Q1" fld="6" baseField="1" baseItem="0"/>
    <dataField name=" Q2" fld="7" baseField="1" baseItem="0"/>
    <dataField name=" Q3" fld="8" baseField="1" baseItem="0"/>
    <dataField name=" Q4" fld="9" baseField="1" baseItem="0"/>
    <dataField name=" Q5" fld="10" baseField="1" baseItem="0"/>
    <dataField name=" Q6" fld="11" baseField="1" baseItem="0"/>
    <dataField name=" Q7" fld="12" baseField="0" baseItem="0"/>
    <dataField name=" Q9" fld="14" baseField="1" baseItem="0"/>
    <dataField name=" Q10" fld="15" baseField="1" baseItem="0"/>
    <dataField name=" Q11" fld="16" baseField="1" baseItem="0"/>
    <dataField name=" Q12" fld="17" baseField="1" baseItem="0"/>
    <dataField name=" Q13" fld="18" baseField="0" baseItem="0"/>
    <dataField name=" Q14" fld="19" baseField="0" baseItem="0"/>
    <dataField name="Quasar" fld="21" baseField="1" baseItem="0"/>
  </dataFields>
  <formats count="1">
    <format dxfId="1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HolidayList" displayName="HolidayList" ref="A1:B2" totalsRowShown="0" headerRowDxfId="58" headerRowBorderDxfId="57" tableBorderDxfId="56" totalsRowBorderDxfId="55">
  <autoFilter ref="A1:B2" xr:uid="{00000000-0009-0000-0100-000001000000}">
    <filterColumn colId="0" hiddenButton="1"/>
    <filterColumn colId="1" hiddenButton="1"/>
  </autoFilter>
  <tableColumns count="2">
    <tableColumn id="1" xr3:uid="{00000000-0010-0000-0000-000001000000}" name="Holiday" dataDxfId="54"/>
    <tableColumn id="2" xr3:uid="{00000000-0010-0000-0000-000002000000}" name="Date" dataDxfId="5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E1:G2" headerRowCount="0" totalsRowShown="0" headerRowDxfId="52" tableBorderDxfId="51" totalsRowBorderDxfId="50">
  <tableColumns count="3">
    <tableColumn id="1" xr3:uid="{00000000-0010-0000-0100-000001000000}" name="Column1" dataDxfId="49"/>
    <tableColumn id="2" xr3:uid="{00000000-0010-0000-0100-000002000000}" name="Column2" dataDxfId="48"/>
    <tableColumn id="3" xr3:uid="{00000000-0010-0000-0100-000003000000}" name="Column3" dataDxfId="47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CanadaHolidays" displayName="CanadaHolidays" ref="A5:B14" totalsRowShown="0" headerRowDxfId="46" dataDxfId="44" headerRowBorderDxfId="45" tableBorderDxfId="43" totalsRowBorderDxfId="42">
  <autoFilter ref="A5:B14" xr:uid="{00000000-0009-0000-0100-000004000000}">
    <filterColumn colId="0" hiddenButton="1"/>
    <filterColumn colId="1" hiddenButton="1"/>
  </autoFilter>
  <tableColumns count="2">
    <tableColumn id="1" xr3:uid="{00000000-0010-0000-0200-000001000000}" name="Canada Holiday" dataDxfId="41"/>
    <tableColumn id="2" xr3:uid="{00000000-0010-0000-0200-000002000000}" name="Date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BelarusHolidays" displayName="BelarusHolidays" ref="A17:B26" totalsRowShown="0" headerRowDxfId="39" dataDxfId="37" headerRowBorderDxfId="38" tableBorderDxfId="36" totalsRowBorderDxfId="35">
  <autoFilter ref="A17:B26" xr:uid="{00000000-0009-0000-0100-000005000000}">
    <filterColumn colId="0" hiddenButton="1"/>
    <filterColumn colId="1" hiddenButton="1"/>
  </autoFilter>
  <tableColumns count="2">
    <tableColumn id="1" xr3:uid="{00000000-0010-0000-0300-000001000000}" name="Belarus Holiday" dataDxfId="34"/>
    <tableColumn id="2" xr3:uid="{00000000-0010-0000-0300-000002000000}" name="Date" dataDxfId="3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RdTeam" displayName="RdTeam" ref="A1:U60" totalsRowShown="0">
  <tableColumns count="21">
    <tableColumn id="1" xr3:uid="{00000000-0010-0000-0400-000001000000}" name="Name"/>
    <tableColumn id="2" xr3:uid="{00000000-0010-0000-0400-000002000000}" name="Team"/>
    <tableColumn id="3" xr3:uid="{00000000-0010-0000-0400-000003000000}" name="Location"/>
    <tableColumn id="4" xr3:uid="{00000000-0010-0000-0400-000004000000}" name="Role"/>
    <tableColumn id="11" xr3:uid="{00000000-0010-0000-0400-00000B000000}" name="Specialization"/>
    <tableColumn id="5" xr3:uid="{00000000-0010-0000-0400-000005000000}" name="Utilization" dataDxfId="32"/>
    <tableColumn id="6" xr3:uid="{00000000-0010-0000-0400-000006000000}" name="Q1" dataDxfId="31">
      <calculatedColumnFormula array="1">Sheet3!$W$2*$F2*(NETWORKDAYS(VLOOKUP(G$1,Sprints[],2,FALSE), VLOOKUP(G$1,Sprints[],3,FALSE))-SUMPRODUCT((OFFSET(INDIRECT(CELL("address",INDEX('Leave Tracker'!$A$8:$A$107,MATCH($A2,'Leave Tracker'!$A$8:$A$107,0)))),0,31*(VLOOKUP(G$1,Sprints[],5,FALSE))+DAY(VLOOKUP(G$1,Sprints[],2,FALSE)),1,VLOOKUP(G$1,Sprints[],4,FALSE))&lt;&gt;"")*(IF(OFFSET(INDIRECT(CELL("address",INDEX('Leave Tracker'!$A$8:$A$107,MATCH($A2,'Leave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calculatedColumnFormula>
    </tableColumn>
    <tableColumn id="7" xr3:uid="{00000000-0010-0000-0400-000007000000}" name="Q2" dataDxfId="30">
      <calculatedColumnFormula array="1">Sheet3!$W$2*$F2*(NETWORKDAYS(VLOOKUP(H$1,Sprints[],2,FALSE), VLOOKUP(H$1,Sprints[],3,FALSE))-SUMPRODUCT((OFFSET(INDIRECT(CELL("address",INDEX('Leave Tracker'!$A$8:$A$107,MATCH($A2,'Leave Tracker'!$A$8:$A$107,0)))),0,31*(VLOOKUP(H$1,Sprints[],5,FALSE))+DAY(VLOOKUP(H$1,Sprints[],2,FALSE)),1,VLOOKUP(H$1,Sprints[],4,FALSE))&lt;&gt;"")*(IF(OFFSET(INDIRECT(CELL("address",INDEX('Leave Tracker'!$A$8:$A$107,MATCH($A2,'Leave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calculatedColumnFormula>
    </tableColumn>
    <tableColumn id="8" xr3:uid="{00000000-0010-0000-0400-000008000000}" name="Q3" dataDxfId="29">
      <calculatedColumnFormula array="1">Sheet3!$W$2*$F2*(NETWORKDAYS(VLOOKUP(I$1,Sprints[],2,FALSE), VLOOKUP(I$1,Sprints[],3,FALSE))-SUMPRODUCT((OFFSET(INDIRECT(CELL("address",INDEX('Leave Tracker'!$A$8:$A$107,MATCH($A2,'Leave Tracker'!$A$8:$A$107,0)))),0,31*(VLOOKUP(I$1,Sprints[],5,FALSE))+DAY(VLOOKUP(I$1,Sprints[],2,FALSE)),1,VLOOKUP(I$1,Sprints[],4,FALSE))&lt;&gt;"")*(IF(OFFSET(INDIRECT(CELL("address",INDEX('Leave Tracker'!$A$8:$A$107,MATCH($A2,'Leave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calculatedColumnFormula>
    </tableColumn>
    <tableColumn id="9" xr3:uid="{00000000-0010-0000-0400-000009000000}" name="Q4" dataDxfId="28">
      <calculatedColumnFormula array="1">Sheet3!$W$2*$F2*(NETWORKDAYS(VLOOKUP(J$1,Sprints[],2,FALSE), VLOOKUP(J$1,Sprints[],3,FALSE))-SUMPRODUCT((OFFSET(INDIRECT(CELL("address",INDEX('Leave Tracker'!$A$8:$A$107,MATCH($A2,'Leave Tracker'!$A$8:$A$107,0)))),0,31*(VLOOKUP(J$1,Sprints[],5,FALSE))+DAY(VLOOKUP(J$1,Sprints[],2,FALSE)),1,VLOOKUP(J$1,Sprints[],4,FALSE))&lt;&gt;"")*(IF(OFFSET(INDIRECT(CELL("address",INDEX('Leave Tracker'!$A$8:$A$107,MATCH($A2,'Leave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calculatedColumnFormula>
    </tableColumn>
    <tableColumn id="10" xr3:uid="{00000000-0010-0000-0400-00000A000000}" name="Q5" dataDxfId="27">
      <calculatedColumnFormula array="1">Sheet3!$W$2*$F2*(NETWORKDAYS(VLOOKUP(K$1,Sprints[],2,FALSE), VLOOKUP(K$1,Sprints[],3,FALSE))-SUMPRODUCT((OFFSET(INDIRECT(CELL("address",INDEX('Leave Tracker'!$A$8:$A$107,MATCH($A2,'Leave Tracker'!$A$8:$A$107,0)))),0,31*(VLOOKUP(K$1,Sprints[],5,FALSE))+DAY(VLOOKUP(K$1,Sprints[],2,FALSE)),1,VLOOKUP(K$1,Sprints[],4,FALSE))&lt;&gt;"")*(IF(OFFSET(INDIRECT(CELL("address",INDEX('Leave Tracker'!$A$8:$A$107,MATCH($A2,'Leave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calculatedColumnFormula>
    </tableColumn>
    <tableColumn id="12" xr3:uid="{00000000-0010-0000-0400-00000C000000}" name="Q6" dataDxfId="26">
      <calculatedColumnFormula array="1">Sheet3!$W$2*$F2*(NETWORKDAYS(VLOOKUP(L$1,Sprints[],2,FALSE), VLOOKUP(L$1,Sprints[],3,FALSE))-SUMPRODUCT((OFFSET(INDIRECT(CELL("address",INDEX('Leave Tracker'!$A$8:$A$107,MATCH($A2,'Leave Tracker'!$A$8:$A$107,0)))),0,31*(VLOOKUP(L$1,Sprints[],5,FALSE))+DAY(VLOOKUP(L$1,Sprints[],2,FALSE)),1,VLOOKUP(L$1,Sprints[],4,FALSE))&lt;&gt;"")*(IF(OFFSET(INDIRECT(CELL("address",INDEX('Leave Tracker'!$A$8:$A$107,MATCH($A2,'Leave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calculatedColumnFormula>
    </tableColumn>
    <tableColumn id="13" xr3:uid="{00000000-0010-0000-0400-00000D000000}" name="Q7" dataDxfId="25">
      <calculatedColumnFormula array="1">Sheet3!$W$2*$F2*(NETWORKDAYS(VLOOKUP(M$1,Sprints[],2,FALSE), VLOOKUP(M$1,Sprints[],3,FALSE))-SUMPRODUCT((OFFSET(INDIRECT(CELL("address",INDEX('Leave Tracker'!$A$8:$A$107,MATCH($A2,'Leave Tracker'!$A$8:$A$107,0)))),0,31*(VLOOKUP(M$1,Sprints[],5,FALSE))+DAY(VLOOKUP(M$1,Sprints[],2,FALSE)),1,VLOOKUP(M$1,Sprints[],4,FALSE))&lt;&gt;"")*(IF(OFFSET(INDIRECT(CELL("address",INDEX('Leave Tracker'!$A$8:$A$107,MATCH($A2,'Leave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calculatedColumnFormula>
    </tableColumn>
    <tableColumn id="14" xr3:uid="{00000000-0010-0000-0400-00000E000000}" name="Q8" dataDxfId="24">
      <calculatedColumnFormula array="1">Sheet3!$W$2*$F2*(NETWORKDAYS(VLOOKUP(N$1,Sprints[],2,FALSE), VLOOKUP(N$1,Sprints[],3,FALSE))-SUMPRODUCT((OFFSET(INDIRECT(CELL("address",INDEX('Leave Tracker'!$A$8:$A$107,MATCH($A2,'Leave Tracker'!$A$8:$A$107,0)))),0,31*(VLOOKUP(N$1,Sprints[],5,FALSE))+DAY(VLOOKUP(N$1,Sprints[],2,FALSE)),1,VLOOKUP(N$1,Sprints[],4,FALSE))&lt;&gt;"")*(IF(OFFSET(INDIRECT(CELL("address",INDEX('Leave Tracker'!$A$8:$A$107,MATCH($A2,'Leave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calculatedColumnFormula>
    </tableColumn>
    <tableColumn id="15" xr3:uid="{00000000-0010-0000-0400-00000F000000}" name="Q9" dataDxfId="23">
      <calculatedColumnFormula array="1">Sheet3!$W$2*$F2*(NETWORKDAYS(VLOOKUP(O$1,Sprints[],2,FALSE), VLOOKUP(O$1,Sprints[],3,FALSE))-SUMPRODUCT((OFFSET(INDIRECT(CELL("address",INDEX('Leave Tracker'!$A$8:$A$107,MATCH($A2,'Leave Tracker'!$A$8:$A$107,0)))),0,31*(VLOOKUP(O$1,Sprints[],5,FALSE))+DAY(VLOOKUP(O$1,Sprints[],2,FALSE)),1,VLOOKUP(O$1,Sprints[],4,FALSE))&lt;&gt;"")*(IF(OFFSET(INDIRECT(CELL("address",INDEX('Leave Tracker'!$A$8:$A$107,MATCH($A2,'Leave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calculatedColumnFormula>
    </tableColumn>
    <tableColumn id="16" xr3:uid="{00000000-0010-0000-0400-000010000000}" name="Q10" dataDxfId="22">
      <calculatedColumnFormula array="1">Sheet3!$W$2*$F2*(NETWORKDAYS(VLOOKUP(P$1,Sprints[],2,FALSE), VLOOKUP(P$1,Sprints[],3,FALSE))-SUMPRODUCT((OFFSET(INDIRECT(CELL("address",INDEX('Leave Tracker'!$A$8:$A$107,MATCH($A2,'Leave Tracker'!$A$8:$A$107,0)))),0,31*(VLOOKUP(P$1,Sprints[],5,FALSE))+DAY(VLOOKUP(P$1,Sprints[],2,FALSE)),1,VLOOKUP(P$1,Sprints[],4,FALSE))&lt;&gt;"")*(IF(OFFSET(INDIRECT(CELL("address",INDEX('Leave Tracker'!$A$8:$A$107,MATCH($A2,'Leave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calculatedColumnFormula>
    </tableColumn>
    <tableColumn id="17" xr3:uid="{00000000-0010-0000-0400-000011000000}" name="Q11" dataDxfId="21">
      <calculatedColumnFormula array="1">Sheet3!$W$2*$F2*(NETWORKDAYS(VLOOKUP(Q$1,Sprints[],2,FALSE), VLOOKUP(Q$1,Sprints[],3,FALSE))-SUMPRODUCT((OFFSET(INDIRECT(CELL("address",INDEX('Leave Tracker'!$A$8:$A$107,MATCH($A2,'Leave Tracker'!$A$8:$A$107,0)))),0,31*(VLOOKUP(Q$1,Sprints[],5,FALSE))+DAY(VLOOKUP(Q$1,Sprints[],2,FALSE)),1,VLOOKUP(Q$1,Sprints[],4,FALSE))&lt;&gt;"")*(IF(OFFSET(INDIRECT(CELL("address",INDEX('Leave Tracker'!$A$8:$A$107,MATCH($A2,'Leave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calculatedColumnFormula>
    </tableColumn>
    <tableColumn id="18" xr3:uid="{00000000-0010-0000-0400-000012000000}" name="Q12" dataDxfId="20">
      <calculatedColumnFormula array="1">Sheet3!$W$2*$F2*(NETWORKDAYS(VLOOKUP(R$1,Sprints[],2,FALSE), VLOOKUP(R$1,Sprints[],3,FALSE))-SUMPRODUCT((OFFSET(INDIRECT(CELL("address",INDEX('Leave Tracker'!$A$8:$A$107,MATCH($A2,'Leave Tracker'!$A$8:$A$107,0)))),0,31*(VLOOKUP(R$1,Sprints[],5,FALSE))+DAY(VLOOKUP(R$1,Sprints[],2,FALSE)),1,VLOOKUP(R$1,Sprints[],4,FALSE))&lt;&gt;"")*(IF(OFFSET(INDIRECT(CELL("address",INDEX('Leave Tracker'!$A$8:$A$107,MATCH($A2,'Leave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calculatedColumnFormula>
    </tableColumn>
    <tableColumn id="19" xr3:uid="{00000000-0010-0000-0400-000013000000}" name="Q13" dataDxfId="19">
      <calculatedColumnFormula array="1">Sheet3!$W$2*$F2*(NETWORKDAYS(VLOOKUP(S$1,Sprints[],2,FALSE), VLOOKUP(S$1,Sprints[],3,FALSE))-SUMPRODUCT((OFFSET(INDIRECT(CELL("address",INDEX('Leave Tracker'!$A$8:$A$107,MATCH($A2,'Leave Tracker'!$A$8:$A$107,0)))),0,31*(VLOOKUP(S$1,Sprints[],5,FALSE))+DAY(VLOOKUP(S$1,Sprints[],2,FALSE)),1,VLOOKUP(S$1,Sprints[],4,FALSE))&lt;&gt;"")*(IF(OFFSET(INDIRECT(CELL("address",INDEX('Leave Tracker'!$A$8:$A$107,MATCH($A2,'Leave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calculatedColumnFormula>
    </tableColumn>
    <tableColumn id="20" xr3:uid="{00000000-0010-0000-0400-000014000000}" name="Q14" dataDxfId="18">
      <calculatedColumnFormula array="1">Sheet3!$W$2*$F2*(NETWORKDAYS(VLOOKUP(T$1,Sprints[],2,FALSE), VLOOKUP(T$1,Sprints[],3,FALSE))-SUMPRODUCT((OFFSET(INDIRECT(CELL("address",INDEX('Leave Tracker'!$A$8:$A$107,MATCH($A2,'Leave Tracker'!$A$8:$A$107,0)))),0,31*(VLOOKUP(T$1,Sprints[],5,FALSE))+DAY(VLOOKUP(T$1,Sprints[],2,FALSE)),1,VLOOKUP(T$1,Sprints[],4,FALSE))&lt;&gt;"")*(IF(OFFSET(INDIRECT(CELL("address",INDEX('Leave Tracker'!$A$8:$A$107,MATCH($A2,'Leave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calculatedColumnFormula>
    </tableColumn>
    <tableColumn id="21" xr3:uid="{00000000-0010-0000-0400-000015000000}" name="Remaining" dataDxfId="17">
      <calculatedColumnFormula array="1">Sheet3!$W$2*$F2*(NETWORKDAYS(VLOOKUP(U$1,Sprints[],2,FALSE), VLOOKUP(U$1,Sprints[],3,FALSE))-SUMPRODUCT((OFFSET(INDIRECT(CELL("address",INDEX('Leave Tracker'!$A$8:$A$107,MATCH($A2,'Leave Tracker'!$A$8:$A$107,0)))),0,31*(VLOOKUP(U$1,Sprints[],5,FALSE))+DAY(VLOOKUP(U$1,Sprints[],2,FALSE)),1,VLOOKUP(U$1,Sprints[],4,FALSE))&lt;&gt;"")*(IF(OFFSET(INDIRECT(CELL("address",INDEX('Leave Tracker'!$A$8:$A$107,MATCH($A2,'Leave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calculatedColumnFormula>
    </tableColumn>
  </tableColumns>
  <tableStyleInfo name="TableStyleLight9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Table12" displayName="Table12" ref="R2:AF8">
  <autoFilter ref="R2:AF8" xr:uid="{00000000-0009-0000-0100-00000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500-000001000000}" name="Team" totalsRowLabel="Total"/>
    <tableColumn id="2" xr3:uid="{00000000-0010-0000-0500-000002000000}" name="Q1" totalsRowFunction="sum"/>
    <tableColumn id="3" xr3:uid="{00000000-0010-0000-0500-000003000000}" name="Q2"/>
    <tableColumn id="4" xr3:uid="{00000000-0010-0000-0500-000004000000}" name="Q3"/>
    <tableColumn id="5" xr3:uid="{00000000-0010-0000-0500-000005000000}" name="Q4"/>
    <tableColumn id="6" xr3:uid="{00000000-0010-0000-0500-000006000000}" name="Q5"/>
    <tableColumn id="7" xr3:uid="{00000000-0010-0000-0500-000007000000}" name="Q6" dataDxfId="15">
      <calculatedColumnFormula>G2</calculatedColumnFormula>
    </tableColumn>
    <tableColumn id="8" xr3:uid="{00000000-0010-0000-0500-000008000000}" name="Q7" dataDxfId="14">
      <calculatedColumnFormula>H2</calculatedColumnFormula>
    </tableColumn>
    <tableColumn id="9" xr3:uid="{00000000-0010-0000-0500-000009000000}" name="Q9" dataDxfId="13">
      <calculatedColumnFormula>I2</calculatedColumnFormula>
    </tableColumn>
    <tableColumn id="10" xr3:uid="{00000000-0010-0000-0500-00000A000000}" name="Q10" dataDxfId="12">
      <calculatedColumnFormula>J2</calculatedColumnFormula>
    </tableColumn>
    <tableColumn id="11" xr3:uid="{00000000-0010-0000-0500-00000B000000}" name="Q11" dataDxfId="11">
      <calculatedColumnFormula>K2</calculatedColumnFormula>
    </tableColumn>
    <tableColumn id="12" xr3:uid="{00000000-0010-0000-0500-00000C000000}" name="Q12" dataDxfId="10">
      <calculatedColumnFormula>L2</calculatedColumnFormula>
    </tableColumn>
    <tableColumn id="13" xr3:uid="{00000000-0010-0000-0500-00000D000000}" name="Q13" dataDxfId="9">
      <calculatedColumnFormula>M2</calculatedColumnFormula>
    </tableColumn>
    <tableColumn id="14" xr3:uid="{00000000-0010-0000-0500-00000E000000}" name="Q14" dataDxfId="8">
      <calculatedColumnFormula>N2</calculatedColumnFormula>
    </tableColumn>
    <tableColumn id="15" xr3:uid="{00000000-0010-0000-0500-00000F000000}" name="Quasar" totalsRowFunction="count" dataDxfId="7">
      <calculatedColumnFormula>SUM(S3:AE3)</calculatedColumnFormula>
    </tableColumn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eams" displayName="Teams" ref="I1:I6" totalsRowShown="0">
  <autoFilter ref="I1:I6" xr:uid="{00000000-0009-0000-0100-000006000000}">
    <filterColumn colId="0" hiddenButton="1"/>
  </autoFilter>
  <tableColumns count="1">
    <tableColumn id="1" xr3:uid="{00000000-0010-0000-0600-000001000000}" name="Teams"/>
  </tableColumns>
  <tableStyleInfo name="TableStyleLight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e7" displayName="Table7" ref="K1:K3" totalsRowShown="0">
  <autoFilter ref="K1:K3" xr:uid="{00000000-0009-0000-0100-000007000000}">
    <filterColumn colId="0" hiddenButton="1"/>
  </autoFilter>
  <tableColumns count="1">
    <tableColumn id="1" xr3:uid="{00000000-0010-0000-0700-000001000000}" name="Location"/>
  </tableColumns>
  <tableStyleInfo name="TableStyleLight1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Table8" displayName="Table8" ref="M1:M11" totalsRowShown="0">
  <autoFilter ref="M1:M11" xr:uid="{00000000-0009-0000-0100-000008000000}">
    <filterColumn colId="0" hiddenButton="1"/>
  </autoFilter>
  <tableColumns count="1">
    <tableColumn id="1" xr3:uid="{00000000-0010-0000-0800-000001000000}" name="Role"/>
  </tableColumns>
  <tableStyleInfo name="TableStyleLight1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Table9" displayName="Table9" ref="O1:O6" totalsRowShown="0">
  <autoFilter ref="O1:O6" xr:uid="{00000000-0009-0000-0100-000009000000}">
    <filterColumn colId="0" hiddenButton="1"/>
  </autoFilter>
  <tableColumns count="1">
    <tableColumn id="1" xr3:uid="{00000000-0010-0000-0900-000001000000}" name="Specialization"/>
  </tableColumns>
  <tableStyleInfo name="TableStyleLight1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Sprints" displayName="Sprints" ref="Q1:U16" totalsRowShown="0">
  <autoFilter ref="Q1:U16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A00-000001000000}" name="Dev Sprint"/>
    <tableColumn id="2" xr3:uid="{00000000-0010-0000-0A00-000002000000}" name="Start Date" dataDxfId="6"/>
    <tableColumn id="3" xr3:uid="{00000000-0010-0000-0A00-000003000000}" name="End Date" dataDxfId="5"/>
    <tableColumn id="4" xr3:uid="{00000000-0010-0000-0A00-000004000000}" name="Days (with 31 Days per Month)" dataDxfId="4">
      <calculatedColumnFormula>DATEDIF(R2,S2,"d") + 1 + (DATEDIF(DATE(YEAR(R2),MONTH(R2),1),DATE(YEAR(S2),MONTH(S2),1),"m")*31 - DATEDIF(DATE(YEAR(R2),MONTH(R2),1),DATE(YEAR(S2),MONTH(S2),1),"d"))</calculatedColumnFormula>
    </tableColumn>
    <tableColumn id="5" xr3:uid="{00000000-0010-0000-0A00-000005000000}" name="Month Shift" dataDxfId="3">
      <calculatedColumnFormula>DATEDIF(DATE('Leave Tracker'!$A$2,'Leave Tracker'!$A$1,1),DATE(YEAR(R2),MONTH(R2),1),"m")</calculatedColumnFormula>
    </tableColumn>
  </tableColumns>
  <tableStyleInfo name="TableStyleLight1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e10" displayName="Table10" ref="W1:W2" totalsRowShown="0" dataDxfId="2">
  <autoFilter ref="W1:W2" xr:uid="{00000000-0009-0000-0100-00000A000000}">
    <filterColumn colId="0" hiddenButton="1"/>
  </autoFilter>
  <tableColumns count="1">
    <tableColumn id="1" xr3:uid="{00000000-0010-0000-0B00-000001000000}" name="Capacity Buffer" dataDxfId="1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eaveTracker"/>
  <dimension ref="A1:ACM67"/>
  <sheetViews>
    <sheetView showGridLines="0" showWhiteSpace="0" zoomScale="60" zoomScaleNormal="60" zoomScaleSheetLayoutView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A6" sqref="A6"/>
    </sheetView>
  </sheetViews>
  <sheetFormatPr defaultColWidth="8.796875" defaultRowHeight="14.25" x14ac:dyDescent="0.45"/>
  <cols>
    <col min="1" max="1" width="19.59765625" customWidth="1"/>
    <col min="2" max="156" width="3.59765625" hidden="1" customWidth="1"/>
    <col min="157" max="187" width="3.59765625" customWidth="1"/>
    <col min="188" max="279" width="3.59765625" hidden="1" customWidth="1"/>
    <col min="280" max="280" width="3.33203125" hidden="1" customWidth="1"/>
    <col min="281" max="373" width="3.59765625" hidden="1" customWidth="1"/>
    <col min="374" max="374" width="9.46484375" customWidth="1"/>
    <col min="375" max="375" width="8.46484375" customWidth="1"/>
    <col min="376" max="376" width="18.796875" customWidth="1"/>
    <col min="377" max="390" width="6.46484375" style="45" customWidth="1"/>
    <col min="391" max="391" width="8.33203125" style="45" customWidth="1"/>
    <col min="392" max="392" width="6.59765625" customWidth="1"/>
    <col min="393" max="393" width="14.46484375" bestFit="1" customWidth="1"/>
    <col min="394" max="394" width="10.06640625" bestFit="1" customWidth="1"/>
  </cols>
  <sheetData>
    <row r="1" spans="1:767" ht="15.75" x14ac:dyDescent="0.5">
      <c r="A1" s="9">
        <v>4</v>
      </c>
      <c r="B1" s="21"/>
      <c r="NK1" s="6"/>
    </row>
    <row r="2" spans="1:767" ht="15.75" x14ac:dyDescent="0.5">
      <c r="A2" s="9">
        <v>2018</v>
      </c>
      <c r="B2" s="21"/>
      <c r="NJ2" s="6"/>
    </row>
    <row r="3" spans="1:767" ht="41.25" customHeight="1" x14ac:dyDescent="0.45">
      <c r="A3" s="12">
        <v>6</v>
      </c>
      <c r="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  <c r="AAA3" s="3"/>
      <c r="AAB3" s="3"/>
      <c r="AAC3" s="3"/>
      <c r="AAD3" s="3"/>
      <c r="AAE3" s="3"/>
      <c r="AAF3" s="3"/>
      <c r="AAG3" s="3"/>
      <c r="AAH3" s="3"/>
      <c r="AAI3" s="3"/>
      <c r="AAJ3" s="3"/>
      <c r="AAK3" s="3"/>
      <c r="AAL3" s="3"/>
      <c r="AAM3" s="3"/>
      <c r="AAN3" s="3"/>
      <c r="AAO3" s="3"/>
      <c r="AAP3" s="3"/>
      <c r="AAQ3" s="3"/>
      <c r="AAR3" s="3"/>
      <c r="AAS3" s="3"/>
      <c r="AAT3" s="3"/>
      <c r="AAU3" s="3"/>
      <c r="AAV3" s="3"/>
      <c r="AAW3" s="3"/>
      <c r="AAX3" s="3"/>
      <c r="AAY3" s="3"/>
      <c r="AAZ3" s="3"/>
      <c r="ABA3" s="3"/>
      <c r="ABB3" s="3"/>
      <c r="ABC3" s="3"/>
      <c r="ABD3" s="3"/>
      <c r="ABE3" s="3"/>
      <c r="ABF3" s="3"/>
      <c r="ABG3" s="3"/>
      <c r="ABH3" s="3"/>
      <c r="ABI3" s="3"/>
      <c r="ABJ3" s="3"/>
      <c r="ABK3" s="3"/>
      <c r="ABL3" s="3"/>
      <c r="ABM3" s="3"/>
      <c r="ABN3" s="3"/>
      <c r="ABO3" s="3"/>
      <c r="ABP3" s="3"/>
      <c r="ABQ3" s="3"/>
      <c r="ABR3" s="3"/>
      <c r="ABS3" s="3"/>
      <c r="ABT3" s="3"/>
      <c r="ABU3" s="3"/>
      <c r="ABV3" s="3"/>
      <c r="ABW3" s="3"/>
      <c r="ABX3" s="3"/>
      <c r="ABY3" s="3"/>
      <c r="ABZ3" s="3"/>
      <c r="ACA3" s="3"/>
      <c r="ACB3" s="3"/>
      <c r="ACC3" s="3"/>
      <c r="ACD3" s="3"/>
      <c r="ACE3" s="3"/>
      <c r="ACF3" s="3"/>
      <c r="ACG3" s="3"/>
      <c r="ACH3" s="3"/>
      <c r="ACI3" s="3"/>
      <c r="ACJ3" s="3"/>
      <c r="ACK3" s="3"/>
      <c r="ACL3" s="3"/>
      <c r="ACM3" s="3"/>
    </row>
    <row r="4" spans="1:767" x14ac:dyDescent="0.45">
      <c r="A4" s="32">
        <f>DATEDIF(DATE($A$2,$A$1,1),DATE(YEAR(Holidays!E2),MONTH(Holidays!E2),1),"m")</f>
        <v>0</v>
      </c>
      <c r="B4" s="15" t="b">
        <f>IFERROR(IF(AND(VLOOKUP(B6,$OC$17:$OD$23,2,0)="Yes",NOT(ISNUMBER(VLOOKUP(DATE($A$2,$A$3+$A$1-1,B5),HolidayList[Date],1,0)))),TRUE,FALSE),FALSE)</f>
        <v>0</v>
      </c>
      <c r="C4" s="15" t="b">
        <f>IFERROR(IF(AND(VLOOKUP(C6,$OC$17:$OD$23,2,0)="Yes",NOT(ISNUMBER(VLOOKUP(DATE($A$2,$A$3+$A$1-1,C5),HolidayList[Date],1,0)))),TRUE,FALSE),FALSE)</f>
        <v>0</v>
      </c>
      <c r="D4" s="15" t="b">
        <f>IFERROR(IF(AND(VLOOKUP(D6,$OC$17:$OD$23,2,0)="Yes",NOT(ISNUMBER(VLOOKUP(DATE($A$2,$A$3+$A$1-1,D5),HolidayList[Date],1,0)))),TRUE,FALSE),FALSE)</f>
        <v>0</v>
      </c>
      <c r="E4" s="15" t="b">
        <f>IFERROR(IF(AND(VLOOKUP(E6,$OC$17:$OD$23,2,0)="Yes",NOT(ISNUMBER(VLOOKUP(DATE($A$2,$A$3+$A$1-1,E5),HolidayList[Date],1,0)))),TRUE,FALSE),FALSE)</f>
        <v>0</v>
      </c>
      <c r="F4" s="15" t="b">
        <f>IFERROR(IF(AND(VLOOKUP(F6,$OC$17:$OD$23,2,0)="Yes",NOT(ISNUMBER(VLOOKUP(DATE($A$2,$A$3+$A$1-1,F5),HolidayList[Date],1,0)))),TRUE,FALSE),FALSE)</f>
        <v>0</v>
      </c>
      <c r="G4" s="15" t="b">
        <f>IFERROR(IF(AND(VLOOKUP(G6,$OC$17:$OD$23,2,0)="Yes",NOT(ISNUMBER(VLOOKUP(DATE($A$2,$A$3+$A$1-1,G5),HolidayList[Date],1,0)))),TRUE,FALSE),FALSE)</f>
        <v>0</v>
      </c>
      <c r="H4" s="15" t="b">
        <f>IFERROR(IF(AND(VLOOKUP(H6,$OC$17:$OD$23,2,0)="Yes",NOT(ISNUMBER(VLOOKUP(DATE($A$2,$A$3+$A$1-1,H5),HolidayList[Date],1,0)))),TRUE,FALSE),FALSE)</f>
        <v>0</v>
      </c>
      <c r="I4" s="15" t="b">
        <f>IFERROR(IF(AND(VLOOKUP(I6,$OC$17:$OD$23,2,0)="Yes",NOT(ISNUMBER(VLOOKUP(DATE($A$2,$A$3+$A$1-1,I5),HolidayList[Date],1,0)))),TRUE,FALSE),FALSE)</f>
        <v>0</v>
      </c>
      <c r="J4" s="15" t="b">
        <f>IFERROR(IF(AND(VLOOKUP(J6,$OC$17:$OD$23,2,0)="Yes",NOT(ISNUMBER(VLOOKUP(DATE($A$2,$A$3+$A$1-1,J5),HolidayList[Date],1,0)))),TRUE,FALSE),FALSE)</f>
        <v>0</v>
      </c>
      <c r="K4" s="15" t="b">
        <f>IFERROR(IF(AND(VLOOKUP(K6,$OC$17:$OD$23,2,0)="Yes",NOT(ISNUMBER(VLOOKUP(DATE($A$2,$A$3+$A$1-1,K5),HolidayList[Date],1,0)))),TRUE,FALSE),FALSE)</f>
        <v>0</v>
      </c>
      <c r="L4" s="15" t="b">
        <f>IFERROR(IF(AND(VLOOKUP(L6,$OC$17:$OD$23,2,0)="Yes",NOT(ISNUMBER(VLOOKUP(DATE($A$2,$A$3+$A$1-1,L5),HolidayList[Date],1,0)))),TRUE,FALSE),FALSE)</f>
        <v>0</v>
      </c>
      <c r="M4" s="15" t="b">
        <f>IFERROR(IF(AND(VLOOKUP(M6,$OC$17:$OD$23,2,0)="Yes",NOT(ISNUMBER(VLOOKUP(DATE($A$2,$A$3+$A$1-1,M5),HolidayList[Date],1,0)))),TRUE,FALSE),FALSE)</f>
        <v>0</v>
      </c>
      <c r="N4" s="15" t="b">
        <f>IFERROR(IF(AND(VLOOKUP(N6,$OC$17:$OD$23,2,0)="Yes",NOT(ISNUMBER(VLOOKUP(DATE($A$2,$A$3+$A$1-1,N5),HolidayList[Date],1,0)))),TRUE,FALSE),FALSE)</f>
        <v>0</v>
      </c>
      <c r="O4" s="15" t="b">
        <f>IFERROR(IF(AND(VLOOKUP(O6,$OC$17:$OD$23,2,0)="Yes",NOT(ISNUMBER(VLOOKUP(DATE($A$2,$A$3+$A$1-1,O5),HolidayList[Date],1,0)))),TRUE,FALSE),FALSE)</f>
        <v>0</v>
      </c>
      <c r="P4" s="15" t="b">
        <f>IFERROR(IF(AND(VLOOKUP(P6,$OC$17:$OD$23,2,0)="Yes",NOT(ISNUMBER(VLOOKUP(DATE($A$2,$A$3+$A$1-1,P5),HolidayList[Date],1,0)))),TRUE,FALSE),FALSE)</f>
        <v>0</v>
      </c>
      <c r="Q4" s="15" t="b">
        <f>IFERROR(IF(AND(VLOOKUP(Q6,$OC$17:$OD$23,2,0)="Yes",NOT(ISNUMBER(VLOOKUP(DATE($A$2,$A$3+$A$1-1,Q5),HolidayList[Date],1,0)))),TRUE,FALSE),FALSE)</f>
        <v>0</v>
      </c>
      <c r="R4" s="15" t="b">
        <f>IFERROR(IF(AND(VLOOKUP(R6,$OC$17:$OD$23,2,0)="Yes",NOT(ISNUMBER(VLOOKUP(DATE($A$2,$A$3+$A$1-1,R5),HolidayList[Date],1,0)))),TRUE,FALSE),FALSE)</f>
        <v>0</v>
      </c>
      <c r="S4" s="15" t="b">
        <f>IFERROR(IF(AND(VLOOKUP(S6,$OC$17:$OD$23,2,0)="Yes",NOT(ISNUMBER(VLOOKUP(DATE($A$2,$A$3+$A$1-1,S5),HolidayList[Date],1,0)))),TRUE,FALSE),FALSE)</f>
        <v>0</v>
      </c>
      <c r="T4" s="15" t="b">
        <f>IFERROR(IF(AND(VLOOKUP(T6,$OC$17:$OD$23,2,0)="Yes",NOT(ISNUMBER(VLOOKUP(DATE($A$2,$A$3+$A$1-1,T5),HolidayList[Date],1,0)))),TRUE,FALSE),FALSE)</f>
        <v>0</v>
      </c>
      <c r="U4" s="15" t="b">
        <f>IFERROR(IF(AND(VLOOKUP(U6,$OC$17:$OD$23,2,0)="Yes",NOT(ISNUMBER(VLOOKUP(DATE($A$2,$A$3+$A$1-1,U5),HolidayList[Date],1,0)))),TRUE,FALSE),FALSE)</f>
        <v>0</v>
      </c>
      <c r="V4" s="15" t="b">
        <f>IFERROR(IF(AND(VLOOKUP(V6,$OC$17:$OD$23,2,0)="Yes",NOT(ISNUMBER(VLOOKUP(DATE($A$2,$A$3+$A$1-1,V5),HolidayList[Date],1,0)))),TRUE,FALSE),FALSE)</f>
        <v>0</v>
      </c>
      <c r="W4" s="15" t="b">
        <f>IFERROR(IF(AND(VLOOKUP(W6,$OC$17:$OD$23,2,0)="Yes",NOT(ISNUMBER(VLOOKUP(DATE($A$2,$A$3+$A$1-1,W5),HolidayList[Date],1,0)))),TRUE,FALSE),FALSE)</f>
        <v>0</v>
      </c>
      <c r="X4" s="15" t="b">
        <f>IFERROR(IF(AND(VLOOKUP(X6,$OC$17:$OD$23,2,0)="Yes",NOT(ISNUMBER(VLOOKUP(DATE($A$2,$A$3+$A$1-1,X5),HolidayList[Date],1,0)))),TRUE,FALSE),FALSE)</f>
        <v>0</v>
      </c>
      <c r="Y4" s="15" t="b">
        <f>IFERROR(IF(AND(VLOOKUP(Y6,$OC$17:$OD$23,2,0)="Yes",NOT(ISNUMBER(VLOOKUP(DATE($A$2,$A$3+$A$1-1,Y5),HolidayList[Date],1,0)))),TRUE,FALSE),FALSE)</f>
        <v>0</v>
      </c>
      <c r="Z4" s="15" t="b">
        <f>IFERROR(IF(AND(VLOOKUP(Z6,$OC$17:$OD$23,2,0)="Yes",NOT(ISNUMBER(VLOOKUP(DATE($A$2,$A$3+$A$1-1,Z5),HolidayList[Date],1,0)))),TRUE,FALSE),FALSE)</f>
        <v>0</v>
      </c>
      <c r="AA4" s="49" t="b">
        <f>IFERROR(IF(AND(VLOOKUP(AA6,$OC$17:$OD$23,2,0)="Yes",NOT(ISNUMBER(VLOOKUP(DATE($A$2,$A$3+$A$1-1,AA5),HolidayList[Date],1,0)))),TRUE,FALSE),FALSE)</f>
        <v>0</v>
      </c>
      <c r="AB4" s="48" t="b">
        <f>IFERROR(IF(AND(VLOOKUP(AB6,$OC$17:$OD$23,2,0)="Yes",NOT(ISNUMBER(VLOOKUP(DATE($A$2,$A$3+$A$1-1,AB5),HolidayList[Date],1,0)))),TRUE,FALSE),FALSE)</f>
        <v>0</v>
      </c>
      <c r="AC4" s="15" t="b">
        <f>IFERROR(IF(AND(VLOOKUP(AC6,$OC$17:$OD$23,2,0)="Yes",NOT(ISNUMBER(VLOOKUP(DATE($A$2,$A$3+$A$1-1,AC5),HolidayList[Date],1,0)))),TRUE,FALSE),FALSE)</f>
        <v>0</v>
      </c>
      <c r="AD4" s="15" t="b">
        <f>IFERROR(IF(AND(VLOOKUP(AD6,$OC$17:$OD$23,2,0)="Yes",NOT(ISNUMBER(VLOOKUP(DATE($A$2,$A$3+$A$1-1,AD5),HolidayList[Date],1,0)))),TRUE,FALSE),FALSE)</f>
        <v>0</v>
      </c>
      <c r="AE4" s="15" t="b">
        <f>IFERROR(IF(AND(VLOOKUP(AE6,$OC$17:$OD$23,2,0)="Yes",NOT(ISNUMBER(VLOOKUP(DATE($A$2,$A$3+$A$1-1,AE5),HolidayList[Date],1,0)))),TRUE,FALSE),FALSE)</f>
        <v>0</v>
      </c>
      <c r="AF4" s="15" t="b">
        <f>IFERROR(IF(AND(VLOOKUP(AF6,$OC$17:$OD$23,2,0)="Yes",NOT(ISNUMBER(VLOOKUP(DATE($A$2,$A$3+$A$1-1,AF5),HolidayList[Date],1,0)))),TRUE,FALSE),FALSE)</f>
        <v>0</v>
      </c>
      <c r="AG4" s="15" t="b">
        <f>IFERROR(IF(AND(VLOOKUP(AG6,$OC$17:$OD$23,2,0)="Yes",NOT(ISNUMBER(VLOOKUP(DATE($A$2,$A$3+$A$1-1,AG5),HolidayList[Date],1,0)))),TRUE,FALSE),FALSE)</f>
        <v>0</v>
      </c>
      <c r="AH4" s="15" t="b">
        <f>IFERROR(IF(AND(VLOOKUP(AH6,$OC$17:$OD$23,2,0)="Yes",NOT(ISNUMBER(VLOOKUP(DATE($A$2,$A$3+$A$1-1,AH5),HolidayList[Date],1,0)))),TRUE,FALSE),FALSE)</f>
        <v>0</v>
      </c>
      <c r="AI4" s="15" t="b">
        <f>IFERROR(IF(AND(VLOOKUP(AI6,$OC$17:$OD$23,2,0)="Yes",NOT(ISNUMBER(VLOOKUP(DATE($A$2,$A$3+$A$1-1,AI5),HolidayList[Date],1,0)))),TRUE,FALSE),FALSE)</f>
        <v>0</v>
      </c>
      <c r="AJ4" s="15" t="b">
        <f>IFERROR(IF(AND(VLOOKUP(AJ6,$OC$17:$OD$23,2,0)="Yes",NOT(ISNUMBER(VLOOKUP(DATE($A$2,$A$3+$A$1-1,AJ5),HolidayList[Date],1,0)))),TRUE,FALSE),FALSE)</f>
        <v>0</v>
      </c>
      <c r="AK4" s="15" t="b">
        <f>IFERROR(IF(AND(VLOOKUP(AK6,$OC$17:$OD$23,2,0)="Yes",NOT(ISNUMBER(VLOOKUP(DATE($A$2,$A$3+$A$1-1,AK5),HolidayList[Date],1,0)))),TRUE,FALSE),FALSE)</f>
        <v>0</v>
      </c>
      <c r="AL4" s="15" t="b">
        <f>IFERROR(IF(AND(VLOOKUP(AL6,$OC$17:$OD$23,2,0)="Yes",NOT(ISNUMBER(VLOOKUP(DATE($A$2,$A$3+$A$1-1,AL5),HolidayList[Date],1,0)))),TRUE,FALSE),FALSE)</f>
        <v>0</v>
      </c>
      <c r="AM4" s="15" t="b">
        <f>IFERROR(IF(AND(VLOOKUP(AM6,$OC$17:$OD$23,2,0)="Yes",NOT(ISNUMBER(VLOOKUP(DATE($A$2,$A$3+$A$1-1,AM5),HolidayList[Date],1,0)))),TRUE,FALSE),FALSE)</f>
        <v>0</v>
      </c>
      <c r="AN4" s="15" t="b">
        <f>IFERROR(IF(AND(VLOOKUP(AN6,$OC$17:$OD$23,2,0)="Yes",NOT(ISNUMBER(VLOOKUP(DATE($A$2,$A$3+$A$1-1,AN5),HolidayList[Date],1,0)))),TRUE,FALSE),FALSE)</f>
        <v>0</v>
      </c>
      <c r="AO4" s="15" t="b">
        <f>IFERROR(IF(AND(VLOOKUP(AO6,$OC$17:$OD$23,2,0)="Yes",NOT(ISNUMBER(VLOOKUP(DATE($A$2,$A$3+$A$1-1,AO5),HolidayList[Date],1,0)))),TRUE,FALSE),FALSE)</f>
        <v>0</v>
      </c>
      <c r="AP4" s="15" t="b">
        <f>IFERROR(IF(AND(VLOOKUP(AP6,$OC$17:$OD$23,2,0)="Yes",NOT(ISNUMBER(VLOOKUP(DATE($A$2,$A$3+$A$1-1,AP5),HolidayList[Date],1,0)))),TRUE,FALSE),FALSE)</f>
        <v>0</v>
      </c>
      <c r="AQ4" s="15" t="b">
        <f>IFERROR(IF(AND(VLOOKUP(AQ6,$OC$17:$OD$23,2,0)="Yes",NOT(ISNUMBER(VLOOKUP(DATE($A$2,$A$3+$A$1-1,AQ5),HolidayList[Date],1,0)))),TRUE,FALSE),FALSE)</f>
        <v>0</v>
      </c>
      <c r="AR4" s="15" t="b">
        <f>IFERROR(IF(AND(VLOOKUP(AR6,$OC$17:$OD$23,2,0)="Yes",NOT(ISNUMBER(VLOOKUP(DATE($A$2,$A$3+$A$1-1,AR5),HolidayList[Date],1,0)))),TRUE,FALSE),FALSE)</f>
        <v>0</v>
      </c>
      <c r="AS4" s="15" t="b">
        <f>IFERROR(IF(AND(VLOOKUP(AS6,$OC$17:$OD$23,2,0)="Yes",NOT(ISNUMBER(VLOOKUP(DATE($A$2,$A$3+$A$1-1,AS5),HolidayList[Date],1,0)))),TRUE,FALSE),FALSE)</f>
        <v>0</v>
      </c>
      <c r="AT4" s="15" t="b">
        <f>IFERROR(IF(AND(VLOOKUP(AT6,$OC$17:$OD$23,2,0)="Yes",NOT(ISNUMBER(VLOOKUP(DATE($A$2,$A$3+$A$1-1,AT5),HolidayList[Date],1,0)))),TRUE,FALSE),FALSE)</f>
        <v>0</v>
      </c>
      <c r="AU4" s="15" t="b">
        <f>IFERROR(IF(AND(VLOOKUP(AU6,$OC$17:$OD$23,2,0)="Yes",NOT(ISNUMBER(VLOOKUP(DATE($A$2,$A$3+$A$1-1,AU5),HolidayList[Date],1,0)))),TRUE,FALSE),FALSE)</f>
        <v>0</v>
      </c>
      <c r="AV4" s="15" t="b">
        <f>IFERROR(IF(AND(VLOOKUP(AV6,$OC$17:$OD$23,2,0)="Yes",NOT(ISNUMBER(VLOOKUP(DATE($A$2,$A$3+$A$1-1,AV5),HolidayList[Date],1,0)))),TRUE,FALSE),FALSE)</f>
        <v>0</v>
      </c>
      <c r="AW4" s="15" t="b">
        <f>IFERROR(IF(AND(VLOOKUP(AW6,$OC$17:$OD$23,2,0)="Yes",NOT(ISNUMBER(VLOOKUP(DATE($A$2,$A$3+$A$1-1,AW5),HolidayList[Date],1,0)))),TRUE,FALSE),FALSE)</f>
        <v>0</v>
      </c>
      <c r="AX4" s="15" t="b">
        <f>IFERROR(IF(AND(VLOOKUP(AX6,$OC$17:$OD$23,2,0)="Yes",NOT(ISNUMBER(VLOOKUP(DATE($A$2,$A$3+$A$1-1,AX5),HolidayList[Date],1,0)))),TRUE,FALSE),FALSE)</f>
        <v>0</v>
      </c>
      <c r="AY4" s="15" t="b">
        <f>IFERROR(IF(AND(VLOOKUP(AY6,$OC$17:$OD$23,2,0)="Yes",NOT(ISNUMBER(VLOOKUP(DATE($A$2,$A$3+$A$1-1,AY5),HolidayList[Date],1,0)))),TRUE,FALSE),FALSE)</f>
        <v>0</v>
      </c>
      <c r="AZ4" s="15" t="b">
        <f>IFERROR(IF(AND(VLOOKUP(AZ6,$OC$17:$OD$23,2,0)="Yes",NOT(ISNUMBER(VLOOKUP(DATE($A$2,$A$3+$A$1-1,AZ5),HolidayList[Date],1,0)))),TRUE,FALSE),FALSE)</f>
        <v>0</v>
      </c>
      <c r="BA4" s="15" t="b">
        <f>IFERROR(IF(AND(VLOOKUP(BA6,$OC$17:$OD$23,2,0)="Yes",NOT(ISNUMBER(VLOOKUP(DATE($A$2,$A$3+$A$1-1,BA5),HolidayList[Date],1,0)))),TRUE,FALSE),FALSE)</f>
        <v>0</v>
      </c>
      <c r="BB4" s="15" t="b">
        <f>IFERROR(IF(AND(VLOOKUP(BB6,$OC$17:$OD$23,2,0)="Yes",NOT(ISNUMBER(VLOOKUP(DATE($A$2,$A$3+$A$1-1,BB5),HolidayList[Date],1,0)))),TRUE,FALSE),FALSE)</f>
        <v>0</v>
      </c>
      <c r="BC4" s="15" t="b">
        <f>IFERROR(IF(AND(VLOOKUP(BC6,$OC$17:$OD$23,2,0)="Yes",NOT(ISNUMBER(VLOOKUP(DATE($A$2,$A$3+$A$1-1,BC5),HolidayList[Date],1,0)))),TRUE,FALSE),FALSE)</f>
        <v>0</v>
      </c>
      <c r="BD4" s="15" t="b">
        <f>IFERROR(IF(AND(VLOOKUP(BD6,$OC$17:$OD$23,2,0)="Yes",NOT(ISNUMBER(VLOOKUP(DATE($A$2,$A$3+$A$1-1,BD5),HolidayList[Date],1,0)))),TRUE,FALSE),FALSE)</f>
        <v>0</v>
      </c>
      <c r="BE4" s="15" t="b">
        <f>IFERROR(IF(AND(VLOOKUP(BE6,$OC$17:$OD$23,2,0)="Yes",NOT(ISNUMBER(VLOOKUP(DATE($A$2,$A$3+$A$1-1,BE5),HolidayList[Date],1,0)))),TRUE,FALSE),FALSE)</f>
        <v>0</v>
      </c>
      <c r="BF4" s="15" t="b">
        <f>IFERROR(IF(AND(VLOOKUP(BF6,$OC$17:$OD$23,2,0)="Yes",NOT(ISNUMBER(VLOOKUP(DATE($A$2,$A$3+$A$1-1,BF5),HolidayList[Date],1,0)))),TRUE,FALSE),FALSE)</f>
        <v>0</v>
      </c>
      <c r="BG4" s="15" t="b">
        <f>IFERROR(IF(AND(VLOOKUP(BG6,$OC$17:$OD$23,2,0)="Yes",NOT(ISNUMBER(VLOOKUP(DATE($A$2,$A$3+$A$1-1,BG5),HolidayList[Date],1,0)))),TRUE,FALSE),FALSE)</f>
        <v>0</v>
      </c>
      <c r="BH4" s="15" t="b">
        <f>IFERROR(IF(AND(VLOOKUP(BH6,$OC$17:$OD$23,2,0)="Yes",NOT(ISNUMBER(VLOOKUP(DATE($A$2,$A$3+$A$1-1,BH5),HolidayList[Date],1,0)))),TRUE,FALSE),FALSE)</f>
        <v>0</v>
      </c>
      <c r="BI4" s="15" t="b">
        <f>IFERROR(IF(AND(VLOOKUP(BI6,$OC$17:$OD$23,2,0)="Yes",NOT(ISNUMBER(VLOOKUP(DATE($A$2,$A$3+$A$1-1,BI5),HolidayList[Date],1,0)))),TRUE,FALSE),FALSE)</f>
        <v>0</v>
      </c>
      <c r="BJ4" s="15" t="b">
        <f>IFERROR(IF(AND(VLOOKUP(BJ6,$OC$17:$OD$23,2,0)="Yes",NOT(ISNUMBER(VLOOKUP(DATE($A$2,$A$3+$A$1-1,BJ5),HolidayList[Date],1,0)))),TRUE,FALSE),FALSE)</f>
        <v>0</v>
      </c>
      <c r="BK4" s="15" t="b">
        <f>IFERROR(IF(AND(VLOOKUP(BK6,$OC$17:$OD$23,2,0)="Yes",NOT(ISNUMBER(VLOOKUP(DATE($A$2,$A$3+$A$1-1,BK5),HolidayList[Date],1,0)))),TRUE,FALSE),FALSE)</f>
        <v>0</v>
      </c>
      <c r="BL4" s="15" t="b">
        <f>IFERROR(IF(AND(VLOOKUP(BL6,$OC$17:$OD$23,2,0)="Yes",NOT(ISNUMBER(VLOOKUP(DATE($A$2,$A$3+$A$1-1,BL5),HolidayList[Date],1,0)))),TRUE,FALSE),FALSE)</f>
        <v>0</v>
      </c>
      <c r="BM4" s="15" t="b">
        <f>IFERROR(IF(AND(VLOOKUP(BM6,$OC$17:$OD$23,2,0)="Yes",NOT(ISNUMBER(VLOOKUP(DATE($A$2,$A$3+$A$1-1,BM5),HolidayList[Date],1,0)))),TRUE,FALSE),FALSE)</f>
        <v>0</v>
      </c>
      <c r="BN4" s="15" t="b">
        <f>IFERROR(IF(AND(VLOOKUP(BN6,$OC$17:$OD$23,2,0)="Yes",NOT(ISNUMBER(VLOOKUP(DATE($A$2,$A$3+$A$1-1,BN5),HolidayList[Date],1,0)))),TRUE,FALSE),FALSE)</f>
        <v>0</v>
      </c>
      <c r="BO4" s="15" t="b">
        <f>IFERROR(IF(AND(VLOOKUP(BO6,$OC$17:$OD$23,2,0)="Yes",NOT(ISNUMBER(VLOOKUP(DATE($A$2,$A$3+$A$1-1,BO5),HolidayList[Date],1,0)))),TRUE,FALSE),FALSE)</f>
        <v>0</v>
      </c>
      <c r="BP4" s="15" t="b">
        <f>IFERROR(IF(AND(VLOOKUP(BP6,$OC$17:$OD$23,2,0)="Yes",NOT(ISNUMBER(VLOOKUP(DATE($A$2,$A$3+$A$1-1,BP5),HolidayList[Date],1,0)))),TRUE,FALSE),FALSE)</f>
        <v>0</v>
      </c>
      <c r="BQ4" s="15" t="b">
        <f>IFERROR(IF(AND(VLOOKUP(BQ6,$OC$17:$OD$23,2,0)="Yes",NOT(ISNUMBER(VLOOKUP(DATE($A$2,$A$3+$A$1-1,BQ5),HolidayList[Date],1,0)))),TRUE,FALSE),FALSE)</f>
        <v>0</v>
      </c>
      <c r="BR4" s="15" t="b">
        <f>IFERROR(IF(AND(VLOOKUP(BR6,$OC$17:$OD$23,2,0)="Yes",NOT(ISNUMBER(VLOOKUP(DATE($A$2,$A$3+$A$1-1,BR5),HolidayList[Date],1,0)))),TRUE,FALSE),FALSE)</f>
        <v>0</v>
      </c>
      <c r="BS4" s="15" t="b">
        <f>IFERROR(IF(AND(VLOOKUP(BS6,$OC$17:$OD$23,2,0)="Yes",NOT(ISNUMBER(VLOOKUP(DATE($A$2,$A$3+$A$1-1,BS5),HolidayList[Date],1,0)))),TRUE,FALSE),FALSE)</f>
        <v>0</v>
      </c>
      <c r="BT4" s="15" t="b">
        <f>IFERROR(IF(AND(VLOOKUP(BT6,$OC$17:$OD$23,2,0)="Yes",NOT(ISNUMBER(VLOOKUP(DATE($A$2,$A$3+$A$1-1,BT5),HolidayList[Date],1,0)))),TRUE,FALSE),FALSE)</f>
        <v>0</v>
      </c>
      <c r="BU4" s="15" t="b">
        <f>IFERROR(IF(AND(VLOOKUP(BU6,$OC$17:$OD$23,2,0)="Yes",NOT(ISNUMBER(VLOOKUP(DATE($A$2,$A$3+$A$1-1,BU5),HolidayList[Date],1,0)))),TRUE,FALSE),FALSE)</f>
        <v>0</v>
      </c>
      <c r="BV4" s="15" t="b">
        <f>IFERROR(IF(AND(VLOOKUP(BV6,$OC$17:$OD$23,2,0)="Yes",NOT(ISNUMBER(VLOOKUP(DATE($A$2,$A$3+$A$1-1,BV5),HolidayList[Date],1,0)))),TRUE,FALSE),FALSE)</f>
        <v>0</v>
      </c>
      <c r="BW4" s="15" t="b">
        <f>IFERROR(IF(AND(VLOOKUP(BW6,$OC$17:$OD$23,2,0)="Yes",NOT(ISNUMBER(VLOOKUP(DATE($A$2,$A$3+$A$1-1,BW5),HolidayList[Date],1,0)))),TRUE,FALSE),FALSE)</f>
        <v>0</v>
      </c>
      <c r="BX4" s="15" t="b">
        <f>IFERROR(IF(AND(VLOOKUP(BX6,$OC$17:$OD$23,2,0)="Yes",NOT(ISNUMBER(VLOOKUP(DATE($A$2,$A$3+$A$1-1,BX5),HolidayList[Date],1,0)))),TRUE,FALSE),FALSE)</f>
        <v>0</v>
      </c>
      <c r="BY4" s="15" t="b">
        <f>IFERROR(IF(AND(VLOOKUP(BY6,$OC$17:$OD$23,2,0)="Yes",NOT(ISNUMBER(VLOOKUP(DATE($A$2,$A$3+$A$1-1,BY5),HolidayList[Date],1,0)))),TRUE,FALSE),FALSE)</f>
        <v>0</v>
      </c>
      <c r="BZ4" s="15" t="b">
        <f>IFERROR(IF(AND(VLOOKUP(BZ6,$OC$17:$OD$23,2,0)="Yes",NOT(ISNUMBER(VLOOKUP(DATE($A$2,$A$3+$A$1-1,BZ5),HolidayList[Date],1,0)))),TRUE,FALSE),FALSE)</f>
        <v>0</v>
      </c>
      <c r="CA4" s="15" t="b">
        <f>IFERROR(IF(AND(VLOOKUP(CA6,$OC$17:$OD$23,2,0)="Yes",NOT(ISNUMBER(VLOOKUP(DATE($A$2,$A$3+$A$1-1,CA5),HolidayList[Date],1,0)))),TRUE,FALSE),FALSE)</f>
        <v>0</v>
      </c>
      <c r="CB4" s="15" t="b">
        <f>IFERROR(IF(AND(VLOOKUP(CB6,$OC$17:$OD$23,2,0)="Yes",NOT(ISNUMBER(VLOOKUP(DATE($A$2,$A$3+$A$1-1,CB5),HolidayList[Date],1,0)))),TRUE,FALSE),FALSE)</f>
        <v>0</v>
      </c>
      <c r="CC4" s="15" t="b">
        <f>IFERROR(IF(AND(VLOOKUP(CC6,$OC$17:$OD$23,2,0)="Yes",NOT(ISNUMBER(VLOOKUP(DATE($A$2,$A$3+$A$1-1,CC5),HolidayList[Date],1,0)))),TRUE,FALSE),FALSE)</f>
        <v>0</v>
      </c>
      <c r="CD4" s="15" t="b">
        <f>IFERROR(IF(AND(VLOOKUP(CD6,$OC$17:$OD$23,2,0)="Yes",NOT(ISNUMBER(VLOOKUP(DATE($A$2,$A$3+$A$1-1,CD5),HolidayList[Date],1,0)))),TRUE,FALSE),FALSE)</f>
        <v>0</v>
      </c>
      <c r="CE4" s="15" t="b">
        <f>IFERROR(IF(AND(VLOOKUP(CE6,$OC$17:$OD$23,2,0)="Yes",NOT(ISNUMBER(VLOOKUP(DATE($A$2,$A$3+$A$1-1,CE5),HolidayList[Date],1,0)))),TRUE,FALSE),FALSE)</f>
        <v>0</v>
      </c>
      <c r="CF4" s="15" t="b">
        <f>IFERROR(IF(AND(VLOOKUP(CF6,$OC$17:$OD$23,2,0)="Yes",NOT(ISNUMBER(VLOOKUP(DATE($A$2,$A$3+$A$1-1,CF5),HolidayList[Date],1,0)))),TRUE,FALSE),FALSE)</f>
        <v>0</v>
      </c>
      <c r="CG4" s="15" t="b">
        <f>IFERROR(IF(AND(VLOOKUP(CG6,$OC$17:$OD$23,2,0)="Yes",NOT(ISNUMBER(VLOOKUP(DATE($A$2,$A$3+$A$1-1,CG5),HolidayList[Date],1,0)))),TRUE,FALSE),FALSE)</f>
        <v>0</v>
      </c>
      <c r="CH4" s="15" t="b">
        <f>IFERROR(IF(AND(VLOOKUP(CH6,$OC$17:$OD$23,2,0)="Yes",NOT(ISNUMBER(VLOOKUP(DATE($A$2,$A$3+$A$1-1,CH5),HolidayList[Date],1,0)))),TRUE,FALSE),FALSE)</f>
        <v>0</v>
      </c>
      <c r="CI4" s="15" t="b">
        <f>IFERROR(IF(AND(VLOOKUP(CI6,$OC$17:$OD$23,2,0)="Yes",NOT(ISNUMBER(VLOOKUP(DATE($A$2,$A$3+$A$1-1,CI5),HolidayList[Date],1,0)))),TRUE,FALSE),FALSE)</f>
        <v>0</v>
      </c>
      <c r="CJ4" s="15" t="b">
        <f>IFERROR(IF(AND(VLOOKUP(CJ6,$OC$17:$OD$23,2,0)="Yes",NOT(ISNUMBER(VLOOKUP(DATE($A$2,$A$3+$A$1-1,CJ5),HolidayList[Date],1,0)))),TRUE,FALSE),FALSE)</f>
        <v>0</v>
      </c>
      <c r="CK4" s="15" t="b">
        <f>IFERROR(IF(AND(VLOOKUP(CK6,$OC$17:$OD$23,2,0)="Yes",NOT(ISNUMBER(VLOOKUP(DATE($A$2,$A$3+$A$1-1,CK5),HolidayList[Date],1,0)))),TRUE,FALSE),FALSE)</f>
        <v>0</v>
      </c>
      <c r="CL4" s="15" t="b">
        <f>IFERROR(IF(AND(VLOOKUP(CL6,$OC$17:$OD$23,2,0)="Yes",NOT(ISNUMBER(VLOOKUP(DATE($A$2,$A$3+$A$1-1,CL5),HolidayList[Date],1,0)))),TRUE,FALSE),FALSE)</f>
        <v>0</v>
      </c>
      <c r="CM4" s="15" t="b">
        <f>IFERROR(IF(AND(VLOOKUP(CM6,$OC$17:$OD$23,2,0)="Yes",NOT(ISNUMBER(VLOOKUP(DATE($A$2,$A$3+$A$1-1,CM5),HolidayList[Date],1,0)))),TRUE,FALSE),FALSE)</f>
        <v>0</v>
      </c>
      <c r="CN4" s="15" t="b">
        <f>IFERROR(IF(AND(VLOOKUP(CN6,$OC$17:$OD$23,2,0)="Yes",NOT(ISNUMBER(VLOOKUP(DATE($A$2,$A$3+$A$1-1,CN5),HolidayList[Date],1,0)))),TRUE,FALSE),FALSE)</f>
        <v>0</v>
      </c>
      <c r="CO4" s="15" t="b">
        <f>IFERROR(IF(AND(VLOOKUP(CO6,$OC$17:$OD$23,2,0)="Yes",NOT(ISNUMBER(VLOOKUP(DATE($A$2,$A$3+$A$1-1,CO5),HolidayList[Date],1,0)))),TRUE,FALSE),FALSE)</f>
        <v>0</v>
      </c>
      <c r="CP4" s="15" t="b">
        <f>IFERROR(IF(AND(VLOOKUP(CP6,$OC$17:$OD$23,2,0)="Yes",NOT(ISNUMBER(VLOOKUP(DATE($A$2,$A$3+$A$1-1,CP5),HolidayList[Date],1,0)))),TRUE,FALSE),FALSE)</f>
        <v>0</v>
      </c>
      <c r="CQ4" s="15" t="b">
        <f>IFERROR(IF(AND(VLOOKUP(CQ6,$OC$17:$OD$23,2,0)="Yes",NOT(ISNUMBER(VLOOKUP(DATE($A$2,$A$3+$A$1-1,CQ5),HolidayList[Date],1,0)))),TRUE,FALSE),FALSE)</f>
        <v>0</v>
      </c>
      <c r="CR4" s="15" t="b">
        <f>IFERROR(IF(AND(VLOOKUP(CR6,$OC$17:$OD$23,2,0)="Yes",NOT(ISNUMBER(VLOOKUP(DATE($A$2,$A$3+$A$1-1,CR5),HolidayList[Date],1,0)))),TRUE,FALSE),FALSE)</f>
        <v>0</v>
      </c>
      <c r="CS4" s="15" t="b">
        <f>IFERROR(IF(AND(VLOOKUP(CS6,$OC$17:$OD$23,2,0)="Yes",NOT(ISNUMBER(VLOOKUP(DATE($A$2,$A$3+$A$1-1,CS5),HolidayList[Date],1,0)))),TRUE,FALSE),FALSE)</f>
        <v>0</v>
      </c>
      <c r="CT4" s="15" t="b">
        <f>IFERROR(IF(AND(VLOOKUP(CT6,$OC$17:$OD$23,2,0)="Yes",NOT(ISNUMBER(VLOOKUP(DATE($A$2,$A$3+$A$1-1,CT5),HolidayList[Date],1,0)))),TRUE,FALSE),FALSE)</f>
        <v>0</v>
      </c>
      <c r="CU4" s="15" t="b">
        <f>IFERROR(IF(AND(VLOOKUP(CU6,$OC$17:$OD$23,2,0)="Yes",NOT(ISNUMBER(VLOOKUP(DATE($A$2,$A$3+$A$1-1,CU5),HolidayList[Date],1,0)))),TRUE,FALSE),FALSE)</f>
        <v>0</v>
      </c>
      <c r="CV4" s="15" t="b">
        <f>IFERROR(IF(AND(VLOOKUP(CV6,$OC$17:$OD$23,2,0)="Yes",NOT(ISNUMBER(VLOOKUP(DATE($A$2,$A$3+$A$1-1,CV5),HolidayList[Date],1,0)))),TRUE,FALSE),FALSE)</f>
        <v>0</v>
      </c>
      <c r="CW4" s="15" t="b">
        <f>IFERROR(IF(AND(VLOOKUP(CW6,$OC$17:$OD$23,2,0)="Yes",NOT(ISNUMBER(VLOOKUP(DATE($A$2,$A$3+$A$1-1,CW5),HolidayList[Date],1,0)))),TRUE,FALSE),FALSE)</f>
        <v>0</v>
      </c>
      <c r="CX4" s="15" t="b">
        <f>IFERROR(IF(AND(VLOOKUP(CX6,$OC$17:$OD$23,2,0)="Yes",NOT(ISNUMBER(VLOOKUP(DATE($A$2,$A$3+$A$1-1,CX5),HolidayList[Date],1,0)))),TRUE,FALSE),FALSE)</f>
        <v>0</v>
      </c>
      <c r="CY4" s="15" t="b">
        <f>IFERROR(IF(AND(VLOOKUP(CY6,$OC$17:$OD$23,2,0)="Yes",NOT(ISNUMBER(VLOOKUP(DATE($A$2,$A$3+$A$1-1,CY5),HolidayList[Date],1,0)))),TRUE,FALSE),FALSE)</f>
        <v>0</v>
      </c>
      <c r="CZ4" s="15" t="b">
        <f>IFERROR(IF(AND(VLOOKUP(CZ6,$OC$17:$OD$23,2,0)="Yes",NOT(ISNUMBER(VLOOKUP(DATE($A$2,$A$3+$A$1-1,CZ5),HolidayList[Date],1,0)))),TRUE,FALSE),FALSE)</f>
        <v>0</v>
      </c>
      <c r="DA4" s="15" t="b">
        <f>IFERROR(IF(AND(VLOOKUP(DA6,$OC$17:$OD$23,2,0)="Yes",NOT(ISNUMBER(VLOOKUP(DATE($A$2,$A$3+$A$1-1,DA5),HolidayList[Date],1,0)))),TRUE,FALSE),FALSE)</f>
        <v>0</v>
      </c>
      <c r="DB4" s="15" t="b">
        <f>IFERROR(IF(AND(VLOOKUP(DB6,$OC$17:$OD$23,2,0)="Yes",NOT(ISNUMBER(VLOOKUP(DATE($A$2,$A$3+$A$1-1,DB5),HolidayList[Date],1,0)))),TRUE,FALSE),FALSE)</f>
        <v>0</v>
      </c>
      <c r="DC4" s="15" t="b">
        <f>IFERROR(IF(AND(VLOOKUP(DC6,$OC$17:$OD$23,2,0)="Yes",NOT(ISNUMBER(VLOOKUP(DATE($A$2,$A$3+$A$1-1,DC5),HolidayList[Date],1,0)))),TRUE,FALSE),FALSE)</f>
        <v>0</v>
      </c>
      <c r="DD4" s="15" t="b">
        <f>IFERROR(IF(AND(VLOOKUP(DD6,$OC$17:$OD$23,2,0)="Yes",NOT(ISNUMBER(VLOOKUP(DATE($A$2,$A$3+$A$1-1,DD5),HolidayList[Date],1,0)))),TRUE,FALSE),FALSE)</f>
        <v>0</v>
      </c>
      <c r="DE4" s="15" t="b">
        <f>IFERROR(IF(AND(VLOOKUP(DE6,$OC$17:$OD$23,2,0)="Yes",NOT(ISNUMBER(VLOOKUP(DATE($A$2,$A$3+$A$1-1,DE5),HolidayList[Date],1,0)))),TRUE,FALSE),FALSE)</f>
        <v>0</v>
      </c>
      <c r="DF4" s="15" t="b">
        <f>IFERROR(IF(AND(VLOOKUP(DF6,$OC$17:$OD$23,2,0)="Yes",NOT(ISNUMBER(VLOOKUP(DATE($A$2,$A$3+$A$1-1,DF5),HolidayList[Date],1,0)))),TRUE,FALSE),FALSE)</f>
        <v>0</v>
      </c>
      <c r="DG4" s="15" t="b">
        <f>IFERROR(IF(AND(VLOOKUP(DG6,$OC$17:$OD$23,2,0)="Yes",NOT(ISNUMBER(VLOOKUP(DATE($A$2,$A$3+$A$1-1,DG5),HolidayList[Date],1,0)))),TRUE,FALSE),FALSE)</f>
        <v>0</v>
      </c>
      <c r="DH4" s="15" t="b">
        <f>IFERROR(IF(AND(VLOOKUP(DH6,$OC$17:$OD$23,2,0)="Yes",NOT(ISNUMBER(VLOOKUP(DATE($A$2,$A$3+$A$1-1,DH5),HolidayList[Date],1,0)))),TRUE,FALSE),FALSE)</f>
        <v>0</v>
      </c>
      <c r="DI4" s="15" t="b">
        <f>IFERROR(IF(AND(VLOOKUP(DI6,$OC$17:$OD$23,2,0)="Yes",NOT(ISNUMBER(VLOOKUP(DATE($A$2,$A$3+$A$1-1,DI5),HolidayList[Date],1,0)))),TRUE,FALSE),FALSE)</f>
        <v>0</v>
      </c>
      <c r="DJ4" s="15" t="b">
        <f>IFERROR(IF(AND(VLOOKUP(DJ6,$OC$17:$OD$23,2,0)="Yes",NOT(ISNUMBER(VLOOKUP(DATE($A$2,$A$3+$A$1-1,DJ5),HolidayList[Date],1,0)))),TRUE,FALSE),FALSE)</f>
        <v>0</v>
      </c>
      <c r="DK4" s="15" t="b">
        <f>IFERROR(IF(AND(VLOOKUP(DK6,$OC$17:$OD$23,2,0)="Yes",NOT(ISNUMBER(VLOOKUP(DATE($A$2,$A$3+$A$1-1,DK5),HolidayList[Date],1,0)))),TRUE,FALSE),FALSE)</f>
        <v>0</v>
      </c>
      <c r="DL4" s="15" t="b">
        <f>IFERROR(IF(AND(VLOOKUP(DL6,$OC$17:$OD$23,2,0)="Yes",NOT(ISNUMBER(VLOOKUP(DATE($A$2,$A$3+$A$1-1,DL5),HolidayList[Date],1,0)))),TRUE,FALSE),FALSE)</f>
        <v>0</v>
      </c>
      <c r="DM4" s="15" t="b">
        <f>IFERROR(IF(AND(VLOOKUP(DM6,$OC$17:$OD$23,2,0)="Yes",NOT(ISNUMBER(VLOOKUP(DATE($A$2,$A$3+$A$1-1,DM5),HolidayList[Date],1,0)))),TRUE,FALSE),FALSE)</f>
        <v>0</v>
      </c>
      <c r="DN4" s="15" t="b">
        <f>IFERROR(IF(AND(VLOOKUP(DN6,$OC$17:$OD$23,2,0)="Yes",NOT(ISNUMBER(VLOOKUP(DATE($A$2,$A$3+$A$1-1,DN5),HolidayList[Date],1,0)))),TRUE,FALSE),FALSE)</f>
        <v>0</v>
      </c>
      <c r="DO4" s="15" t="b">
        <f>IFERROR(IF(AND(VLOOKUP(DO6,$OC$17:$OD$23,2,0)="Yes",NOT(ISNUMBER(VLOOKUP(DATE($A$2,$A$3+$A$1-1,DO5),HolidayList[Date],1,0)))),TRUE,FALSE),FALSE)</f>
        <v>0</v>
      </c>
      <c r="DP4" s="15" t="b">
        <f>IFERROR(IF(AND(VLOOKUP(DP6,$OC$17:$OD$23,2,0)="Yes",NOT(ISNUMBER(VLOOKUP(DATE($A$2,$A$3+$A$1-1,DP5),HolidayList[Date],1,0)))),TRUE,FALSE),FALSE)</f>
        <v>0</v>
      </c>
      <c r="DQ4" s="15" t="b">
        <f>IFERROR(IF(AND(VLOOKUP(DQ6,$OC$17:$OD$23,2,0)="Yes",NOT(ISNUMBER(VLOOKUP(DATE($A$2,$A$3+$A$1-1,DQ5),HolidayList[Date],1,0)))),TRUE,FALSE),FALSE)</f>
        <v>0</v>
      </c>
      <c r="DR4" s="15" t="b">
        <f>IFERROR(IF(AND(VLOOKUP(DR6,$OC$17:$OD$23,2,0)="Yes",NOT(ISNUMBER(VLOOKUP(DATE($A$2,$A$3+$A$1-1,DR5),HolidayList[Date],1,0)))),TRUE,FALSE),FALSE)</f>
        <v>0</v>
      </c>
      <c r="DS4" s="15" t="b">
        <f>IFERROR(IF(AND(VLOOKUP(DS6,$OC$17:$OD$23,2,0)="Yes",NOT(ISNUMBER(VLOOKUP(DATE($A$2,$A$3+$A$1-1,DS5),HolidayList[Date],1,0)))),TRUE,FALSE),FALSE)</f>
        <v>0</v>
      </c>
      <c r="DT4" s="15" t="b">
        <f>IFERROR(IF(AND(VLOOKUP(DT6,$OC$17:$OD$23,2,0)="Yes",NOT(ISNUMBER(VLOOKUP(DATE($A$2,$A$3+$A$1-1,DT5),HolidayList[Date],1,0)))),TRUE,FALSE),FALSE)</f>
        <v>0</v>
      </c>
      <c r="DU4" s="15" t="b">
        <f>IFERROR(IF(AND(VLOOKUP(DU6,$OC$17:$OD$23,2,0)="Yes",NOT(ISNUMBER(VLOOKUP(DATE($A$2,$A$3+$A$1-1,DU5),HolidayList[Date],1,0)))),TRUE,FALSE),FALSE)</f>
        <v>0</v>
      </c>
      <c r="DV4" s="15" t="b">
        <f>IFERROR(IF(AND(VLOOKUP(DV6,$OC$17:$OD$23,2,0)="Yes",NOT(ISNUMBER(VLOOKUP(DATE($A$2,$A$3+$A$1-1,DV5),HolidayList[Date],1,0)))),TRUE,FALSE),FALSE)</f>
        <v>0</v>
      </c>
      <c r="DW4" s="15" t="b">
        <f>IFERROR(IF(AND(VLOOKUP(DW6,$OC$17:$OD$23,2,0)="Yes",NOT(ISNUMBER(VLOOKUP(DATE($A$2,$A$3+$A$1-1,DW5),HolidayList[Date],1,0)))),TRUE,FALSE),FALSE)</f>
        <v>0</v>
      </c>
      <c r="DX4" s="15" t="b">
        <f>IFERROR(IF(AND(VLOOKUP(DX6,$OC$17:$OD$23,2,0)="Yes",NOT(ISNUMBER(VLOOKUP(DATE($A$2,$A$3+$A$1-1,DX5),HolidayList[Date],1,0)))),TRUE,FALSE),FALSE)</f>
        <v>0</v>
      </c>
      <c r="DY4" s="15" t="b">
        <f>IFERROR(IF(AND(VLOOKUP(DY6,$OC$17:$OD$23,2,0)="Yes",NOT(ISNUMBER(VLOOKUP(DATE($A$2,$A$3+$A$1-1,DY5),HolidayList[Date],1,0)))),TRUE,FALSE),FALSE)</f>
        <v>0</v>
      </c>
      <c r="DZ4" s="15" t="b">
        <f>IFERROR(IF(AND(VLOOKUP(DZ6,$OC$17:$OD$23,2,0)="Yes",NOT(ISNUMBER(VLOOKUP(DATE($A$2,$A$3+$A$1-1,DZ5),HolidayList[Date],1,0)))),TRUE,FALSE),FALSE)</f>
        <v>0</v>
      </c>
      <c r="EA4" s="15" t="b">
        <f>IFERROR(IF(AND(VLOOKUP(EA6,$OC$17:$OD$23,2,0)="Yes",NOT(ISNUMBER(VLOOKUP(DATE($A$2,$A$3+$A$1-1,EA5),HolidayList[Date],1,0)))),TRUE,FALSE),FALSE)</f>
        <v>0</v>
      </c>
      <c r="EB4" s="15" t="b">
        <f>IFERROR(IF(AND(VLOOKUP(EB6,$OC$17:$OD$23,2,0)="Yes",NOT(ISNUMBER(VLOOKUP(DATE($A$2,$A$3+$A$1-1,EB5),HolidayList[Date],1,0)))),TRUE,FALSE),FALSE)</f>
        <v>0</v>
      </c>
      <c r="EC4" s="15" t="b">
        <f>IFERROR(IF(AND(VLOOKUP(EC6,$OC$17:$OD$23,2,0)="Yes",NOT(ISNUMBER(VLOOKUP(DATE($A$2,$A$3+$A$1-1,EC5),HolidayList[Date],1,0)))),TRUE,FALSE),FALSE)</f>
        <v>0</v>
      </c>
      <c r="ED4" s="15" t="b">
        <f>IFERROR(IF(AND(VLOOKUP(ED6,$OC$17:$OD$23,2,0)="Yes",NOT(ISNUMBER(VLOOKUP(DATE($A$2,$A$3+$A$1-1,ED5),HolidayList[Date],1,0)))),TRUE,FALSE),FALSE)</f>
        <v>0</v>
      </c>
      <c r="EE4" s="15" t="b">
        <f>IFERROR(IF(AND(VLOOKUP(EE6,$OC$17:$OD$23,2,0)="Yes",NOT(ISNUMBER(VLOOKUP(DATE($A$2,$A$3+$A$1-1,EE5),HolidayList[Date],1,0)))),TRUE,FALSE),FALSE)</f>
        <v>0</v>
      </c>
      <c r="EF4" s="15" t="b">
        <f>IFERROR(IF(AND(VLOOKUP(EF6,$OC$17:$OD$23,2,0)="Yes",NOT(ISNUMBER(VLOOKUP(DATE($A$2,$A$3+$A$1-1,EF5),HolidayList[Date],1,0)))),TRUE,FALSE),FALSE)</f>
        <v>0</v>
      </c>
      <c r="EG4" s="15" t="b">
        <f>IFERROR(IF(AND(VLOOKUP(EG6,$OC$17:$OD$23,2,0)="Yes",NOT(ISNUMBER(VLOOKUP(DATE($A$2,$A$3+$A$1-1,EG5),HolidayList[Date],1,0)))),TRUE,FALSE),FALSE)</f>
        <v>0</v>
      </c>
      <c r="EH4" s="15" t="b">
        <f>IFERROR(IF(AND(VLOOKUP(EH6,$OC$17:$OD$23,2,0)="Yes",NOT(ISNUMBER(VLOOKUP(DATE($A$2,$A$3+$A$1-1,EH5),HolidayList[Date],1,0)))),TRUE,FALSE),FALSE)</f>
        <v>0</v>
      </c>
      <c r="EI4" s="15" t="b">
        <f>IFERROR(IF(AND(VLOOKUP(EI6,$OC$17:$OD$23,2,0)="Yes",NOT(ISNUMBER(VLOOKUP(DATE($A$2,$A$3+$A$1-1,EI5),HolidayList[Date],1,0)))),TRUE,FALSE),FALSE)</f>
        <v>0</v>
      </c>
      <c r="EJ4" s="15" t="b">
        <f>IFERROR(IF(AND(VLOOKUP(EJ6,$OC$17:$OD$23,2,0)="Yes",NOT(ISNUMBER(VLOOKUP(DATE($A$2,$A$3+$A$1-1,EJ5),HolidayList[Date],1,0)))),TRUE,FALSE),FALSE)</f>
        <v>0</v>
      </c>
      <c r="EK4" s="15" t="b">
        <f>IFERROR(IF(AND(VLOOKUP(EK6,$OC$17:$OD$23,2,0)="Yes",NOT(ISNUMBER(VLOOKUP(DATE($A$2,$A$3+$A$1-1,EK5),HolidayList[Date],1,0)))),TRUE,FALSE),FALSE)</f>
        <v>0</v>
      </c>
      <c r="EL4" s="15" t="b">
        <f>IFERROR(IF(AND(VLOOKUP(EL6,$OC$17:$OD$23,2,0)="Yes",NOT(ISNUMBER(VLOOKUP(DATE($A$2,$A$3+$A$1-1,EL5),HolidayList[Date],1,0)))),TRUE,FALSE),FALSE)</f>
        <v>0</v>
      </c>
      <c r="EM4" s="15" t="b">
        <f>IFERROR(IF(AND(VLOOKUP(EM6,$OC$17:$OD$23,2,0)="Yes",NOT(ISNUMBER(VLOOKUP(DATE($A$2,$A$3+$A$1-1,EM5),HolidayList[Date],1,0)))),TRUE,FALSE),FALSE)</f>
        <v>0</v>
      </c>
      <c r="EN4" s="15" t="b">
        <f>IFERROR(IF(AND(VLOOKUP(EN6,$OC$17:$OD$23,2,0)="Yes",NOT(ISNUMBER(VLOOKUP(DATE($A$2,$A$3+$A$1-1,EN5),HolidayList[Date],1,0)))),TRUE,FALSE),FALSE)</f>
        <v>0</v>
      </c>
      <c r="EO4" s="15" t="b">
        <f>IFERROR(IF(AND(VLOOKUP(EO6,$OC$17:$OD$23,2,0)="Yes",NOT(ISNUMBER(VLOOKUP(DATE($A$2,$A$3+$A$1-1,EO5),HolidayList[Date],1,0)))),TRUE,FALSE),FALSE)</f>
        <v>0</v>
      </c>
      <c r="EP4" s="15" t="b">
        <f>IFERROR(IF(AND(VLOOKUP(EP6,$OC$17:$OD$23,2,0)="Yes",NOT(ISNUMBER(VLOOKUP(DATE($A$2,$A$3+$A$1-1,EP5),HolidayList[Date],1,0)))),TRUE,FALSE),FALSE)</f>
        <v>0</v>
      </c>
      <c r="EQ4" s="15" t="b">
        <f>IFERROR(IF(AND(VLOOKUP(EQ6,$OC$17:$OD$23,2,0)="Yes",NOT(ISNUMBER(VLOOKUP(DATE($A$2,$A$3+$A$1-1,EQ5),HolidayList[Date],1,0)))),TRUE,FALSE),FALSE)</f>
        <v>0</v>
      </c>
      <c r="ER4" s="15" t="b">
        <f>IFERROR(IF(AND(VLOOKUP(ER6,$OC$17:$OD$23,2,0)="Yes",NOT(ISNUMBER(VLOOKUP(DATE($A$2,$A$3+$A$1-1,ER5),HolidayList[Date],1,0)))),TRUE,FALSE),FALSE)</f>
        <v>0</v>
      </c>
      <c r="ES4" s="15" t="b">
        <f>IFERROR(IF(AND(VLOOKUP(ES6,$OC$17:$OD$23,2,0)="Yes",NOT(ISNUMBER(VLOOKUP(DATE($A$2,$A$3+$A$1-1,ES5),HolidayList[Date],1,0)))),TRUE,FALSE),FALSE)</f>
        <v>0</v>
      </c>
      <c r="ET4" s="15" t="b">
        <f>IFERROR(IF(AND(VLOOKUP(ET6,$OC$17:$OD$23,2,0)="Yes",NOT(ISNUMBER(VLOOKUP(DATE($A$2,$A$3+$A$1-1,ET5),HolidayList[Date],1,0)))),TRUE,FALSE),FALSE)</f>
        <v>0</v>
      </c>
      <c r="EU4" s="15" t="b">
        <f>IFERROR(IF(AND(VLOOKUP(EU6,$OC$17:$OD$23,2,0)="Yes",NOT(ISNUMBER(VLOOKUP(DATE($A$2,$A$3+$A$1-1,EU5),HolidayList[Date],1,0)))),TRUE,FALSE),FALSE)</f>
        <v>0</v>
      </c>
      <c r="EV4" s="15" t="b">
        <f>IFERROR(IF(AND(VLOOKUP(EV6,$OC$17:$OD$23,2,0)="Yes",NOT(ISNUMBER(VLOOKUP(DATE($A$2,$A$3+$A$1-1,EV5),HolidayList[Date],1,0)))),TRUE,FALSE),FALSE)</f>
        <v>0</v>
      </c>
      <c r="EW4" s="15" t="b">
        <f>IFERROR(IF(AND(VLOOKUP(EW6,$OC$17:$OD$23,2,0)="Yes",NOT(ISNUMBER(VLOOKUP(DATE($A$2,$A$3+$A$1-1,EW5),HolidayList[Date],1,0)))),TRUE,FALSE),FALSE)</f>
        <v>0</v>
      </c>
      <c r="EX4" s="15" t="b">
        <f>IFERROR(IF(AND(VLOOKUP(EX6,$OC$17:$OD$23,2,0)="Yes",NOT(ISNUMBER(VLOOKUP(DATE($A$2,$A$3+$A$1-1,EX5),HolidayList[Date],1,0)))),TRUE,FALSE),FALSE)</f>
        <v>0</v>
      </c>
      <c r="EY4" s="15" t="b">
        <f>IFERROR(IF(AND(VLOOKUP(EY6,$OC$17:$OD$23,2,0)="Yes",NOT(ISNUMBER(VLOOKUP(DATE($A$2,$A$3+$A$1-1,EY5),HolidayList[Date],1,0)))),TRUE,FALSE),FALSE)</f>
        <v>0</v>
      </c>
      <c r="EZ4" s="15" t="b">
        <f>IFERROR(IF(AND(VLOOKUP(EZ6,$OC$17:$OD$23,2,0)="Yes",NOT(ISNUMBER(VLOOKUP(DATE($A$2,$A$3+$A$1-1,EZ5),HolidayList[Date],1,0)))),TRUE,FALSE),FALSE)</f>
        <v>0</v>
      </c>
      <c r="FA4" s="15" t="b">
        <f>IFERROR(IF(AND(VLOOKUP(FA6,$OC$17:$OD$23,2,0)="Yes",NOT(ISNUMBER(VLOOKUP(DATE($A$2,$A$3+$A$1-1,FA5),HolidayList[Date],1,0)))),TRUE,FALSE),FALSE)</f>
        <v>0</v>
      </c>
      <c r="FB4" s="15" t="b">
        <f>IFERROR(IF(AND(VLOOKUP(FB6,$OC$17:$OD$23,2,0)="Yes",NOT(ISNUMBER(VLOOKUP(DATE($A$2,$A$3+$A$1-1,FB5),HolidayList[Date],1,0)))),TRUE,FALSE),FALSE)</f>
        <v>0</v>
      </c>
      <c r="FC4" s="15" t="b">
        <f>IFERROR(IF(AND(VLOOKUP(FC6,$OC$17:$OD$23,2,0)="Yes",NOT(ISNUMBER(VLOOKUP(DATE($A$2,$A$3+$A$1-1,FC5),HolidayList[Date],1,0)))),TRUE,FALSE),FALSE)</f>
        <v>1</v>
      </c>
      <c r="FD4" s="15" t="b">
        <f>IFERROR(IF(AND(VLOOKUP(FD6,$OC$17:$OD$23,2,0)="Yes",NOT(ISNUMBER(VLOOKUP(DATE($A$2,$A$3+$A$1-1,FD5),HolidayList[Date],1,0)))),TRUE,FALSE),FALSE)</f>
        <v>1</v>
      </c>
      <c r="FE4" s="15" t="b">
        <f>IFERROR(IF(AND(VLOOKUP(FE6,$OC$17:$OD$23,2,0)="Yes",NOT(ISNUMBER(VLOOKUP(DATE($A$2,$A$3+$A$1-1,FE5),HolidayList[Date],1,0)))),TRUE,FALSE),FALSE)</f>
        <v>1</v>
      </c>
      <c r="FF4" s="15" t="b">
        <f>IFERROR(IF(AND(VLOOKUP(FF6,$OC$17:$OD$23,2,0)="Yes",NOT(ISNUMBER(VLOOKUP(DATE($A$2,$A$3+$A$1-1,FF5),HolidayList[Date],1,0)))),TRUE,FALSE),FALSE)</f>
        <v>1</v>
      </c>
      <c r="FG4" s="15" t="b">
        <f>IFERROR(IF(AND(VLOOKUP(FG6,$OC$17:$OD$23,2,0)="Yes",NOT(ISNUMBER(VLOOKUP(DATE($A$2,$A$3+$A$1-1,FG5),HolidayList[Date],1,0)))),TRUE,FALSE),FALSE)</f>
        <v>1</v>
      </c>
      <c r="FH4" s="15" t="b">
        <f>IFERROR(IF(AND(VLOOKUP(FH6,$OC$17:$OD$23,2,0)="Yes",NOT(ISNUMBER(VLOOKUP(DATE($A$2,$A$3+$A$1-1,FH5),HolidayList[Date],1,0)))),TRUE,FALSE),FALSE)</f>
        <v>0</v>
      </c>
      <c r="FI4" s="15" t="b">
        <f>IFERROR(IF(AND(VLOOKUP(FI6,$OC$17:$OD$23,2,0)="Yes",NOT(ISNUMBER(VLOOKUP(DATE($A$2,$A$3+$A$1-1,FI5),HolidayList[Date],1,0)))),TRUE,FALSE),FALSE)</f>
        <v>0</v>
      </c>
      <c r="FJ4" s="15" t="b">
        <f>IFERROR(IF(AND(VLOOKUP(FJ6,$OC$17:$OD$23,2,0)="Yes",NOT(ISNUMBER(VLOOKUP(DATE($A$2,$A$3+$A$1-1,FJ5),HolidayList[Date],1,0)))),TRUE,FALSE),FALSE)</f>
        <v>1</v>
      </c>
      <c r="FK4" s="15" t="b">
        <f>IFERROR(IF(AND(VLOOKUP(FK6,$OC$17:$OD$23,2,0)="Yes",NOT(ISNUMBER(VLOOKUP(DATE($A$2,$A$3+$A$1-1,FK5),HolidayList[Date],1,0)))),TRUE,FALSE),FALSE)</f>
        <v>1</v>
      </c>
      <c r="FL4" s="15" t="b">
        <f>IFERROR(IF(AND(VLOOKUP(FL6,$OC$17:$OD$23,2,0)="Yes",NOT(ISNUMBER(VLOOKUP(DATE($A$2,$A$3+$A$1-1,FL5),HolidayList[Date],1,0)))),TRUE,FALSE),FALSE)</f>
        <v>1</v>
      </c>
      <c r="FM4" s="15" t="b">
        <f>IFERROR(IF(AND(VLOOKUP(FM6,$OC$17:$OD$23,2,0)="Yes",NOT(ISNUMBER(VLOOKUP(DATE($A$2,$A$3+$A$1-1,FM5),HolidayList[Date],1,0)))),TRUE,FALSE),FALSE)</f>
        <v>1</v>
      </c>
      <c r="FN4" s="15" t="b">
        <f>IFERROR(IF(AND(VLOOKUP(FN6,$OC$17:$OD$23,2,0)="Yes",NOT(ISNUMBER(VLOOKUP(DATE($A$2,$A$3+$A$1-1,FN5),HolidayList[Date],1,0)))),TRUE,FALSE),FALSE)</f>
        <v>1</v>
      </c>
      <c r="FO4" s="15" t="b">
        <f>IFERROR(IF(AND(VLOOKUP(FO6,$OC$17:$OD$23,2,0)="Yes",NOT(ISNUMBER(VLOOKUP(DATE($A$2,$A$3+$A$1-1,FO5),HolidayList[Date],1,0)))),TRUE,FALSE),FALSE)</f>
        <v>0</v>
      </c>
      <c r="FP4" s="15" t="b">
        <f>IFERROR(IF(AND(VLOOKUP(FP6,$OC$17:$OD$23,2,0)="Yes",NOT(ISNUMBER(VLOOKUP(DATE($A$2,$A$3+$A$1-1,FP5),HolidayList[Date],1,0)))),TRUE,FALSE),FALSE)</f>
        <v>0</v>
      </c>
      <c r="FQ4" s="15" t="b">
        <f>IFERROR(IF(AND(VLOOKUP(FQ6,$OC$17:$OD$23,2,0)="Yes",NOT(ISNUMBER(VLOOKUP(DATE($A$2,$A$3+$A$1-1,FQ5),HolidayList[Date],1,0)))),TRUE,FALSE),FALSE)</f>
        <v>1</v>
      </c>
      <c r="FR4" s="15" t="b">
        <f>IFERROR(IF(AND(VLOOKUP(FR6,$OC$17:$OD$23,2,0)="Yes",NOT(ISNUMBER(VLOOKUP(DATE($A$2,$A$3+$A$1-1,FR5),HolidayList[Date],1,0)))),TRUE,FALSE),FALSE)</f>
        <v>1</v>
      </c>
      <c r="FS4" s="15" t="b">
        <f>IFERROR(IF(AND(VLOOKUP(FS6,$OC$17:$OD$23,2,0)="Yes",NOT(ISNUMBER(VLOOKUP(DATE($A$2,$A$3+$A$1-1,FS5),HolidayList[Date],1,0)))),TRUE,FALSE),FALSE)</f>
        <v>1</v>
      </c>
      <c r="FT4" s="15" t="b">
        <f>IFERROR(IF(AND(VLOOKUP(FT6,$OC$17:$OD$23,2,0)="Yes",NOT(ISNUMBER(VLOOKUP(DATE($A$2,$A$3+$A$1-1,FT5),HolidayList[Date],1,0)))),TRUE,FALSE),FALSE)</f>
        <v>1</v>
      </c>
      <c r="FU4" s="15" t="b">
        <f>IFERROR(IF(AND(VLOOKUP(FU6,$OC$17:$OD$23,2,0)="Yes",NOT(ISNUMBER(VLOOKUP(DATE($A$2,$A$3+$A$1-1,FU5),HolidayList[Date],1,0)))),TRUE,FALSE),FALSE)</f>
        <v>1</v>
      </c>
      <c r="FV4" s="15" t="b">
        <f>IFERROR(IF(AND(VLOOKUP(FV6,$OC$17:$OD$23,2,0)="Yes",NOT(ISNUMBER(VLOOKUP(DATE($A$2,$A$3+$A$1-1,FV5),HolidayList[Date],1,0)))),TRUE,FALSE),FALSE)</f>
        <v>0</v>
      </c>
      <c r="FW4" s="15" t="b">
        <f>IFERROR(IF(AND(VLOOKUP(FW6,$OC$17:$OD$23,2,0)="Yes",NOT(ISNUMBER(VLOOKUP(DATE($A$2,$A$3+$A$1-1,FW5),HolidayList[Date],1,0)))),TRUE,FALSE),FALSE)</f>
        <v>0</v>
      </c>
      <c r="FX4" s="15" t="b">
        <f>IFERROR(IF(AND(VLOOKUP(FX6,$OC$17:$OD$23,2,0)="Yes",NOT(ISNUMBER(VLOOKUP(DATE($A$2,$A$3+$A$1-1,FX5),HolidayList[Date],1,0)))),TRUE,FALSE),FALSE)</f>
        <v>1</v>
      </c>
      <c r="FY4" s="15" t="b">
        <f>IFERROR(IF(AND(VLOOKUP(FY6,$OC$17:$OD$23,2,0)="Yes",NOT(ISNUMBER(VLOOKUP(DATE($A$2,$A$3+$A$1-1,FY5),HolidayList[Date],1,0)))),TRUE,FALSE),FALSE)</f>
        <v>1</v>
      </c>
      <c r="FZ4" s="15" t="b">
        <f>IFERROR(IF(AND(VLOOKUP(FZ6,$OC$17:$OD$23,2,0)="Yes",NOT(ISNUMBER(VLOOKUP(DATE($A$2,$A$3+$A$1-1,FZ5),HolidayList[Date],1,0)))),TRUE,FALSE),FALSE)</f>
        <v>1</v>
      </c>
      <c r="GA4" s="15" t="b">
        <f>IFERROR(IF(AND(VLOOKUP(GA6,$OC$17:$OD$23,2,0)="Yes",NOT(ISNUMBER(VLOOKUP(DATE($A$2,$A$3+$A$1-1,GA5),HolidayList[Date],1,0)))),TRUE,FALSE),FALSE)</f>
        <v>1</v>
      </c>
      <c r="GB4" s="15" t="b">
        <f>IFERROR(IF(AND(VLOOKUP(GB6,$OC$17:$OD$23,2,0)="Yes",NOT(ISNUMBER(VLOOKUP(DATE($A$2,$A$3+$A$1-1,GB5),HolidayList[Date],1,0)))),TRUE,FALSE),FALSE)</f>
        <v>1</v>
      </c>
      <c r="GC4" s="15" t="b">
        <f>IFERROR(IF(AND(VLOOKUP(GC6,$OC$17:$OD$23,2,0)="Yes",NOT(ISNUMBER(VLOOKUP(DATE($A$2,$A$3+$A$1-1,GC5),HolidayList[Date],1,0)))),TRUE,FALSE),FALSE)</f>
        <v>0</v>
      </c>
      <c r="GD4" s="15" t="b">
        <f>IFERROR(IF(AND(VLOOKUP(GD6,$OC$17:$OD$23,2,0)="Yes",NOT(ISNUMBER(VLOOKUP(DATE($A$2,$A$3+$A$1-1,GD5),HolidayList[Date],1,0)))),TRUE,FALSE),FALSE)</f>
        <v>0</v>
      </c>
      <c r="GE4" s="15" t="b">
        <f>IFERROR(IF(AND(VLOOKUP(GE6,$OC$17:$OD$23,2,0)="Yes",NOT(ISNUMBER(VLOOKUP(DATE($A$2,$A$3+$A$1-1,GE5),HolidayList[Date],1,0)))),TRUE,FALSE),FALSE)</f>
        <v>0</v>
      </c>
      <c r="GF4" s="15" t="b">
        <f>IFERROR(IF(AND(VLOOKUP(GF6,$OC$17:$OD$23,2,0)="Yes",NOT(ISNUMBER(VLOOKUP(DATE($A$2,$A$3+$A$1-1,GF5),HolidayList[Date],1,0)))),TRUE,FALSE),FALSE)</f>
        <v>0</v>
      </c>
      <c r="GG4" s="15" t="b">
        <f>IFERROR(IF(AND(VLOOKUP(GG6,$OC$17:$OD$23,2,0)="Yes",NOT(ISNUMBER(VLOOKUP(DATE($A$2,$A$3+$A$1-1,GG5),HolidayList[Date],1,0)))),TRUE,FALSE),FALSE)</f>
        <v>0</v>
      </c>
      <c r="GH4" s="15" t="b">
        <f>IFERROR(IF(AND(VLOOKUP(GH6,$OC$17:$OD$23,2,0)="Yes",NOT(ISNUMBER(VLOOKUP(DATE($A$2,$A$3+$A$1-1,GH5),HolidayList[Date],1,0)))),TRUE,FALSE),FALSE)</f>
        <v>0</v>
      </c>
      <c r="GI4" s="15" t="b">
        <f>IFERROR(IF(AND(VLOOKUP(GI6,$OC$17:$OD$23,2,0)="Yes",NOT(ISNUMBER(VLOOKUP(DATE($A$2,$A$3+$A$1-1,GI5),HolidayList[Date],1,0)))),TRUE,FALSE),FALSE)</f>
        <v>0</v>
      </c>
      <c r="GJ4" s="15" t="b">
        <f>IFERROR(IF(AND(VLOOKUP(GJ6,$OC$17:$OD$23,2,0)="Yes",NOT(ISNUMBER(VLOOKUP(DATE($A$2,$A$3+$A$1-1,GJ5),HolidayList[Date],1,0)))),TRUE,FALSE),FALSE)</f>
        <v>0</v>
      </c>
      <c r="GK4" s="15" t="b">
        <f>IFERROR(IF(AND(VLOOKUP(GK6,$OC$17:$OD$23,2,0)="Yes",NOT(ISNUMBER(VLOOKUP(DATE($A$2,$A$3+$A$1-1,GK5),HolidayList[Date],1,0)))),TRUE,FALSE),FALSE)</f>
        <v>0</v>
      </c>
      <c r="GL4" s="15" t="b">
        <f>IFERROR(IF(AND(VLOOKUP(GL6,$OC$17:$OD$23,2,0)="Yes",NOT(ISNUMBER(VLOOKUP(DATE($A$2,$A$3+$A$1-1,GL5),HolidayList[Date],1,0)))),TRUE,FALSE),FALSE)</f>
        <v>0</v>
      </c>
      <c r="GM4" s="15" t="b">
        <f>IFERROR(IF(AND(VLOOKUP(GM6,$OC$17:$OD$23,2,0)="Yes",NOT(ISNUMBER(VLOOKUP(DATE($A$2,$A$3+$A$1-1,GM5),HolidayList[Date],1,0)))),TRUE,FALSE),FALSE)</f>
        <v>0</v>
      </c>
      <c r="GN4" s="15" t="b">
        <f>IFERROR(IF(AND(VLOOKUP(GN6,$OC$17:$OD$23,2,0)="Yes",NOT(ISNUMBER(VLOOKUP(DATE($A$2,$A$3+$A$1-1,GN5),HolidayList[Date],1,0)))),TRUE,FALSE),FALSE)</f>
        <v>0</v>
      </c>
      <c r="GO4" s="15" t="b">
        <f>IFERROR(IF(AND(VLOOKUP(GO6,$OC$17:$OD$23,2,0)="Yes",NOT(ISNUMBER(VLOOKUP(DATE($A$2,$A$3+$A$1-1,GO5),HolidayList[Date],1,0)))),TRUE,FALSE),FALSE)</f>
        <v>0</v>
      </c>
      <c r="GP4" s="15" t="b">
        <f>IFERROR(IF(AND(VLOOKUP(GP6,$OC$17:$OD$23,2,0)="Yes",NOT(ISNUMBER(VLOOKUP(DATE($A$2,$A$3+$A$1-1,GP5),HolidayList[Date],1,0)))),TRUE,FALSE),FALSE)</f>
        <v>0</v>
      </c>
      <c r="GQ4" s="15" t="b">
        <f>IFERROR(IF(AND(VLOOKUP(GQ6,$OC$17:$OD$23,2,0)="Yes",NOT(ISNUMBER(VLOOKUP(DATE($A$2,$A$3+$A$1-1,GQ5),HolidayList[Date],1,0)))),TRUE,FALSE),FALSE)</f>
        <v>0</v>
      </c>
      <c r="GR4" s="15" t="b">
        <f>IFERROR(IF(AND(VLOOKUP(GR6,$OC$17:$OD$23,2,0)="Yes",NOT(ISNUMBER(VLOOKUP(DATE($A$2,$A$3+$A$1-1,GR5),HolidayList[Date],1,0)))),TRUE,FALSE),FALSE)</f>
        <v>0</v>
      </c>
      <c r="GS4" s="15" t="b">
        <f>IFERROR(IF(AND(VLOOKUP(GS6,$OC$17:$OD$23,2,0)="Yes",NOT(ISNUMBER(VLOOKUP(DATE($A$2,$A$3+$A$1-1,GS5),HolidayList[Date],1,0)))),TRUE,FALSE),FALSE)</f>
        <v>0</v>
      </c>
      <c r="GT4" s="15" t="b">
        <f>IFERROR(IF(AND(VLOOKUP(GT6,$OC$17:$OD$23,2,0)="Yes",NOT(ISNUMBER(VLOOKUP(DATE($A$2,$A$3+$A$1-1,GT5),HolidayList[Date],1,0)))),TRUE,FALSE),FALSE)</f>
        <v>0</v>
      </c>
      <c r="GU4" s="15" t="b">
        <f>IFERROR(IF(AND(VLOOKUP(GU6,$OC$17:$OD$23,2,0)="Yes",NOT(ISNUMBER(VLOOKUP(DATE($A$2,$A$3+$A$1-1,GU5),HolidayList[Date],1,0)))),TRUE,FALSE),FALSE)</f>
        <v>0</v>
      </c>
      <c r="GV4" s="15" t="b">
        <f>IFERROR(IF(AND(VLOOKUP(GV6,$OC$17:$OD$23,2,0)="Yes",NOT(ISNUMBER(VLOOKUP(DATE($A$2,$A$3+$A$1-1,GV5),HolidayList[Date],1,0)))),TRUE,FALSE),FALSE)</f>
        <v>0</v>
      </c>
      <c r="GW4" s="15" t="b">
        <f>IFERROR(IF(AND(VLOOKUP(GW6,$OC$17:$OD$23,2,0)="Yes",NOT(ISNUMBER(VLOOKUP(DATE($A$2,$A$3+$A$1-1,GW5),HolidayList[Date],1,0)))),TRUE,FALSE),FALSE)</f>
        <v>0</v>
      </c>
      <c r="GX4" s="15" t="b">
        <f>IFERROR(IF(AND(VLOOKUP(GX6,$OC$17:$OD$23,2,0)="Yes",NOT(ISNUMBER(VLOOKUP(DATE($A$2,$A$3+$A$1-1,GX5),HolidayList[Date],1,0)))),TRUE,FALSE),FALSE)</f>
        <v>0</v>
      </c>
      <c r="GY4" s="15" t="b">
        <f>IFERROR(IF(AND(VLOOKUP(GY6,$OC$17:$OD$23,2,0)="Yes",NOT(ISNUMBER(VLOOKUP(DATE($A$2,$A$3+$A$1-1,GY5),HolidayList[Date],1,0)))),TRUE,FALSE),FALSE)</f>
        <v>0</v>
      </c>
      <c r="GZ4" s="15" t="b">
        <f>IFERROR(IF(AND(VLOOKUP(GZ6,$OC$17:$OD$23,2,0)="Yes",NOT(ISNUMBER(VLOOKUP(DATE($A$2,$A$3+$A$1-1,GZ5),HolidayList[Date],1,0)))),TRUE,FALSE),FALSE)</f>
        <v>0</v>
      </c>
      <c r="HA4" s="15" t="b">
        <f>IFERROR(IF(AND(VLOOKUP(HA6,$OC$17:$OD$23,2,0)="Yes",NOT(ISNUMBER(VLOOKUP(DATE($A$2,$A$3+$A$1-1,HA5),HolidayList[Date],1,0)))),TRUE,FALSE),FALSE)</f>
        <v>0</v>
      </c>
      <c r="HB4" s="15" t="b">
        <f>IFERROR(IF(AND(VLOOKUP(HB6,$OC$17:$OD$23,2,0)="Yes",NOT(ISNUMBER(VLOOKUP(DATE($A$2,$A$3+$A$1-1,HB5),HolidayList[Date],1,0)))),TRUE,FALSE),FALSE)</f>
        <v>0</v>
      </c>
      <c r="HC4" s="15" t="b">
        <f>IFERROR(IF(AND(VLOOKUP(HC6,$OC$17:$OD$23,2,0)="Yes",NOT(ISNUMBER(VLOOKUP(DATE($A$2,$A$3+$A$1-1,HC5),HolidayList[Date],1,0)))),TRUE,FALSE),FALSE)</f>
        <v>0</v>
      </c>
      <c r="HD4" s="15" t="b">
        <f>IFERROR(IF(AND(VLOOKUP(HD6,$OC$17:$OD$23,2,0)="Yes",NOT(ISNUMBER(VLOOKUP(DATE($A$2,$A$3+$A$1-1,HD5),HolidayList[Date],1,0)))),TRUE,FALSE),FALSE)</f>
        <v>0</v>
      </c>
      <c r="HE4" s="15" t="b">
        <f>IFERROR(IF(AND(VLOOKUP(HE6,$OC$17:$OD$23,2,0)="Yes",NOT(ISNUMBER(VLOOKUP(DATE($A$2,$A$3+$A$1-1,HE5),HolidayList[Date],1,0)))),TRUE,FALSE),FALSE)</f>
        <v>0</v>
      </c>
      <c r="HF4" s="15" t="b">
        <f>IFERROR(IF(AND(VLOOKUP(HF6,$OC$17:$OD$23,2,0)="Yes",NOT(ISNUMBER(VLOOKUP(DATE($A$2,$A$3+$A$1-1,HF5),HolidayList[Date],1,0)))),TRUE,FALSE),FALSE)</f>
        <v>0</v>
      </c>
      <c r="HG4" s="15" t="b">
        <f>IFERROR(IF(AND(VLOOKUP(HG6,$OC$17:$OD$23,2,0)="Yes",NOT(ISNUMBER(VLOOKUP(DATE($A$2,$A$3+$A$1-1,HG5),HolidayList[Date],1,0)))),TRUE,FALSE),FALSE)</f>
        <v>0</v>
      </c>
      <c r="HH4" s="15" t="b">
        <f>IFERROR(IF(AND(VLOOKUP(HH6,$OC$17:$OD$23,2,0)="Yes",NOT(ISNUMBER(VLOOKUP(DATE($A$2,$A$3+$A$1-1,HH5),HolidayList[Date],1,0)))),TRUE,FALSE),FALSE)</f>
        <v>0</v>
      </c>
      <c r="HI4" s="15" t="b">
        <f>IFERROR(IF(AND(VLOOKUP(HI6,$OC$17:$OD$23,2,0)="Yes",NOT(ISNUMBER(VLOOKUP(DATE($A$2,$A$3+$A$1-1,HI5),HolidayList[Date],1,0)))),TRUE,FALSE),FALSE)</f>
        <v>0</v>
      </c>
      <c r="HJ4" s="15" t="b">
        <f>IFERROR(IF(AND(VLOOKUP(HJ6,$OC$17:$OD$23,2,0)="Yes",NOT(ISNUMBER(VLOOKUP(DATE($A$2,$A$3+$A$1-1,HJ5),HolidayList[Date],1,0)))),TRUE,FALSE),FALSE)</f>
        <v>0</v>
      </c>
      <c r="HK4" s="15" t="b">
        <f>IFERROR(IF(AND(VLOOKUP(HK6,$OC$17:$OD$23,2,0)="Yes",NOT(ISNUMBER(VLOOKUP(DATE($A$2,$A$3+$A$1-1,HK5),HolidayList[Date],1,0)))),TRUE,FALSE),FALSE)</f>
        <v>0</v>
      </c>
      <c r="HL4" s="15" t="b">
        <f>IFERROR(IF(AND(VLOOKUP(HL6,$OC$17:$OD$23,2,0)="Yes",NOT(ISNUMBER(VLOOKUP(DATE($A$2,$A$3+$A$1-1,HL5),HolidayList[Date],1,0)))),TRUE,FALSE),FALSE)</f>
        <v>0</v>
      </c>
      <c r="HM4" s="15" t="b">
        <f>IFERROR(IF(AND(VLOOKUP(HM6,$OC$17:$OD$23,2,0)="Yes",NOT(ISNUMBER(VLOOKUP(DATE($A$2,$A$3+$A$1-1,HM5),HolidayList[Date],1,0)))),TRUE,FALSE),FALSE)</f>
        <v>0</v>
      </c>
      <c r="HN4" s="15" t="b">
        <f>IFERROR(IF(AND(VLOOKUP(HN6,$OC$17:$OD$23,2,0)="Yes",NOT(ISNUMBER(VLOOKUP(DATE($A$2,$A$3+$A$1-1,HN5),HolidayList[Date],1,0)))),TRUE,FALSE),FALSE)</f>
        <v>0</v>
      </c>
      <c r="HO4" s="15" t="b">
        <f>IFERROR(IF(AND(VLOOKUP(HO6,$OC$17:$OD$23,2,0)="Yes",NOT(ISNUMBER(VLOOKUP(DATE($A$2,$A$3+$A$1-1,HO5),HolidayList[Date],1,0)))),TRUE,FALSE),FALSE)</f>
        <v>0</v>
      </c>
      <c r="HP4" s="15" t="b">
        <f>IFERROR(IF(AND(VLOOKUP(HP6,$OC$17:$OD$23,2,0)="Yes",NOT(ISNUMBER(VLOOKUP(DATE($A$2,$A$3+$A$1-1,HP5),HolidayList[Date],1,0)))),TRUE,FALSE),FALSE)</f>
        <v>0</v>
      </c>
      <c r="HQ4" s="15" t="b">
        <f>IFERROR(IF(AND(VLOOKUP(HQ6,$OC$17:$OD$23,2,0)="Yes",NOT(ISNUMBER(VLOOKUP(DATE($A$2,$A$3+$A$1-1,HQ5),HolidayList[Date],1,0)))),TRUE,FALSE),FALSE)</f>
        <v>0</v>
      </c>
      <c r="HR4" s="15" t="b">
        <f>IFERROR(IF(AND(VLOOKUP(HR6,$OC$17:$OD$23,2,0)="Yes",NOT(ISNUMBER(VLOOKUP(DATE($A$2,$A$3+$A$1-1,HR5),HolidayList[Date],1,0)))),TRUE,FALSE),FALSE)</f>
        <v>0</v>
      </c>
      <c r="HS4" s="15" t="b">
        <f>IFERROR(IF(AND(VLOOKUP(HS6,$OC$17:$OD$23,2,0)="Yes",NOT(ISNUMBER(VLOOKUP(DATE($A$2,$A$3+$A$1-1,HS5),HolidayList[Date],1,0)))),TRUE,FALSE),FALSE)</f>
        <v>0</v>
      </c>
      <c r="HT4" s="15" t="b">
        <f>IFERROR(IF(AND(VLOOKUP(HT6,$OC$17:$OD$23,2,0)="Yes",NOT(ISNUMBER(VLOOKUP(DATE($A$2,$A$3+$A$1-1,HT5),HolidayList[Date],1,0)))),TRUE,FALSE),FALSE)</f>
        <v>0</v>
      </c>
      <c r="HU4" s="15" t="b">
        <f>IFERROR(IF(AND(VLOOKUP(HU6,$OC$17:$OD$23,2,0)="Yes",NOT(ISNUMBER(VLOOKUP(DATE($A$2,$A$3+$A$1-1,HU5),HolidayList[Date],1,0)))),TRUE,FALSE),FALSE)</f>
        <v>0</v>
      </c>
      <c r="HV4" s="15" t="b">
        <f>IFERROR(IF(AND(VLOOKUP(HV6,$OC$17:$OD$23,2,0)="Yes",NOT(ISNUMBER(VLOOKUP(DATE($A$2,$A$3+$A$1-1,HV5),HolidayList[Date],1,0)))),TRUE,FALSE),FALSE)</f>
        <v>0</v>
      </c>
      <c r="HW4" s="15" t="b">
        <f>IFERROR(IF(AND(VLOOKUP(HW6,$OC$17:$OD$23,2,0)="Yes",NOT(ISNUMBER(VLOOKUP(DATE($A$2,$A$3+$A$1-1,HW5),HolidayList[Date],1,0)))),TRUE,FALSE),FALSE)</f>
        <v>0</v>
      </c>
      <c r="HX4" s="15" t="b">
        <f>IFERROR(IF(AND(VLOOKUP(HX6,$OC$17:$OD$23,2,0)="Yes",NOT(ISNUMBER(VLOOKUP(DATE($A$2,$A$3+$A$1-1,HX5),HolidayList[Date],1,0)))),TRUE,FALSE),FALSE)</f>
        <v>0</v>
      </c>
      <c r="HY4" s="15" t="b">
        <f>IFERROR(IF(AND(VLOOKUP(HY6,$OC$17:$OD$23,2,0)="Yes",NOT(ISNUMBER(VLOOKUP(DATE($A$2,$A$3+$A$1-1,HY5),HolidayList[Date],1,0)))),TRUE,FALSE),FALSE)</f>
        <v>0</v>
      </c>
      <c r="HZ4" s="15" t="b">
        <f>IFERROR(IF(AND(VLOOKUP(HZ6,$OC$17:$OD$23,2,0)="Yes",NOT(ISNUMBER(VLOOKUP(DATE($A$2,$A$3+$A$1-1,HZ5),HolidayList[Date],1,0)))),TRUE,FALSE),FALSE)</f>
        <v>0</v>
      </c>
      <c r="IA4" s="15" t="b">
        <f>IFERROR(IF(AND(VLOOKUP(IA6,$OC$17:$OD$23,2,0)="Yes",NOT(ISNUMBER(VLOOKUP(DATE($A$2,$A$3+$A$1-1,IA5),HolidayList[Date],1,0)))),TRUE,FALSE),FALSE)</f>
        <v>0</v>
      </c>
      <c r="IB4" s="15" t="b">
        <f>IFERROR(IF(AND(VLOOKUP(IB6,$OC$17:$OD$23,2,0)="Yes",NOT(ISNUMBER(VLOOKUP(DATE($A$2,$A$3+$A$1-1,IB5),HolidayList[Date],1,0)))),TRUE,FALSE),FALSE)</f>
        <v>0</v>
      </c>
      <c r="IC4" s="15" t="b">
        <f>IFERROR(IF(AND(VLOOKUP(IC6,$OC$17:$OD$23,2,0)="Yes",NOT(ISNUMBER(VLOOKUP(DATE($A$2,$A$3+$A$1-1,IC5),HolidayList[Date],1,0)))),TRUE,FALSE),FALSE)</f>
        <v>0</v>
      </c>
      <c r="ID4" s="15" t="b">
        <f>IFERROR(IF(AND(VLOOKUP(ID6,$OC$17:$OD$23,2,0)="Yes",NOT(ISNUMBER(VLOOKUP(DATE($A$2,$A$3+$A$1-1,ID5),HolidayList[Date],1,0)))),TRUE,FALSE),FALSE)</f>
        <v>0</v>
      </c>
      <c r="IE4" s="15" t="b">
        <f>IFERROR(IF(AND(VLOOKUP(IE6,$OC$17:$OD$23,2,0)="Yes",NOT(ISNUMBER(VLOOKUP(DATE($A$2,$A$3+$A$1-1,IE5),HolidayList[Date],1,0)))),TRUE,FALSE),FALSE)</f>
        <v>0</v>
      </c>
      <c r="IF4" s="15" t="b">
        <f>IFERROR(IF(AND(VLOOKUP(IF6,$OC$17:$OD$23,2,0)="Yes",NOT(ISNUMBER(VLOOKUP(DATE($A$2,$A$3+$A$1-1,IF5),HolidayList[Date],1,0)))),TRUE,FALSE),FALSE)</f>
        <v>0</v>
      </c>
      <c r="IG4" s="15" t="b">
        <f>IFERROR(IF(AND(VLOOKUP(IG6,$OC$17:$OD$23,2,0)="Yes",NOT(ISNUMBER(VLOOKUP(DATE($A$2,$A$3+$A$1-1,IG5),HolidayList[Date],1,0)))),TRUE,FALSE),FALSE)</f>
        <v>0</v>
      </c>
      <c r="IH4" s="15" t="b">
        <f>IFERROR(IF(AND(VLOOKUP(IH6,$OC$17:$OD$23,2,0)="Yes",NOT(ISNUMBER(VLOOKUP(DATE($A$2,$A$3+$A$1-1,IH5),HolidayList[Date],1,0)))),TRUE,FALSE),FALSE)</f>
        <v>0</v>
      </c>
      <c r="II4" s="15" t="b">
        <f>IFERROR(IF(AND(VLOOKUP(II6,$OC$17:$OD$23,2,0)="Yes",NOT(ISNUMBER(VLOOKUP(DATE($A$2,$A$3+$A$1-1,II5),HolidayList[Date],1,0)))),TRUE,FALSE),FALSE)</f>
        <v>0</v>
      </c>
      <c r="IJ4" s="15" t="b">
        <f>IFERROR(IF(AND(VLOOKUP(IJ6,$OC$17:$OD$23,2,0)="Yes",NOT(ISNUMBER(VLOOKUP(DATE($A$2,$A$3+$A$1-1,IJ5),HolidayList[Date],1,0)))),TRUE,FALSE),FALSE)</f>
        <v>0</v>
      </c>
      <c r="IK4" s="15" t="b">
        <f>IFERROR(IF(AND(VLOOKUP(IK6,$OC$17:$OD$23,2,0)="Yes",NOT(ISNUMBER(VLOOKUP(DATE($A$2,$A$3+$A$1-1,IK5),HolidayList[Date],1,0)))),TRUE,FALSE),FALSE)</f>
        <v>0</v>
      </c>
      <c r="IL4" s="15" t="b">
        <f>IFERROR(IF(AND(VLOOKUP(IL6,$OC$17:$OD$23,2,0)="Yes",NOT(ISNUMBER(VLOOKUP(DATE($A$2,$A$3+$A$1-1,IL5),HolidayList[Date],1,0)))),TRUE,FALSE),FALSE)</f>
        <v>0</v>
      </c>
      <c r="IM4" s="15" t="b">
        <f>IFERROR(IF(AND(VLOOKUP(IM6,$OC$17:$OD$23,2,0)="Yes",NOT(ISNUMBER(VLOOKUP(DATE($A$2,$A$3+$A$1-1,IM5),HolidayList[Date],1,0)))),TRUE,FALSE),FALSE)</f>
        <v>0</v>
      </c>
      <c r="IN4" s="15" t="b">
        <f>IFERROR(IF(AND(VLOOKUP(IN6,$OC$17:$OD$23,2,0)="Yes",NOT(ISNUMBER(VLOOKUP(DATE($A$2,$A$3+$A$1-1,IN5),HolidayList[Date],1,0)))),TRUE,FALSE),FALSE)</f>
        <v>0</v>
      </c>
      <c r="IO4" s="15" t="b">
        <f>IFERROR(IF(AND(VLOOKUP(IO6,$OC$17:$OD$23,2,0)="Yes",NOT(ISNUMBER(VLOOKUP(DATE($A$2,$A$3+$A$1-1,IO5),HolidayList[Date],1,0)))),TRUE,FALSE),FALSE)</f>
        <v>0</v>
      </c>
      <c r="IP4" s="15" t="b">
        <f>IFERROR(IF(AND(VLOOKUP(IP6,$OC$17:$OD$23,2,0)="Yes",NOT(ISNUMBER(VLOOKUP(DATE($A$2,$A$3+$A$1-1,IP5),HolidayList[Date],1,0)))),TRUE,FALSE),FALSE)</f>
        <v>0</v>
      </c>
      <c r="IQ4" s="15" t="b">
        <f>IFERROR(IF(AND(VLOOKUP(IQ6,$OC$17:$OD$23,2,0)="Yes",NOT(ISNUMBER(VLOOKUP(DATE($A$2,$A$3+$A$1-1,IQ5),HolidayList[Date],1,0)))),TRUE,FALSE),FALSE)</f>
        <v>0</v>
      </c>
      <c r="IR4" s="15" t="b">
        <f>IFERROR(IF(AND(VLOOKUP(IR6,$OC$17:$OD$23,2,0)="Yes",NOT(ISNUMBER(VLOOKUP(DATE($A$2,$A$3+$A$1-1,IR5),HolidayList[Date],1,0)))),TRUE,FALSE),FALSE)</f>
        <v>0</v>
      </c>
      <c r="IS4" s="15" t="b">
        <f>IFERROR(IF(AND(VLOOKUP(IS6,$OC$17:$OD$23,2,0)="Yes",NOT(ISNUMBER(VLOOKUP(DATE($A$2,$A$3+$A$1-1,IS5),HolidayList[Date],1,0)))),TRUE,FALSE),FALSE)</f>
        <v>0</v>
      </c>
      <c r="IT4" s="15" t="b">
        <f>IFERROR(IF(AND(VLOOKUP(IT6,$OC$17:$OD$23,2,0)="Yes",NOT(ISNUMBER(VLOOKUP(DATE($A$2,$A$3+$A$1-1,IT5),HolidayList[Date],1,0)))),TRUE,FALSE),FALSE)</f>
        <v>0</v>
      </c>
      <c r="IU4" s="15" t="b">
        <f>IFERROR(IF(AND(VLOOKUP(IU6,$OC$17:$OD$23,2,0)="Yes",NOT(ISNUMBER(VLOOKUP(DATE($A$2,$A$3+$A$1-1,IU5),HolidayList[Date],1,0)))),TRUE,FALSE),FALSE)</f>
        <v>0</v>
      </c>
      <c r="IV4" s="15" t="b">
        <f>IFERROR(IF(AND(VLOOKUP(IV6,$OC$17:$OD$23,2,0)="Yes",NOT(ISNUMBER(VLOOKUP(DATE($A$2,$A$3+$A$1-1,IV5),HolidayList[Date],1,0)))),TRUE,FALSE),FALSE)</f>
        <v>0</v>
      </c>
      <c r="IW4" s="15" t="b">
        <f>IFERROR(IF(AND(VLOOKUP(IW6,$OC$17:$OD$23,2,0)="Yes",NOT(ISNUMBER(VLOOKUP(DATE($A$2,$A$3+$A$1-1,IW5),HolidayList[Date],1,0)))),TRUE,FALSE),FALSE)</f>
        <v>0</v>
      </c>
      <c r="IX4" s="15" t="b">
        <f>IFERROR(IF(AND(VLOOKUP(IX6,$OC$17:$OD$23,2,0)="Yes",NOT(ISNUMBER(VLOOKUP(DATE($A$2,$A$3+$A$1-1,IX5),HolidayList[Date],1,0)))),TRUE,FALSE),FALSE)</f>
        <v>0</v>
      </c>
      <c r="IY4" s="15" t="b">
        <f>IFERROR(IF(AND(VLOOKUP(IY6,$OC$17:$OD$23,2,0)="Yes",NOT(ISNUMBER(VLOOKUP(DATE($A$2,$A$3+$A$1-1,IY5),HolidayList[Date],1,0)))),TRUE,FALSE),FALSE)</f>
        <v>0</v>
      </c>
      <c r="IZ4" s="15" t="b">
        <f>IFERROR(IF(AND(VLOOKUP(IZ6,$OC$17:$OD$23,2,0)="Yes",NOT(ISNUMBER(VLOOKUP(DATE($A$2,$A$3+$A$1-1,IZ5),HolidayList[Date],1,0)))),TRUE,FALSE),FALSE)</f>
        <v>0</v>
      </c>
      <c r="JA4" s="15" t="b">
        <f>IFERROR(IF(AND(VLOOKUP(JA6,$OC$17:$OD$23,2,0)="Yes",NOT(ISNUMBER(VLOOKUP(DATE($A$2,$A$3+$A$1-1,JA5),HolidayList[Date],1,0)))),TRUE,FALSE),FALSE)</f>
        <v>0</v>
      </c>
      <c r="JB4" s="15" t="b">
        <f>IFERROR(IF(AND(VLOOKUP(JB6,$OC$17:$OD$23,2,0)="Yes",NOT(ISNUMBER(VLOOKUP(DATE($A$2,$A$3+$A$1-1,JB5),HolidayList[Date],1,0)))),TRUE,FALSE),FALSE)</f>
        <v>0</v>
      </c>
      <c r="JC4" s="15" t="b">
        <f>IFERROR(IF(AND(VLOOKUP(JC6,$OC$17:$OD$23,2,0)="Yes",NOT(ISNUMBER(VLOOKUP(DATE($A$2,$A$3+$A$1-1,JC5),HolidayList[Date],1,0)))),TRUE,FALSE),FALSE)</f>
        <v>0</v>
      </c>
      <c r="JD4" s="15" t="b">
        <f>IFERROR(IF(AND(VLOOKUP(JD6,$OC$17:$OD$23,2,0)="Yes",NOT(ISNUMBER(VLOOKUP(DATE($A$2,$A$3+$A$1-1,JD5),HolidayList[Date],1,0)))),TRUE,FALSE),FALSE)</f>
        <v>0</v>
      </c>
      <c r="JE4" s="15" t="b">
        <f>IFERROR(IF(AND(VLOOKUP(JE6,$OC$17:$OD$23,2,0)="Yes",NOT(ISNUMBER(VLOOKUP(DATE($A$2,$A$3+$A$1-1,JE5),HolidayList[Date],1,0)))),TRUE,FALSE),FALSE)</f>
        <v>0</v>
      </c>
      <c r="JF4" s="15" t="b">
        <f>IFERROR(IF(AND(VLOOKUP(JF6,$OC$17:$OD$23,2,0)="Yes",NOT(ISNUMBER(VLOOKUP(DATE($A$2,$A$3+$A$1-1,JF5),HolidayList[Date],1,0)))),TRUE,FALSE),FALSE)</f>
        <v>0</v>
      </c>
      <c r="JG4" s="15" t="b">
        <f>IFERROR(IF(AND(VLOOKUP(JG6,$OC$17:$OD$23,2,0)="Yes",NOT(ISNUMBER(VLOOKUP(DATE($A$2,$A$3+$A$1-1,JG5),HolidayList[Date],1,0)))),TRUE,FALSE),FALSE)</f>
        <v>0</v>
      </c>
      <c r="JH4" s="15" t="b">
        <f>IFERROR(IF(AND(VLOOKUP(JH6,$OC$17:$OD$23,2,0)="Yes",NOT(ISNUMBER(VLOOKUP(DATE($A$2,$A$3+$A$1-1,JH5),HolidayList[Date],1,0)))),TRUE,FALSE),FALSE)</f>
        <v>0</v>
      </c>
      <c r="JI4" s="15" t="b">
        <f>IFERROR(IF(AND(VLOOKUP(JI6,$OC$17:$OD$23,2,0)="Yes",NOT(ISNUMBER(VLOOKUP(DATE($A$2,$A$3+$A$1-1,JI5),HolidayList[Date],1,0)))),TRUE,FALSE),FALSE)</f>
        <v>0</v>
      </c>
      <c r="JJ4" s="15" t="b">
        <f>IFERROR(IF(AND(VLOOKUP(JJ6,$OC$17:$OD$23,2,0)="Yes",NOT(ISNUMBER(VLOOKUP(DATE($A$2,$A$3+$A$1-1,JJ5),HolidayList[Date],1,0)))),TRUE,FALSE),FALSE)</f>
        <v>0</v>
      </c>
      <c r="JK4" s="15" t="b">
        <f>IFERROR(IF(AND(VLOOKUP(JK6,$OC$17:$OD$23,2,0)="Yes",NOT(ISNUMBER(VLOOKUP(DATE($A$2,$A$3+$A$1-1,JK5),HolidayList[Date],1,0)))),TRUE,FALSE),FALSE)</f>
        <v>0</v>
      </c>
      <c r="JL4" s="15" t="b">
        <f>IFERROR(IF(AND(VLOOKUP(JL6,$OC$17:$OD$23,2,0)="Yes",NOT(ISNUMBER(VLOOKUP(DATE($A$2,$A$3+$A$1-1,JL5),HolidayList[Date],1,0)))),TRUE,FALSE),FALSE)</f>
        <v>0</v>
      </c>
      <c r="JM4" s="15" t="b">
        <f>IFERROR(IF(AND(VLOOKUP(JM6,$OC$17:$OD$23,2,0)="Yes",NOT(ISNUMBER(VLOOKUP(DATE($A$2,$A$3+$A$1-1,JM5),HolidayList[Date],1,0)))),TRUE,FALSE),FALSE)</f>
        <v>0</v>
      </c>
      <c r="JN4" s="15" t="b">
        <f>IFERROR(IF(AND(VLOOKUP(JN6,$OC$17:$OD$23,2,0)="Yes",NOT(ISNUMBER(VLOOKUP(DATE($A$2,$A$3+$A$1-1,JN5),HolidayList[Date],1,0)))),TRUE,FALSE),FALSE)</f>
        <v>0</v>
      </c>
      <c r="JO4" s="15" t="b">
        <f>IFERROR(IF(AND(VLOOKUP(JO6,$OC$17:$OD$23,2,0)="Yes",NOT(ISNUMBER(VLOOKUP(DATE($A$2,$A$3+$A$1-1,JO5),HolidayList[Date],1,0)))),TRUE,FALSE),FALSE)</f>
        <v>0</v>
      </c>
      <c r="JP4" s="15" t="b">
        <f>IFERROR(IF(AND(VLOOKUP(JP6,$OC$17:$OD$23,2,0)="Yes",NOT(ISNUMBER(VLOOKUP(DATE($A$2,$A$3+$A$1-1,JP5),HolidayList[Date],1,0)))),TRUE,FALSE),FALSE)</f>
        <v>0</v>
      </c>
      <c r="JQ4" s="15" t="b">
        <f>IFERROR(IF(AND(VLOOKUP(JQ6,$OC$17:$OD$23,2,0)="Yes",NOT(ISNUMBER(VLOOKUP(DATE($A$2,$A$3+$A$1-1,JQ5),HolidayList[Date],1,0)))),TRUE,FALSE),FALSE)</f>
        <v>0</v>
      </c>
      <c r="JR4" s="15" t="b">
        <f>IFERROR(IF(AND(VLOOKUP(JR6,$OC$17:$OD$23,2,0)="Yes",NOT(ISNUMBER(VLOOKUP(DATE($A$2,$A$3+$A$1-1,JR5),HolidayList[Date],1,0)))),TRUE,FALSE),FALSE)</f>
        <v>0</v>
      </c>
      <c r="JS4" s="15" t="b">
        <f>IFERROR(IF(AND(VLOOKUP(JS6,$OC$17:$OD$23,2,0)="Yes",NOT(ISNUMBER(VLOOKUP(DATE($A$2,$A$3+$A$1-1,JS5),HolidayList[Date],1,0)))),TRUE,FALSE),FALSE)</f>
        <v>0</v>
      </c>
      <c r="JT4" s="15" t="b">
        <f>IFERROR(IF(AND(VLOOKUP(JT6,$OC$17:$OD$23,2,0)="Yes",NOT(ISNUMBER(VLOOKUP(DATE($A$2,$A$3+$A$1-1,JT5),HolidayList[Date],1,0)))),TRUE,FALSE),FALSE)</f>
        <v>0</v>
      </c>
      <c r="JU4" s="15" t="b">
        <f>IFERROR(IF(AND(VLOOKUP(JU6,$OC$17:$OD$23,2,0)="Yes",NOT(ISNUMBER(VLOOKUP(DATE($A$2,$A$3+$A$1-1,JU5),HolidayList[Date],1,0)))),TRUE,FALSE),FALSE)</f>
        <v>0</v>
      </c>
      <c r="JV4" s="15" t="b">
        <f>IFERROR(IF(AND(VLOOKUP(JV6,$OC$17:$OD$23,2,0)="Yes",NOT(ISNUMBER(VLOOKUP(DATE($A$2,$A$3+$A$1-1,JV5),HolidayList[Date],1,0)))),TRUE,FALSE),FALSE)</f>
        <v>0</v>
      </c>
      <c r="JW4" s="15" t="b">
        <f>IFERROR(IF(AND(VLOOKUP(JW6,$OC$17:$OD$23,2,0)="Yes",NOT(ISNUMBER(VLOOKUP(DATE($A$2,$A$3+$A$1-1,JW5),HolidayList[Date],1,0)))),TRUE,FALSE),FALSE)</f>
        <v>0</v>
      </c>
      <c r="JX4" s="15" t="b">
        <f>IFERROR(IF(AND(VLOOKUP(JX6,$OC$17:$OD$23,2,0)="Yes",NOT(ISNUMBER(VLOOKUP(DATE($A$2,$A$3+$A$1-1,JX5),HolidayList[Date],1,0)))),TRUE,FALSE),FALSE)</f>
        <v>0</v>
      </c>
      <c r="JY4" s="15" t="b">
        <f>IFERROR(IF(AND(VLOOKUP(JY6,$OC$17:$OD$23,2,0)="Yes",NOT(ISNUMBER(VLOOKUP(DATE($A$2,$A$3+$A$1-1,JY5),HolidayList[Date],1,0)))),TRUE,FALSE),FALSE)</f>
        <v>0</v>
      </c>
      <c r="JZ4" s="15" t="b">
        <f>IFERROR(IF(AND(VLOOKUP(JZ6,$OC$17:$OD$23,2,0)="Yes",NOT(ISNUMBER(VLOOKUP(DATE($A$2,$A$3+$A$1-1,JZ5),HolidayList[Date],1,0)))),TRUE,FALSE),FALSE)</f>
        <v>0</v>
      </c>
      <c r="KA4" s="15" t="b">
        <f>IFERROR(IF(AND(VLOOKUP(KA6,$OC$17:$OD$23,2,0)="Yes",NOT(ISNUMBER(VLOOKUP(DATE($A$2,$A$3+$A$1-1,KA5),HolidayList[Date],1,0)))),TRUE,FALSE),FALSE)</f>
        <v>0</v>
      </c>
      <c r="KB4" s="15" t="b">
        <f>IFERROR(IF(AND(VLOOKUP(KB6,$OC$17:$OD$23,2,0)="Yes",NOT(ISNUMBER(VLOOKUP(DATE($A$2,$A$3+$A$1-1,KB5),HolidayList[Date],1,0)))),TRUE,FALSE),FALSE)</f>
        <v>0</v>
      </c>
      <c r="KC4" s="15" t="b">
        <f>IFERROR(IF(AND(VLOOKUP(KC6,$OC$17:$OD$23,2,0)="Yes",NOT(ISNUMBER(VLOOKUP(DATE($A$2,$A$3+$A$1-1,KC5),HolidayList[Date],1,0)))),TRUE,FALSE),FALSE)</f>
        <v>0</v>
      </c>
      <c r="KD4" s="15" t="b">
        <f>IFERROR(IF(AND(VLOOKUP(KD6,$OC$17:$OD$23,2,0)="Yes",NOT(ISNUMBER(VLOOKUP(DATE($A$2,$A$3+$A$1-1,KD5),HolidayList[Date],1,0)))),TRUE,FALSE),FALSE)</f>
        <v>0</v>
      </c>
      <c r="KE4" s="15" t="b">
        <f>IFERROR(IF(AND(VLOOKUP(KE6,$OC$17:$OD$23,2,0)="Yes",NOT(ISNUMBER(VLOOKUP(DATE($A$2,$A$3+$A$1-1,KE5),HolidayList[Date],1,0)))),TRUE,FALSE),FALSE)</f>
        <v>0</v>
      </c>
      <c r="KF4" s="15" t="b">
        <f>IFERROR(IF(AND(VLOOKUP(KF6,$OC$17:$OD$23,2,0)="Yes",NOT(ISNUMBER(VLOOKUP(DATE($A$2,$A$3+$A$1-1,KF5),HolidayList[Date],1,0)))),TRUE,FALSE),FALSE)</f>
        <v>0</v>
      </c>
      <c r="KG4" s="15" t="b">
        <f>IFERROR(IF(AND(VLOOKUP(KG6,$OC$17:$OD$23,2,0)="Yes",NOT(ISNUMBER(VLOOKUP(DATE($A$2,$A$3+$A$1-1,KG5),HolidayList[Date],1,0)))),TRUE,FALSE),FALSE)</f>
        <v>0</v>
      </c>
      <c r="KH4" s="15" t="b">
        <f>IFERROR(IF(AND(VLOOKUP(KH6,$OC$17:$OD$23,2,0)="Yes",NOT(ISNUMBER(VLOOKUP(DATE($A$2,$A$3+$A$1-1,KH5),HolidayList[Date],1,0)))),TRUE,FALSE),FALSE)</f>
        <v>0</v>
      </c>
      <c r="KI4" s="15" t="b">
        <f>IFERROR(IF(AND(VLOOKUP(KI6,$OC$17:$OD$23,2,0)="Yes",NOT(ISNUMBER(VLOOKUP(DATE($A$2,$A$3+$A$1-1,KI5),HolidayList[Date],1,0)))),TRUE,FALSE),FALSE)</f>
        <v>0</v>
      </c>
      <c r="KJ4" s="15" t="b">
        <f>IFERROR(IF(AND(VLOOKUP(KJ6,$OC$17:$OD$23,2,0)="Yes",NOT(ISNUMBER(VLOOKUP(DATE($A$2,$A$3+$A$1-1,KJ5),HolidayList[Date],1,0)))),TRUE,FALSE),FALSE)</f>
        <v>0</v>
      </c>
      <c r="KK4" s="15" t="b">
        <f>IFERROR(IF(AND(VLOOKUP(KK6,$OC$17:$OD$23,2,0)="Yes",NOT(ISNUMBER(VLOOKUP(DATE($A$2,$A$3+$A$1-1,KK5),HolidayList[Date],1,0)))),TRUE,FALSE),FALSE)</f>
        <v>0</v>
      </c>
      <c r="KL4" s="15" t="b">
        <f>IFERROR(IF(AND(VLOOKUP(KL6,$OC$17:$OD$23,2,0)="Yes",NOT(ISNUMBER(VLOOKUP(DATE($A$2,$A$3+$A$1-1,KL5),HolidayList[Date],1,0)))),TRUE,FALSE),FALSE)</f>
        <v>0</v>
      </c>
      <c r="KM4" s="15" t="b">
        <f>IFERROR(IF(AND(VLOOKUP(KM6,$OC$17:$OD$23,2,0)="Yes",NOT(ISNUMBER(VLOOKUP(DATE($A$2,$A$3+$A$1-1,KM5),HolidayList[Date],1,0)))),TRUE,FALSE),FALSE)</f>
        <v>0</v>
      </c>
      <c r="KN4" s="15" t="b">
        <f>IFERROR(IF(AND(VLOOKUP(KN6,$OC$17:$OD$23,2,0)="Yes",NOT(ISNUMBER(VLOOKUP(DATE($A$2,$A$3+$A$1-1,KN5),HolidayList[Date],1,0)))),TRUE,FALSE),FALSE)</f>
        <v>0</v>
      </c>
      <c r="KO4" s="15" t="b">
        <f>IFERROR(IF(AND(VLOOKUP(KO6,$OC$17:$OD$23,2,0)="Yes",NOT(ISNUMBER(VLOOKUP(DATE($A$2,$A$3+$A$1-1,KO5),HolidayList[Date],1,0)))),TRUE,FALSE),FALSE)</f>
        <v>0</v>
      </c>
      <c r="KP4" s="15" t="b">
        <f>IFERROR(IF(AND(VLOOKUP(KP6,$OC$17:$OD$23,2,0)="Yes",NOT(ISNUMBER(VLOOKUP(DATE($A$2,$A$3+$A$1-1,KP5),HolidayList[Date],1,0)))),TRUE,FALSE),FALSE)</f>
        <v>0</v>
      </c>
      <c r="KQ4" s="15" t="b">
        <f>IFERROR(IF(AND(VLOOKUP(KQ6,$OC$17:$OD$23,2,0)="Yes",NOT(ISNUMBER(VLOOKUP(DATE($A$2,$A$3+$A$1-1,KQ5),HolidayList[Date],1,0)))),TRUE,FALSE),FALSE)</f>
        <v>0</v>
      </c>
      <c r="KR4" s="15" t="b">
        <f>IFERROR(IF(AND(VLOOKUP(KR6,$OC$17:$OD$23,2,0)="Yes",NOT(ISNUMBER(VLOOKUP(DATE($A$2,$A$3+$A$1-1,KR5),HolidayList[Date],1,0)))),TRUE,FALSE),FALSE)</f>
        <v>0</v>
      </c>
      <c r="KS4" s="15" t="b">
        <f>IFERROR(IF(AND(VLOOKUP(KS6,$OC$17:$OD$23,2,0)="Yes",NOT(ISNUMBER(VLOOKUP(DATE($A$2,$A$3+$A$1-1,KS5),HolidayList[Date],1,0)))),TRUE,FALSE),FALSE)</f>
        <v>0</v>
      </c>
      <c r="KT4" s="15" t="b">
        <f>IFERROR(IF(AND(VLOOKUP(KT6,$OC$17:$OD$23,2,0)="Yes",NOT(ISNUMBER(VLOOKUP(DATE($A$2,$A$3+$A$1-1,KT5),HolidayList[Date],1,0)))),TRUE,FALSE),FALSE)</f>
        <v>0</v>
      </c>
      <c r="KU4" s="15" t="b">
        <f>IFERROR(IF(AND(VLOOKUP(KU6,$OC$17:$OD$23,2,0)="Yes",NOT(ISNUMBER(VLOOKUP(DATE($A$2,$A$3+$A$1-1,KU5),HolidayList[Date],1,0)))),TRUE,FALSE),FALSE)</f>
        <v>0</v>
      </c>
      <c r="KV4" s="15" t="b">
        <f>IFERROR(IF(AND(VLOOKUP(KV6,$OC$17:$OD$23,2,0)="Yes",NOT(ISNUMBER(VLOOKUP(DATE($A$2,$A$3+$A$1-1,KV5),HolidayList[Date],1,0)))),TRUE,FALSE),FALSE)</f>
        <v>0</v>
      </c>
      <c r="KW4" s="15" t="b">
        <f>IFERROR(IF(AND(VLOOKUP(KW6,$OC$17:$OD$23,2,0)="Yes",NOT(ISNUMBER(VLOOKUP(DATE($A$2,$A$3+$A$1-1,KW5),HolidayList[Date],1,0)))),TRUE,FALSE),FALSE)</f>
        <v>0</v>
      </c>
      <c r="KX4" s="15" t="b">
        <f>IFERROR(IF(AND(VLOOKUP(KX6,$OC$17:$OD$23,2,0)="Yes",NOT(ISNUMBER(VLOOKUP(DATE($A$2,$A$3+$A$1-1,KX5),HolidayList[Date],1,0)))),TRUE,FALSE),FALSE)</f>
        <v>0</v>
      </c>
      <c r="KY4" s="15" t="b">
        <f>IFERROR(IF(AND(VLOOKUP(KY6,$OC$17:$OD$23,2,0)="Yes",NOT(ISNUMBER(VLOOKUP(DATE($A$2,$A$3+$A$1-1,KY5),HolidayList[Date],1,0)))),TRUE,FALSE),FALSE)</f>
        <v>0</v>
      </c>
      <c r="KZ4" s="15" t="b">
        <f>IFERROR(IF(AND(VLOOKUP(KZ6,$OC$17:$OD$23,2,0)="Yes",NOT(ISNUMBER(VLOOKUP(DATE($A$2,$A$3+$A$1-1,KZ5),HolidayList[Date],1,0)))),TRUE,FALSE),FALSE)</f>
        <v>0</v>
      </c>
      <c r="LA4" s="15" t="b">
        <f>IFERROR(IF(AND(VLOOKUP(LA6,$OC$17:$OD$23,2,0)="Yes",NOT(ISNUMBER(VLOOKUP(DATE($A$2,$A$3+$A$1-1,LA5),HolidayList[Date],1,0)))),TRUE,FALSE),FALSE)</f>
        <v>0</v>
      </c>
      <c r="LB4" s="15" t="b">
        <f>IFERROR(IF(AND(VLOOKUP(LB6,$OC$17:$OD$23,2,0)="Yes",NOT(ISNUMBER(VLOOKUP(DATE($A$2,$A$3+$A$1-1,LB5),HolidayList[Date],1,0)))),TRUE,FALSE),FALSE)</f>
        <v>0</v>
      </c>
      <c r="LC4" s="15" t="b">
        <f>IFERROR(IF(AND(VLOOKUP(LC6,$OC$17:$OD$23,2,0)="Yes",NOT(ISNUMBER(VLOOKUP(DATE($A$2,$A$3+$A$1-1,LC5),HolidayList[Date],1,0)))),TRUE,FALSE),FALSE)</f>
        <v>0</v>
      </c>
      <c r="LD4" s="15" t="b">
        <f>IFERROR(IF(AND(VLOOKUP(LD6,$OC$17:$OD$23,2,0)="Yes",NOT(ISNUMBER(VLOOKUP(DATE($A$2,$A$3+$A$1-1,LD5),HolidayList[Date],1,0)))),TRUE,FALSE),FALSE)</f>
        <v>0</v>
      </c>
      <c r="LE4" s="15" t="b">
        <f>IFERROR(IF(AND(VLOOKUP(LE6,$OC$17:$OD$23,2,0)="Yes",NOT(ISNUMBER(VLOOKUP(DATE($A$2,$A$3+$A$1-1,LE5),HolidayList[Date],1,0)))),TRUE,FALSE),FALSE)</f>
        <v>0</v>
      </c>
      <c r="LF4" s="15" t="b">
        <f>IFERROR(IF(AND(VLOOKUP(LF6,$OC$17:$OD$23,2,0)="Yes",NOT(ISNUMBER(VLOOKUP(DATE($A$2,$A$3+$A$1-1,LF5),HolidayList[Date],1,0)))),TRUE,FALSE),FALSE)</f>
        <v>0</v>
      </c>
      <c r="LG4" s="15" t="b">
        <f>IFERROR(IF(AND(VLOOKUP(LG6,$OC$17:$OD$23,2,0)="Yes",NOT(ISNUMBER(VLOOKUP(DATE($A$2,$A$3+$A$1-1,LG5),HolidayList[Date],1,0)))),TRUE,FALSE),FALSE)</f>
        <v>0</v>
      </c>
      <c r="LH4" s="15" t="b">
        <f>IFERROR(IF(AND(VLOOKUP(LH6,$OC$17:$OD$23,2,0)="Yes",NOT(ISNUMBER(VLOOKUP(DATE($A$2,$A$3+$A$1-1,LH5),HolidayList[Date],1,0)))),TRUE,FALSE),FALSE)</f>
        <v>0</v>
      </c>
      <c r="LI4" s="15" t="b">
        <f>IFERROR(IF(AND(VLOOKUP(LI6,$OC$17:$OD$23,2,0)="Yes",NOT(ISNUMBER(VLOOKUP(DATE($A$2,$A$3+$A$1-1,LI5),HolidayList[Date],1,0)))),TRUE,FALSE),FALSE)</f>
        <v>0</v>
      </c>
      <c r="LJ4" s="15" t="b">
        <f>IFERROR(IF(AND(VLOOKUP(LJ6,$OC$17:$OD$23,2,0)="Yes",NOT(ISNUMBER(VLOOKUP(DATE($A$2,$A$3+$A$1-1,LJ5),HolidayList[Date],1,0)))),TRUE,FALSE),FALSE)</f>
        <v>0</v>
      </c>
      <c r="LK4" s="15" t="b">
        <f>IFERROR(IF(AND(VLOOKUP(LK6,$OC$17:$OD$23,2,0)="Yes",NOT(ISNUMBER(VLOOKUP(DATE($A$2,$A$3+$A$1-1,LK5),HolidayList[Date],1,0)))),TRUE,FALSE),FALSE)</f>
        <v>0</v>
      </c>
      <c r="LL4" s="15" t="b">
        <f>IFERROR(IF(AND(VLOOKUP(LL6,$OC$17:$OD$23,2,0)="Yes",NOT(ISNUMBER(VLOOKUP(DATE($A$2,$A$3+$A$1-1,LL5),HolidayList[Date],1,0)))),TRUE,FALSE),FALSE)</f>
        <v>0</v>
      </c>
      <c r="LM4" s="15" t="b">
        <f>IFERROR(IF(AND(VLOOKUP(LM6,$OC$17:$OD$23,2,0)="Yes",NOT(ISNUMBER(VLOOKUP(DATE($A$2,$A$3+$A$1-1,LM5),HolidayList[Date],1,0)))),TRUE,FALSE),FALSE)</f>
        <v>0</v>
      </c>
      <c r="LN4" s="15" t="b">
        <f>IFERROR(IF(AND(VLOOKUP(LN6,$OC$17:$OD$23,2,0)="Yes",NOT(ISNUMBER(VLOOKUP(DATE($A$2,$A$3+$A$1-1,LN5),HolidayList[Date],1,0)))),TRUE,FALSE),FALSE)</f>
        <v>0</v>
      </c>
      <c r="LO4" s="15" t="b">
        <f>IFERROR(IF(AND(VLOOKUP(LO6,$OC$17:$OD$23,2,0)="Yes",NOT(ISNUMBER(VLOOKUP(DATE($A$2,$A$3+$A$1-1,LO5),HolidayList[Date],1,0)))),TRUE,FALSE),FALSE)</f>
        <v>0</v>
      </c>
      <c r="LP4" s="15" t="b">
        <f>IFERROR(IF(AND(VLOOKUP(LP6,$OC$17:$OD$23,2,0)="Yes",NOT(ISNUMBER(VLOOKUP(DATE($A$2,$A$3+$A$1-1,LP5),HolidayList[Date],1,0)))),TRUE,FALSE),FALSE)</f>
        <v>0</v>
      </c>
      <c r="LQ4" s="15" t="b">
        <f>IFERROR(IF(AND(VLOOKUP(LQ6,$OC$17:$OD$23,2,0)="Yes",NOT(ISNUMBER(VLOOKUP(DATE($A$2,$A$3+$A$1-1,LQ5),HolidayList[Date],1,0)))),TRUE,FALSE),FALSE)</f>
        <v>0</v>
      </c>
      <c r="LR4" s="15" t="b">
        <f>IFERROR(IF(AND(VLOOKUP(LR6,$OC$17:$OD$23,2,0)="Yes",NOT(ISNUMBER(VLOOKUP(DATE($A$2,$A$3+$A$1-1,LR5),HolidayList[Date],1,0)))),TRUE,FALSE),FALSE)</f>
        <v>0</v>
      </c>
      <c r="LS4" s="15" t="b">
        <f>IFERROR(IF(AND(VLOOKUP(LS6,$OC$17:$OD$23,2,0)="Yes",NOT(ISNUMBER(VLOOKUP(DATE($A$2,$A$3+$A$1-1,LS5),HolidayList[Date],1,0)))),TRUE,FALSE),FALSE)</f>
        <v>0</v>
      </c>
      <c r="LT4" s="15" t="b">
        <f>IFERROR(IF(AND(VLOOKUP(LT6,$OC$17:$OD$23,2,0)="Yes",NOT(ISNUMBER(VLOOKUP(DATE($A$2,$A$3+$A$1-1,LT5),HolidayList[Date],1,0)))),TRUE,FALSE),FALSE)</f>
        <v>0</v>
      </c>
      <c r="LU4" s="15" t="b">
        <f>IFERROR(IF(AND(VLOOKUP(LU6,$OC$17:$OD$23,2,0)="Yes",NOT(ISNUMBER(VLOOKUP(DATE($A$2,$A$3+$A$1-1,LU5),HolidayList[Date],1,0)))),TRUE,FALSE),FALSE)</f>
        <v>0</v>
      </c>
      <c r="LV4" s="15" t="b">
        <f>IFERROR(IF(AND(VLOOKUP(LV6,$OC$17:$OD$23,2,0)="Yes",NOT(ISNUMBER(VLOOKUP(DATE($A$2,$A$3+$A$1-1,LV5),HolidayList[Date],1,0)))),TRUE,FALSE),FALSE)</f>
        <v>0</v>
      </c>
      <c r="LW4" s="15" t="b">
        <f>IFERROR(IF(AND(VLOOKUP(LW6,$OC$17:$OD$23,2,0)="Yes",NOT(ISNUMBER(VLOOKUP(DATE($A$2,$A$3+$A$1-1,LW5),HolidayList[Date],1,0)))),TRUE,FALSE),FALSE)</f>
        <v>0</v>
      </c>
      <c r="LX4" s="15" t="b">
        <f>IFERROR(IF(AND(VLOOKUP(LX6,$OC$17:$OD$23,2,0)="Yes",NOT(ISNUMBER(VLOOKUP(DATE($A$2,$A$3+$A$1-1,LX5),HolidayList[Date],1,0)))),TRUE,FALSE),FALSE)</f>
        <v>0</v>
      </c>
      <c r="LY4" s="15" t="b">
        <f>IFERROR(IF(AND(VLOOKUP(LY6,$OC$17:$OD$23,2,0)="Yes",NOT(ISNUMBER(VLOOKUP(DATE($A$2,$A$3+$A$1-1,LY5),HolidayList[Date],1,0)))),TRUE,FALSE),FALSE)</f>
        <v>0</v>
      </c>
      <c r="LZ4" s="15" t="b">
        <f>IFERROR(IF(AND(VLOOKUP(LZ6,$OC$17:$OD$23,2,0)="Yes",NOT(ISNUMBER(VLOOKUP(DATE($A$2,$A$3+$A$1-1,LZ5),HolidayList[Date],1,0)))),TRUE,FALSE),FALSE)</f>
        <v>0</v>
      </c>
      <c r="MA4" s="15" t="b">
        <f>IFERROR(IF(AND(VLOOKUP(MA6,$OC$17:$OD$23,2,0)="Yes",NOT(ISNUMBER(VLOOKUP(DATE($A$2,$A$3+$A$1-1,MA5),HolidayList[Date],1,0)))),TRUE,FALSE),FALSE)</f>
        <v>0</v>
      </c>
      <c r="MB4" s="15" t="b">
        <f>IFERROR(IF(AND(VLOOKUP(MB6,$OC$17:$OD$23,2,0)="Yes",NOT(ISNUMBER(VLOOKUP(DATE($A$2,$A$3+$A$1-1,MB5),HolidayList[Date],1,0)))),TRUE,FALSE),FALSE)</f>
        <v>0</v>
      </c>
      <c r="MC4" s="15" t="b">
        <f>IFERROR(IF(AND(VLOOKUP(MC6,$OC$17:$OD$23,2,0)="Yes",NOT(ISNUMBER(VLOOKUP(DATE($A$2,$A$3+$A$1-1,MC5),HolidayList[Date],1,0)))),TRUE,FALSE),FALSE)</f>
        <v>0</v>
      </c>
      <c r="MD4" s="15" t="b">
        <f>IFERROR(IF(AND(VLOOKUP(MD6,$OC$17:$OD$23,2,0)="Yes",NOT(ISNUMBER(VLOOKUP(DATE($A$2,$A$3+$A$1-1,MD5),HolidayList[Date],1,0)))),TRUE,FALSE),FALSE)</f>
        <v>0</v>
      </c>
      <c r="ME4" s="15" t="b">
        <f>IFERROR(IF(AND(VLOOKUP(ME6,$OC$17:$OD$23,2,0)="Yes",NOT(ISNUMBER(VLOOKUP(DATE($A$2,$A$3+$A$1-1,ME5),HolidayList[Date],1,0)))),TRUE,FALSE),FALSE)</f>
        <v>0</v>
      </c>
      <c r="MF4" s="15" t="b">
        <f>IFERROR(IF(AND(VLOOKUP(MF6,$OC$17:$OD$23,2,0)="Yes",NOT(ISNUMBER(VLOOKUP(DATE($A$2,$A$3+$A$1-1,MF5),HolidayList[Date],1,0)))),TRUE,FALSE),FALSE)</f>
        <v>0</v>
      </c>
      <c r="MG4" s="15" t="b">
        <f>IFERROR(IF(AND(VLOOKUP(MG6,$OC$17:$OD$23,2,0)="Yes",NOT(ISNUMBER(VLOOKUP(DATE($A$2,$A$3+$A$1-1,MG5),HolidayList[Date],1,0)))),TRUE,FALSE),FALSE)</f>
        <v>0</v>
      </c>
      <c r="MH4" s="15" t="b">
        <f>IFERROR(IF(AND(VLOOKUP(MH6,$OC$17:$OD$23,2,0)="Yes",NOT(ISNUMBER(VLOOKUP(DATE($A$2,$A$3+$A$1-1,MH5),HolidayList[Date],1,0)))),TRUE,FALSE),FALSE)</f>
        <v>0</v>
      </c>
      <c r="MI4" s="15" t="b">
        <f>IFERROR(IF(AND(VLOOKUP(MI6,$OC$17:$OD$23,2,0)="Yes",NOT(ISNUMBER(VLOOKUP(DATE($A$2,$A$3+$A$1-1,MI5),HolidayList[Date],1,0)))),TRUE,FALSE),FALSE)</f>
        <v>0</v>
      </c>
      <c r="MJ4" s="15" t="b">
        <f>IFERROR(IF(AND(VLOOKUP(MJ6,$OC$17:$OD$23,2,0)="Yes",NOT(ISNUMBER(VLOOKUP(DATE($A$2,$A$3+$A$1-1,MJ5),HolidayList[Date],1,0)))),TRUE,FALSE),FALSE)</f>
        <v>0</v>
      </c>
      <c r="MK4" s="15" t="b">
        <f>IFERROR(IF(AND(VLOOKUP(MK6,$OC$17:$OD$23,2,0)="Yes",NOT(ISNUMBER(VLOOKUP(DATE($A$2,$A$3+$A$1-1,MK5),HolidayList[Date],1,0)))),TRUE,FALSE),FALSE)</f>
        <v>0</v>
      </c>
      <c r="ML4" s="15" t="b">
        <f>IFERROR(IF(AND(VLOOKUP(ML6,$OC$17:$OD$23,2,0)="Yes",NOT(ISNUMBER(VLOOKUP(DATE($A$2,$A$3+$A$1-1,ML5),HolidayList[Date],1,0)))),TRUE,FALSE),FALSE)</f>
        <v>0</v>
      </c>
      <c r="MM4" s="15" t="b">
        <f>IFERROR(IF(AND(VLOOKUP(MM6,$OC$17:$OD$23,2,0)="Yes",NOT(ISNUMBER(VLOOKUP(DATE($A$2,$A$3+$A$1-1,MM5),HolidayList[Date],1,0)))),TRUE,FALSE),FALSE)</f>
        <v>0</v>
      </c>
      <c r="MN4" s="15" t="b">
        <f>IFERROR(IF(AND(VLOOKUP(MN6,$OC$17:$OD$23,2,0)="Yes",NOT(ISNUMBER(VLOOKUP(DATE($A$2,$A$3+$A$1-1,MN5),HolidayList[Date],1,0)))),TRUE,FALSE),FALSE)</f>
        <v>0</v>
      </c>
      <c r="MO4" s="15" t="b">
        <f>IFERROR(IF(AND(VLOOKUP(MO6,$OC$17:$OD$23,2,0)="Yes",NOT(ISNUMBER(VLOOKUP(DATE($A$2,$A$3+$A$1-1,MO5),HolidayList[Date],1,0)))),TRUE,FALSE),FALSE)</f>
        <v>0</v>
      </c>
      <c r="MP4" s="15" t="b">
        <f>IFERROR(IF(AND(VLOOKUP(MP6,$OC$17:$OD$23,2,0)="Yes",NOT(ISNUMBER(VLOOKUP(DATE($A$2,$A$3+$A$1-1,MP5),HolidayList[Date],1,0)))),TRUE,FALSE),FALSE)</f>
        <v>0</v>
      </c>
      <c r="MQ4" s="15" t="b">
        <f>IFERROR(IF(AND(VLOOKUP(MQ6,$OC$17:$OD$23,2,0)="Yes",NOT(ISNUMBER(VLOOKUP(DATE($A$2,$A$3+$A$1-1,MQ5),HolidayList[Date],1,0)))),TRUE,FALSE),FALSE)</f>
        <v>0</v>
      </c>
      <c r="MR4" s="15" t="b">
        <f>IFERROR(IF(AND(VLOOKUP(MR6,$OC$17:$OD$23,2,0)="Yes",NOT(ISNUMBER(VLOOKUP(DATE($A$2,$A$3+$A$1-1,MR5),HolidayList[Date],1,0)))),TRUE,FALSE),FALSE)</f>
        <v>0</v>
      </c>
      <c r="MS4" s="15" t="b">
        <f>IFERROR(IF(AND(VLOOKUP(MS6,$OC$17:$OD$23,2,0)="Yes",NOT(ISNUMBER(VLOOKUP(DATE($A$2,$A$3+$A$1-1,MS5),HolidayList[Date],1,0)))),TRUE,FALSE),FALSE)</f>
        <v>0</v>
      </c>
      <c r="MT4" s="15" t="b">
        <f>IFERROR(IF(AND(VLOOKUP(MT6,$OC$17:$OD$23,2,0)="Yes",NOT(ISNUMBER(VLOOKUP(DATE($A$2,$A$3+$A$1-1,MT5),HolidayList[Date],1,0)))),TRUE,FALSE),FALSE)</f>
        <v>0</v>
      </c>
      <c r="MU4" s="15" t="b">
        <f>IFERROR(IF(AND(VLOOKUP(MU6,$OC$17:$OD$23,2,0)="Yes",NOT(ISNUMBER(VLOOKUP(DATE($A$2,$A$3+$A$1-1,MU5),HolidayList[Date],1,0)))),TRUE,FALSE),FALSE)</f>
        <v>0</v>
      </c>
      <c r="MV4" s="15" t="b">
        <f>IFERROR(IF(AND(VLOOKUP(MV6,$OC$17:$OD$23,2,0)="Yes",NOT(ISNUMBER(VLOOKUP(DATE($A$2,$A$3+$A$1-1,MV5),HolidayList[Date],1,0)))),TRUE,FALSE),FALSE)</f>
        <v>0</v>
      </c>
      <c r="MW4" s="15" t="b">
        <f>IFERROR(IF(AND(VLOOKUP(MW6,$OC$17:$OD$23,2,0)="Yes",NOT(ISNUMBER(VLOOKUP(DATE($A$2,$A$3+$A$1-1,MW5),HolidayList[Date],1,0)))),TRUE,FALSE),FALSE)</f>
        <v>0</v>
      </c>
      <c r="MX4" s="15" t="b">
        <f>IFERROR(IF(AND(VLOOKUP(MX6,$OC$17:$OD$23,2,0)="Yes",NOT(ISNUMBER(VLOOKUP(DATE($A$2,$A$3+$A$1-1,MX5),HolidayList[Date],1,0)))),TRUE,FALSE),FALSE)</f>
        <v>0</v>
      </c>
      <c r="MY4" s="15" t="b">
        <f>IFERROR(IF(AND(VLOOKUP(MY6,$OC$17:$OD$23,2,0)="Yes",NOT(ISNUMBER(VLOOKUP(DATE($A$2,$A$3+$A$1-1,MY5),HolidayList[Date],1,0)))),TRUE,FALSE),FALSE)</f>
        <v>0</v>
      </c>
      <c r="MZ4" s="15" t="b">
        <f>IFERROR(IF(AND(VLOOKUP(MZ6,$OC$17:$OD$23,2,0)="Yes",NOT(ISNUMBER(VLOOKUP(DATE($A$2,$A$3+$A$1-1,MZ5),HolidayList[Date],1,0)))),TRUE,FALSE),FALSE)</f>
        <v>0</v>
      </c>
      <c r="NA4" s="15" t="b">
        <f>IFERROR(IF(AND(VLOOKUP(NA6,$OC$17:$OD$23,2,0)="Yes",NOT(ISNUMBER(VLOOKUP(DATE($A$2,$A$3+$A$1-1,NA5),HolidayList[Date],1,0)))),TRUE,FALSE),FALSE)</f>
        <v>0</v>
      </c>
      <c r="NB4" s="15" t="b">
        <f>IFERROR(IF(AND(VLOOKUP(NB6,$OC$17:$OD$23,2,0)="Yes",NOT(ISNUMBER(VLOOKUP(DATE($A$2,$A$3+$A$1-1,NB5),HolidayList[Date],1,0)))),TRUE,FALSE),FALSE)</f>
        <v>0</v>
      </c>
      <c r="NC4" s="15" t="b">
        <f>IFERROR(IF(AND(VLOOKUP(NC6,$OC$17:$OD$23,2,0)="Yes",NOT(ISNUMBER(VLOOKUP(DATE($A$2,$A$3+$A$1-1,NC5),HolidayList[Date],1,0)))),TRUE,FALSE),FALSE)</f>
        <v>0</v>
      </c>
      <c r="ND4" s="15" t="b">
        <f>IFERROR(IF(AND(VLOOKUP(ND6,$OC$17:$OD$23,2,0)="Yes",NOT(ISNUMBER(VLOOKUP(DATE($A$2,$A$3+$A$1-1,ND5),HolidayList[Date],1,0)))),TRUE,FALSE),FALSE)</f>
        <v>0</v>
      </c>
      <c r="NE4" s="15" t="b">
        <f>IFERROR(IF(AND(VLOOKUP(NE6,$OC$17:$OD$23,2,0)="Yes",NOT(ISNUMBER(VLOOKUP(DATE($A$2,$A$3+$A$1-1,NE5),HolidayList[Date],1,0)))),TRUE,FALSE),FALSE)</f>
        <v>0</v>
      </c>
      <c r="NF4" s="15" t="b">
        <f>IFERROR(IF(AND(VLOOKUP(NF6,$OC$17:$OD$23,2,0)="Yes",NOT(ISNUMBER(VLOOKUP(DATE($A$2,$A$3+$A$1-1,NF5),HolidayList[Date],1,0)))),TRUE,FALSE),FALSE)</f>
        <v>0</v>
      </c>
      <c r="NG4" s="15" t="b">
        <f>IFERROR(IF(AND(VLOOKUP(NG6,$OC$17:$OD$23,2,0)="Yes",NOT(ISNUMBER(VLOOKUP(DATE($A$2,$A$3+$A$1-1,NG5),HolidayList[Date],1,0)))),TRUE,FALSE),FALSE)</f>
        <v>0</v>
      </c>
      <c r="NH4" s="15" t="b">
        <f>IFERROR(IF(AND(VLOOKUP(NH6,$OC$17:$OD$23,2,0)="Yes",NOT(ISNUMBER(VLOOKUP(DATE($A$2,$A$3+$A$1-1,NH5),HolidayList[Date],1,0)))),TRUE,FALSE),FALSE)</f>
        <v>0</v>
      </c>
      <c r="NI4" s="15" t="b">
        <f>IFERROR(IF(AND(VLOOKUP(NI6,$OC$17:$OD$23,2,0)="Yes",NOT(ISNUMBER(VLOOKUP(DATE($A$2,$A$3+$A$1-1,NI5),HolidayList[Date],1,0)))),TRUE,FALSE),FALSE)</f>
        <v>0</v>
      </c>
    </row>
    <row r="5" spans="1:767" x14ac:dyDescent="0.45">
      <c r="A5" s="1"/>
      <c r="B5" s="7" t="str">
        <f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C5" s="7" t="str">
        <f t="shared" ref="C5:BN5" si="0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D5" s="7" t="str">
        <f t="shared" si="0"/>
        <v/>
      </c>
      <c r="E5" s="7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7" t="str">
        <f t="shared" si="0"/>
        <v/>
      </c>
      <c r="R5" s="7" t="str">
        <f t="shared" si="0"/>
        <v/>
      </c>
      <c r="S5" s="7" t="str">
        <f t="shared" si="0"/>
        <v/>
      </c>
      <c r="T5" s="7" t="str">
        <f t="shared" si="0"/>
        <v/>
      </c>
      <c r="U5" s="7" t="str">
        <f t="shared" si="0"/>
        <v/>
      </c>
      <c r="V5" s="7" t="str">
        <f t="shared" si="0"/>
        <v/>
      </c>
      <c r="W5" s="7" t="str">
        <f t="shared" si="0"/>
        <v/>
      </c>
      <c r="X5" s="7" t="str">
        <f t="shared" si="0"/>
        <v/>
      </c>
      <c r="Y5" s="7" t="str">
        <f t="shared" si="0"/>
        <v/>
      </c>
      <c r="Z5" s="7" t="str">
        <f t="shared" si="0"/>
        <v/>
      </c>
      <c r="AA5" s="7" t="str">
        <f t="shared" si="0"/>
        <v/>
      </c>
      <c r="AB5" s="7" t="str">
        <f t="shared" si="0"/>
        <v/>
      </c>
      <c r="AC5" s="7" t="str">
        <f t="shared" si="0"/>
        <v/>
      </c>
      <c r="AD5" s="7" t="str">
        <f t="shared" si="0"/>
        <v/>
      </c>
      <c r="AE5" s="7" t="str">
        <f t="shared" si="0"/>
        <v/>
      </c>
      <c r="AF5" s="7" t="str">
        <f t="shared" si="0"/>
        <v/>
      </c>
      <c r="AG5" s="7" t="str">
        <f t="shared" si="0"/>
        <v/>
      </c>
      <c r="AH5" s="7" t="str">
        <f t="shared" si="0"/>
        <v/>
      </c>
      <c r="AI5" s="7" t="str">
        <f t="shared" si="0"/>
        <v/>
      </c>
      <c r="AJ5" s="7" t="str">
        <f t="shared" si="0"/>
        <v/>
      </c>
      <c r="AK5" s="7" t="str">
        <f t="shared" si="0"/>
        <v/>
      </c>
      <c r="AL5" s="7" t="str">
        <f t="shared" si="0"/>
        <v/>
      </c>
      <c r="AM5" s="7" t="str">
        <f t="shared" si="0"/>
        <v/>
      </c>
      <c r="AN5" s="7" t="str">
        <f t="shared" si="0"/>
        <v/>
      </c>
      <c r="AO5" s="7" t="str">
        <f t="shared" si="0"/>
        <v/>
      </c>
      <c r="AP5" s="7" t="str">
        <f t="shared" si="0"/>
        <v/>
      </c>
      <c r="AQ5" s="7" t="str">
        <f t="shared" si="0"/>
        <v/>
      </c>
      <c r="AR5" s="7" t="str">
        <f t="shared" si="0"/>
        <v/>
      </c>
      <c r="AS5" s="7" t="str">
        <f t="shared" si="0"/>
        <v/>
      </c>
      <c r="AT5" s="7" t="str">
        <f t="shared" si="0"/>
        <v/>
      </c>
      <c r="AU5" s="7" t="str">
        <f t="shared" si="0"/>
        <v/>
      </c>
      <c r="AV5" s="7" t="str">
        <f t="shared" si="0"/>
        <v/>
      </c>
      <c r="AW5" s="7" t="str">
        <f t="shared" si="0"/>
        <v/>
      </c>
      <c r="AX5" s="7" t="str">
        <f t="shared" si="0"/>
        <v/>
      </c>
      <c r="AY5" s="7" t="str">
        <f t="shared" si="0"/>
        <v/>
      </c>
      <c r="AZ5" s="7" t="str">
        <f t="shared" si="0"/>
        <v/>
      </c>
      <c r="BA5" s="7" t="str">
        <f t="shared" si="0"/>
        <v/>
      </c>
      <c r="BB5" s="7" t="str">
        <f t="shared" si="0"/>
        <v/>
      </c>
      <c r="BC5" s="7" t="str">
        <f t="shared" si="0"/>
        <v/>
      </c>
      <c r="BD5" s="7" t="str">
        <f t="shared" si="0"/>
        <v/>
      </c>
      <c r="BE5" s="7" t="str">
        <f t="shared" si="0"/>
        <v/>
      </c>
      <c r="BF5" s="7" t="str">
        <f t="shared" si="0"/>
        <v/>
      </c>
      <c r="BG5" s="7" t="str">
        <f t="shared" si="0"/>
        <v/>
      </c>
      <c r="BH5" s="7" t="str">
        <f t="shared" si="0"/>
        <v/>
      </c>
      <c r="BI5" s="7" t="str">
        <f t="shared" si="0"/>
        <v/>
      </c>
      <c r="BJ5" s="7" t="str">
        <f t="shared" si="0"/>
        <v/>
      </c>
      <c r="BK5" s="7" t="str">
        <f t="shared" si="0"/>
        <v/>
      </c>
      <c r="BL5" s="7" t="str">
        <f t="shared" si="0"/>
        <v/>
      </c>
      <c r="BM5" s="7" t="str">
        <f t="shared" si="0"/>
        <v/>
      </c>
      <c r="BN5" s="7" t="str">
        <f t="shared" si="0"/>
        <v/>
      </c>
      <c r="BO5" s="7" t="str">
        <f t="shared" ref="BO5:DZ5" si="1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BP5" s="7" t="str">
        <f t="shared" si="1"/>
        <v/>
      </c>
      <c r="BQ5" s="7" t="str">
        <f t="shared" si="1"/>
        <v/>
      </c>
      <c r="BR5" s="7" t="str">
        <f t="shared" si="1"/>
        <v/>
      </c>
      <c r="BS5" s="7" t="str">
        <f t="shared" si="1"/>
        <v/>
      </c>
      <c r="BT5" s="7" t="str">
        <f t="shared" si="1"/>
        <v/>
      </c>
      <c r="BU5" s="7" t="str">
        <f t="shared" si="1"/>
        <v/>
      </c>
      <c r="BV5" s="7" t="str">
        <f t="shared" si="1"/>
        <v/>
      </c>
      <c r="BW5" s="7" t="str">
        <f t="shared" si="1"/>
        <v/>
      </c>
      <c r="BX5" s="7" t="str">
        <f t="shared" si="1"/>
        <v/>
      </c>
      <c r="BY5" s="7" t="str">
        <f t="shared" si="1"/>
        <v/>
      </c>
      <c r="BZ5" s="7" t="str">
        <f t="shared" si="1"/>
        <v/>
      </c>
      <c r="CA5" s="7" t="str">
        <f t="shared" si="1"/>
        <v/>
      </c>
      <c r="CB5" s="7" t="str">
        <f t="shared" si="1"/>
        <v/>
      </c>
      <c r="CC5" s="7" t="str">
        <f t="shared" si="1"/>
        <v/>
      </c>
      <c r="CD5" s="7" t="str">
        <f t="shared" si="1"/>
        <v/>
      </c>
      <c r="CE5" s="7" t="str">
        <f t="shared" si="1"/>
        <v/>
      </c>
      <c r="CF5" s="7" t="str">
        <f t="shared" si="1"/>
        <v/>
      </c>
      <c r="CG5" s="7" t="str">
        <f t="shared" si="1"/>
        <v/>
      </c>
      <c r="CH5" s="7" t="str">
        <f t="shared" si="1"/>
        <v/>
      </c>
      <c r="CI5" s="7" t="str">
        <f t="shared" si="1"/>
        <v/>
      </c>
      <c r="CJ5" s="7" t="str">
        <f t="shared" si="1"/>
        <v/>
      </c>
      <c r="CK5" s="7" t="str">
        <f t="shared" si="1"/>
        <v/>
      </c>
      <c r="CL5" s="7" t="str">
        <f t="shared" si="1"/>
        <v/>
      </c>
      <c r="CM5" s="7" t="str">
        <f t="shared" si="1"/>
        <v/>
      </c>
      <c r="CN5" s="7" t="str">
        <f t="shared" si="1"/>
        <v/>
      </c>
      <c r="CO5" s="7" t="str">
        <f t="shared" si="1"/>
        <v/>
      </c>
      <c r="CP5" s="7" t="str">
        <f t="shared" si="1"/>
        <v/>
      </c>
      <c r="CQ5" s="7" t="str">
        <f t="shared" si="1"/>
        <v/>
      </c>
      <c r="CR5" s="7" t="str">
        <f t="shared" si="1"/>
        <v/>
      </c>
      <c r="CS5" s="7" t="str">
        <f t="shared" si="1"/>
        <v/>
      </c>
      <c r="CT5" s="7" t="str">
        <f t="shared" si="1"/>
        <v/>
      </c>
      <c r="CU5" s="7" t="str">
        <f t="shared" si="1"/>
        <v/>
      </c>
      <c r="CV5" s="7" t="str">
        <f t="shared" si="1"/>
        <v/>
      </c>
      <c r="CW5" s="7" t="str">
        <f t="shared" si="1"/>
        <v/>
      </c>
      <c r="CX5" s="7" t="str">
        <f t="shared" si="1"/>
        <v/>
      </c>
      <c r="CY5" s="7" t="str">
        <f t="shared" si="1"/>
        <v/>
      </c>
      <c r="CZ5" s="7" t="str">
        <f t="shared" si="1"/>
        <v/>
      </c>
      <c r="DA5" s="7" t="str">
        <f t="shared" si="1"/>
        <v/>
      </c>
      <c r="DB5" s="7" t="str">
        <f t="shared" si="1"/>
        <v/>
      </c>
      <c r="DC5" s="7" t="str">
        <f t="shared" si="1"/>
        <v/>
      </c>
      <c r="DD5" s="7" t="str">
        <f t="shared" si="1"/>
        <v/>
      </c>
      <c r="DE5" s="7" t="str">
        <f t="shared" si="1"/>
        <v/>
      </c>
      <c r="DF5" s="7" t="str">
        <f t="shared" si="1"/>
        <v/>
      </c>
      <c r="DG5" s="7" t="str">
        <f t="shared" si="1"/>
        <v/>
      </c>
      <c r="DH5" s="7" t="str">
        <f t="shared" si="1"/>
        <v/>
      </c>
      <c r="DI5" s="7" t="str">
        <f t="shared" si="1"/>
        <v/>
      </c>
      <c r="DJ5" s="7" t="str">
        <f t="shared" si="1"/>
        <v/>
      </c>
      <c r="DK5" s="7" t="str">
        <f t="shared" si="1"/>
        <v/>
      </c>
      <c r="DL5" s="7" t="str">
        <f t="shared" si="1"/>
        <v/>
      </c>
      <c r="DM5" s="7" t="str">
        <f t="shared" si="1"/>
        <v/>
      </c>
      <c r="DN5" s="7" t="str">
        <f t="shared" si="1"/>
        <v/>
      </c>
      <c r="DO5" s="7" t="str">
        <f t="shared" si="1"/>
        <v/>
      </c>
      <c r="DP5" s="7" t="str">
        <f t="shared" si="1"/>
        <v/>
      </c>
      <c r="DQ5" s="7" t="str">
        <f t="shared" si="1"/>
        <v/>
      </c>
      <c r="DR5" s="7" t="str">
        <f t="shared" si="1"/>
        <v/>
      </c>
      <c r="DS5" s="7" t="str">
        <f t="shared" si="1"/>
        <v/>
      </c>
      <c r="DT5" s="7" t="str">
        <f t="shared" si="1"/>
        <v/>
      </c>
      <c r="DU5" s="7" t="str">
        <f t="shared" si="1"/>
        <v/>
      </c>
      <c r="DV5" s="7" t="str">
        <f t="shared" si="1"/>
        <v/>
      </c>
      <c r="DW5" s="7" t="str">
        <f t="shared" si="1"/>
        <v/>
      </c>
      <c r="DX5" s="7" t="str">
        <f t="shared" si="1"/>
        <v/>
      </c>
      <c r="DY5" s="7" t="str">
        <f t="shared" si="1"/>
        <v/>
      </c>
      <c r="DZ5" s="7" t="str">
        <f t="shared" si="1"/>
        <v/>
      </c>
      <c r="EA5" s="7" t="str">
        <f t="shared" ref="EA5:GL5" si="2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EB5" s="7" t="str">
        <f t="shared" si="2"/>
        <v/>
      </c>
      <c r="EC5" s="7" t="str">
        <f t="shared" si="2"/>
        <v/>
      </c>
      <c r="ED5" s="7" t="str">
        <f t="shared" si="2"/>
        <v/>
      </c>
      <c r="EE5" s="7" t="str">
        <f t="shared" si="2"/>
        <v/>
      </c>
      <c r="EF5" s="7" t="str">
        <f t="shared" si="2"/>
        <v/>
      </c>
      <c r="EG5" s="7" t="str">
        <f t="shared" si="2"/>
        <v/>
      </c>
      <c r="EH5" s="7" t="str">
        <f t="shared" si="2"/>
        <v/>
      </c>
      <c r="EI5" s="7" t="str">
        <f t="shared" si="2"/>
        <v/>
      </c>
      <c r="EJ5" s="7" t="str">
        <f t="shared" si="2"/>
        <v/>
      </c>
      <c r="EK5" s="7" t="str">
        <f t="shared" si="2"/>
        <v/>
      </c>
      <c r="EL5" s="7" t="str">
        <f t="shared" si="2"/>
        <v/>
      </c>
      <c r="EM5" s="7" t="str">
        <f t="shared" si="2"/>
        <v/>
      </c>
      <c r="EN5" s="7" t="str">
        <f t="shared" si="2"/>
        <v/>
      </c>
      <c r="EO5" s="7" t="str">
        <f t="shared" si="2"/>
        <v/>
      </c>
      <c r="EP5" s="7" t="str">
        <f t="shared" si="2"/>
        <v/>
      </c>
      <c r="EQ5" s="7" t="str">
        <f t="shared" si="2"/>
        <v/>
      </c>
      <c r="ER5" s="7" t="str">
        <f t="shared" si="2"/>
        <v/>
      </c>
      <c r="ES5" s="7" t="str">
        <f t="shared" si="2"/>
        <v/>
      </c>
      <c r="ET5" s="7" t="str">
        <f t="shared" si="2"/>
        <v/>
      </c>
      <c r="EU5" s="7" t="str">
        <f t="shared" si="2"/>
        <v/>
      </c>
      <c r="EV5" s="7" t="str">
        <f t="shared" si="2"/>
        <v/>
      </c>
      <c r="EW5" s="7" t="str">
        <f t="shared" si="2"/>
        <v/>
      </c>
      <c r="EX5" s="7" t="str">
        <f t="shared" si="2"/>
        <v/>
      </c>
      <c r="EY5" s="7" t="str">
        <f t="shared" si="2"/>
        <v/>
      </c>
      <c r="EZ5" s="7" t="str">
        <f t="shared" si="2"/>
        <v/>
      </c>
      <c r="FA5" s="7">
        <f t="shared" si="2"/>
        <v>1</v>
      </c>
      <c r="FB5" s="7">
        <f t="shared" si="2"/>
        <v>2</v>
      </c>
      <c r="FC5" s="7">
        <f t="shared" si="2"/>
        <v>3</v>
      </c>
      <c r="FD5" s="7">
        <f t="shared" si="2"/>
        <v>4</v>
      </c>
      <c r="FE5" s="7">
        <f t="shared" si="2"/>
        <v>5</v>
      </c>
      <c r="FF5" s="7">
        <f t="shared" si="2"/>
        <v>6</v>
      </c>
      <c r="FG5" s="7">
        <f t="shared" si="2"/>
        <v>7</v>
      </c>
      <c r="FH5" s="7">
        <f t="shared" si="2"/>
        <v>8</v>
      </c>
      <c r="FI5" s="7">
        <f t="shared" si="2"/>
        <v>9</v>
      </c>
      <c r="FJ5" s="7">
        <f t="shared" si="2"/>
        <v>10</v>
      </c>
      <c r="FK5" s="7">
        <f t="shared" si="2"/>
        <v>11</v>
      </c>
      <c r="FL5" s="7">
        <f t="shared" si="2"/>
        <v>12</v>
      </c>
      <c r="FM5" s="7">
        <f t="shared" si="2"/>
        <v>13</v>
      </c>
      <c r="FN5" s="7">
        <f t="shared" si="2"/>
        <v>14</v>
      </c>
      <c r="FO5" s="7">
        <f t="shared" si="2"/>
        <v>15</v>
      </c>
      <c r="FP5" s="7">
        <f t="shared" si="2"/>
        <v>16</v>
      </c>
      <c r="FQ5" s="7">
        <f t="shared" si="2"/>
        <v>17</v>
      </c>
      <c r="FR5" s="7">
        <f t="shared" si="2"/>
        <v>18</v>
      </c>
      <c r="FS5" s="7">
        <f t="shared" si="2"/>
        <v>19</v>
      </c>
      <c r="FT5" s="7">
        <f t="shared" si="2"/>
        <v>20</v>
      </c>
      <c r="FU5" s="7">
        <f t="shared" si="2"/>
        <v>21</v>
      </c>
      <c r="FV5" s="7">
        <f t="shared" si="2"/>
        <v>22</v>
      </c>
      <c r="FW5" s="7">
        <f t="shared" si="2"/>
        <v>23</v>
      </c>
      <c r="FX5" s="7">
        <f t="shared" si="2"/>
        <v>24</v>
      </c>
      <c r="FY5" s="7">
        <f t="shared" si="2"/>
        <v>25</v>
      </c>
      <c r="FZ5" s="7">
        <f t="shared" si="2"/>
        <v>26</v>
      </c>
      <c r="GA5" s="7">
        <f t="shared" si="2"/>
        <v>27</v>
      </c>
      <c r="GB5" s="7">
        <f t="shared" si="2"/>
        <v>28</v>
      </c>
      <c r="GC5" s="7">
        <f t="shared" si="2"/>
        <v>29</v>
      </c>
      <c r="GD5" s="7">
        <f t="shared" si="2"/>
        <v>30</v>
      </c>
      <c r="GE5" s="7" t="str">
        <f t="shared" si="2"/>
        <v/>
      </c>
      <c r="GF5" s="7" t="str">
        <f t="shared" si="2"/>
        <v/>
      </c>
      <c r="GG5" s="7" t="str">
        <f t="shared" si="2"/>
        <v/>
      </c>
      <c r="GH5" s="7" t="str">
        <f t="shared" si="2"/>
        <v/>
      </c>
      <c r="GI5" s="7" t="str">
        <f t="shared" si="2"/>
        <v/>
      </c>
      <c r="GJ5" s="7" t="str">
        <f t="shared" si="2"/>
        <v/>
      </c>
      <c r="GK5" s="7" t="str">
        <f t="shared" si="2"/>
        <v/>
      </c>
      <c r="GL5" s="7" t="str">
        <f t="shared" si="2"/>
        <v/>
      </c>
      <c r="GM5" s="7" t="str">
        <f t="shared" ref="GM5:IX5" si="3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GN5" s="7" t="str">
        <f t="shared" si="3"/>
        <v/>
      </c>
      <c r="GO5" s="7" t="str">
        <f t="shared" si="3"/>
        <v/>
      </c>
      <c r="GP5" s="7" t="str">
        <f t="shared" si="3"/>
        <v/>
      </c>
      <c r="GQ5" s="7" t="str">
        <f t="shared" si="3"/>
        <v/>
      </c>
      <c r="GR5" s="7" t="str">
        <f t="shared" si="3"/>
        <v/>
      </c>
      <c r="GS5" s="7" t="str">
        <f t="shared" si="3"/>
        <v/>
      </c>
      <c r="GT5" s="7" t="str">
        <f t="shared" si="3"/>
        <v/>
      </c>
      <c r="GU5" s="7" t="str">
        <f t="shared" si="3"/>
        <v/>
      </c>
      <c r="GV5" s="7" t="str">
        <f t="shared" si="3"/>
        <v/>
      </c>
      <c r="GW5" s="7" t="str">
        <f t="shared" si="3"/>
        <v/>
      </c>
      <c r="GX5" s="7" t="str">
        <f t="shared" si="3"/>
        <v/>
      </c>
      <c r="GY5" s="7" t="str">
        <f t="shared" si="3"/>
        <v/>
      </c>
      <c r="GZ5" s="7" t="str">
        <f t="shared" si="3"/>
        <v/>
      </c>
      <c r="HA5" s="7" t="str">
        <f t="shared" si="3"/>
        <v/>
      </c>
      <c r="HB5" s="7" t="str">
        <f t="shared" si="3"/>
        <v/>
      </c>
      <c r="HC5" s="7" t="str">
        <f t="shared" si="3"/>
        <v/>
      </c>
      <c r="HD5" s="7" t="str">
        <f t="shared" si="3"/>
        <v/>
      </c>
      <c r="HE5" s="7" t="str">
        <f t="shared" si="3"/>
        <v/>
      </c>
      <c r="HF5" s="7" t="str">
        <f t="shared" si="3"/>
        <v/>
      </c>
      <c r="HG5" s="7" t="str">
        <f t="shared" si="3"/>
        <v/>
      </c>
      <c r="HH5" s="7" t="str">
        <f t="shared" si="3"/>
        <v/>
      </c>
      <c r="HI5" s="7" t="str">
        <f t="shared" si="3"/>
        <v/>
      </c>
      <c r="HJ5" s="7" t="str">
        <f t="shared" si="3"/>
        <v/>
      </c>
      <c r="HK5" s="7" t="str">
        <f t="shared" si="3"/>
        <v/>
      </c>
      <c r="HL5" s="7" t="str">
        <f t="shared" si="3"/>
        <v/>
      </c>
      <c r="HM5" s="7" t="str">
        <f t="shared" si="3"/>
        <v/>
      </c>
      <c r="HN5" s="7" t="str">
        <f t="shared" si="3"/>
        <v/>
      </c>
      <c r="HO5" s="7" t="str">
        <f t="shared" si="3"/>
        <v/>
      </c>
      <c r="HP5" s="7" t="str">
        <f t="shared" si="3"/>
        <v/>
      </c>
      <c r="HQ5" s="7" t="str">
        <f t="shared" si="3"/>
        <v/>
      </c>
      <c r="HR5" s="7" t="str">
        <f t="shared" si="3"/>
        <v/>
      </c>
      <c r="HS5" s="7" t="str">
        <f t="shared" si="3"/>
        <v/>
      </c>
      <c r="HT5" s="7" t="str">
        <f t="shared" si="3"/>
        <v/>
      </c>
      <c r="HU5" s="7" t="str">
        <f t="shared" si="3"/>
        <v/>
      </c>
      <c r="HV5" s="7" t="str">
        <f t="shared" si="3"/>
        <v/>
      </c>
      <c r="HW5" s="7" t="str">
        <f t="shared" si="3"/>
        <v/>
      </c>
      <c r="HX5" s="7" t="str">
        <f t="shared" si="3"/>
        <v/>
      </c>
      <c r="HY5" s="7" t="str">
        <f t="shared" si="3"/>
        <v/>
      </c>
      <c r="HZ5" s="7" t="str">
        <f t="shared" si="3"/>
        <v/>
      </c>
      <c r="IA5" s="7" t="str">
        <f t="shared" si="3"/>
        <v/>
      </c>
      <c r="IB5" s="7" t="str">
        <f t="shared" si="3"/>
        <v/>
      </c>
      <c r="IC5" s="7" t="str">
        <f t="shared" si="3"/>
        <v/>
      </c>
      <c r="ID5" s="7" t="str">
        <f t="shared" si="3"/>
        <v/>
      </c>
      <c r="IE5" s="7" t="str">
        <f t="shared" si="3"/>
        <v/>
      </c>
      <c r="IF5" s="7" t="str">
        <f t="shared" si="3"/>
        <v/>
      </c>
      <c r="IG5" s="7" t="str">
        <f t="shared" si="3"/>
        <v/>
      </c>
      <c r="IH5" s="7" t="str">
        <f t="shared" si="3"/>
        <v/>
      </c>
      <c r="II5" s="7" t="str">
        <f t="shared" si="3"/>
        <v/>
      </c>
      <c r="IJ5" s="7" t="str">
        <f t="shared" si="3"/>
        <v/>
      </c>
      <c r="IK5" s="7" t="str">
        <f t="shared" si="3"/>
        <v/>
      </c>
      <c r="IL5" s="7" t="str">
        <f t="shared" si="3"/>
        <v/>
      </c>
      <c r="IM5" s="7" t="str">
        <f t="shared" si="3"/>
        <v/>
      </c>
      <c r="IN5" s="7" t="str">
        <f t="shared" si="3"/>
        <v/>
      </c>
      <c r="IO5" s="7" t="str">
        <f t="shared" si="3"/>
        <v/>
      </c>
      <c r="IP5" s="7" t="str">
        <f t="shared" si="3"/>
        <v/>
      </c>
      <c r="IQ5" s="7" t="str">
        <f t="shared" si="3"/>
        <v/>
      </c>
      <c r="IR5" s="7" t="str">
        <f t="shared" si="3"/>
        <v/>
      </c>
      <c r="IS5" s="7" t="str">
        <f t="shared" si="3"/>
        <v/>
      </c>
      <c r="IT5" s="7" t="str">
        <f t="shared" si="3"/>
        <v/>
      </c>
      <c r="IU5" s="7" t="str">
        <f t="shared" si="3"/>
        <v/>
      </c>
      <c r="IV5" s="7" t="str">
        <f t="shared" si="3"/>
        <v/>
      </c>
      <c r="IW5" s="7" t="str">
        <f t="shared" si="3"/>
        <v/>
      </c>
      <c r="IX5" s="7" t="str">
        <f t="shared" si="3"/>
        <v/>
      </c>
      <c r="IY5" s="7" t="str">
        <f t="shared" ref="IY5:LJ5" si="4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IZ5" s="7" t="str">
        <f t="shared" si="4"/>
        <v/>
      </c>
      <c r="JA5" s="7" t="str">
        <f t="shared" si="4"/>
        <v/>
      </c>
      <c r="JB5" s="7" t="str">
        <f t="shared" si="4"/>
        <v/>
      </c>
      <c r="JC5" s="7" t="str">
        <f t="shared" si="4"/>
        <v/>
      </c>
      <c r="JD5" s="7" t="str">
        <f t="shared" si="4"/>
        <v/>
      </c>
      <c r="JE5" s="7" t="str">
        <f t="shared" si="4"/>
        <v/>
      </c>
      <c r="JF5" s="7" t="str">
        <f t="shared" si="4"/>
        <v/>
      </c>
      <c r="JG5" s="7" t="str">
        <f t="shared" si="4"/>
        <v/>
      </c>
      <c r="JH5" s="7" t="str">
        <f t="shared" si="4"/>
        <v/>
      </c>
      <c r="JI5" s="7" t="str">
        <f t="shared" si="4"/>
        <v/>
      </c>
      <c r="JJ5" s="7" t="str">
        <f t="shared" si="4"/>
        <v/>
      </c>
      <c r="JK5" s="7" t="str">
        <f t="shared" si="4"/>
        <v/>
      </c>
      <c r="JL5" s="7" t="str">
        <f t="shared" si="4"/>
        <v/>
      </c>
      <c r="JM5" s="7" t="str">
        <f t="shared" si="4"/>
        <v/>
      </c>
      <c r="JN5" s="7" t="str">
        <f t="shared" si="4"/>
        <v/>
      </c>
      <c r="JO5" s="7" t="str">
        <f t="shared" si="4"/>
        <v/>
      </c>
      <c r="JP5" s="7" t="str">
        <f t="shared" si="4"/>
        <v/>
      </c>
      <c r="JQ5" s="7" t="str">
        <f t="shared" si="4"/>
        <v/>
      </c>
      <c r="JR5" s="7" t="str">
        <f t="shared" si="4"/>
        <v/>
      </c>
      <c r="JS5" s="7" t="str">
        <f t="shared" si="4"/>
        <v/>
      </c>
      <c r="JT5" s="7" t="str">
        <f t="shared" si="4"/>
        <v/>
      </c>
      <c r="JU5" s="7" t="str">
        <f t="shared" si="4"/>
        <v/>
      </c>
      <c r="JV5" s="7" t="str">
        <f t="shared" si="4"/>
        <v/>
      </c>
      <c r="JW5" s="7" t="str">
        <f t="shared" si="4"/>
        <v/>
      </c>
      <c r="JX5" s="7" t="str">
        <f t="shared" si="4"/>
        <v/>
      </c>
      <c r="JY5" s="7" t="str">
        <f t="shared" si="4"/>
        <v/>
      </c>
      <c r="JZ5" s="7" t="str">
        <f t="shared" si="4"/>
        <v/>
      </c>
      <c r="KA5" s="7" t="str">
        <f t="shared" si="4"/>
        <v/>
      </c>
      <c r="KB5" s="7" t="str">
        <f t="shared" si="4"/>
        <v/>
      </c>
      <c r="KC5" s="7" t="str">
        <f t="shared" si="4"/>
        <v/>
      </c>
      <c r="KD5" s="7" t="str">
        <f t="shared" si="4"/>
        <v/>
      </c>
      <c r="KE5" s="7" t="str">
        <f t="shared" si="4"/>
        <v/>
      </c>
      <c r="KF5" s="7" t="str">
        <f t="shared" si="4"/>
        <v/>
      </c>
      <c r="KG5" s="7" t="str">
        <f t="shared" si="4"/>
        <v/>
      </c>
      <c r="KH5" s="7" t="str">
        <f t="shared" si="4"/>
        <v/>
      </c>
      <c r="KI5" s="7" t="str">
        <f t="shared" si="4"/>
        <v/>
      </c>
      <c r="KJ5" s="7" t="str">
        <f t="shared" si="4"/>
        <v/>
      </c>
      <c r="KK5" s="7" t="str">
        <f t="shared" si="4"/>
        <v/>
      </c>
      <c r="KL5" s="7" t="str">
        <f t="shared" si="4"/>
        <v/>
      </c>
      <c r="KM5" s="7" t="str">
        <f t="shared" si="4"/>
        <v/>
      </c>
      <c r="KN5" s="7" t="str">
        <f t="shared" si="4"/>
        <v/>
      </c>
      <c r="KO5" s="7" t="str">
        <f t="shared" si="4"/>
        <v/>
      </c>
      <c r="KP5" s="7" t="str">
        <f t="shared" si="4"/>
        <v/>
      </c>
      <c r="KQ5" s="7" t="str">
        <f t="shared" si="4"/>
        <v/>
      </c>
      <c r="KR5" s="7" t="str">
        <f t="shared" si="4"/>
        <v/>
      </c>
      <c r="KS5" s="7" t="str">
        <f t="shared" si="4"/>
        <v/>
      </c>
      <c r="KT5" s="7" t="str">
        <f t="shared" si="4"/>
        <v/>
      </c>
      <c r="KU5" s="7" t="str">
        <f t="shared" si="4"/>
        <v/>
      </c>
      <c r="KV5" s="7" t="str">
        <f t="shared" si="4"/>
        <v/>
      </c>
      <c r="KW5" s="7" t="str">
        <f t="shared" si="4"/>
        <v/>
      </c>
      <c r="KX5" s="7" t="str">
        <f t="shared" si="4"/>
        <v/>
      </c>
      <c r="KY5" s="7" t="str">
        <f t="shared" si="4"/>
        <v/>
      </c>
      <c r="KZ5" s="7" t="str">
        <f t="shared" si="4"/>
        <v/>
      </c>
      <c r="LA5" s="7" t="str">
        <f t="shared" si="4"/>
        <v/>
      </c>
      <c r="LB5" s="7" t="str">
        <f t="shared" si="4"/>
        <v/>
      </c>
      <c r="LC5" s="7" t="str">
        <f t="shared" si="4"/>
        <v/>
      </c>
      <c r="LD5" s="7" t="str">
        <f t="shared" si="4"/>
        <v/>
      </c>
      <c r="LE5" s="7" t="str">
        <f t="shared" si="4"/>
        <v/>
      </c>
      <c r="LF5" s="7" t="str">
        <f t="shared" si="4"/>
        <v/>
      </c>
      <c r="LG5" s="7" t="str">
        <f t="shared" si="4"/>
        <v/>
      </c>
      <c r="LH5" s="7" t="str">
        <f t="shared" si="4"/>
        <v/>
      </c>
      <c r="LI5" s="7" t="str">
        <f t="shared" si="4"/>
        <v/>
      </c>
      <c r="LJ5" s="7" t="str">
        <f t="shared" si="4"/>
        <v/>
      </c>
      <c r="LK5" s="7" t="str">
        <f t="shared" ref="LK5:NI5" si="5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LL5" s="7" t="str">
        <f t="shared" si="5"/>
        <v/>
      </c>
      <c r="LM5" s="7" t="str">
        <f t="shared" si="5"/>
        <v/>
      </c>
      <c r="LN5" s="7" t="str">
        <f t="shared" si="5"/>
        <v/>
      </c>
      <c r="LO5" s="7" t="str">
        <f t="shared" si="5"/>
        <v/>
      </c>
      <c r="LP5" s="7" t="str">
        <f t="shared" si="5"/>
        <v/>
      </c>
      <c r="LQ5" s="7" t="str">
        <f t="shared" si="5"/>
        <v/>
      </c>
      <c r="LR5" s="7" t="str">
        <f t="shared" si="5"/>
        <v/>
      </c>
      <c r="LS5" s="7" t="str">
        <f t="shared" si="5"/>
        <v/>
      </c>
      <c r="LT5" s="7" t="str">
        <f t="shared" si="5"/>
        <v/>
      </c>
      <c r="LU5" s="7" t="str">
        <f t="shared" si="5"/>
        <v/>
      </c>
      <c r="LV5" s="7" t="str">
        <f t="shared" si="5"/>
        <v/>
      </c>
      <c r="LW5" s="7" t="str">
        <f t="shared" si="5"/>
        <v/>
      </c>
      <c r="LX5" s="7" t="str">
        <f t="shared" si="5"/>
        <v/>
      </c>
      <c r="LY5" s="7" t="str">
        <f t="shared" si="5"/>
        <v/>
      </c>
      <c r="LZ5" s="7" t="str">
        <f t="shared" si="5"/>
        <v/>
      </c>
      <c r="MA5" s="7" t="str">
        <f t="shared" si="5"/>
        <v/>
      </c>
      <c r="MB5" s="7" t="str">
        <f t="shared" si="5"/>
        <v/>
      </c>
      <c r="MC5" s="7" t="str">
        <f t="shared" si="5"/>
        <v/>
      </c>
      <c r="MD5" s="7" t="str">
        <f t="shared" si="5"/>
        <v/>
      </c>
      <c r="ME5" s="7" t="str">
        <f t="shared" si="5"/>
        <v/>
      </c>
      <c r="MF5" s="7" t="str">
        <f t="shared" si="5"/>
        <v/>
      </c>
      <c r="MG5" s="7" t="str">
        <f t="shared" si="5"/>
        <v/>
      </c>
      <c r="MH5" s="7" t="str">
        <f t="shared" si="5"/>
        <v/>
      </c>
      <c r="MI5" s="7" t="str">
        <f t="shared" si="5"/>
        <v/>
      </c>
      <c r="MJ5" s="7" t="str">
        <f t="shared" si="5"/>
        <v/>
      </c>
      <c r="MK5" s="7" t="str">
        <f t="shared" si="5"/>
        <v/>
      </c>
      <c r="ML5" s="7" t="str">
        <f t="shared" si="5"/>
        <v/>
      </c>
      <c r="MM5" s="7" t="str">
        <f t="shared" si="5"/>
        <v/>
      </c>
      <c r="MN5" s="7" t="str">
        <f t="shared" si="5"/>
        <v/>
      </c>
      <c r="MO5" s="7" t="str">
        <f t="shared" si="5"/>
        <v/>
      </c>
      <c r="MP5" s="7" t="str">
        <f t="shared" si="5"/>
        <v/>
      </c>
      <c r="MQ5" s="7" t="str">
        <f t="shared" si="5"/>
        <v/>
      </c>
      <c r="MR5" s="7" t="str">
        <f t="shared" si="5"/>
        <v/>
      </c>
      <c r="MS5" s="7" t="str">
        <f t="shared" si="5"/>
        <v/>
      </c>
      <c r="MT5" s="7" t="str">
        <f t="shared" si="5"/>
        <v/>
      </c>
      <c r="MU5" s="7" t="str">
        <f t="shared" si="5"/>
        <v/>
      </c>
      <c r="MV5" s="7" t="str">
        <f t="shared" si="5"/>
        <v/>
      </c>
      <c r="MW5" s="7" t="str">
        <f t="shared" si="5"/>
        <v/>
      </c>
      <c r="MX5" s="7" t="str">
        <f t="shared" si="5"/>
        <v/>
      </c>
      <c r="MY5" s="7" t="str">
        <f t="shared" si="5"/>
        <v/>
      </c>
      <c r="MZ5" s="7" t="str">
        <f t="shared" si="5"/>
        <v/>
      </c>
      <c r="NA5" s="7" t="str">
        <f t="shared" si="5"/>
        <v/>
      </c>
      <c r="NB5" s="7" t="str">
        <f t="shared" si="5"/>
        <v/>
      </c>
      <c r="NC5" s="7" t="str">
        <f t="shared" si="5"/>
        <v/>
      </c>
      <c r="ND5" s="7" t="str">
        <f t="shared" si="5"/>
        <v/>
      </c>
      <c r="NE5" s="7" t="str">
        <f t="shared" si="5"/>
        <v/>
      </c>
      <c r="NF5" s="7" t="str">
        <f t="shared" si="5"/>
        <v/>
      </c>
      <c r="NG5" s="7" t="str">
        <f t="shared" si="5"/>
        <v/>
      </c>
      <c r="NH5" s="7" t="str">
        <f t="shared" si="5"/>
        <v/>
      </c>
      <c r="NI5" s="7" t="str">
        <f t="shared" si="5"/>
        <v/>
      </c>
      <c r="NJ5" s="94" t="s">
        <v>26</v>
      </c>
      <c r="NK5" s="96" t="s">
        <v>27</v>
      </c>
      <c r="NL5" s="98" t="str">
        <f>"Leaves between " &amp; TEXT(Holidays!E2, "MM/DD/YYYY") &amp; " - " &amp; TEXT(Holidays!F2, "MM/DD/YYYY")</f>
        <v>Leaves between 04/11/2018 - 10/02/2018</v>
      </c>
      <c r="NM5" s="92" t="s">
        <v>135</v>
      </c>
      <c r="NN5" s="92" t="s">
        <v>136</v>
      </c>
      <c r="NO5" s="92" t="s">
        <v>137</v>
      </c>
      <c r="NP5" s="92" t="s">
        <v>138</v>
      </c>
      <c r="NQ5" s="92" t="s">
        <v>139</v>
      </c>
      <c r="NR5" s="92" t="s">
        <v>140</v>
      </c>
      <c r="NS5" s="92" t="s">
        <v>141</v>
      </c>
      <c r="NT5" s="92" t="s">
        <v>143</v>
      </c>
      <c r="NU5" s="92" t="s">
        <v>144</v>
      </c>
      <c r="NV5" s="92" t="s">
        <v>145</v>
      </c>
      <c r="NW5" s="92" t="s">
        <v>146</v>
      </c>
      <c r="NX5" s="92" t="s">
        <v>147</v>
      </c>
      <c r="NY5" s="92" t="s">
        <v>163</v>
      </c>
      <c r="NZ5" s="92" t="s">
        <v>164</v>
      </c>
      <c r="OA5" s="92" t="s">
        <v>176</v>
      </c>
    </row>
    <row r="6" spans="1:767" x14ac:dyDescent="0.45">
      <c r="A6" s="4" t="s">
        <v>22</v>
      </c>
      <c r="B6" s="8" t="str">
        <f>IF(B$5="","",VLOOKUP(WEEKDAY(DATE($A$2,$A$3+$A$1-1,B5),2),Sheet3!$D$1:$E$7,2,0))</f>
        <v/>
      </c>
      <c r="C6" s="8" t="str">
        <f>IF(C$5="","",VLOOKUP(WEEKDAY(DATE($A$2,$A$3+$A$1-1,C5),2),Sheet3!$D$1:$E$7,2,0))</f>
        <v/>
      </c>
      <c r="D6" s="8" t="str">
        <f>IF(D$5="","",VLOOKUP(WEEKDAY(DATE($A$2,$A$3+$A$1-1,D5),2),Sheet3!$D$1:$E$7,2,0))</f>
        <v/>
      </c>
      <c r="E6" s="8" t="str">
        <f>IF(E$5="","",VLOOKUP(WEEKDAY(DATE($A$2,$A$3+$A$1-1,E5),2),Sheet3!$D$1:$E$7,2,0))</f>
        <v/>
      </c>
      <c r="F6" s="8" t="str">
        <f>IF(F$5="","",VLOOKUP(WEEKDAY(DATE($A$2,$A$3+$A$1-1,F5),2),Sheet3!$D$1:$E$7,2,0))</f>
        <v/>
      </c>
      <c r="G6" s="8" t="str">
        <f>IF(G$5="","",VLOOKUP(WEEKDAY(DATE($A$2,$A$3+$A$1-1,G5),2),Sheet3!$D$1:$E$7,2,0))</f>
        <v/>
      </c>
      <c r="H6" s="8" t="str">
        <f>IF(H$5="","",VLOOKUP(WEEKDAY(DATE($A$2,$A$3+$A$1-1,H5),2),Sheet3!$D$1:$E$7,2,0))</f>
        <v/>
      </c>
      <c r="I6" s="8" t="str">
        <f>IF(I$5="","",VLOOKUP(WEEKDAY(DATE($A$2,$A$3+$A$1-1,I5),2),Sheet3!$D$1:$E$7,2,0))</f>
        <v/>
      </c>
      <c r="J6" s="8" t="str">
        <f>IF(J$5="","",VLOOKUP(WEEKDAY(DATE($A$2,$A$3+$A$1-1,J5),2),Sheet3!$D$1:$E$7,2,0))</f>
        <v/>
      </c>
      <c r="K6" s="8" t="str">
        <f>IF(K$5="","",VLOOKUP(WEEKDAY(DATE($A$2,$A$3+$A$1-1,K5),2),Sheet3!$D$1:$E$7,2,0))</f>
        <v/>
      </c>
      <c r="L6" s="8" t="str">
        <f>IF(L$5="","",VLOOKUP(WEEKDAY(DATE($A$2,$A$3+$A$1-1,L5),2),Sheet3!$D$1:$E$7,2,0))</f>
        <v/>
      </c>
      <c r="M6" s="8" t="str">
        <f>IF(M$5="","",VLOOKUP(WEEKDAY(DATE($A$2,$A$3+$A$1-1,M5),2),Sheet3!$D$1:$E$7,2,0))</f>
        <v/>
      </c>
      <c r="N6" s="8" t="str">
        <f>IF(N$5="","",VLOOKUP(WEEKDAY(DATE($A$2,$A$3+$A$1-1,N5),2),Sheet3!$D$1:$E$7,2,0))</f>
        <v/>
      </c>
      <c r="O6" s="8" t="str">
        <f>IF(O$5="","",VLOOKUP(WEEKDAY(DATE($A$2,$A$3+$A$1-1,O5),2),Sheet3!$D$1:$E$7,2,0))</f>
        <v/>
      </c>
      <c r="P6" s="8" t="str">
        <f>IF(P$5="","",VLOOKUP(WEEKDAY(DATE($A$2,$A$3+$A$1-1,P5),2),Sheet3!$D$1:$E$7,2,0))</f>
        <v/>
      </c>
      <c r="Q6" s="8" t="str">
        <f>IF(Q$5="","",VLOOKUP(WEEKDAY(DATE($A$2,$A$3+$A$1-1,Q5),2),Sheet3!$D$1:$E$7,2,0))</f>
        <v/>
      </c>
      <c r="R6" s="8" t="str">
        <f>IF(R$5="","",VLOOKUP(WEEKDAY(DATE($A$2,$A$3+$A$1-1,R5),2),Sheet3!$D$1:$E$7,2,0))</f>
        <v/>
      </c>
      <c r="S6" s="8" t="str">
        <f>IF(S$5="","",VLOOKUP(WEEKDAY(DATE($A$2,$A$3+$A$1-1,S5),2),Sheet3!$D$1:$E$7,2,0))</f>
        <v/>
      </c>
      <c r="T6" s="8" t="str">
        <f>IF(T$5="","",VLOOKUP(WEEKDAY(DATE($A$2,$A$3+$A$1-1,T5),2),Sheet3!$D$1:$E$7,2,0))</f>
        <v/>
      </c>
      <c r="U6" s="8" t="str">
        <f>IF(U$5="","",VLOOKUP(WEEKDAY(DATE($A$2,$A$3+$A$1-1,U5),2),Sheet3!$D$1:$E$7,2,0))</f>
        <v/>
      </c>
      <c r="V6" s="8" t="str">
        <f>IF(V$5="","",VLOOKUP(WEEKDAY(DATE($A$2,$A$3+$A$1-1,V5),2),Sheet3!$D$1:$E$7,2,0))</f>
        <v/>
      </c>
      <c r="W6" s="8" t="str">
        <f>IF(W$5="","",VLOOKUP(WEEKDAY(DATE($A$2,$A$3+$A$1-1,W5),2),Sheet3!$D$1:$E$7,2,0))</f>
        <v/>
      </c>
      <c r="X6" s="8" t="str">
        <f>IF(X$5="","",VLOOKUP(WEEKDAY(DATE($A$2,$A$3+$A$1-1,X5),2),Sheet3!$D$1:$E$7,2,0))</f>
        <v/>
      </c>
      <c r="Y6" s="8" t="str">
        <f>IF(Y$5="","",VLOOKUP(WEEKDAY(DATE($A$2,$A$3+$A$1-1,Y5),2),Sheet3!$D$1:$E$7,2,0))</f>
        <v/>
      </c>
      <c r="Z6" s="8" t="str">
        <f>IF(Z$5="","",VLOOKUP(WEEKDAY(DATE($A$2,$A$3+$A$1-1,Z5),2),Sheet3!$D$1:$E$7,2,0))</f>
        <v/>
      </c>
      <c r="AA6" s="8" t="str">
        <f>IF(AA$5="","",VLOOKUP(WEEKDAY(DATE($A$2,$A$3+$A$1-1,AA5),2),Sheet3!$D$1:$E$7,2,0))</f>
        <v/>
      </c>
      <c r="AB6" s="8" t="str">
        <f>IF(AB$5="","",VLOOKUP(WEEKDAY(DATE($A$2,$A$3+$A$1-1,AB5),2),Sheet3!$D$1:$E$7,2,0))</f>
        <v/>
      </c>
      <c r="AC6" s="8" t="str">
        <f>IF(AC$5="","",VLOOKUP(WEEKDAY(DATE($A$2,$A$3+$A$1-1,AC5),2),Sheet3!$D$1:$E$7,2,0))</f>
        <v/>
      </c>
      <c r="AD6" s="8" t="str">
        <f>IF(AD$5="","",VLOOKUP(WEEKDAY(DATE($A$2,$A$3+$A$1-1,AD5),2),Sheet3!$D$1:$E$7,2,0))</f>
        <v/>
      </c>
      <c r="AE6" s="8" t="str">
        <f>IF(AE$5="","",VLOOKUP(WEEKDAY(DATE($A$2,$A$3+$A$1-1,AE5),2),Sheet3!$D$1:$E$7,2,0))</f>
        <v/>
      </c>
      <c r="AF6" s="8" t="str">
        <f>IF(AF$5="","",VLOOKUP(WEEKDAY(DATE($A$2,$A$3+$A$1-1,AF5),2),Sheet3!$D$1:$E$7,2,0))</f>
        <v/>
      </c>
      <c r="AG6" s="8" t="str">
        <f>IF(AG$5="","",VLOOKUP(WEEKDAY(DATE($A$2,$A$3+$A$1-1,AG5),2),Sheet3!$D$1:$E$7,2,0))</f>
        <v/>
      </c>
      <c r="AH6" s="8" t="str">
        <f>IF(AH$5="","",VLOOKUP(WEEKDAY(DATE($A$2,$A$3+$A$1-1,AH5),2),Sheet3!$D$1:$E$7,2,0))</f>
        <v/>
      </c>
      <c r="AI6" s="8" t="str">
        <f>IF(AI$5="","",VLOOKUP(WEEKDAY(DATE($A$2,$A$3+$A$1-1,AI5),2),Sheet3!$D$1:$E$7,2,0))</f>
        <v/>
      </c>
      <c r="AJ6" s="8" t="str">
        <f>IF(AJ$5="","",VLOOKUP(WEEKDAY(DATE($A$2,$A$3+$A$1-1,AJ5),2),Sheet3!$D$1:$E$7,2,0))</f>
        <v/>
      </c>
      <c r="AK6" s="8" t="str">
        <f>IF(AK$5="","",VLOOKUP(WEEKDAY(DATE($A$2,$A$3+$A$1-1,AK5),2),Sheet3!$D$1:$E$7,2,0))</f>
        <v/>
      </c>
      <c r="AL6" s="8" t="str">
        <f>IF(AL$5="","",VLOOKUP(WEEKDAY(DATE($A$2,$A$3+$A$1-1,AL5),2),Sheet3!$D$1:$E$7,2,0))</f>
        <v/>
      </c>
      <c r="AM6" s="8" t="str">
        <f>IF(AM$5="","",VLOOKUP(WEEKDAY(DATE($A$2,$A$3+$A$1-1,AM5),2),Sheet3!$D$1:$E$7,2,0))</f>
        <v/>
      </c>
      <c r="AN6" s="8" t="str">
        <f>IF(AN$5="","",VLOOKUP(WEEKDAY(DATE($A$2,$A$3+$A$1-1,AN5),2),Sheet3!$D$1:$E$7,2,0))</f>
        <v/>
      </c>
      <c r="AO6" s="8" t="str">
        <f>IF(AO$5="","",VLOOKUP(WEEKDAY(DATE($A$2,$A$3+$A$1-1,AO5),2),Sheet3!$D$1:$E$7,2,0))</f>
        <v/>
      </c>
      <c r="AP6" s="8" t="str">
        <f>IF(AP$5="","",VLOOKUP(WEEKDAY(DATE($A$2,$A$3+$A$1-1,AP5),2),Sheet3!$D$1:$E$7,2,0))</f>
        <v/>
      </c>
      <c r="AQ6" s="8" t="str">
        <f>IF(AQ$5="","",VLOOKUP(WEEKDAY(DATE($A$2,$A$3+$A$1-1,AQ5),2),Sheet3!$D$1:$E$7,2,0))</f>
        <v/>
      </c>
      <c r="AR6" s="8" t="str">
        <f>IF(AR$5="","",VLOOKUP(WEEKDAY(DATE($A$2,$A$3+$A$1-1,AR5),2),Sheet3!$D$1:$E$7,2,0))</f>
        <v/>
      </c>
      <c r="AS6" s="8" t="str">
        <f>IF(AS$5="","",VLOOKUP(WEEKDAY(DATE($A$2,$A$3+$A$1-1,AS5),2),Sheet3!$D$1:$E$7,2,0))</f>
        <v/>
      </c>
      <c r="AT6" s="8" t="str">
        <f>IF(AT$5="","",VLOOKUP(WEEKDAY(DATE($A$2,$A$3+$A$1-1,AT5),2),Sheet3!$D$1:$E$7,2,0))</f>
        <v/>
      </c>
      <c r="AU6" s="8" t="str">
        <f>IF(AU$5="","",VLOOKUP(WEEKDAY(DATE($A$2,$A$3+$A$1-1,AU5),2),Sheet3!$D$1:$E$7,2,0))</f>
        <v/>
      </c>
      <c r="AV6" s="8" t="str">
        <f>IF(AV$5="","",VLOOKUP(WEEKDAY(DATE($A$2,$A$3+$A$1-1,AV5),2),Sheet3!$D$1:$E$7,2,0))</f>
        <v/>
      </c>
      <c r="AW6" s="8" t="str">
        <f>IF(AW$5="","",VLOOKUP(WEEKDAY(DATE($A$2,$A$3+$A$1-1,AW5),2),Sheet3!$D$1:$E$7,2,0))</f>
        <v/>
      </c>
      <c r="AX6" s="8" t="str">
        <f>IF(AX$5="","",VLOOKUP(WEEKDAY(DATE($A$2,$A$3+$A$1-1,AX5),2),Sheet3!$D$1:$E$7,2,0))</f>
        <v/>
      </c>
      <c r="AY6" s="8" t="str">
        <f>IF(AY$5="","",VLOOKUP(WEEKDAY(DATE($A$2,$A$3+$A$1-1,AY5),2),Sheet3!$D$1:$E$7,2,0))</f>
        <v/>
      </c>
      <c r="AZ6" s="8" t="str">
        <f>IF(AZ$5="","",VLOOKUP(WEEKDAY(DATE($A$2,$A$3+$A$1-1,AZ5),2),Sheet3!$D$1:$E$7,2,0))</f>
        <v/>
      </c>
      <c r="BA6" s="8" t="str">
        <f>IF(BA$5="","",VLOOKUP(WEEKDAY(DATE($A$2,$A$3+$A$1-1,BA5),2),Sheet3!$D$1:$E$7,2,0))</f>
        <v/>
      </c>
      <c r="BB6" s="8" t="str">
        <f>IF(BB$5="","",VLOOKUP(WEEKDAY(DATE($A$2,$A$3+$A$1-1,BB5),2),Sheet3!$D$1:$E$7,2,0))</f>
        <v/>
      </c>
      <c r="BC6" s="8" t="str">
        <f>IF(BC$5="","",VLOOKUP(WEEKDAY(DATE($A$2,$A$3+$A$1-1,BC5),2),Sheet3!$D$1:$E$7,2,0))</f>
        <v/>
      </c>
      <c r="BD6" s="8" t="str">
        <f>IF(BD$5="","",VLOOKUP(WEEKDAY(DATE($A$2,$A$3+$A$1-1,BD5),2),Sheet3!$D$1:$E$7,2,0))</f>
        <v/>
      </c>
      <c r="BE6" s="8" t="str">
        <f>IF(BE$5="","",VLOOKUP(WEEKDAY(DATE($A$2,$A$3+$A$1-1,BE5),2),Sheet3!$D$1:$E$7,2,0))</f>
        <v/>
      </c>
      <c r="BF6" s="8" t="str">
        <f>IF(BF$5="","",VLOOKUP(WEEKDAY(DATE($A$2,$A$3+$A$1-1,BF5),2),Sheet3!$D$1:$E$7,2,0))</f>
        <v/>
      </c>
      <c r="BG6" s="8" t="str">
        <f>IF(BG$5="","",VLOOKUP(WEEKDAY(DATE($A$2,$A$3+$A$1-1,BG5),2),Sheet3!$D$1:$E$7,2,0))</f>
        <v/>
      </c>
      <c r="BH6" s="8" t="str">
        <f>IF(BH$5="","",VLOOKUP(WEEKDAY(DATE($A$2,$A$3+$A$1-1,BH5),2),Sheet3!$D$1:$E$7,2,0))</f>
        <v/>
      </c>
      <c r="BI6" s="8" t="str">
        <f>IF(BI$5="","",VLOOKUP(WEEKDAY(DATE($A$2,$A$3+$A$1-1,BI5),2),Sheet3!$D$1:$E$7,2,0))</f>
        <v/>
      </c>
      <c r="BJ6" s="8" t="str">
        <f>IF(BJ$5="","",VLOOKUP(WEEKDAY(DATE($A$2,$A$3+$A$1-1,BJ5),2),Sheet3!$D$1:$E$7,2,0))</f>
        <v/>
      </c>
      <c r="BK6" s="8" t="str">
        <f>IF(BK$5="","",VLOOKUP(WEEKDAY(DATE($A$2,$A$3+$A$1-1,BK5),2),Sheet3!$D$1:$E$7,2,0))</f>
        <v/>
      </c>
      <c r="BL6" s="8" t="str">
        <f>IF(BL$5="","",VLOOKUP(WEEKDAY(DATE($A$2,$A$3+$A$1-1,BL5),2),Sheet3!$D$1:$E$7,2,0))</f>
        <v/>
      </c>
      <c r="BM6" s="8" t="str">
        <f>IF(BM$5="","",VLOOKUP(WEEKDAY(DATE($A$2,$A$3+$A$1-1,BM5),2),Sheet3!$D$1:$E$7,2,0))</f>
        <v/>
      </c>
      <c r="BN6" s="8" t="str">
        <f>IF(BN$5="","",VLOOKUP(WEEKDAY(DATE($A$2,$A$3+$A$1-1,BN5),2),Sheet3!$D$1:$E$7,2,0))</f>
        <v/>
      </c>
      <c r="BO6" s="8" t="str">
        <f>IF(BO$5="","",VLOOKUP(WEEKDAY(DATE($A$2,$A$3+$A$1-1,BO5),2),Sheet3!$D$1:$E$7,2,0))</f>
        <v/>
      </c>
      <c r="BP6" s="8" t="str">
        <f>IF(BP$5="","",VLOOKUP(WEEKDAY(DATE($A$2,$A$3+$A$1-1,BP5),2),Sheet3!$D$1:$E$7,2,0))</f>
        <v/>
      </c>
      <c r="BQ6" s="8" t="str">
        <f>IF(BQ$5="","",VLOOKUP(WEEKDAY(DATE($A$2,$A$3+$A$1-1,BQ5),2),Sheet3!$D$1:$E$7,2,0))</f>
        <v/>
      </c>
      <c r="BR6" s="8" t="str">
        <f>IF(BR$5="","",VLOOKUP(WEEKDAY(DATE($A$2,$A$3+$A$1-1,BR5),2),Sheet3!$D$1:$E$7,2,0))</f>
        <v/>
      </c>
      <c r="BS6" s="8" t="str">
        <f>IF(BS$5="","",VLOOKUP(WEEKDAY(DATE($A$2,$A$3+$A$1-1,BS5),2),Sheet3!$D$1:$E$7,2,0))</f>
        <v/>
      </c>
      <c r="BT6" s="8" t="str">
        <f>IF(BT$5="","",VLOOKUP(WEEKDAY(DATE($A$2,$A$3+$A$1-1,BT5),2),Sheet3!$D$1:$E$7,2,0))</f>
        <v/>
      </c>
      <c r="BU6" s="8" t="str">
        <f>IF(BU$5="","",VLOOKUP(WEEKDAY(DATE($A$2,$A$3+$A$1-1,BU5),2),Sheet3!$D$1:$E$7,2,0))</f>
        <v/>
      </c>
      <c r="BV6" s="8" t="str">
        <f>IF(BV$5="","",VLOOKUP(WEEKDAY(DATE($A$2,$A$3+$A$1-1,BV5),2),Sheet3!$D$1:$E$7,2,0))</f>
        <v/>
      </c>
      <c r="BW6" s="8" t="str">
        <f>IF(BW$5="","",VLOOKUP(WEEKDAY(DATE($A$2,$A$3+$A$1-1,BW5),2),Sheet3!$D$1:$E$7,2,0))</f>
        <v/>
      </c>
      <c r="BX6" s="8" t="str">
        <f>IF(BX$5="","",VLOOKUP(WEEKDAY(DATE($A$2,$A$3+$A$1-1,BX5),2),Sheet3!$D$1:$E$7,2,0))</f>
        <v/>
      </c>
      <c r="BY6" s="8" t="str">
        <f>IF(BY$5="","",VLOOKUP(WEEKDAY(DATE($A$2,$A$3+$A$1-1,BY5),2),Sheet3!$D$1:$E$7,2,0))</f>
        <v/>
      </c>
      <c r="BZ6" s="8" t="str">
        <f>IF(BZ$5="","",VLOOKUP(WEEKDAY(DATE($A$2,$A$3+$A$1-1,BZ5),2),Sheet3!$D$1:$E$7,2,0))</f>
        <v/>
      </c>
      <c r="CA6" s="8" t="str">
        <f>IF(CA$5="","",VLOOKUP(WEEKDAY(DATE($A$2,$A$3+$A$1-1,CA5),2),Sheet3!$D$1:$E$7,2,0))</f>
        <v/>
      </c>
      <c r="CB6" s="8" t="str">
        <f>IF(CB$5="","",VLOOKUP(WEEKDAY(DATE($A$2,$A$3+$A$1-1,CB5),2),Sheet3!$D$1:$E$7,2,0))</f>
        <v/>
      </c>
      <c r="CC6" s="8" t="str">
        <f>IF(CC$5="","",VLOOKUP(WEEKDAY(DATE($A$2,$A$3+$A$1-1,CC5),2),Sheet3!$D$1:$E$7,2,0))</f>
        <v/>
      </c>
      <c r="CD6" s="8" t="str">
        <f>IF(CD$5="","",VLOOKUP(WEEKDAY(DATE($A$2,$A$3+$A$1-1,CD5),2),Sheet3!$D$1:$E$7,2,0))</f>
        <v/>
      </c>
      <c r="CE6" s="8" t="str">
        <f>IF(CE$5="","",VLOOKUP(WEEKDAY(DATE($A$2,$A$3+$A$1-1,CE5),2),Sheet3!$D$1:$E$7,2,0))</f>
        <v/>
      </c>
      <c r="CF6" s="8" t="str">
        <f>IF(CF$5="","",VLOOKUP(WEEKDAY(DATE($A$2,$A$3+$A$1-1,CF5),2),Sheet3!$D$1:$E$7,2,0))</f>
        <v/>
      </c>
      <c r="CG6" s="8" t="str">
        <f>IF(CG$5="","",VLOOKUP(WEEKDAY(DATE($A$2,$A$3+$A$1-1,CG5),2),Sheet3!$D$1:$E$7,2,0))</f>
        <v/>
      </c>
      <c r="CH6" s="8" t="str">
        <f>IF(CH$5="","",VLOOKUP(WEEKDAY(DATE($A$2,$A$3+$A$1-1,CH5),2),Sheet3!$D$1:$E$7,2,0))</f>
        <v/>
      </c>
      <c r="CI6" s="8" t="str">
        <f>IF(CI$5="","",VLOOKUP(WEEKDAY(DATE($A$2,$A$3+$A$1-1,CI5),2),Sheet3!$D$1:$E$7,2,0))</f>
        <v/>
      </c>
      <c r="CJ6" s="8" t="str">
        <f>IF(CJ$5="","",VLOOKUP(WEEKDAY(DATE($A$2,$A$3+$A$1-1,CJ5),2),Sheet3!$D$1:$E$7,2,0))</f>
        <v/>
      </c>
      <c r="CK6" s="8" t="str">
        <f>IF(CK$5="","",VLOOKUP(WEEKDAY(DATE($A$2,$A$3+$A$1-1,CK5),2),Sheet3!$D$1:$E$7,2,0))</f>
        <v/>
      </c>
      <c r="CL6" s="8" t="str">
        <f>IF(CL$5="","",VLOOKUP(WEEKDAY(DATE($A$2,$A$3+$A$1-1,CL5),2),Sheet3!$D$1:$E$7,2,0))</f>
        <v/>
      </c>
      <c r="CM6" s="8" t="str">
        <f>IF(CM$5="","",VLOOKUP(WEEKDAY(DATE($A$2,$A$3+$A$1-1,CM5),2),Sheet3!$D$1:$E$7,2,0))</f>
        <v/>
      </c>
      <c r="CN6" s="8" t="str">
        <f>IF(CN$5="","",VLOOKUP(WEEKDAY(DATE($A$2,$A$3+$A$1-1,CN5),2),Sheet3!$D$1:$E$7,2,0))</f>
        <v/>
      </c>
      <c r="CO6" s="8" t="str">
        <f>IF(CO$5="","",VLOOKUP(WEEKDAY(DATE($A$2,$A$3+$A$1-1,CO5),2),Sheet3!$D$1:$E$7,2,0))</f>
        <v/>
      </c>
      <c r="CP6" s="8" t="str">
        <f>IF(CP$5="","",VLOOKUP(WEEKDAY(DATE($A$2,$A$3+$A$1-1,CP5),2),Sheet3!$D$1:$E$7,2,0))</f>
        <v/>
      </c>
      <c r="CQ6" s="8" t="str">
        <f>IF(CQ$5="","",VLOOKUP(WEEKDAY(DATE($A$2,$A$3+$A$1-1,CQ5),2),Sheet3!$D$1:$E$7,2,0))</f>
        <v/>
      </c>
      <c r="CR6" s="8" t="str">
        <f>IF(CR$5="","",VLOOKUP(WEEKDAY(DATE($A$2,$A$3+$A$1-1,CR5),2),Sheet3!$D$1:$E$7,2,0))</f>
        <v/>
      </c>
      <c r="CS6" s="8" t="str">
        <f>IF(CS$5="","",VLOOKUP(WEEKDAY(DATE($A$2,$A$3+$A$1-1,CS5),2),Sheet3!$D$1:$E$7,2,0))</f>
        <v/>
      </c>
      <c r="CT6" s="8" t="str">
        <f>IF(CT$5="","",VLOOKUP(WEEKDAY(DATE($A$2,$A$3+$A$1-1,CT5),2),Sheet3!$D$1:$E$7,2,0))</f>
        <v/>
      </c>
      <c r="CU6" s="8" t="str">
        <f>IF(CU$5="","",VLOOKUP(WEEKDAY(DATE($A$2,$A$3+$A$1-1,CU5),2),Sheet3!$D$1:$E$7,2,0))</f>
        <v/>
      </c>
      <c r="CV6" s="8" t="str">
        <f>IF(CV$5="","",VLOOKUP(WEEKDAY(DATE($A$2,$A$3+$A$1-1,CV5),2),Sheet3!$D$1:$E$7,2,0))</f>
        <v/>
      </c>
      <c r="CW6" s="8" t="str">
        <f>IF(CW$5="","",VLOOKUP(WEEKDAY(DATE($A$2,$A$3+$A$1-1,CW5),2),Sheet3!$D$1:$E$7,2,0))</f>
        <v/>
      </c>
      <c r="CX6" s="8" t="str">
        <f>IF(CX$5="","",VLOOKUP(WEEKDAY(DATE($A$2,$A$3+$A$1-1,CX5),2),Sheet3!$D$1:$E$7,2,0))</f>
        <v/>
      </c>
      <c r="CY6" s="8" t="str">
        <f>IF(CY$5="","",VLOOKUP(WEEKDAY(DATE($A$2,$A$3+$A$1-1,CY5),2),Sheet3!$D$1:$E$7,2,0))</f>
        <v/>
      </c>
      <c r="CZ6" s="8" t="str">
        <f>IF(CZ$5="","",VLOOKUP(WEEKDAY(DATE($A$2,$A$3+$A$1-1,CZ5),2),Sheet3!$D$1:$E$7,2,0))</f>
        <v/>
      </c>
      <c r="DA6" s="8" t="str">
        <f>IF(DA$5="","",VLOOKUP(WEEKDAY(DATE($A$2,$A$3+$A$1-1,DA5),2),Sheet3!$D$1:$E$7,2,0))</f>
        <v/>
      </c>
      <c r="DB6" s="8" t="str">
        <f>IF(DB$5="","",VLOOKUP(WEEKDAY(DATE($A$2,$A$3+$A$1-1,DB5),2),Sheet3!$D$1:$E$7,2,0))</f>
        <v/>
      </c>
      <c r="DC6" s="8" t="str">
        <f>IF(DC$5="","",VLOOKUP(WEEKDAY(DATE($A$2,$A$3+$A$1-1,DC5),2),Sheet3!$D$1:$E$7,2,0))</f>
        <v/>
      </c>
      <c r="DD6" s="8" t="str">
        <f>IF(DD$5="","",VLOOKUP(WEEKDAY(DATE($A$2,$A$3+$A$1-1,DD5),2),Sheet3!$D$1:$E$7,2,0))</f>
        <v/>
      </c>
      <c r="DE6" s="8" t="str">
        <f>IF(DE$5="","",VLOOKUP(WEEKDAY(DATE($A$2,$A$3+$A$1-1,DE5),2),Sheet3!$D$1:$E$7,2,0))</f>
        <v/>
      </c>
      <c r="DF6" s="8" t="str">
        <f>IF(DF$5="","",VLOOKUP(WEEKDAY(DATE($A$2,$A$3+$A$1-1,DF5),2),Sheet3!$D$1:$E$7,2,0))</f>
        <v/>
      </c>
      <c r="DG6" s="8" t="str">
        <f>IF(DG$5="","",VLOOKUP(WEEKDAY(DATE($A$2,$A$3+$A$1-1,DG5),2),Sheet3!$D$1:$E$7,2,0))</f>
        <v/>
      </c>
      <c r="DH6" s="8" t="str">
        <f>IF(DH$5="","",VLOOKUP(WEEKDAY(DATE($A$2,$A$3+$A$1-1,DH5),2),Sheet3!$D$1:$E$7,2,0))</f>
        <v/>
      </c>
      <c r="DI6" s="8" t="str">
        <f>IF(DI$5="","",VLOOKUP(WEEKDAY(DATE($A$2,$A$3+$A$1-1,DI5),2),Sheet3!$D$1:$E$7,2,0))</f>
        <v/>
      </c>
      <c r="DJ6" s="8" t="str">
        <f>IF(DJ$5="","",VLOOKUP(WEEKDAY(DATE($A$2,$A$3+$A$1-1,DJ5),2),Sheet3!$D$1:$E$7,2,0))</f>
        <v/>
      </c>
      <c r="DK6" s="8" t="str">
        <f>IF(DK$5="","",VLOOKUP(WEEKDAY(DATE($A$2,$A$3+$A$1-1,DK5),2),Sheet3!$D$1:$E$7,2,0))</f>
        <v/>
      </c>
      <c r="DL6" s="8" t="str">
        <f>IF(DL$5="","",VLOOKUP(WEEKDAY(DATE($A$2,$A$3+$A$1-1,DL5),2),Sheet3!$D$1:$E$7,2,0))</f>
        <v/>
      </c>
      <c r="DM6" s="8" t="str">
        <f>IF(DM$5="","",VLOOKUP(WEEKDAY(DATE($A$2,$A$3+$A$1-1,DM5),2),Sheet3!$D$1:$E$7,2,0))</f>
        <v/>
      </c>
      <c r="DN6" s="8" t="str">
        <f>IF(DN$5="","",VLOOKUP(WEEKDAY(DATE($A$2,$A$3+$A$1-1,DN5),2),Sheet3!$D$1:$E$7,2,0))</f>
        <v/>
      </c>
      <c r="DO6" s="8" t="str">
        <f>IF(DO$5="","",VLOOKUP(WEEKDAY(DATE($A$2,$A$3+$A$1-1,DO5),2),Sheet3!$D$1:$E$7,2,0))</f>
        <v/>
      </c>
      <c r="DP6" s="8" t="str">
        <f>IF(DP$5="","",VLOOKUP(WEEKDAY(DATE($A$2,$A$3+$A$1-1,DP5),2),Sheet3!$D$1:$E$7,2,0))</f>
        <v/>
      </c>
      <c r="DQ6" s="8" t="str">
        <f>IF(DQ$5="","",VLOOKUP(WEEKDAY(DATE($A$2,$A$3+$A$1-1,DQ5),2),Sheet3!$D$1:$E$7,2,0))</f>
        <v/>
      </c>
      <c r="DR6" s="8" t="str">
        <f>IF(DR$5="","",VLOOKUP(WEEKDAY(DATE($A$2,$A$3+$A$1-1,DR5),2),Sheet3!$D$1:$E$7,2,0))</f>
        <v/>
      </c>
      <c r="DS6" s="8" t="str">
        <f>IF(DS$5="","",VLOOKUP(WEEKDAY(DATE($A$2,$A$3+$A$1-1,DS5),2),Sheet3!$D$1:$E$7,2,0))</f>
        <v/>
      </c>
      <c r="DT6" s="8" t="str">
        <f>IF(DT$5="","",VLOOKUP(WEEKDAY(DATE($A$2,$A$3+$A$1-1,DT5),2),Sheet3!$D$1:$E$7,2,0))</f>
        <v/>
      </c>
      <c r="DU6" s="8" t="str">
        <f>IF(DU$5="","",VLOOKUP(WEEKDAY(DATE($A$2,$A$3+$A$1-1,DU5),2),Sheet3!$D$1:$E$7,2,0))</f>
        <v/>
      </c>
      <c r="DV6" s="8" t="str">
        <f>IF(DV$5="","",VLOOKUP(WEEKDAY(DATE($A$2,$A$3+$A$1-1,DV5),2),Sheet3!$D$1:$E$7,2,0))</f>
        <v/>
      </c>
      <c r="DW6" s="8" t="str">
        <f>IF(DW$5="","",VLOOKUP(WEEKDAY(DATE($A$2,$A$3+$A$1-1,DW5),2),Sheet3!$D$1:$E$7,2,0))</f>
        <v/>
      </c>
      <c r="DX6" s="8" t="str">
        <f>IF(DX$5="","",VLOOKUP(WEEKDAY(DATE($A$2,$A$3+$A$1-1,DX5),2),Sheet3!$D$1:$E$7,2,0))</f>
        <v/>
      </c>
      <c r="DY6" s="8" t="str">
        <f>IF(DY$5="","",VLOOKUP(WEEKDAY(DATE($A$2,$A$3+$A$1-1,DY5),2),Sheet3!$D$1:$E$7,2,0))</f>
        <v/>
      </c>
      <c r="DZ6" s="8" t="str">
        <f>IF(DZ$5="","",VLOOKUP(WEEKDAY(DATE($A$2,$A$3+$A$1-1,DZ5),2),Sheet3!$D$1:$E$7,2,0))</f>
        <v/>
      </c>
      <c r="EA6" s="8" t="str">
        <f>IF(EA$5="","",VLOOKUP(WEEKDAY(DATE($A$2,$A$3+$A$1-1,EA5),2),Sheet3!$D$1:$E$7,2,0))</f>
        <v/>
      </c>
      <c r="EB6" s="8" t="str">
        <f>IF(EB$5="","",VLOOKUP(WEEKDAY(DATE($A$2,$A$3+$A$1-1,EB5),2),Sheet3!$D$1:$E$7,2,0))</f>
        <v/>
      </c>
      <c r="EC6" s="8" t="str">
        <f>IF(EC$5="","",VLOOKUP(WEEKDAY(DATE($A$2,$A$3+$A$1-1,EC5),2),Sheet3!$D$1:$E$7,2,0))</f>
        <v/>
      </c>
      <c r="ED6" s="8" t="str">
        <f>IF(ED$5="","",VLOOKUP(WEEKDAY(DATE($A$2,$A$3+$A$1-1,ED5),2),Sheet3!$D$1:$E$7,2,0))</f>
        <v/>
      </c>
      <c r="EE6" s="8" t="str">
        <f>IF(EE$5="","",VLOOKUP(WEEKDAY(DATE($A$2,$A$3+$A$1-1,EE5),2),Sheet3!$D$1:$E$7,2,0))</f>
        <v/>
      </c>
      <c r="EF6" s="8" t="str">
        <f>IF(EF$5="","",VLOOKUP(WEEKDAY(DATE($A$2,$A$3+$A$1-1,EF5),2),Sheet3!$D$1:$E$7,2,0))</f>
        <v/>
      </c>
      <c r="EG6" s="8" t="str">
        <f>IF(EG$5="","",VLOOKUP(WEEKDAY(DATE($A$2,$A$3+$A$1-1,EG5),2),Sheet3!$D$1:$E$7,2,0))</f>
        <v/>
      </c>
      <c r="EH6" s="8" t="str">
        <f>IF(EH$5="","",VLOOKUP(WEEKDAY(DATE($A$2,$A$3+$A$1-1,EH5),2),Sheet3!$D$1:$E$7,2,0))</f>
        <v/>
      </c>
      <c r="EI6" s="8" t="str">
        <f>IF(EI$5="","",VLOOKUP(WEEKDAY(DATE($A$2,$A$3+$A$1-1,EI5),2),Sheet3!$D$1:$E$7,2,0))</f>
        <v/>
      </c>
      <c r="EJ6" s="8" t="str">
        <f>IF(EJ$5="","",VLOOKUP(WEEKDAY(DATE($A$2,$A$3+$A$1-1,EJ5),2),Sheet3!$D$1:$E$7,2,0))</f>
        <v/>
      </c>
      <c r="EK6" s="8" t="str">
        <f>IF(EK$5="","",VLOOKUP(WEEKDAY(DATE($A$2,$A$3+$A$1-1,EK5),2),Sheet3!$D$1:$E$7,2,0))</f>
        <v/>
      </c>
      <c r="EL6" s="8" t="str">
        <f>IF(EL$5="","",VLOOKUP(WEEKDAY(DATE($A$2,$A$3+$A$1-1,EL5),2),Sheet3!$D$1:$E$7,2,0))</f>
        <v/>
      </c>
      <c r="EM6" s="8" t="str">
        <f>IF(EM$5="","",VLOOKUP(WEEKDAY(DATE($A$2,$A$3+$A$1-1,EM5),2),Sheet3!$D$1:$E$7,2,0))</f>
        <v/>
      </c>
      <c r="EN6" s="8" t="str">
        <f>IF(EN$5="","",VLOOKUP(WEEKDAY(DATE($A$2,$A$3+$A$1-1,EN5),2),Sheet3!$D$1:$E$7,2,0))</f>
        <v/>
      </c>
      <c r="EO6" s="8" t="str">
        <f>IF(EO$5="","",VLOOKUP(WEEKDAY(DATE($A$2,$A$3+$A$1-1,EO5),2),Sheet3!$D$1:$E$7,2,0))</f>
        <v/>
      </c>
      <c r="EP6" s="8" t="str">
        <f>IF(EP$5="","",VLOOKUP(WEEKDAY(DATE($A$2,$A$3+$A$1-1,EP5),2),Sheet3!$D$1:$E$7,2,0))</f>
        <v/>
      </c>
      <c r="EQ6" s="8" t="str">
        <f>IF(EQ$5="","",VLOOKUP(WEEKDAY(DATE($A$2,$A$3+$A$1-1,EQ5),2),Sheet3!$D$1:$E$7,2,0))</f>
        <v/>
      </c>
      <c r="ER6" s="8" t="str">
        <f>IF(ER$5="","",VLOOKUP(WEEKDAY(DATE($A$2,$A$3+$A$1-1,ER5),2),Sheet3!$D$1:$E$7,2,0))</f>
        <v/>
      </c>
      <c r="ES6" s="8" t="str">
        <f>IF(ES$5="","",VLOOKUP(WEEKDAY(DATE($A$2,$A$3+$A$1-1,ES5),2),Sheet3!$D$1:$E$7,2,0))</f>
        <v/>
      </c>
      <c r="ET6" s="8" t="str">
        <f>IF(ET$5="","",VLOOKUP(WEEKDAY(DATE($A$2,$A$3+$A$1-1,ET5),2),Sheet3!$D$1:$E$7,2,0))</f>
        <v/>
      </c>
      <c r="EU6" s="8" t="str">
        <f>IF(EU$5="","",VLOOKUP(WEEKDAY(DATE($A$2,$A$3+$A$1-1,EU5),2),Sheet3!$D$1:$E$7,2,0))</f>
        <v/>
      </c>
      <c r="EV6" s="8" t="str">
        <f>IF(EV$5="","",VLOOKUP(WEEKDAY(DATE($A$2,$A$3+$A$1-1,EV5),2),Sheet3!$D$1:$E$7,2,0))</f>
        <v/>
      </c>
      <c r="EW6" s="8" t="str">
        <f>IF(EW$5="","",VLOOKUP(WEEKDAY(DATE($A$2,$A$3+$A$1-1,EW5),2),Sheet3!$D$1:$E$7,2,0))</f>
        <v/>
      </c>
      <c r="EX6" s="8" t="str">
        <f>IF(EX$5="","",VLOOKUP(WEEKDAY(DATE($A$2,$A$3+$A$1-1,EX5),2),Sheet3!$D$1:$E$7,2,0))</f>
        <v/>
      </c>
      <c r="EY6" s="8" t="str">
        <f>IF(EY$5="","",VLOOKUP(WEEKDAY(DATE($A$2,$A$3+$A$1-1,EY5),2),Sheet3!$D$1:$E$7,2,0))</f>
        <v/>
      </c>
      <c r="EZ6" s="8" t="str">
        <f>IF(EZ$5="","",VLOOKUP(WEEKDAY(DATE($A$2,$A$3+$A$1-1,EZ5),2),Sheet3!$D$1:$E$7,2,0))</f>
        <v/>
      </c>
      <c r="FA6" s="8" t="str">
        <f>IF(FA$5="","",VLOOKUP(WEEKDAY(DATE($A$2,$A$3+$A$1-1,FA5),2),Sheet3!$D$1:$E$7,2,0))</f>
        <v>Sat</v>
      </c>
      <c r="FB6" s="8" t="str">
        <f>IF(FB$5="","",VLOOKUP(WEEKDAY(DATE($A$2,$A$3+$A$1-1,FB5),2),Sheet3!$D$1:$E$7,2,0))</f>
        <v>Sun</v>
      </c>
      <c r="FC6" s="8" t="str">
        <f>IF(FC$5="","",VLOOKUP(WEEKDAY(DATE($A$2,$A$3+$A$1-1,FC5),2),Sheet3!$D$1:$E$7,2,0))</f>
        <v>Mon</v>
      </c>
      <c r="FD6" s="8" t="str">
        <f>IF(FD$5="","",VLOOKUP(WEEKDAY(DATE($A$2,$A$3+$A$1-1,FD5),2),Sheet3!$D$1:$E$7,2,0))</f>
        <v>Tue</v>
      </c>
      <c r="FE6" s="8" t="str">
        <f>IF(FE$5="","",VLOOKUP(WEEKDAY(DATE($A$2,$A$3+$A$1-1,FE5),2),Sheet3!$D$1:$E$7,2,0))</f>
        <v>Wed</v>
      </c>
      <c r="FF6" s="8" t="str">
        <f>IF(FF$5="","",VLOOKUP(WEEKDAY(DATE($A$2,$A$3+$A$1-1,FF5),2),Sheet3!$D$1:$E$7,2,0))</f>
        <v>Thu</v>
      </c>
      <c r="FG6" s="8" t="str">
        <f>IF(FG$5="","",VLOOKUP(WEEKDAY(DATE($A$2,$A$3+$A$1-1,FG5),2),Sheet3!$D$1:$E$7,2,0))</f>
        <v>Fri</v>
      </c>
      <c r="FH6" s="8" t="str">
        <f>IF(FH$5="","",VLOOKUP(WEEKDAY(DATE($A$2,$A$3+$A$1-1,FH5),2),Sheet3!$D$1:$E$7,2,0))</f>
        <v>Sat</v>
      </c>
      <c r="FI6" s="8" t="str">
        <f>IF(FI$5="","",VLOOKUP(WEEKDAY(DATE($A$2,$A$3+$A$1-1,FI5),2),Sheet3!$D$1:$E$7,2,0))</f>
        <v>Sun</v>
      </c>
      <c r="FJ6" s="8" t="str">
        <f>IF(FJ$5="","",VLOOKUP(WEEKDAY(DATE($A$2,$A$3+$A$1-1,FJ5),2),Sheet3!$D$1:$E$7,2,0))</f>
        <v>Mon</v>
      </c>
      <c r="FK6" s="8" t="str">
        <f>IF(FK$5="","",VLOOKUP(WEEKDAY(DATE($A$2,$A$3+$A$1-1,FK5),2),Sheet3!$D$1:$E$7,2,0))</f>
        <v>Tue</v>
      </c>
      <c r="FL6" s="8" t="str">
        <f>IF(FL$5="","",VLOOKUP(WEEKDAY(DATE($A$2,$A$3+$A$1-1,FL5),2),Sheet3!$D$1:$E$7,2,0))</f>
        <v>Wed</v>
      </c>
      <c r="FM6" s="8" t="str">
        <f>IF(FM$5="","",VLOOKUP(WEEKDAY(DATE($A$2,$A$3+$A$1-1,FM5),2),Sheet3!$D$1:$E$7,2,0))</f>
        <v>Thu</v>
      </c>
      <c r="FN6" s="8" t="str">
        <f>IF(FN$5="","",VLOOKUP(WEEKDAY(DATE($A$2,$A$3+$A$1-1,FN5),2),Sheet3!$D$1:$E$7,2,0))</f>
        <v>Fri</v>
      </c>
      <c r="FO6" s="8" t="str">
        <f>IF(FO$5="","",VLOOKUP(WEEKDAY(DATE($A$2,$A$3+$A$1-1,FO5),2),Sheet3!$D$1:$E$7,2,0))</f>
        <v>Sat</v>
      </c>
      <c r="FP6" s="8" t="str">
        <f>IF(FP$5="","",VLOOKUP(WEEKDAY(DATE($A$2,$A$3+$A$1-1,FP5),2),Sheet3!$D$1:$E$7,2,0))</f>
        <v>Sun</v>
      </c>
      <c r="FQ6" s="8" t="str">
        <f>IF(FQ$5="","",VLOOKUP(WEEKDAY(DATE($A$2,$A$3+$A$1-1,FQ5),2),Sheet3!$D$1:$E$7,2,0))</f>
        <v>Mon</v>
      </c>
      <c r="FR6" s="8" t="str">
        <f>IF(FR$5="","",VLOOKUP(WEEKDAY(DATE($A$2,$A$3+$A$1-1,FR5),2),Sheet3!$D$1:$E$7,2,0))</f>
        <v>Tue</v>
      </c>
      <c r="FS6" s="8" t="str">
        <f>IF(FS$5="","",VLOOKUP(WEEKDAY(DATE($A$2,$A$3+$A$1-1,FS5),2),Sheet3!$D$1:$E$7,2,0))</f>
        <v>Wed</v>
      </c>
      <c r="FT6" s="8" t="str">
        <f>IF(FT$5="","",VLOOKUP(WEEKDAY(DATE($A$2,$A$3+$A$1-1,FT5),2),Sheet3!$D$1:$E$7,2,0))</f>
        <v>Thu</v>
      </c>
      <c r="FU6" s="8" t="str">
        <f>IF(FU$5="","",VLOOKUP(WEEKDAY(DATE($A$2,$A$3+$A$1-1,FU5),2),Sheet3!$D$1:$E$7,2,0))</f>
        <v>Fri</v>
      </c>
      <c r="FV6" s="8" t="str">
        <f>IF(FV$5="","",VLOOKUP(WEEKDAY(DATE($A$2,$A$3+$A$1-1,FV5),2),Sheet3!$D$1:$E$7,2,0))</f>
        <v>Sat</v>
      </c>
      <c r="FW6" s="8" t="str">
        <f>IF(FW$5="","",VLOOKUP(WEEKDAY(DATE($A$2,$A$3+$A$1-1,FW5),2),Sheet3!$D$1:$E$7,2,0))</f>
        <v>Sun</v>
      </c>
      <c r="FX6" s="8" t="str">
        <f>IF(FX$5="","",VLOOKUP(WEEKDAY(DATE($A$2,$A$3+$A$1-1,FX5),2),Sheet3!$D$1:$E$7,2,0))</f>
        <v>Mon</v>
      </c>
      <c r="FY6" s="8" t="str">
        <f>IF(FY$5="","",VLOOKUP(WEEKDAY(DATE($A$2,$A$3+$A$1-1,FY5),2),Sheet3!$D$1:$E$7,2,0))</f>
        <v>Tue</v>
      </c>
      <c r="FZ6" s="8" t="str">
        <f>IF(FZ$5="","",VLOOKUP(WEEKDAY(DATE($A$2,$A$3+$A$1-1,FZ5),2),Sheet3!$D$1:$E$7,2,0))</f>
        <v>Wed</v>
      </c>
      <c r="GA6" s="8" t="str">
        <f>IF(GA$5="","",VLOOKUP(WEEKDAY(DATE($A$2,$A$3+$A$1-1,GA5),2),Sheet3!$D$1:$E$7,2,0))</f>
        <v>Thu</v>
      </c>
      <c r="GB6" s="8" t="str">
        <f>IF(GB$5="","",VLOOKUP(WEEKDAY(DATE($A$2,$A$3+$A$1-1,GB5),2),Sheet3!$D$1:$E$7,2,0))</f>
        <v>Fri</v>
      </c>
      <c r="GC6" s="8" t="str">
        <f>IF(GC$5="","",VLOOKUP(WEEKDAY(DATE($A$2,$A$3+$A$1-1,GC5),2),Sheet3!$D$1:$E$7,2,0))</f>
        <v>Sat</v>
      </c>
      <c r="GD6" s="8" t="str">
        <f>IF(GD$5="","",VLOOKUP(WEEKDAY(DATE($A$2,$A$3+$A$1-1,GD5),2),Sheet3!$D$1:$E$7,2,0))</f>
        <v>Sun</v>
      </c>
      <c r="GE6" s="8" t="str">
        <f>IF(GE$5="","",VLOOKUP(WEEKDAY(DATE($A$2,$A$3+$A$1-1,GE5),2),Sheet3!$D$1:$E$7,2,0))</f>
        <v/>
      </c>
      <c r="GF6" s="8" t="str">
        <f>IF(GF$5="","",VLOOKUP(WEEKDAY(DATE($A$2,$A$3+$A$1-1,GF5),2),Sheet3!$D$1:$E$7,2,0))</f>
        <v/>
      </c>
      <c r="GG6" s="8" t="str">
        <f>IF(GG$5="","",VLOOKUP(WEEKDAY(DATE($A$2,$A$3+$A$1-1,GG5),2),Sheet3!$D$1:$E$7,2,0))</f>
        <v/>
      </c>
      <c r="GH6" s="8" t="str">
        <f>IF(GH$5="","",VLOOKUP(WEEKDAY(DATE($A$2,$A$3+$A$1-1,GH5),2),Sheet3!$D$1:$E$7,2,0))</f>
        <v/>
      </c>
      <c r="GI6" s="8" t="str">
        <f>IF(GI$5="","",VLOOKUP(WEEKDAY(DATE($A$2,$A$3+$A$1-1,GI5),2),Sheet3!$D$1:$E$7,2,0))</f>
        <v/>
      </c>
      <c r="GJ6" s="8" t="str">
        <f>IF(GJ$5="","",VLOOKUP(WEEKDAY(DATE($A$2,$A$3+$A$1-1,GJ5),2),Sheet3!$D$1:$E$7,2,0))</f>
        <v/>
      </c>
      <c r="GK6" s="8" t="str">
        <f>IF(GK$5="","",VLOOKUP(WEEKDAY(DATE($A$2,$A$3+$A$1-1,GK5),2),Sheet3!$D$1:$E$7,2,0))</f>
        <v/>
      </c>
      <c r="GL6" s="8" t="str">
        <f>IF(GL$5="","",VLOOKUP(WEEKDAY(DATE($A$2,$A$3+$A$1-1,GL5),2),Sheet3!$D$1:$E$7,2,0))</f>
        <v/>
      </c>
      <c r="GM6" s="8" t="str">
        <f>IF(GM$5="","",VLOOKUP(WEEKDAY(DATE($A$2,$A$3+$A$1-1,GM5),2),Sheet3!$D$1:$E$7,2,0))</f>
        <v/>
      </c>
      <c r="GN6" s="8" t="str">
        <f>IF(GN$5="","",VLOOKUP(WEEKDAY(DATE($A$2,$A$3+$A$1-1,GN5),2),Sheet3!$D$1:$E$7,2,0))</f>
        <v/>
      </c>
      <c r="GO6" s="8" t="str">
        <f>IF(GO$5="","",VLOOKUP(WEEKDAY(DATE($A$2,$A$3+$A$1-1,GO5),2),Sheet3!$D$1:$E$7,2,0))</f>
        <v/>
      </c>
      <c r="GP6" s="8" t="str">
        <f>IF(GP$5="","",VLOOKUP(WEEKDAY(DATE($A$2,$A$3+$A$1-1,GP5),2),Sheet3!$D$1:$E$7,2,0))</f>
        <v/>
      </c>
      <c r="GQ6" s="8" t="str">
        <f>IF(GQ$5="","",VLOOKUP(WEEKDAY(DATE($A$2,$A$3+$A$1-1,GQ5),2),Sheet3!$D$1:$E$7,2,0))</f>
        <v/>
      </c>
      <c r="GR6" s="8" t="str">
        <f>IF(GR$5="","",VLOOKUP(WEEKDAY(DATE($A$2,$A$3+$A$1-1,GR5),2),Sheet3!$D$1:$E$7,2,0))</f>
        <v/>
      </c>
      <c r="GS6" s="8" t="str">
        <f>IF(GS$5="","",VLOOKUP(WEEKDAY(DATE($A$2,$A$3+$A$1-1,GS5),2),Sheet3!$D$1:$E$7,2,0))</f>
        <v/>
      </c>
      <c r="GT6" s="8" t="str">
        <f>IF(GT$5="","",VLOOKUP(WEEKDAY(DATE($A$2,$A$3+$A$1-1,GT5),2),Sheet3!$D$1:$E$7,2,0))</f>
        <v/>
      </c>
      <c r="GU6" s="8" t="str">
        <f>IF(GU$5="","",VLOOKUP(WEEKDAY(DATE($A$2,$A$3+$A$1-1,GU5),2),Sheet3!$D$1:$E$7,2,0))</f>
        <v/>
      </c>
      <c r="GV6" s="8" t="str">
        <f>IF(GV$5="","",VLOOKUP(WEEKDAY(DATE($A$2,$A$3+$A$1-1,GV5),2),Sheet3!$D$1:$E$7,2,0))</f>
        <v/>
      </c>
      <c r="GW6" s="8" t="str">
        <f>IF(GW$5="","",VLOOKUP(WEEKDAY(DATE($A$2,$A$3+$A$1-1,GW5),2),Sheet3!$D$1:$E$7,2,0))</f>
        <v/>
      </c>
      <c r="GX6" s="8" t="str">
        <f>IF(GX$5="","",VLOOKUP(WEEKDAY(DATE($A$2,$A$3+$A$1-1,GX5),2),Sheet3!$D$1:$E$7,2,0))</f>
        <v/>
      </c>
      <c r="GY6" s="8" t="str">
        <f>IF(GY$5="","",VLOOKUP(WEEKDAY(DATE($A$2,$A$3+$A$1-1,GY5),2),Sheet3!$D$1:$E$7,2,0))</f>
        <v/>
      </c>
      <c r="GZ6" s="8" t="str">
        <f>IF(GZ$5="","",VLOOKUP(WEEKDAY(DATE($A$2,$A$3+$A$1-1,GZ5),2),Sheet3!$D$1:$E$7,2,0))</f>
        <v/>
      </c>
      <c r="HA6" s="8" t="str">
        <f>IF(HA$5="","",VLOOKUP(WEEKDAY(DATE($A$2,$A$3+$A$1-1,HA5),2),Sheet3!$D$1:$E$7,2,0))</f>
        <v/>
      </c>
      <c r="HB6" s="8" t="str">
        <f>IF(HB$5="","",VLOOKUP(WEEKDAY(DATE($A$2,$A$3+$A$1-1,HB5),2),Sheet3!$D$1:$E$7,2,0))</f>
        <v/>
      </c>
      <c r="HC6" s="8" t="str">
        <f>IF(HC$5="","",VLOOKUP(WEEKDAY(DATE($A$2,$A$3+$A$1-1,HC5),2),Sheet3!$D$1:$E$7,2,0))</f>
        <v/>
      </c>
      <c r="HD6" s="8" t="str">
        <f>IF(HD$5="","",VLOOKUP(WEEKDAY(DATE($A$2,$A$3+$A$1-1,HD5),2),Sheet3!$D$1:$E$7,2,0))</f>
        <v/>
      </c>
      <c r="HE6" s="8" t="str">
        <f>IF(HE$5="","",VLOOKUP(WEEKDAY(DATE($A$2,$A$3+$A$1-1,HE5),2),Sheet3!$D$1:$E$7,2,0))</f>
        <v/>
      </c>
      <c r="HF6" s="8" t="str">
        <f>IF(HF$5="","",VLOOKUP(WEEKDAY(DATE($A$2,$A$3+$A$1-1,HF5),2),Sheet3!$D$1:$E$7,2,0))</f>
        <v/>
      </c>
      <c r="HG6" s="8" t="str">
        <f>IF(HG$5="","",VLOOKUP(WEEKDAY(DATE($A$2,$A$3+$A$1-1,HG5),2),Sheet3!$D$1:$E$7,2,0))</f>
        <v/>
      </c>
      <c r="HH6" s="8" t="str">
        <f>IF(HH$5="","",VLOOKUP(WEEKDAY(DATE($A$2,$A$3+$A$1-1,HH5),2),Sheet3!$D$1:$E$7,2,0))</f>
        <v/>
      </c>
      <c r="HI6" s="8" t="str">
        <f>IF(HI$5="","",VLOOKUP(WEEKDAY(DATE($A$2,$A$3+$A$1-1,HI5),2),Sheet3!$D$1:$E$7,2,0))</f>
        <v/>
      </c>
      <c r="HJ6" s="8" t="str">
        <f>IF(HJ$5="","",VLOOKUP(WEEKDAY(DATE($A$2,$A$3+$A$1-1,HJ5),2),Sheet3!$D$1:$E$7,2,0))</f>
        <v/>
      </c>
      <c r="HK6" s="8" t="str">
        <f>IF(HK$5="","",VLOOKUP(WEEKDAY(DATE($A$2,$A$3+$A$1-1,HK5),2),Sheet3!$D$1:$E$7,2,0))</f>
        <v/>
      </c>
      <c r="HL6" s="8" t="str">
        <f>IF(HL$5="","",VLOOKUP(WEEKDAY(DATE($A$2,$A$3+$A$1-1,HL5),2),Sheet3!$D$1:$E$7,2,0))</f>
        <v/>
      </c>
      <c r="HM6" s="8" t="str">
        <f>IF(HM$5="","",VLOOKUP(WEEKDAY(DATE($A$2,$A$3+$A$1-1,HM5),2),Sheet3!$D$1:$E$7,2,0))</f>
        <v/>
      </c>
      <c r="HN6" s="8" t="str">
        <f>IF(HN$5="","",VLOOKUP(WEEKDAY(DATE($A$2,$A$3+$A$1-1,HN5),2),Sheet3!$D$1:$E$7,2,0))</f>
        <v/>
      </c>
      <c r="HO6" s="8" t="str">
        <f>IF(HO$5="","",VLOOKUP(WEEKDAY(DATE($A$2,$A$3+$A$1-1,HO5),2),Sheet3!$D$1:$E$7,2,0))</f>
        <v/>
      </c>
      <c r="HP6" s="8" t="str">
        <f>IF(HP$5="","",VLOOKUP(WEEKDAY(DATE($A$2,$A$3+$A$1-1,HP5),2),Sheet3!$D$1:$E$7,2,0))</f>
        <v/>
      </c>
      <c r="HQ6" s="8" t="str">
        <f>IF(HQ$5="","",VLOOKUP(WEEKDAY(DATE($A$2,$A$3+$A$1-1,HQ5),2),Sheet3!$D$1:$E$7,2,0))</f>
        <v/>
      </c>
      <c r="HR6" s="8" t="str">
        <f>IF(HR$5="","",VLOOKUP(WEEKDAY(DATE($A$2,$A$3+$A$1-1,HR5),2),Sheet3!$D$1:$E$7,2,0))</f>
        <v/>
      </c>
      <c r="HS6" s="8" t="str">
        <f>IF(HS$5="","",VLOOKUP(WEEKDAY(DATE($A$2,$A$3+$A$1-1,HS5),2),Sheet3!$D$1:$E$7,2,0))</f>
        <v/>
      </c>
      <c r="HT6" s="8" t="str">
        <f>IF(HT$5="","",VLOOKUP(WEEKDAY(DATE($A$2,$A$3+$A$1-1,HT5),2),Sheet3!$D$1:$E$7,2,0))</f>
        <v/>
      </c>
      <c r="HU6" s="8" t="str">
        <f>IF(HU$5="","",VLOOKUP(WEEKDAY(DATE($A$2,$A$3+$A$1-1,HU5),2),Sheet3!$D$1:$E$7,2,0))</f>
        <v/>
      </c>
      <c r="HV6" s="8" t="str">
        <f>IF(HV$5="","",VLOOKUP(WEEKDAY(DATE($A$2,$A$3+$A$1-1,HV5),2),Sheet3!$D$1:$E$7,2,0))</f>
        <v/>
      </c>
      <c r="HW6" s="8" t="str">
        <f>IF(HW$5="","",VLOOKUP(WEEKDAY(DATE($A$2,$A$3+$A$1-1,HW5),2),Sheet3!$D$1:$E$7,2,0))</f>
        <v/>
      </c>
      <c r="HX6" s="8" t="str">
        <f>IF(HX$5="","",VLOOKUP(WEEKDAY(DATE($A$2,$A$3+$A$1-1,HX5),2),Sheet3!$D$1:$E$7,2,0))</f>
        <v/>
      </c>
      <c r="HY6" s="8" t="str">
        <f>IF(HY$5="","",VLOOKUP(WEEKDAY(DATE($A$2,$A$3+$A$1-1,HY5),2),Sheet3!$D$1:$E$7,2,0))</f>
        <v/>
      </c>
      <c r="HZ6" s="8" t="str">
        <f>IF(HZ$5="","",VLOOKUP(WEEKDAY(DATE($A$2,$A$3+$A$1-1,HZ5),2),Sheet3!$D$1:$E$7,2,0))</f>
        <v/>
      </c>
      <c r="IA6" s="8" t="str">
        <f>IF(IA$5="","",VLOOKUP(WEEKDAY(DATE($A$2,$A$3+$A$1-1,IA5),2),Sheet3!$D$1:$E$7,2,0))</f>
        <v/>
      </c>
      <c r="IB6" s="8" t="str">
        <f>IF(IB$5="","",VLOOKUP(WEEKDAY(DATE($A$2,$A$3+$A$1-1,IB5),2),Sheet3!$D$1:$E$7,2,0))</f>
        <v/>
      </c>
      <c r="IC6" s="8" t="str">
        <f>IF(IC$5="","",VLOOKUP(WEEKDAY(DATE($A$2,$A$3+$A$1-1,IC5),2),Sheet3!$D$1:$E$7,2,0))</f>
        <v/>
      </c>
      <c r="ID6" s="8" t="str">
        <f>IF(ID$5="","",VLOOKUP(WEEKDAY(DATE($A$2,$A$3+$A$1-1,ID5),2),Sheet3!$D$1:$E$7,2,0))</f>
        <v/>
      </c>
      <c r="IE6" s="8" t="str">
        <f>IF(IE$5="","",VLOOKUP(WEEKDAY(DATE($A$2,$A$3+$A$1-1,IE5),2),Sheet3!$D$1:$E$7,2,0))</f>
        <v/>
      </c>
      <c r="IF6" s="8" t="str">
        <f>IF(IF$5="","",VLOOKUP(WEEKDAY(DATE($A$2,$A$3+$A$1-1,IF5),2),Sheet3!$D$1:$E$7,2,0))</f>
        <v/>
      </c>
      <c r="IG6" s="8" t="str">
        <f>IF(IG$5="","",VLOOKUP(WEEKDAY(DATE($A$2,$A$3+$A$1-1,IG5),2),Sheet3!$D$1:$E$7,2,0))</f>
        <v/>
      </c>
      <c r="IH6" s="8" t="str">
        <f>IF(IH$5="","",VLOOKUP(WEEKDAY(DATE($A$2,$A$3+$A$1-1,IH5),2),Sheet3!$D$1:$E$7,2,0))</f>
        <v/>
      </c>
      <c r="II6" s="8" t="str">
        <f>IF(II$5="","",VLOOKUP(WEEKDAY(DATE($A$2,$A$3+$A$1-1,II5),2),Sheet3!$D$1:$E$7,2,0))</f>
        <v/>
      </c>
      <c r="IJ6" s="8" t="str">
        <f>IF(IJ$5="","",VLOOKUP(WEEKDAY(DATE($A$2,$A$3+$A$1-1,IJ5),2),Sheet3!$D$1:$E$7,2,0))</f>
        <v/>
      </c>
      <c r="IK6" s="8" t="str">
        <f>IF(IK$5="","",VLOOKUP(WEEKDAY(DATE($A$2,$A$3+$A$1-1,IK5),2),Sheet3!$D$1:$E$7,2,0))</f>
        <v/>
      </c>
      <c r="IL6" s="8" t="str">
        <f>IF(IL$5="","",VLOOKUP(WEEKDAY(DATE($A$2,$A$3+$A$1-1,IL5),2),Sheet3!$D$1:$E$7,2,0))</f>
        <v/>
      </c>
      <c r="IM6" s="8" t="str">
        <f>IF(IM$5="","",VLOOKUP(WEEKDAY(DATE($A$2,$A$3+$A$1-1,IM5),2),Sheet3!$D$1:$E$7,2,0))</f>
        <v/>
      </c>
      <c r="IN6" s="8" t="str">
        <f>IF(IN$5="","",VLOOKUP(WEEKDAY(DATE($A$2,$A$3+$A$1-1,IN5),2),Sheet3!$D$1:$E$7,2,0))</f>
        <v/>
      </c>
      <c r="IO6" s="8" t="str">
        <f>IF(IO$5="","",VLOOKUP(WEEKDAY(DATE($A$2,$A$3+$A$1-1,IO5),2),Sheet3!$D$1:$E$7,2,0))</f>
        <v/>
      </c>
      <c r="IP6" s="8" t="str">
        <f>IF(IP$5="","",VLOOKUP(WEEKDAY(DATE($A$2,$A$3+$A$1-1,IP5),2),Sheet3!$D$1:$E$7,2,0))</f>
        <v/>
      </c>
      <c r="IQ6" s="8" t="str">
        <f>IF(IQ$5="","",VLOOKUP(WEEKDAY(DATE($A$2,$A$3+$A$1-1,IQ5),2),Sheet3!$D$1:$E$7,2,0))</f>
        <v/>
      </c>
      <c r="IR6" s="8" t="str">
        <f>IF(IR$5="","",VLOOKUP(WEEKDAY(DATE($A$2,$A$3+$A$1-1,IR5),2),Sheet3!$D$1:$E$7,2,0))</f>
        <v/>
      </c>
      <c r="IS6" s="8" t="str">
        <f>IF(IS$5="","",VLOOKUP(WEEKDAY(DATE($A$2,$A$3+$A$1-1,IS5),2),Sheet3!$D$1:$E$7,2,0))</f>
        <v/>
      </c>
      <c r="IT6" s="8" t="str">
        <f>IF(IT$5="","",VLOOKUP(WEEKDAY(DATE($A$2,$A$3+$A$1-1,IT5),2),Sheet3!$D$1:$E$7,2,0))</f>
        <v/>
      </c>
      <c r="IU6" s="8" t="str">
        <f>IF(IU$5="","",VLOOKUP(WEEKDAY(DATE($A$2,$A$3+$A$1-1,IU5),2),Sheet3!$D$1:$E$7,2,0))</f>
        <v/>
      </c>
      <c r="IV6" s="8" t="str">
        <f>IF(IV$5="","",VLOOKUP(WEEKDAY(DATE($A$2,$A$3+$A$1-1,IV5),2),Sheet3!$D$1:$E$7,2,0))</f>
        <v/>
      </c>
      <c r="IW6" s="8" t="str">
        <f>IF(IW$5="","",VLOOKUP(WEEKDAY(DATE($A$2,$A$3+$A$1-1,IW5),2),Sheet3!$D$1:$E$7,2,0))</f>
        <v/>
      </c>
      <c r="IX6" s="8" t="str">
        <f>IF(IX$5="","",VLOOKUP(WEEKDAY(DATE($A$2,$A$3+$A$1-1,IX5),2),Sheet3!$D$1:$E$7,2,0))</f>
        <v/>
      </c>
      <c r="IY6" s="8" t="str">
        <f>IF(IY$5="","",VLOOKUP(WEEKDAY(DATE($A$2,$A$3+$A$1-1,IY5),2),Sheet3!$D$1:$E$7,2,0))</f>
        <v/>
      </c>
      <c r="IZ6" s="8" t="str">
        <f>IF(IZ$5="","",VLOOKUP(WEEKDAY(DATE($A$2,$A$3+$A$1-1,IZ5),2),Sheet3!$D$1:$E$7,2,0))</f>
        <v/>
      </c>
      <c r="JA6" s="8" t="str">
        <f>IF(JA$5="","",VLOOKUP(WEEKDAY(DATE($A$2,$A$3+$A$1-1,JA5),2),Sheet3!$D$1:$E$7,2,0))</f>
        <v/>
      </c>
      <c r="JB6" s="8" t="str">
        <f>IF(JB$5="","",VLOOKUP(WEEKDAY(DATE($A$2,$A$3+$A$1-1,JB5),2),Sheet3!$D$1:$E$7,2,0))</f>
        <v/>
      </c>
      <c r="JC6" s="8" t="str">
        <f>IF(JC$5="","",VLOOKUP(WEEKDAY(DATE($A$2,$A$3+$A$1-1,JC5),2),Sheet3!$D$1:$E$7,2,0))</f>
        <v/>
      </c>
      <c r="JD6" s="8" t="str">
        <f>IF(JD$5="","",VLOOKUP(WEEKDAY(DATE($A$2,$A$3+$A$1-1,JD5),2),Sheet3!$D$1:$E$7,2,0))</f>
        <v/>
      </c>
      <c r="JE6" s="8" t="str">
        <f>IF(JE$5="","",VLOOKUP(WEEKDAY(DATE($A$2,$A$3+$A$1-1,JE5),2),Sheet3!$D$1:$E$7,2,0))</f>
        <v/>
      </c>
      <c r="JF6" s="8" t="str">
        <f>IF(JF$5="","",VLOOKUP(WEEKDAY(DATE($A$2,$A$3+$A$1-1,JF5),2),Sheet3!$D$1:$E$7,2,0))</f>
        <v/>
      </c>
      <c r="JG6" s="8" t="str">
        <f>IF(JG$5="","",VLOOKUP(WEEKDAY(DATE($A$2,$A$3+$A$1-1,JG5),2),Sheet3!$D$1:$E$7,2,0))</f>
        <v/>
      </c>
      <c r="JH6" s="8" t="str">
        <f>IF(JH$5="","",VLOOKUP(WEEKDAY(DATE($A$2,$A$3+$A$1-1,JH5),2),Sheet3!$D$1:$E$7,2,0))</f>
        <v/>
      </c>
      <c r="JI6" s="8" t="str">
        <f>IF(JI$5="","",VLOOKUP(WEEKDAY(DATE($A$2,$A$3+$A$1-1,JI5),2),Sheet3!$D$1:$E$7,2,0))</f>
        <v/>
      </c>
      <c r="JJ6" s="8" t="str">
        <f>IF(JJ$5="","",VLOOKUP(WEEKDAY(DATE($A$2,$A$3+$A$1-1,JJ5),2),Sheet3!$D$1:$E$7,2,0))</f>
        <v/>
      </c>
      <c r="JK6" s="8" t="str">
        <f>IF(JK$5="","",VLOOKUP(WEEKDAY(DATE($A$2,$A$3+$A$1-1,JK5),2),Sheet3!$D$1:$E$7,2,0))</f>
        <v/>
      </c>
      <c r="JL6" s="8" t="str">
        <f>IF(JL$5="","",VLOOKUP(WEEKDAY(DATE($A$2,$A$3+$A$1-1,JL5),2),Sheet3!$D$1:$E$7,2,0))</f>
        <v/>
      </c>
      <c r="JM6" s="8" t="str">
        <f>IF(JM$5="","",VLOOKUP(WEEKDAY(DATE($A$2,$A$3+$A$1-1,JM5),2),Sheet3!$D$1:$E$7,2,0))</f>
        <v/>
      </c>
      <c r="JN6" s="8" t="str">
        <f>IF(JN$5="","",VLOOKUP(WEEKDAY(DATE($A$2,$A$3+$A$1-1,JN5),2),Sheet3!$D$1:$E$7,2,0))</f>
        <v/>
      </c>
      <c r="JO6" s="8" t="str">
        <f>IF(JO$5="","",VLOOKUP(WEEKDAY(DATE($A$2,$A$3+$A$1-1,JO5),2),Sheet3!$D$1:$E$7,2,0))</f>
        <v/>
      </c>
      <c r="JP6" s="8" t="str">
        <f>IF(JP$5="","",VLOOKUP(WEEKDAY(DATE($A$2,$A$3+$A$1-1,JP5),2),Sheet3!$D$1:$E$7,2,0))</f>
        <v/>
      </c>
      <c r="JQ6" s="8" t="str">
        <f>IF(JQ$5="","",VLOOKUP(WEEKDAY(DATE($A$2,$A$3+$A$1-1,JQ5),2),Sheet3!$D$1:$E$7,2,0))</f>
        <v/>
      </c>
      <c r="JR6" s="8" t="str">
        <f>IF(JR$5="","",VLOOKUP(WEEKDAY(DATE($A$2,$A$3+$A$1-1,JR5),2),Sheet3!$D$1:$E$7,2,0))</f>
        <v/>
      </c>
      <c r="JS6" s="8" t="str">
        <f>IF(JS$5="","",VLOOKUP(WEEKDAY(DATE($A$2,$A$3+$A$1-1,JS5),2),Sheet3!$D$1:$E$7,2,0))</f>
        <v/>
      </c>
      <c r="JT6" s="8" t="str">
        <f>IF(JT$5="","",VLOOKUP(WEEKDAY(DATE($A$2,$A$3+$A$1-1,JT5),2),Sheet3!$D$1:$E$7,2,0))</f>
        <v/>
      </c>
      <c r="JU6" s="8" t="str">
        <f>IF(JU$5="","",VLOOKUP(WEEKDAY(DATE($A$2,$A$3+$A$1-1,JU5),2),Sheet3!$D$1:$E$7,2,0))</f>
        <v/>
      </c>
      <c r="JV6" s="8" t="str">
        <f>IF(JV$5="","",VLOOKUP(WEEKDAY(DATE($A$2,$A$3+$A$1-1,JV5),2),Sheet3!$D$1:$E$7,2,0))</f>
        <v/>
      </c>
      <c r="JW6" s="8" t="str">
        <f>IF(JW$5="","",VLOOKUP(WEEKDAY(DATE($A$2,$A$3+$A$1-1,JW5),2),Sheet3!$D$1:$E$7,2,0))</f>
        <v/>
      </c>
      <c r="JX6" s="8" t="str">
        <f>IF(JX$5="","",VLOOKUP(WEEKDAY(DATE($A$2,$A$3+$A$1-1,JX5),2),Sheet3!$D$1:$E$7,2,0))</f>
        <v/>
      </c>
      <c r="JY6" s="8" t="str">
        <f>IF(JY$5="","",VLOOKUP(WEEKDAY(DATE($A$2,$A$3+$A$1-1,JY5),2),Sheet3!$D$1:$E$7,2,0))</f>
        <v/>
      </c>
      <c r="JZ6" s="8" t="str">
        <f>IF(JZ$5="","",VLOOKUP(WEEKDAY(DATE($A$2,$A$3+$A$1-1,JZ5),2),Sheet3!$D$1:$E$7,2,0))</f>
        <v/>
      </c>
      <c r="KA6" s="8" t="str">
        <f>IF(KA$5="","",VLOOKUP(WEEKDAY(DATE($A$2,$A$3+$A$1-1,KA5),2),Sheet3!$D$1:$E$7,2,0))</f>
        <v/>
      </c>
      <c r="KB6" s="8" t="str">
        <f>IF(KB$5="","",VLOOKUP(WEEKDAY(DATE($A$2,$A$3+$A$1-1,KB5),2),Sheet3!$D$1:$E$7,2,0))</f>
        <v/>
      </c>
      <c r="KC6" s="8" t="str">
        <f>IF(KC$5="","",VLOOKUP(WEEKDAY(DATE($A$2,$A$3+$A$1-1,KC5),2),Sheet3!$D$1:$E$7,2,0))</f>
        <v/>
      </c>
      <c r="KD6" s="8" t="str">
        <f>IF(KD$5="","",VLOOKUP(WEEKDAY(DATE($A$2,$A$3+$A$1-1,KD5),2),Sheet3!$D$1:$E$7,2,0))</f>
        <v/>
      </c>
      <c r="KE6" s="8" t="str">
        <f>IF(KE$5="","",VLOOKUP(WEEKDAY(DATE($A$2,$A$3+$A$1-1,KE5),2),Sheet3!$D$1:$E$7,2,0))</f>
        <v/>
      </c>
      <c r="KF6" s="8" t="str">
        <f>IF(KF$5="","",VLOOKUP(WEEKDAY(DATE($A$2,$A$3+$A$1-1,KF5),2),Sheet3!$D$1:$E$7,2,0))</f>
        <v/>
      </c>
      <c r="KG6" s="8" t="str">
        <f>IF(KG$5="","",VLOOKUP(WEEKDAY(DATE($A$2,$A$3+$A$1-1,KG5),2),Sheet3!$D$1:$E$7,2,0))</f>
        <v/>
      </c>
      <c r="KH6" s="8" t="str">
        <f>IF(KH$5="","",VLOOKUP(WEEKDAY(DATE($A$2,$A$3+$A$1-1,KH5),2),Sheet3!$D$1:$E$7,2,0))</f>
        <v/>
      </c>
      <c r="KI6" s="8" t="str">
        <f>IF(KI$5="","",VLOOKUP(WEEKDAY(DATE($A$2,$A$3+$A$1-1,KI5),2),Sheet3!$D$1:$E$7,2,0))</f>
        <v/>
      </c>
      <c r="KJ6" s="8" t="str">
        <f>IF(KJ$5="","",VLOOKUP(WEEKDAY(DATE($A$2,$A$3+$A$1-1,KJ5),2),Sheet3!$D$1:$E$7,2,0))</f>
        <v/>
      </c>
      <c r="KK6" s="8" t="str">
        <f>IF(KK$5="","",VLOOKUP(WEEKDAY(DATE($A$2,$A$3+$A$1-1,KK5),2),Sheet3!$D$1:$E$7,2,0))</f>
        <v/>
      </c>
      <c r="KL6" s="8" t="str">
        <f>IF(KL$5="","",VLOOKUP(WEEKDAY(DATE($A$2,$A$3+$A$1-1,KL5),2),Sheet3!$D$1:$E$7,2,0))</f>
        <v/>
      </c>
      <c r="KM6" s="8" t="str">
        <f>IF(KM$5="","",VLOOKUP(WEEKDAY(DATE($A$2,$A$3+$A$1-1,KM5),2),Sheet3!$D$1:$E$7,2,0))</f>
        <v/>
      </c>
      <c r="KN6" s="8" t="str">
        <f>IF(KN$5="","",VLOOKUP(WEEKDAY(DATE($A$2,$A$3+$A$1-1,KN5),2),Sheet3!$D$1:$E$7,2,0))</f>
        <v/>
      </c>
      <c r="KO6" s="8" t="str">
        <f>IF(KO$5="","",VLOOKUP(WEEKDAY(DATE($A$2,$A$3+$A$1-1,KO5),2),Sheet3!$D$1:$E$7,2,0))</f>
        <v/>
      </c>
      <c r="KP6" s="8" t="str">
        <f>IF(KP$5="","",VLOOKUP(WEEKDAY(DATE($A$2,$A$3+$A$1-1,KP5),2),Sheet3!$D$1:$E$7,2,0))</f>
        <v/>
      </c>
      <c r="KQ6" s="8" t="str">
        <f>IF(KQ$5="","",VLOOKUP(WEEKDAY(DATE($A$2,$A$3+$A$1-1,KQ5),2),Sheet3!$D$1:$E$7,2,0))</f>
        <v/>
      </c>
      <c r="KR6" s="8" t="str">
        <f>IF(KR$5="","",VLOOKUP(WEEKDAY(DATE($A$2,$A$3+$A$1-1,KR5),2),Sheet3!$D$1:$E$7,2,0))</f>
        <v/>
      </c>
      <c r="KS6" s="8" t="str">
        <f>IF(KS$5="","",VLOOKUP(WEEKDAY(DATE($A$2,$A$3+$A$1-1,KS5),2),Sheet3!$D$1:$E$7,2,0))</f>
        <v/>
      </c>
      <c r="KT6" s="8" t="str">
        <f>IF(KT$5="","",VLOOKUP(WEEKDAY(DATE($A$2,$A$3+$A$1-1,KT5),2),Sheet3!$D$1:$E$7,2,0))</f>
        <v/>
      </c>
      <c r="KU6" s="8" t="str">
        <f>IF(KU$5="","",VLOOKUP(WEEKDAY(DATE($A$2,$A$3+$A$1-1,KU5),2),Sheet3!$D$1:$E$7,2,0))</f>
        <v/>
      </c>
      <c r="KV6" s="8" t="str">
        <f>IF(KV$5="","",VLOOKUP(WEEKDAY(DATE($A$2,$A$3+$A$1-1,KV5),2),Sheet3!$D$1:$E$7,2,0))</f>
        <v/>
      </c>
      <c r="KW6" s="8" t="str">
        <f>IF(KW$5="","",VLOOKUP(WEEKDAY(DATE($A$2,$A$3+$A$1-1,KW5),2),Sheet3!$D$1:$E$7,2,0))</f>
        <v/>
      </c>
      <c r="KX6" s="8" t="str">
        <f>IF(KX$5="","",VLOOKUP(WEEKDAY(DATE($A$2,$A$3+$A$1-1,KX5),2),Sheet3!$D$1:$E$7,2,0))</f>
        <v/>
      </c>
      <c r="KY6" s="8" t="str">
        <f>IF(KY$5="","",VLOOKUP(WEEKDAY(DATE($A$2,$A$3+$A$1-1,KY5),2),Sheet3!$D$1:$E$7,2,0))</f>
        <v/>
      </c>
      <c r="KZ6" s="8" t="str">
        <f>IF(KZ$5="","",VLOOKUP(WEEKDAY(DATE($A$2,$A$3+$A$1-1,KZ5),2),Sheet3!$D$1:$E$7,2,0))</f>
        <v/>
      </c>
      <c r="LA6" s="8" t="str">
        <f>IF(LA$5="","",VLOOKUP(WEEKDAY(DATE($A$2,$A$3+$A$1-1,LA5),2),Sheet3!$D$1:$E$7,2,0))</f>
        <v/>
      </c>
      <c r="LB6" s="8" t="str">
        <f>IF(LB$5="","",VLOOKUP(WEEKDAY(DATE($A$2,$A$3+$A$1-1,LB5),2),Sheet3!$D$1:$E$7,2,0))</f>
        <v/>
      </c>
      <c r="LC6" s="8" t="str">
        <f>IF(LC$5="","",VLOOKUP(WEEKDAY(DATE($A$2,$A$3+$A$1-1,LC5),2),Sheet3!$D$1:$E$7,2,0))</f>
        <v/>
      </c>
      <c r="LD6" s="8" t="str">
        <f>IF(LD$5="","",VLOOKUP(WEEKDAY(DATE($A$2,$A$3+$A$1-1,LD5),2),Sheet3!$D$1:$E$7,2,0))</f>
        <v/>
      </c>
      <c r="LE6" s="8" t="str">
        <f>IF(LE$5="","",VLOOKUP(WEEKDAY(DATE($A$2,$A$3+$A$1-1,LE5),2),Sheet3!$D$1:$E$7,2,0))</f>
        <v/>
      </c>
      <c r="LF6" s="8" t="str">
        <f>IF(LF$5="","",VLOOKUP(WEEKDAY(DATE($A$2,$A$3+$A$1-1,LF5),2),Sheet3!$D$1:$E$7,2,0))</f>
        <v/>
      </c>
      <c r="LG6" s="8" t="str">
        <f>IF(LG$5="","",VLOOKUP(WEEKDAY(DATE($A$2,$A$3+$A$1-1,LG5),2),Sheet3!$D$1:$E$7,2,0))</f>
        <v/>
      </c>
      <c r="LH6" s="8" t="str">
        <f>IF(LH$5="","",VLOOKUP(WEEKDAY(DATE($A$2,$A$3+$A$1-1,LH5),2),Sheet3!$D$1:$E$7,2,0))</f>
        <v/>
      </c>
      <c r="LI6" s="8" t="str">
        <f>IF(LI$5="","",VLOOKUP(WEEKDAY(DATE($A$2,$A$3+$A$1-1,LI5),2),Sheet3!$D$1:$E$7,2,0))</f>
        <v/>
      </c>
      <c r="LJ6" s="8" t="str">
        <f>IF(LJ$5="","",VLOOKUP(WEEKDAY(DATE($A$2,$A$3+$A$1-1,LJ5),2),Sheet3!$D$1:$E$7,2,0))</f>
        <v/>
      </c>
      <c r="LK6" s="8" t="str">
        <f>IF(LK$5="","",VLOOKUP(WEEKDAY(DATE($A$2,$A$3+$A$1-1,LK5),2),Sheet3!$D$1:$E$7,2,0))</f>
        <v/>
      </c>
      <c r="LL6" s="8" t="str">
        <f>IF(LL$5="","",VLOOKUP(WEEKDAY(DATE($A$2,$A$3+$A$1-1,LL5),2),Sheet3!$D$1:$E$7,2,0))</f>
        <v/>
      </c>
      <c r="LM6" s="8" t="str">
        <f>IF(LM$5="","",VLOOKUP(WEEKDAY(DATE($A$2,$A$3+$A$1-1,LM5),2),Sheet3!$D$1:$E$7,2,0))</f>
        <v/>
      </c>
      <c r="LN6" s="8" t="str">
        <f>IF(LN$5="","",VLOOKUP(WEEKDAY(DATE($A$2,$A$3+$A$1-1,LN5),2),Sheet3!$D$1:$E$7,2,0))</f>
        <v/>
      </c>
      <c r="LO6" s="8" t="str">
        <f>IF(LO$5="","",VLOOKUP(WEEKDAY(DATE($A$2,$A$3+$A$1-1,LO5),2),Sheet3!$D$1:$E$7,2,0))</f>
        <v/>
      </c>
      <c r="LP6" s="8" t="str">
        <f>IF(LP$5="","",VLOOKUP(WEEKDAY(DATE($A$2,$A$3+$A$1-1,LP5),2),Sheet3!$D$1:$E$7,2,0))</f>
        <v/>
      </c>
      <c r="LQ6" s="8" t="str">
        <f>IF(LQ$5="","",VLOOKUP(WEEKDAY(DATE($A$2,$A$3+$A$1-1,LQ5),2),Sheet3!$D$1:$E$7,2,0))</f>
        <v/>
      </c>
      <c r="LR6" s="8" t="str">
        <f>IF(LR$5="","",VLOOKUP(WEEKDAY(DATE($A$2,$A$3+$A$1-1,LR5),2),Sheet3!$D$1:$E$7,2,0))</f>
        <v/>
      </c>
      <c r="LS6" s="8" t="str">
        <f>IF(LS$5="","",VLOOKUP(WEEKDAY(DATE($A$2,$A$3+$A$1-1,LS5),2),Sheet3!$D$1:$E$7,2,0))</f>
        <v/>
      </c>
      <c r="LT6" s="8" t="str">
        <f>IF(LT$5="","",VLOOKUP(WEEKDAY(DATE($A$2,$A$3+$A$1-1,LT5),2),Sheet3!$D$1:$E$7,2,0))</f>
        <v/>
      </c>
      <c r="LU6" s="8" t="str">
        <f>IF(LU$5="","",VLOOKUP(WEEKDAY(DATE($A$2,$A$3+$A$1-1,LU5),2),Sheet3!$D$1:$E$7,2,0))</f>
        <v/>
      </c>
      <c r="LV6" s="8" t="str">
        <f>IF(LV$5="","",VLOOKUP(WEEKDAY(DATE($A$2,$A$3+$A$1-1,LV5),2),Sheet3!$D$1:$E$7,2,0))</f>
        <v/>
      </c>
      <c r="LW6" s="8" t="str">
        <f>IF(LW$5="","",VLOOKUP(WEEKDAY(DATE($A$2,$A$3+$A$1-1,LW5),2),Sheet3!$D$1:$E$7,2,0))</f>
        <v/>
      </c>
      <c r="LX6" s="8" t="str">
        <f>IF(LX$5="","",VLOOKUP(WEEKDAY(DATE($A$2,$A$3+$A$1-1,LX5),2),Sheet3!$D$1:$E$7,2,0))</f>
        <v/>
      </c>
      <c r="LY6" s="8" t="str">
        <f>IF(LY$5="","",VLOOKUP(WEEKDAY(DATE($A$2,$A$3+$A$1-1,LY5),2),Sheet3!$D$1:$E$7,2,0))</f>
        <v/>
      </c>
      <c r="LZ6" s="8" t="str">
        <f>IF(LZ$5="","",VLOOKUP(WEEKDAY(DATE($A$2,$A$3+$A$1-1,LZ5),2),Sheet3!$D$1:$E$7,2,0))</f>
        <v/>
      </c>
      <c r="MA6" s="8" t="str">
        <f>IF(MA$5="","",VLOOKUP(WEEKDAY(DATE($A$2,$A$3+$A$1-1,MA5),2),Sheet3!$D$1:$E$7,2,0))</f>
        <v/>
      </c>
      <c r="MB6" s="8" t="str">
        <f>IF(MB$5="","",VLOOKUP(WEEKDAY(DATE($A$2,$A$3+$A$1-1,MB5),2),Sheet3!$D$1:$E$7,2,0))</f>
        <v/>
      </c>
      <c r="MC6" s="8" t="str">
        <f>IF(MC$5="","",VLOOKUP(WEEKDAY(DATE($A$2,$A$3+$A$1-1,MC5),2),Sheet3!$D$1:$E$7,2,0))</f>
        <v/>
      </c>
      <c r="MD6" s="8" t="str">
        <f>IF(MD$5="","",VLOOKUP(WEEKDAY(DATE($A$2,$A$3+$A$1-1,MD5),2),Sheet3!$D$1:$E$7,2,0))</f>
        <v/>
      </c>
      <c r="ME6" s="8" t="str">
        <f>IF(ME$5="","",VLOOKUP(WEEKDAY(DATE($A$2,$A$3+$A$1-1,ME5),2),Sheet3!$D$1:$E$7,2,0))</f>
        <v/>
      </c>
      <c r="MF6" s="8" t="str">
        <f>IF(MF$5="","",VLOOKUP(WEEKDAY(DATE($A$2,$A$3+$A$1-1,MF5),2),Sheet3!$D$1:$E$7,2,0))</f>
        <v/>
      </c>
      <c r="MG6" s="8" t="str">
        <f>IF(MG$5="","",VLOOKUP(WEEKDAY(DATE($A$2,$A$3+$A$1-1,MG5),2),Sheet3!$D$1:$E$7,2,0))</f>
        <v/>
      </c>
      <c r="MH6" s="8" t="str">
        <f>IF(MH$5="","",VLOOKUP(WEEKDAY(DATE($A$2,$A$3+$A$1-1,MH5),2),Sheet3!$D$1:$E$7,2,0))</f>
        <v/>
      </c>
      <c r="MI6" s="8" t="str">
        <f>IF(MI$5="","",VLOOKUP(WEEKDAY(DATE($A$2,$A$3+$A$1-1,MI5),2),Sheet3!$D$1:$E$7,2,0))</f>
        <v/>
      </c>
      <c r="MJ6" s="8" t="str">
        <f>IF(MJ$5="","",VLOOKUP(WEEKDAY(DATE($A$2,$A$3+$A$1-1,MJ5),2),Sheet3!$D$1:$E$7,2,0))</f>
        <v/>
      </c>
      <c r="MK6" s="8" t="str">
        <f>IF(MK$5="","",VLOOKUP(WEEKDAY(DATE($A$2,$A$3+$A$1-1,MK5),2),Sheet3!$D$1:$E$7,2,0))</f>
        <v/>
      </c>
      <c r="ML6" s="8" t="str">
        <f>IF(ML$5="","",VLOOKUP(WEEKDAY(DATE($A$2,$A$3+$A$1-1,ML5),2),Sheet3!$D$1:$E$7,2,0))</f>
        <v/>
      </c>
      <c r="MM6" s="8" t="str">
        <f>IF(MM$5="","",VLOOKUP(WEEKDAY(DATE($A$2,$A$3+$A$1-1,MM5),2),Sheet3!$D$1:$E$7,2,0))</f>
        <v/>
      </c>
      <c r="MN6" s="8" t="str">
        <f>IF(MN$5="","",VLOOKUP(WEEKDAY(DATE($A$2,$A$3+$A$1-1,MN5),2),Sheet3!$D$1:$E$7,2,0))</f>
        <v/>
      </c>
      <c r="MO6" s="8" t="str">
        <f>IF(MO$5="","",VLOOKUP(WEEKDAY(DATE($A$2,$A$3+$A$1-1,MO5),2),Sheet3!$D$1:$E$7,2,0))</f>
        <v/>
      </c>
      <c r="MP6" s="8" t="str">
        <f>IF(MP$5="","",VLOOKUP(WEEKDAY(DATE($A$2,$A$3+$A$1-1,MP5),2),Sheet3!$D$1:$E$7,2,0))</f>
        <v/>
      </c>
      <c r="MQ6" s="8" t="str">
        <f>IF(MQ$5="","",VLOOKUP(WEEKDAY(DATE($A$2,$A$3+$A$1-1,MQ5),2),Sheet3!$D$1:$E$7,2,0))</f>
        <v/>
      </c>
      <c r="MR6" s="8" t="str">
        <f>IF(MR$5="","",VLOOKUP(WEEKDAY(DATE($A$2,$A$3+$A$1-1,MR5),2),Sheet3!$D$1:$E$7,2,0))</f>
        <v/>
      </c>
      <c r="MS6" s="8" t="str">
        <f>IF(MS$5="","",VLOOKUP(WEEKDAY(DATE($A$2,$A$3+$A$1-1,MS5),2),Sheet3!$D$1:$E$7,2,0))</f>
        <v/>
      </c>
      <c r="MT6" s="8" t="str">
        <f>IF(MT$5="","",VLOOKUP(WEEKDAY(DATE($A$2,$A$3+$A$1-1,MT5),2),Sheet3!$D$1:$E$7,2,0))</f>
        <v/>
      </c>
      <c r="MU6" s="8" t="str">
        <f>IF(MU$5="","",VLOOKUP(WEEKDAY(DATE($A$2,$A$3+$A$1-1,MU5),2),Sheet3!$D$1:$E$7,2,0))</f>
        <v/>
      </c>
      <c r="MV6" s="8" t="str">
        <f>IF(MV$5="","",VLOOKUP(WEEKDAY(DATE($A$2,$A$3+$A$1-1,MV5),2),Sheet3!$D$1:$E$7,2,0))</f>
        <v/>
      </c>
      <c r="MW6" s="8" t="str">
        <f>IF(MW$5="","",VLOOKUP(WEEKDAY(DATE($A$2,$A$3+$A$1-1,MW5),2),Sheet3!$D$1:$E$7,2,0))</f>
        <v/>
      </c>
      <c r="MX6" s="8" t="str">
        <f>IF(MX$5="","",VLOOKUP(WEEKDAY(DATE($A$2,$A$3+$A$1-1,MX5),2),Sheet3!$D$1:$E$7,2,0))</f>
        <v/>
      </c>
      <c r="MY6" s="8" t="str">
        <f>IF(MY$5="","",VLOOKUP(WEEKDAY(DATE($A$2,$A$3+$A$1-1,MY5),2),Sheet3!$D$1:$E$7,2,0))</f>
        <v/>
      </c>
      <c r="MZ6" s="8" t="str">
        <f>IF(MZ$5="","",VLOOKUP(WEEKDAY(DATE($A$2,$A$3+$A$1-1,MZ5),2),Sheet3!$D$1:$E$7,2,0))</f>
        <v/>
      </c>
      <c r="NA6" s="8" t="str">
        <f>IF(NA$5="","",VLOOKUP(WEEKDAY(DATE($A$2,$A$3+$A$1-1,NA5),2),Sheet3!$D$1:$E$7,2,0))</f>
        <v/>
      </c>
      <c r="NB6" s="8" t="str">
        <f>IF(NB$5="","",VLOOKUP(WEEKDAY(DATE($A$2,$A$3+$A$1-1,NB5),2),Sheet3!$D$1:$E$7,2,0))</f>
        <v/>
      </c>
      <c r="NC6" s="8" t="str">
        <f>IF(NC$5="","",VLOOKUP(WEEKDAY(DATE($A$2,$A$3+$A$1-1,NC5),2),Sheet3!$D$1:$E$7,2,0))</f>
        <v/>
      </c>
      <c r="ND6" s="8" t="str">
        <f>IF(ND$5="","",VLOOKUP(WEEKDAY(DATE($A$2,$A$3+$A$1-1,ND5),2),Sheet3!$D$1:$E$7,2,0))</f>
        <v/>
      </c>
      <c r="NE6" s="8" t="str">
        <f>IF(NE$5="","",VLOOKUP(WEEKDAY(DATE($A$2,$A$3+$A$1-1,NE5),2),Sheet3!$D$1:$E$7,2,0))</f>
        <v/>
      </c>
      <c r="NF6" s="8" t="str">
        <f>IF(NF$5="","",VLOOKUP(WEEKDAY(DATE($A$2,$A$3+$A$1-1,NF5),2),Sheet3!$D$1:$E$7,2,0))</f>
        <v/>
      </c>
      <c r="NG6" s="8" t="str">
        <f>IF(NG$5="","",VLOOKUP(WEEKDAY(DATE($A$2,$A$3+$A$1-1,NG5),2),Sheet3!$D$1:$E$7,2,0))</f>
        <v/>
      </c>
      <c r="NH6" s="8" t="str">
        <f>IF(NH$5="","",VLOOKUP(WEEKDAY(DATE($A$2,$A$3+$A$1-1,NH5),2),Sheet3!$D$1:$E$7,2,0))</f>
        <v/>
      </c>
      <c r="NI6" s="8" t="str">
        <f>IF(NI$5="","",VLOOKUP(WEEKDAY(DATE($A$2,$A$3+$A$1-1,NI5),2),Sheet3!$D$1:$E$7,2,0))</f>
        <v/>
      </c>
      <c r="NJ6" s="95"/>
      <c r="NK6" s="97"/>
      <c r="NL6" s="99"/>
      <c r="NM6" s="93"/>
      <c r="NN6" s="93"/>
      <c r="NO6" s="93"/>
      <c r="NP6" s="93"/>
      <c r="NQ6" s="93"/>
      <c r="NR6" s="93"/>
      <c r="NS6" s="93"/>
      <c r="NT6" s="93"/>
      <c r="NU6" s="93"/>
      <c r="NV6" s="93"/>
      <c r="NW6" s="93"/>
      <c r="NX6" s="93"/>
      <c r="NY6" s="93"/>
      <c r="NZ6" s="93"/>
      <c r="OA6" s="93"/>
      <c r="OC6" s="26" t="s">
        <v>28</v>
      </c>
      <c r="OD6" s="26" t="s">
        <v>29</v>
      </c>
    </row>
    <row r="7" spans="1:767" hidden="1" x14ac:dyDescent="0.45">
      <c r="A7" s="4" t="s">
        <v>18</v>
      </c>
      <c r="B7" s="22" t="str">
        <f>IF(B$5="","",WEEKNUM(DATE($A$2,VLOOKUP($A$1,Sheet3!$A$1:$B$12,2,0),COLUMNS($A$6:A6)),2))</f>
        <v/>
      </c>
      <c r="C7" s="22" t="str">
        <f>IF(C$5="","",WEEKNUM(DATE($A$2,VLOOKUP($A$1,Sheet3!$A$1:$B$12,2,0),COLUMNS($A$6:B6)),2))</f>
        <v/>
      </c>
      <c r="D7" s="22" t="str">
        <f>IF(D$5="","",WEEKNUM(DATE($A$2,VLOOKUP($A$1,Sheet3!$A$1:$B$12,2,0),COLUMNS($A$6:C6)),2))</f>
        <v/>
      </c>
      <c r="E7" s="22" t="str">
        <f>IF(E$5="","",WEEKNUM(DATE($A$2,VLOOKUP($A$1,Sheet3!$A$1:$B$12,2,0),COLUMNS($A$6:D6)),2))</f>
        <v/>
      </c>
      <c r="F7" s="22" t="str">
        <f>IF(F$5="","",WEEKNUM(DATE($A$2,VLOOKUP($A$1,Sheet3!$A$1:$B$12,2,0),COLUMNS($A$6:E6)),2))</f>
        <v/>
      </c>
      <c r="G7" s="22" t="str">
        <f>IF(G$5="","",WEEKNUM(DATE($A$2,VLOOKUP($A$1,Sheet3!$A$1:$B$12,2,0),COLUMNS($A$6:F6)),2))</f>
        <v/>
      </c>
      <c r="H7" s="22" t="str">
        <f>IF(H$5="","",WEEKNUM(DATE($A$2,VLOOKUP($A$1,Sheet3!$A$1:$B$12,2,0),COLUMNS($A$6:G6)),2))</f>
        <v/>
      </c>
      <c r="I7" s="22" t="str">
        <f>IF(I$5="","",WEEKNUM(DATE($A$2,VLOOKUP($A$1,Sheet3!$A$1:$B$12,2,0),COLUMNS($A$6:H6)),2))</f>
        <v/>
      </c>
      <c r="J7" s="22" t="str">
        <f>IF(J$5="","",WEEKNUM(DATE($A$2,VLOOKUP($A$1,Sheet3!$A$1:$B$12,2,0),COLUMNS($A$6:I6)),2))</f>
        <v/>
      </c>
      <c r="K7" s="22" t="str">
        <f>IF(K$5="","",WEEKNUM(DATE($A$2,VLOOKUP($A$1,Sheet3!$A$1:$B$12,2,0),COLUMNS($A$6:J6)),2))</f>
        <v/>
      </c>
      <c r="L7" s="22" t="str">
        <f>IF(L$5="","",WEEKNUM(DATE($A$2,VLOOKUP($A$1,Sheet3!$A$1:$B$12,2,0),COLUMNS($A$6:K6)),2))</f>
        <v/>
      </c>
      <c r="M7" s="22" t="str">
        <f>IF(M$5="","",WEEKNUM(DATE($A$2,VLOOKUP($A$1,Sheet3!$A$1:$B$12,2,0),COLUMNS($A$6:L6)),2))</f>
        <v/>
      </c>
      <c r="N7" s="22" t="str">
        <f>IF(N$5="","",WEEKNUM(DATE($A$2,VLOOKUP($A$1,Sheet3!$A$1:$B$12,2,0),COLUMNS($A$6:M6)),2))</f>
        <v/>
      </c>
      <c r="O7" s="22" t="str">
        <f>IF(O$5="","",WEEKNUM(DATE($A$2,VLOOKUP($A$1,Sheet3!$A$1:$B$12,2,0),COLUMNS($A$6:N6)),2))</f>
        <v/>
      </c>
      <c r="P7" s="22" t="str">
        <f>IF(P$5="","",WEEKNUM(DATE($A$2,VLOOKUP($A$1,Sheet3!$A$1:$B$12,2,0),COLUMNS($A$6:O6)),2))</f>
        <v/>
      </c>
      <c r="Q7" s="22" t="str">
        <f>IF(Q$5="","",WEEKNUM(DATE($A$2,VLOOKUP($A$1,Sheet3!$A$1:$B$12,2,0),COLUMNS($A$6:P6)),2))</f>
        <v/>
      </c>
      <c r="R7" s="22" t="str">
        <f>IF(R$5="","",WEEKNUM(DATE($A$2,VLOOKUP($A$1,Sheet3!$A$1:$B$12,2,0),COLUMNS($A$6:Q6)),2))</f>
        <v/>
      </c>
      <c r="S7" s="22" t="str">
        <f>IF(S$5="","",WEEKNUM(DATE($A$2,VLOOKUP($A$1,Sheet3!$A$1:$B$12,2,0),COLUMNS($A$6:R6)),2))</f>
        <v/>
      </c>
      <c r="T7" s="22" t="str">
        <f>IF(T$5="","",WEEKNUM(DATE($A$2,VLOOKUP($A$1,Sheet3!$A$1:$B$12,2,0),COLUMNS($A$6:S6)),2))</f>
        <v/>
      </c>
      <c r="U7" s="22" t="str">
        <f>IF(U$5="","",WEEKNUM(DATE($A$2,VLOOKUP($A$1,Sheet3!$A$1:$B$12,2,0),COLUMNS($A$6:T6)),2))</f>
        <v/>
      </c>
      <c r="V7" s="22" t="str">
        <f>IF(V$5="","",WEEKNUM(DATE($A$2,VLOOKUP($A$1,Sheet3!$A$1:$B$12,2,0),COLUMNS($A$6:U6)),2))</f>
        <v/>
      </c>
      <c r="W7" s="22" t="str">
        <f>IF(W$5="","",WEEKNUM(DATE($A$2,VLOOKUP($A$1,Sheet3!$A$1:$B$12,2,0),COLUMNS($A$6:V6)),2))</f>
        <v/>
      </c>
      <c r="X7" s="22" t="str">
        <f>IF(X$5="","",WEEKNUM(DATE($A$2,VLOOKUP($A$1,Sheet3!$A$1:$B$12,2,0),COLUMNS($A$6:W6)),2))</f>
        <v/>
      </c>
      <c r="Y7" s="22" t="str">
        <f>IF(Y$5="","",WEEKNUM(DATE($A$2,VLOOKUP($A$1,Sheet3!$A$1:$B$12,2,0),COLUMNS($A$6:X6)),2))</f>
        <v/>
      </c>
      <c r="Z7" s="22" t="str">
        <f>IF(Z$5="","",WEEKNUM(DATE($A$2,VLOOKUP($A$1,Sheet3!$A$1:$B$12,2,0),COLUMNS($A$6:Y6)),2))</f>
        <v/>
      </c>
      <c r="AA7" s="22" t="str">
        <f>IF(AA$5="","",WEEKNUM(DATE($A$2,VLOOKUP($A$1,Sheet3!$A$1:$B$12,2,0),COLUMNS($A$6:Z6)),2))</f>
        <v/>
      </c>
      <c r="AB7" s="22" t="str">
        <f>IF(AB$5="","",WEEKNUM(DATE($A$2,VLOOKUP($A$1,Sheet3!$A$1:$B$12,2,0),COLUMNS($A$6:AA6)),2))</f>
        <v/>
      </c>
      <c r="AC7" s="22" t="str">
        <f>IF(AC$5="","",WEEKNUM(DATE($A$2,VLOOKUP($A$1,Sheet3!$A$1:$B$12,2,0),COLUMNS($A$6:AB6)),2))</f>
        <v/>
      </c>
      <c r="AD7" s="22" t="str">
        <f>IF(AD$5="","",WEEKNUM(DATE($A$2,VLOOKUP($A$1,Sheet3!$A$1:$B$12,2,0),COLUMNS($A$6:AC6)),2))</f>
        <v/>
      </c>
      <c r="AE7" s="22" t="str">
        <f>IF(AE$5="","",WEEKNUM(DATE($A$2,VLOOKUP($A$1,Sheet3!$A$1:$B$12,2,0),COLUMNS($A$6:AD6)),2))</f>
        <v/>
      </c>
      <c r="AF7" s="22" t="str">
        <f>IF(AF$5="","",WEEKNUM(DATE($A$2,VLOOKUP($A$1,Sheet3!$A$1:$B$12,2,0),COLUMNS($A$6:AE6)),2))</f>
        <v/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3"/>
      <c r="NK7" s="23"/>
      <c r="NL7" s="27"/>
      <c r="NM7" s="51"/>
      <c r="NN7" s="51"/>
      <c r="NO7" s="51"/>
      <c r="NP7" s="51"/>
      <c r="NQ7" s="51"/>
      <c r="NR7" s="51"/>
      <c r="NS7" s="51"/>
      <c r="NT7" s="51"/>
      <c r="NU7" s="51"/>
      <c r="NV7" s="51"/>
      <c r="NW7" s="51"/>
      <c r="NX7" s="51"/>
      <c r="NY7" s="51"/>
      <c r="NZ7" s="51"/>
      <c r="OA7" s="77"/>
      <c r="OC7" s="1"/>
      <c r="OD7" s="1"/>
    </row>
    <row r="8" spans="1:767" x14ac:dyDescent="0.45">
      <c r="A8" s="5" t="s">
        <v>41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 t="s">
        <v>33</v>
      </c>
      <c r="AO8" s="2" t="s">
        <v>33</v>
      </c>
      <c r="AP8" s="2" t="s">
        <v>33</v>
      </c>
      <c r="AQ8" s="2" t="s">
        <v>33</v>
      </c>
      <c r="AR8" s="2"/>
      <c r="AS8" s="2"/>
      <c r="AT8" s="2" t="s">
        <v>33</v>
      </c>
      <c r="AU8" s="2" t="s">
        <v>33</v>
      </c>
      <c r="AV8" s="2" t="s">
        <v>33</v>
      </c>
      <c r="AW8" s="2" t="s">
        <v>33</v>
      </c>
      <c r="AX8" s="2" t="s">
        <v>31</v>
      </c>
      <c r="AY8" s="2"/>
      <c r="AZ8" s="2"/>
      <c r="BA8" s="2" t="s">
        <v>35</v>
      </c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 t="s">
        <v>33</v>
      </c>
      <c r="BR8" s="2" t="s">
        <v>33</v>
      </c>
      <c r="BS8" s="2" t="s">
        <v>33</v>
      </c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1"/>
      <c r="CN8" s="1"/>
      <c r="CO8" s="2"/>
      <c r="CP8" s="2"/>
      <c r="CQ8" s="2"/>
      <c r="CR8" s="2" t="s">
        <v>35</v>
      </c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 t="s">
        <v>31</v>
      </c>
      <c r="DN8" s="2" t="s">
        <v>33</v>
      </c>
      <c r="DO8" s="2"/>
      <c r="DP8" s="2"/>
      <c r="DQ8" s="2"/>
      <c r="DR8" s="2"/>
      <c r="DS8" s="2"/>
      <c r="DT8" s="2"/>
      <c r="DU8" s="2"/>
      <c r="DV8" s="2" t="s">
        <v>33</v>
      </c>
      <c r="DW8" s="2" t="s">
        <v>33</v>
      </c>
      <c r="DX8" s="2" t="s">
        <v>33</v>
      </c>
      <c r="DY8" s="2"/>
      <c r="DZ8" s="2"/>
      <c r="EA8" s="2" t="s">
        <v>35</v>
      </c>
      <c r="EB8" s="2" t="s">
        <v>33</v>
      </c>
      <c r="EC8" s="2" t="s">
        <v>33</v>
      </c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 t="s">
        <v>35</v>
      </c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 t="s">
        <v>35</v>
      </c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 t="s">
        <v>35</v>
      </c>
      <c r="JO8" s="2" t="s">
        <v>35</v>
      </c>
      <c r="JP8" s="2"/>
      <c r="JQ8" s="2"/>
      <c r="JR8" s="2"/>
      <c r="JS8" s="2"/>
      <c r="JT8" s="2"/>
      <c r="JU8" s="2" t="s">
        <v>35</v>
      </c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 t="s">
        <v>35</v>
      </c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14">
        <f t="array" aca="1" ref="NJ8" ca="1">SUMPRODUCT((OFFSET($A8,0,31*($A$3-1)+1,1,31)&lt;&gt;"")*(IF(OFFSET($A8,0,31*($A$3-1)+1,1,31)=$OD$12,0.5,1)*(OFFSET($A$4,0,31*($A$3-1)+1,1,31))))</f>
        <v>1</v>
      </c>
      <c r="NK8" s="20">
        <f t="array" aca="1" ref="NK8" ca="1">SUMPRODUCT((OFFSET($A8,0,1,1,372)&lt;&gt;"")*(IF(OFFSET($A8,0,1,1,372)=$OD$12,0.5,1)*(OFFSET($A$3,0,1,1,372))))</f>
        <v>27</v>
      </c>
      <c r="NL8" s="28">
        <f t="array" aca="1" ref="NL8" ca="1">SUMPRODUCT((OFFSET($A8,0,31*($A$4)+DAY(Holidays!$E$2),1,Holidays!$G$2)&lt;&gt;"")*(IF(OFFSET($A8,0,31*($A$4)+DAY(Holidays!$E$2),1,Holidays!$G$2)=$OD$12,0.5,1)*(OFFSET($A$3,0,31*($A$4)+DAY(Holidays!$E$2),1,Holidays!$G$2))))</f>
        <v>22</v>
      </c>
      <c r="NM8" s="52">
        <f t="array" aca="1" ref="NM8" ca="1">SUMPRODUCT((OFFSET($A8,0,31*(VLOOKUP(NM$5,Sprints[],5,FALSE))+DAY(VLOOKUP(NM$5,Sprints[],2,FALSE)),1,VLOOKUP(NM$5,Sprints[],4,FALSE))&lt;&gt;"")*(IF(OFFSET($A8,0,31*(VLOOKUP(NM$5,Sprints[],5,FALSE))+DAY(VLOOKUP(NM$5,Sprints[],2,FALSE)),1,VLOOKUP(NM$5,Sprints[],4,FALSE))=$OD$12,0.5,1)*(OFFSET($A$3,0,31*(VLOOKUP(NM$5,Sprints[],5,FALSE))+DAY(VLOOKUP(NM$5,Sprints[],2,FALSE)),1,VLOOKUP(NM$5,Sprints[],4,FALSE)))))</f>
        <v>0</v>
      </c>
      <c r="NN8" s="52">
        <f t="array" aca="1" ref="NN8" ca="1">SUMPRODUCT((OFFSET($A8,0,31*(VLOOKUP(NN$5,Sprints[],5,FALSE))+DAY(VLOOKUP(NN$5,Sprints[],2,FALSE)),1,VLOOKUP(NN$5,Sprints[],4,FALSE))&lt;&gt;"")*(IF(OFFSET($A8,0,31*(VLOOKUP(NN$5,Sprints[],5,FALSE))+DAY(VLOOKUP(NN$5,Sprints[],2,FALSE)),1,VLOOKUP(NN$5,Sprints[],4,FALSE))=$OD$12,0.5,1)*(OFFSET($A$3,0,31*(VLOOKUP(NN$5,Sprints[],5,FALSE))+DAY(VLOOKUP(NN$5,Sprints[],2,FALSE)),1,VLOOKUP(NN$5,Sprints[],4,FALSE)))))</f>
        <v>0</v>
      </c>
      <c r="NO8" s="52">
        <f t="array" aca="1" ref="NO8" ca="1">SUMPRODUCT((OFFSET($A8,0,31*(VLOOKUP(NO$5,Sprints[],5,FALSE))+DAY(VLOOKUP(NO$5,Sprints[],2,FALSE)),1,VLOOKUP(NO$5,Sprints[],4,FALSE))&lt;&gt;"")*(IF(OFFSET($A8,0,31*(VLOOKUP(NO$5,Sprints[],5,FALSE))+DAY(VLOOKUP(NO$5,Sprints[],2,FALSE)),1,VLOOKUP(NO$5,Sprints[],4,FALSE))=$OD$12,0.5,1)*(OFFSET($A$3,0,31*(VLOOKUP(NO$5,Sprints[],5,FALSE))+DAY(VLOOKUP(NO$5,Sprints[],2,FALSE)),1,VLOOKUP(NO$5,Sprints[],4,FALSE)))))</f>
        <v>6</v>
      </c>
      <c r="NP8" s="52">
        <f t="array" aca="1" ref="NP8" ca="1">SUMPRODUCT((OFFSET($A8,0,31*(VLOOKUP(NP$5,Sprints[],5,FALSE))+DAY(VLOOKUP(NP$5,Sprints[],2,FALSE)),1,VLOOKUP(NP$5,Sprints[],4,FALSE))&lt;&gt;"")*(IF(OFFSET($A8,0,31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8" s="52">
        <f t="array" aca="1" ref="NQ8" ca="1">SUMPRODUCT((OFFSET($A8,0,31*(VLOOKUP(NQ$5,Sprints[],5,FALSE))+DAY(VLOOKUP(NQ$5,Sprints[],2,FALSE)),1,VLOOKUP(NQ$5,Sprints[],4,FALSE))&lt;&gt;"")*(IF(OFFSET($A8,0,31*(VLOOKUP(NQ$5,Sprints[],5,FALSE))+DAY(VLOOKUP(NQ$5,Sprints[],2,FALSE)),1,VLOOKUP(NQ$5,Sprints[],4,FALSE))=$OD$12,0.5,1)*(OFFSET($A$3,0,31*(VLOOKUP(NQ$5,Sprints[],5,FALSE))+DAY(VLOOKUP(NQ$5,Sprints[],2,FALSE)),1,VLOOKUP(NQ$5,Sprints[],4,FALSE)))))</f>
        <v>3</v>
      </c>
      <c r="NR8" s="52">
        <f t="array" aca="1" ref="NR8" ca="1">SUMPRODUCT((OFFSET($A8,0,31*(VLOOKUP(NR$5,Sprints[],5,FALSE))+DAY(VLOOKUP(NR$5,Sprints[],2,FALSE)),1,VLOOKUP(NR$5,Sprints[],4,FALSE))&lt;&gt;"")*(IF(OFFSET($A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8" s="52">
        <f t="array" aca="1" ref="NS8" ca="1">SUMPRODUCT((OFFSET($A8,0,31*(VLOOKUP(NS$5,Sprints[],5,FALSE))+DAY(VLOOKUP(NS$5,Sprints[],2,FALSE)),1,VLOOKUP(NS$5,Sprints[],4,FALSE))&lt;&gt;"")*(IF(OFFSET($A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8" s="52">
        <f t="array" aca="1" ref="NT8" ca="1">SUMPRODUCT((OFFSET($A8,0,31*(VLOOKUP(NT$5,Sprints[],5,FALSE))+DAY(VLOOKUP(NT$5,Sprints[],2,FALSE)),1,VLOOKUP(NT$5,Sprints[],4,FALSE))&lt;&gt;"")*(IF(OFFSET($A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8" s="52">
        <f t="array" aca="1" ref="NU8" ca="1">SUMPRODUCT((OFFSET($A8,0,31*(VLOOKUP(NU$5,Sprints[],5,FALSE))+DAY(VLOOKUP(NU$5,Sprints[],2,FALSE)),1,VLOOKUP(NU$5,Sprints[],4,FALSE))&lt;&gt;"")*(IF(OFFSET($A8,0,31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8" s="52">
        <f t="array" aca="1" ref="NV8" ca="1">SUMPRODUCT((OFFSET($A8,0,31*(VLOOKUP(NV$5,Sprints[],5,FALSE))+DAY(VLOOKUP(NV$5,Sprints[],2,FALSE)),1,VLOOKUP(NV$5,Sprints[],4,FALSE))&lt;&gt;"")*(IF(OFFSET($A8,0,31*(VLOOKUP(NV$5,Sprints[],5,FALSE))+DAY(VLOOKUP(NV$5,Sprints[],2,FALSE)),1,VLOOKUP(NV$5,Sprints[],4,FALSE))=$OD$12,0.5,1)*(OFFSET($A$3,0,31*(VLOOKUP(NV$5,Sprints[],5,FALSE))+DAY(VLOOKUP(NV$5,Sprints[],2,FALSE)),1,VLOOKUP(NV$5,Sprints[],4,FALSE)))))</f>
        <v>6</v>
      </c>
      <c r="NW8" s="52">
        <f t="array" aca="1" ref="NW8" ca="1">SUMPRODUCT((OFFSET($A8,0,31*(VLOOKUP(NW$5,Sprints[],5,FALSE))+DAY(VLOOKUP(NW$5,Sprints[],2,FALSE)),1,VLOOKUP(NW$5,Sprints[],4,FALSE))&lt;&gt;"")*(IF(OFFSET($A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8" s="52">
        <f t="array" aca="1" ref="NX8" ca="1">SUMPRODUCT((OFFSET($A8,0,31*(VLOOKUP(NX$5,Sprints[],5,FALSE))+DAY(VLOOKUP(NX$5,Sprints[],2,FALSE)),1,VLOOKUP(NX$5,Sprints[],4,FALSE))&lt;&gt;"")*(IF(OFFSET($A8,0,31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8" s="52">
        <f t="array" aca="1" ref="NY8" ca="1">SUMPRODUCT((OFFSET($A8,0,31*(VLOOKUP(NY$5,Sprints[],5,FALSE))+DAY(VLOOKUP(NY$5,Sprints[],2,FALSE)),1,VLOOKUP(NY$5,Sprints[],4,FALSE))&lt;&gt;"")*(IF(OFFSET($A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8" s="52">
        <f t="array" aca="1" ref="NZ8" ca="1">SUMPRODUCT((OFFSET($A8,0,31*(VLOOKUP(NZ$5,Sprints[],5,FALSE))+DAY(VLOOKUP(NZ$5,Sprints[],2,FALSE)),1,VLOOKUP(NZ$5,Sprints[],4,FALSE))&lt;&gt;"")*(IF(OFFSET($A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8" s="52">
        <f t="array" aca="1" ref="OA8" ca="1">SUMPRODUCT((OFFSET($A8,0,31*(VLOOKUP(OA$5,Sprints[],5,FALSE))+DAY(VLOOKUP(OA$5,Sprints[],2,FALSE)),1,VLOOKUP(OA$5,Sprints[],4,FALSE))&lt;&gt;"")*(IF(OFFSET($A8,0,31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  <c r="OC8" s="24" t="s">
        <v>32</v>
      </c>
      <c r="OD8" s="25" t="s">
        <v>33</v>
      </c>
    </row>
    <row r="9" spans="1:767" x14ac:dyDescent="0.45">
      <c r="A9" s="5" t="s">
        <v>42</v>
      </c>
      <c r="B9" s="2"/>
      <c r="C9" s="2"/>
      <c r="D9" s="2"/>
      <c r="E9" s="2"/>
      <c r="F9" s="2"/>
      <c r="G9" s="2"/>
      <c r="H9" s="2"/>
      <c r="I9" s="2"/>
      <c r="J9" s="2" t="s">
        <v>33</v>
      </c>
      <c r="K9" s="2" t="s">
        <v>33</v>
      </c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 t="s">
        <v>33</v>
      </c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 t="s">
        <v>33</v>
      </c>
      <c r="AX9" s="2" t="s">
        <v>31</v>
      </c>
      <c r="AY9" s="2"/>
      <c r="AZ9" s="2"/>
      <c r="BA9" s="2" t="s">
        <v>35</v>
      </c>
      <c r="BB9" s="2"/>
      <c r="BC9" s="2"/>
      <c r="BD9" s="2"/>
      <c r="BE9" s="2" t="s">
        <v>33</v>
      </c>
      <c r="BF9" s="2"/>
      <c r="BG9" s="2"/>
      <c r="BH9" s="2"/>
      <c r="BI9" s="2"/>
      <c r="BJ9" s="2"/>
      <c r="BK9" s="2"/>
      <c r="BL9" s="2" t="s">
        <v>31</v>
      </c>
      <c r="BM9" s="2"/>
      <c r="BN9" s="2"/>
      <c r="BO9" s="2"/>
      <c r="BP9" s="2"/>
      <c r="BQ9" s="2"/>
      <c r="BR9" s="2" t="s">
        <v>33</v>
      </c>
      <c r="BS9" s="2" t="s">
        <v>33</v>
      </c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 t="s">
        <v>33</v>
      </c>
      <c r="CH9" s="2"/>
      <c r="CI9" s="2"/>
      <c r="CJ9" s="2"/>
      <c r="CK9" s="2"/>
      <c r="CL9" s="2"/>
      <c r="CM9" s="2"/>
      <c r="CN9" s="2" t="s">
        <v>33</v>
      </c>
      <c r="CO9" s="2"/>
      <c r="CP9" s="2"/>
      <c r="CQ9" s="2"/>
      <c r="CR9" s="2" t="s">
        <v>35</v>
      </c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 t="s">
        <v>33</v>
      </c>
      <c r="DG9" s="2" t="s">
        <v>33</v>
      </c>
      <c r="DH9" s="2" t="s">
        <v>33</v>
      </c>
      <c r="DI9" s="2" t="s">
        <v>33</v>
      </c>
      <c r="DJ9" s="2" t="s">
        <v>33</v>
      </c>
      <c r="DK9" s="2"/>
      <c r="DL9" s="2"/>
      <c r="DM9" s="2" t="s">
        <v>33</v>
      </c>
      <c r="DN9" s="2" t="s">
        <v>33</v>
      </c>
      <c r="DO9" s="2" t="s">
        <v>33</v>
      </c>
      <c r="DP9" s="2" t="s">
        <v>33</v>
      </c>
      <c r="DQ9" s="2" t="s">
        <v>33</v>
      </c>
      <c r="DR9" s="2"/>
      <c r="DS9" s="2"/>
      <c r="DT9" s="2" t="s">
        <v>33</v>
      </c>
      <c r="DU9" s="2" t="s">
        <v>33</v>
      </c>
      <c r="DV9" s="2" t="s">
        <v>33</v>
      </c>
      <c r="DW9" s="2" t="s">
        <v>33</v>
      </c>
      <c r="DX9" s="2" t="s">
        <v>33</v>
      </c>
      <c r="DY9" s="2"/>
      <c r="DZ9" s="2"/>
      <c r="EA9" s="2" t="s">
        <v>35</v>
      </c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 t="s">
        <v>33</v>
      </c>
      <c r="EZ9" s="2" t="s">
        <v>33</v>
      </c>
      <c r="FA9" s="2"/>
      <c r="FB9" s="2"/>
      <c r="FC9" s="2" t="s">
        <v>35</v>
      </c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 t="s">
        <v>35</v>
      </c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 t="s">
        <v>35</v>
      </c>
      <c r="JO9" s="2" t="s">
        <v>35</v>
      </c>
      <c r="JP9" s="2"/>
      <c r="JQ9" s="2"/>
      <c r="JR9" s="2"/>
      <c r="JS9" s="2"/>
      <c r="JT9" s="2"/>
      <c r="JU9" s="2" t="s">
        <v>35</v>
      </c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 t="s">
        <v>35</v>
      </c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14">
        <f t="array" aca="1" ref="NJ9" ca="1">SUMPRODUCT((OFFSET($A9,0,31*($A$3-1)+1,1,31)&lt;&gt;"")*(IF(OFFSET($A9,0,31*($A$3-1)+1,1,31)=$OD$12,0.5,1)*(OFFSET($A$4,0,31*($A$3-1)+1,1,31))))</f>
        <v>1</v>
      </c>
      <c r="NK9" s="20">
        <f t="array" aca="1" ref="NK9" ca="1">SUMPRODUCT((OFFSET($A9,0,1,1,372)&lt;&gt;"")*(IF(OFFSET($A9,0,1,1,372)=$OD$12,0.5,1)*(OFFSET($A$3,0,1,1,372))))</f>
        <v>36</v>
      </c>
      <c r="NL9" s="28">
        <f t="array" aca="1" ref="NL9" ca="1">SUMPRODUCT((OFFSET($A9,0,31*($A$4)+DAY(Holidays!$E$2),1,Holidays!$G$2)&lt;&gt;"")*(IF(OFFSET($A9,0,31*($A$4)+DAY(Holidays!$E$2),1,Holidays!$G$2)=$OD$12,0.5,1)*(OFFSET($A$3,0,31*($A$4)+DAY(Holidays!$E$2),1,Holidays!$G$2))))</f>
        <v>29</v>
      </c>
      <c r="NM9" s="52">
        <f t="array" aca="1" ref="NM9" ca="1">SUMPRODUCT((OFFSET($A9,0,31*($A$4)+DAY(VLOOKUP(NM$5,Sprints[],2,FALSE)),1,VLOOKUP(NM$5,Sprints[],4,FALSE))&lt;&gt;"")*(IF(OFFSET($A9,0,31*($A$4)+DAY(VLOOKUP(NM$5,Sprints[],2,FALSE)),1,VLOOKUP(NM$5,Sprints[],4,FALSE))=$OD$12,0.5,1)*(OFFSET($A$3,0,31*($A$4)+DAY(VLOOKUP(NM$5,Sprints[],2,FALSE)),1,VLOOKUP(NM$5,Sprints[],4,FALSE)))))</f>
        <v>0</v>
      </c>
      <c r="NN9" s="52">
        <f t="array" aca="1" ref="NN9" ca="1">SUMPRODUCT((OFFSET($A9,0,31*($A$4)+DAY(VLOOKUP(NN$5,Sprints[],2,FALSE)),1,VLOOKUP(NN$5,Sprints[],4,FALSE))&lt;&gt;"")*(IF(OFFSET($A9,0,31*($A$4)+DAY(VLOOKUP(NN$5,Sprints[],2,FALSE)),1,VLOOKUP(NN$5,Sprints[],4,FALSE))=$OD$12,0.5,1)*(OFFSET($A$3,0,31*($A$4)+DAY(VLOOKUP(NN$5,Sprints[],2,FALSE)),1,VLOOKUP(NN$5,Sprints[],4,FALSE)))))</f>
        <v>1</v>
      </c>
      <c r="NO9" s="52">
        <f t="array" aca="1" ref="NO9" ca="1">SUMPRODUCT((OFFSET($A9,0,31*($A$4)+DAY(VLOOKUP(NO$5,Sprints[],2,FALSE)),1,VLOOKUP(NO$5,Sprints[],4,FALSE))&lt;&gt;"")*(IF(OFFSET($A9,0,31*($A$4)+DAY(VLOOKUP(NO$5,Sprints[],2,FALSE)),1,VLOOKUP(NO$5,Sprints[],4,FALSE))=$OD$12,0.5,1)*(OFFSET($A$3,0,31*($A$4)+DAY(VLOOKUP(NO$5,Sprints[],2,FALSE)),1,VLOOKUP(NO$5,Sprints[],4,FALSE)))))</f>
        <v>2</v>
      </c>
      <c r="NP9" s="52">
        <f t="array" aca="1" ref="NP9" ca="1">SUMPRODUCT((OFFSET($A9,0,31*(VLOOKUP(NP$5,Sprints[],5,FALSE))+DAY(VLOOKUP(NP$5,Sprints[],2,FALSE)),1,VLOOKUP(NP$5,Sprints[],4,FALSE))&lt;&gt;"")*(IF(OFFSET($A9,0,31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9" s="52">
        <f t="array" aca="1" ref="NQ9" ca="1">SUMPRODUCT((OFFSET($A9,0,31*(VLOOKUP(NQ$5,Sprints[],5,FALSE))+DAY(VLOOKUP(NQ$5,Sprints[],2,FALSE)),1,VLOOKUP(NQ$5,Sprints[],4,FALSE))&lt;&gt;"")*(IF(OFFSET($A9,0,31*(VLOOKUP(NQ$5,Sprints[],5,FALSE))+DAY(VLOOKUP(NQ$5,Sprints[],2,FALSE)),1,VLOOKUP(NQ$5,Sprints[],4,FALSE))=$OD$12,0.5,1)*(OFFSET($A$3,0,31*(VLOOKUP(NQ$5,Sprints[],5,FALSE))+DAY(VLOOKUP(NQ$5,Sprints[],2,FALSE)),1,VLOOKUP(NQ$5,Sprints[],4,FALSE)))))</f>
        <v>2.5</v>
      </c>
      <c r="NR9" s="52">
        <f t="array" aca="1" ref="NR9" ca="1">SUMPRODUCT((OFFSET($A9,0,31*(VLOOKUP(NR$5,Sprints[],5,FALSE))+DAY(VLOOKUP(NR$5,Sprints[],2,FALSE)),1,VLOOKUP(NR$5,Sprints[],4,FALSE))&lt;&gt;"")*(IF(OFFSET($A9,0,31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9" s="52">
        <f t="array" aca="1" ref="NS9" ca="1">SUMPRODUCT((OFFSET($A9,0,31*(VLOOKUP(NS$5,Sprints[],5,FALSE))+DAY(VLOOKUP(NS$5,Sprints[],2,FALSE)),1,VLOOKUP(NS$5,Sprints[],4,FALSE))&lt;&gt;"")*(IF(OFFSET($A9,0,31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9" s="52">
        <f t="array" aca="1" ref="NT9" ca="1">SUMPRODUCT((OFFSET($A9,0,31*(VLOOKUP(NT$5,Sprints[],5,FALSE))+DAY(VLOOKUP(NT$5,Sprints[],2,FALSE)),1,VLOOKUP(NT$5,Sprints[],4,FALSE))&lt;&gt;"")*(IF(OFFSET($A9,0,31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9" s="52">
        <f t="array" aca="1" ref="NU9" ca="1">SUMPRODUCT((OFFSET($A9,0,31*(VLOOKUP(NU$5,Sprints[],5,FALSE))+DAY(VLOOKUP(NU$5,Sprints[],2,FALSE)),1,VLOOKUP(NU$5,Sprints[],4,FALSE))&lt;&gt;"")*(IF(OFFSET($A9,0,31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9" s="52">
        <f t="array" aca="1" ref="NV9" ca="1">SUMPRODUCT((OFFSET($A9,0,31*(VLOOKUP(NV$5,Sprints[],5,FALSE))+DAY(VLOOKUP(NV$5,Sprints[],2,FALSE)),1,VLOOKUP(NV$5,Sprints[],4,FALSE))&lt;&gt;"")*(IF(OFFSET($A9,0,31*(VLOOKUP(NV$5,Sprints[],5,FALSE))+DAY(VLOOKUP(NV$5,Sprints[],2,FALSE)),1,VLOOKUP(NV$5,Sprints[],4,FALSE))=$OD$12,0.5,1)*(OFFSET($A$3,0,31*(VLOOKUP(NV$5,Sprints[],5,FALSE))+DAY(VLOOKUP(NV$5,Sprints[],2,FALSE)),1,VLOOKUP(NV$5,Sprints[],4,FALSE)))))</f>
        <v>4</v>
      </c>
      <c r="NW9" s="52">
        <f t="array" aca="1" ref="NW9" ca="1">SUMPRODUCT((OFFSET($A9,0,31*(VLOOKUP(NW$5,Sprints[],5,FALSE))+DAY(VLOOKUP(NW$5,Sprints[],2,FALSE)),1,VLOOKUP(NW$5,Sprints[],4,FALSE))&lt;&gt;"")*(IF(OFFSET($A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9" s="52">
        <f t="array" aca="1" ref="NX9" ca="1">SUMPRODUCT((OFFSET($A9,0,31*(VLOOKUP(NX$5,Sprints[],5,FALSE))+DAY(VLOOKUP(NX$5,Sprints[],2,FALSE)),1,VLOOKUP(NX$5,Sprints[],4,FALSE))&lt;&gt;"")*(IF(OFFSET($A9,0,31*(VLOOKUP(NX$5,Sprints[],5,FALSE))+DAY(VLOOKUP(NX$5,Sprints[],2,FALSE)),1,VLOOKUP(NX$5,Sprints[],4,FALSE))=$OD$12,0.5,1)*(OFFSET($A$3,0,31*(VLOOKUP(NX$5,Sprints[],5,FALSE))+DAY(VLOOKUP(NX$5,Sprints[],2,FALSE)),1,VLOOKUP(NX$5,Sprints[],4,FALSE)))))</f>
        <v>3</v>
      </c>
      <c r="NY9" s="52">
        <f t="array" aca="1" ref="NY9" ca="1">SUMPRODUCT((OFFSET($A9,0,31*(VLOOKUP(NY$5,Sprints[],5,FALSE))+DAY(VLOOKUP(NY$5,Sprints[],2,FALSE)),1,VLOOKUP(NY$5,Sprints[],4,FALSE))&lt;&gt;"")*(IF(OFFSET($A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9" s="52">
        <f t="array" aca="1" ref="NZ9" ca="1">SUMPRODUCT((OFFSET($A9,0,31*(VLOOKUP(NZ$5,Sprints[],5,FALSE))+DAY(VLOOKUP(NZ$5,Sprints[],2,FALSE)),1,VLOOKUP(NZ$5,Sprints[],4,FALSE))&lt;&gt;"")*(IF(OFFSET($A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9" s="52">
        <f t="array" aca="1" ref="OA9" ca="1">SUMPRODUCT((OFFSET($A9,0,31*(VLOOKUP(OA$5,Sprints[],5,FALSE))+DAY(VLOOKUP(OA$5,Sprints[],2,FALSE)),1,VLOOKUP(OA$5,Sprints[],4,FALSE))&lt;&gt;"")*(IF(OFFSET($A9,0,31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  <c r="OC9" s="18" t="s">
        <v>48</v>
      </c>
      <c r="OD9" s="25" t="s">
        <v>49</v>
      </c>
    </row>
    <row r="10" spans="1:767" x14ac:dyDescent="0.45">
      <c r="A10" s="5" t="s">
        <v>43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 t="s">
        <v>49</v>
      </c>
      <c r="AF10" s="2"/>
      <c r="AG10" s="2" t="s">
        <v>49</v>
      </c>
      <c r="AH10" s="2" t="s">
        <v>49</v>
      </c>
      <c r="AI10" s="2" t="s">
        <v>49</v>
      </c>
      <c r="AJ10" s="2" t="s">
        <v>49</v>
      </c>
      <c r="AK10" s="2"/>
      <c r="AL10" s="2"/>
      <c r="AM10" s="2" t="s">
        <v>49</v>
      </c>
      <c r="AN10" s="2" t="s">
        <v>49</v>
      </c>
      <c r="AO10" s="2" t="s">
        <v>49</v>
      </c>
      <c r="AP10" s="2" t="s">
        <v>49</v>
      </c>
      <c r="AQ10" s="2" t="s">
        <v>49</v>
      </c>
      <c r="AR10" s="2"/>
      <c r="AS10" s="2"/>
      <c r="AT10" s="2" t="str">
        <f t="shared" ref="AT10:AV10" si="6">$AE$10</f>
        <v>N</v>
      </c>
      <c r="AU10" s="2" t="str">
        <f t="shared" si="6"/>
        <v>N</v>
      </c>
      <c r="AV10" s="2" t="str">
        <f t="shared" si="6"/>
        <v>N</v>
      </c>
      <c r="AW10" s="2" t="s">
        <v>49</v>
      </c>
      <c r="AX10" s="2" t="s">
        <v>49</v>
      </c>
      <c r="AY10" s="2"/>
      <c r="AZ10" s="2"/>
      <c r="BA10" s="2" t="s">
        <v>35</v>
      </c>
      <c r="BB10" s="2" t="s">
        <v>49</v>
      </c>
      <c r="BC10" s="2" t="s">
        <v>49</v>
      </c>
      <c r="BD10" s="2" t="s">
        <v>49</v>
      </c>
      <c r="BE10" s="2" t="s">
        <v>49</v>
      </c>
      <c r="BF10" s="2"/>
      <c r="BG10" s="2"/>
      <c r="BH10" s="2" t="s">
        <v>49</v>
      </c>
      <c r="BI10" s="2" t="s">
        <v>49</v>
      </c>
      <c r="BJ10" s="2" t="s">
        <v>49</v>
      </c>
      <c r="BK10" s="2" t="s">
        <v>49</v>
      </c>
      <c r="BL10" s="2" t="s">
        <v>49</v>
      </c>
      <c r="BM10" s="2"/>
      <c r="BN10" s="2"/>
      <c r="BO10" s="2" t="s">
        <v>49</v>
      </c>
      <c r="BP10" s="2" t="s">
        <v>49</v>
      </c>
      <c r="BQ10" s="2" t="s">
        <v>49</v>
      </c>
      <c r="BR10" s="2" t="s">
        <v>49</v>
      </c>
      <c r="BS10" s="2" t="s">
        <v>49</v>
      </c>
      <c r="BT10" s="2"/>
      <c r="BU10" s="2"/>
      <c r="BV10" s="2" t="s">
        <v>49</v>
      </c>
      <c r="BW10" s="2" t="s">
        <v>49</v>
      </c>
      <c r="BX10" s="2" t="s">
        <v>49</v>
      </c>
      <c r="BY10" s="2" t="s">
        <v>49</v>
      </c>
      <c r="BZ10" s="2" t="s">
        <v>49</v>
      </c>
      <c r="CA10" s="2"/>
      <c r="CB10" s="2"/>
      <c r="CC10" s="2" t="s">
        <v>49</v>
      </c>
      <c r="CD10" s="2" t="s">
        <v>49</v>
      </c>
      <c r="CE10" s="2" t="s">
        <v>49</v>
      </c>
      <c r="CF10" s="2" t="s">
        <v>49</v>
      </c>
      <c r="CG10" s="2" t="s">
        <v>49</v>
      </c>
      <c r="CH10" s="2"/>
      <c r="CI10" s="2"/>
      <c r="CJ10" s="2" t="s">
        <v>49</v>
      </c>
      <c r="CK10" s="2" t="s">
        <v>49</v>
      </c>
      <c r="CL10" s="2" t="s">
        <v>49</v>
      </c>
      <c r="CM10" s="2" t="s">
        <v>49</v>
      </c>
      <c r="CN10" s="2" t="s">
        <v>49</v>
      </c>
      <c r="CO10" s="2"/>
      <c r="CP10" s="2"/>
      <c r="CQ10" s="2"/>
      <c r="CR10" s="2" t="s">
        <v>35</v>
      </c>
      <c r="CS10" s="2" t="s">
        <v>49</v>
      </c>
      <c r="CT10" s="2" t="s">
        <v>49</v>
      </c>
      <c r="CU10" s="2" t="s">
        <v>49</v>
      </c>
      <c r="CV10" s="2" t="s">
        <v>49</v>
      </c>
      <c r="CW10" s="2"/>
      <c r="CX10" s="2"/>
      <c r="CY10" s="2" t="s">
        <v>49</v>
      </c>
      <c r="CZ10" s="2" t="s">
        <v>49</v>
      </c>
      <c r="DA10" s="2" t="s">
        <v>49</v>
      </c>
      <c r="DB10" s="2" t="s">
        <v>49</v>
      </c>
      <c r="DC10" s="2" t="s">
        <v>49</v>
      </c>
      <c r="DD10" s="2"/>
      <c r="DE10" s="2"/>
      <c r="DF10" s="2" t="s">
        <v>49</v>
      </c>
      <c r="DG10" s="2" t="s">
        <v>49</v>
      </c>
      <c r="DH10" s="2" t="s">
        <v>49</v>
      </c>
      <c r="DI10" s="2" t="s">
        <v>49</v>
      </c>
      <c r="DJ10" s="2" t="s">
        <v>49</v>
      </c>
      <c r="DK10" s="2"/>
      <c r="DL10" s="2"/>
      <c r="DM10" s="2" t="s">
        <v>49</v>
      </c>
      <c r="DN10" s="2" t="s">
        <v>49</v>
      </c>
      <c r="DO10" s="2" t="s">
        <v>49</v>
      </c>
      <c r="DP10" s="2" t="s">
        <v>49</v>
      </c>
      <c r="DQ10" s="2" t="s">
        <v>49</v>
      </c>
      <c r="DR10" s="2"/>
      <c r="DS10" s="2"/>
      <c r="DT10" s="2" t="s">
        <v>49</v>
      </c>
      <c r="DU10" s="2" t="s">
        <v>49</v>
      </c>
      <c r="DV10" s="2" t="s">
        <v>49</v>
      </c>
      <c r="DW10" s="2" t="s">
        <v>49</v>
      </c>
      <c r="DX10" s="2" t="s">
        <v>49</v>
      </c>
      <c r="DY10" s="2"/>
      <c r="DZ10" s="2"/>
      <c r="EA10" s="2" t="s">
        <v>35</v>
      </c>
      <c r="EB10" s="2" t="s">
        <v>49</v>
      </c>
      <c r="EC10" s="2" t="s">
        <v>49</v>
      </c>
      <c r="ED10" s="2" t="s">
        <v>49</v>
      </c>
      <c r="EE10" s="2" t="s">
        <v>49</v>
      </c>
      <c r="EF10" s="2"/>
      <c r="EG10" s="2"/>
      <c r="EH10" s="2" t="s">
        <v>49</v>
      </c>
      <c r="EI10" s="2" t="s">
        <v>49</v>
      </c>
      <c r="EJ10" s="2" t="s">
        <v>49</v>
      </c>
      <c r="EK10" s="2" t="s">
        <v>49</v>
      </c>
      <c r="EL10" s="2" t="s">
        <v>49</v>
      </c>
      <c r="EM10" s="2"/>
      <c r="EN10" s="2"/>
      <c r="EO10" s="2" t="s">
        <v>49</v>
      </c>
      <c r="EP10" s="2" t="s">
        <v>49</v>
      </c>
      <c r="EQ10" s="2" t="s">
        <v>49</v>
      </c>
      <c r="ER10" s="2" t="s">
        <v>49</v>
      </c>
      <c r="ES10" s="2" t="s">
        <v>49</v>
      </c>
      <c r="ET10" s="2"/>
      <c r="EU10" s="2"/>
      <c r="EV10" s="2" t="s">
        <v>49</v>
      </c>
      <c r="EW10" s="2" t="s">
        <v>49</v>
      </c>
      <c r="EX10" s="2" t="s">
        <v>49</v>
      </c>
      <c r="EY10" s="2" t="s">
        <v>49</v>
      </c>
      <c r="EZ10" s="2" t="s">
        <v>49</v>
      </c>
      <c r="FA10" s="2"/>
      <c r="FB10" s="2"/>
      <c r="FC10" s="2" t="s">
        <v>35</v>
      </c>
      <c r="FD10" s="2" t="s">
        <v>49</v>
      </c>
      <c r="FE10" s="2" t="s">
        <v>49</v>
      </c>
      <c r="FF10" s="2" t="s">
        <v>49</v>
      </c>
      <c r="FG10" s="2" t="s">
        <v>49</v>
      </c>
      <c r="FH10" s="2"/>
      <c r="FI10" s="2"/>
      <c r="FJ10" s="2" t="s">
        <v>49</v>
      </c>
      <c r="FK10" s="2" t="s">
        <v>49</v>
      </c>
      <c r="FL10" s="2" t="s">
        <v>49</v>
      </c>
      <c r="FM10" s="2" t="s">
        <v>49</v>
      </c>
      <c r="FN10" s="2" t="s">
        <v>49</v>
      </c>
      <c r="FO10" s="2"/>
      <c r="FP10" s="2"/>
      <c r="FQ10" s="2" t="s">
        <v>49</v>
      </c>
      <c r="FR10" s="2" t="s">
        <v>49</v>
      </c>
      <c r="FS10" s="2" t="s">
        <v>49</v>
      </c>
      <c r="FT10" s="2" t="s">
        <v>49</v>
      </c>
      <c r="FU10" s="2" t="s">
        <v>49</v>
      </c>
      <c r="FV10" s="2"/>
      <c r="FW10" s="2"/>
      <c r="FX10" s="2" t="s">
        <v>49</v>
      </c>
      <c r="FY10" s="2" t="s">
        <v>49</v>
      </c>
      <c r="FZ10" s="2" t="s">
        <v>49</v>
      </c>
      <c r="GA10" s="2" t="s">
        <v>49</v>
      </c>
      <c r="GB10" s="2" t="s">
        <v>49</v>
      </c>
      <c r="GC10" s="2"/>
      <c r="GD10" s="2"/>
      <c r="GE10" s="2"/>
      <c r="GF10" s="2" t="s">
        <v>49</v>
      </c>
      <c r="GG10" s="2" t="s">
        <v>49</v>
      </c>
      <c r="GH10" s="2" t="s">
        <v>49</v>
      </c>
      <c r="GI10" s="2" t="s">
        <v>49</v>
      </c>
      <c r="GJ10" s="2" t="s">
        <v>49</v>
      </c>
      <c r="GK10" s="2"/>
      <c r="GL10" s="2"/>
      <c r="GM10" s="2" t="s">
        <v>35</v>
      </c>
      <c r="GN10" s="2" t="s">
        <v>49</v>
      </c>
      <c r="GO10" s="2" t="s">
        <v>49</v>
      </c>
      <c r="GP10" s="2" t="s">
        <v>49</v>
      </c>
      <c r="GQ10" s="2" t="s">
        <v>49</v>
      </c>
      <c r="GR10" s="2"/>
      <c r="GS10" s="2"/>
      <c r="GT10" s="2" t="s">
        <v>49</v>
      </c>
      <c r="GU10" s="2" t="s">
        <v>49</v>
      </c>
      <c r="GV10" s="2" t="s">
        <v>49</v>
      </c>
      <c r="GW10" s="2" t="s">
        <v>49</v>
      </c>
      <c r="GX10" s="2" t="s">
        <v>49</v>
      </c>
      <c r="GY10" s="2"/>
      <c r="GZ10" s="2"/>
      <c r="HA10" s="2" t="s">
        <v>49</v>
      </c>
      <c r="HB10" s="2" t="s">
        <v>49</v>
      </c>
      <c r="HC10" s="2" t="s">
        <v>49</v>
      </c>
      <c r="HD10" s="2" t="s">
        <v>49</v>
      </c>
      <c r="HE10" s="2" t="s">
        <v>49</v>
      </c>
      <c r="HF10" s="2"/>
      <c r="HG10" s="2"/>
      <c r="HH10" s="2" t="s">
        <v>49</v>
      </c>
      <c r="HI10" s="2" t="s">
        <v>49</v>
      </c>
      <c r="HJ10" s="2" t="s">
        <v>49</v>
      </c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 t="s">
        <v>35</v>
      </c>
      <c r="JO10" s="2" t="s">
        <v>35</v>
      </c>
      <c r="JP10" s="2"/>
      <c r="JQ10" s="2"/>
      <c r="JR10" s="2"/>
      <c r="JS10" s="2"/>
      <c r="JT10" s="2"/>
      <c r="JU10" s="2" t="s">
        <v>35</v>
      </c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 t="s">
        <v>35</v>
      </c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14">
        <f t="array" aca="1" ref="NJ10" ca="1">SUMPRODUCT((OFFSET($A10,0,31*($A$3-1)+1,1,31)&lt;&gt;"")*(IF(OFFSET($A10,0,31*($A$3-1)+1,1,31)=$OD$12,0.5,1)*(OFFSET($A$4,0,31*($A$3-1)+1,1,31))))</f>
        <v>20</v>
      </c>
      <c r="NK10" s="20">
        <f t="array" aca="1" ref="NK10" ca="1">SUMPRODUCT((OFFSET($A10,0,1,1,372)&lt;&gt;"")*(IF(OFFSET($A10,0,1,1,372)=$OD$12,0.5,1)*(OFFSET($A$3,0,1,1,372))))</f>
        <v>137</v>
      </c>
      <c r="NL10" s="28">
        <f t="array" aca="1" ref="NL10" ca="1">SUMPRODUCT((OFFSET($A10,0,31*($A$4)+DAY(Holidays!$E$2),1,Holidays!$G$2)&lt;&gt;"")*(IF(OFFSET($A10,0,31*($A$4)+DAY(Holidays!$E$2),1,Holidays!$G$2)=$OD$12,0.5,1)*(OFFSET($A$3,0,31*($A$4)+DAY(Holidays!$E$2),1,Holidays!$G$2))))</f>
        <v>112</v>
      </c>
      <c r="NM10" s="52">
        <f t="array" aca="1" ref="NM10" ca="1">SUMPRODUCT((OFFSET($A10,0,31*($A$4)+DAY(VLOOKUP(NM$5,Sprints[],2,FALSE)),1,VLOOKUP(NM$5,Sprints[],4,FALSE))&lt;&gt;"")*(IF(OFFSET($A10,0,31*($A$4)+DAY(VLOOKUP(NM$5,Sprints[],2,FALSE)),1,VLOOKUP(NM$5,Sprints[],4,FALSE))=$OD$12,0.5,1)*(OFFSET($A$3,0,31*($A$4)+DAY(VLOOKUP(NM$5,Sprints[],2,FALSE)),1,VLOOKUP(NM$5,Sprints[],4,FALSE)))))</f>
        <v>0</v>
      </c>
      <c r="NN10" s="52">
        <f t="array" aca="1" ref="NN10" ca="1">SUMPRODUCT((OFFSET($A10,0,31*($A$4)+DAY(VLOOKUP(NN$5,Sprints[],2,FALSE)),1,VLOOKUP(NN$5,Sprints[],4,FALSE))&lt;&gt;"")*(IF(OFFSET($A10,0,31*($A$4)+DAY(VLOOKUP(NN$5,Sprints[],2,FALSE)),1,VLOOKUP(NN$5,Sprints[],4,FALSE))=$OD$12,0.5,1)*(OFFSET($A$3,0,31*($A$4)+DAY(VLOOKUP(NN$5,Sprints[],2,FALSE)),1,VLOOKUP(NN$5,Sprints[],4,FALSE)))))</f>
        <v>2</v>
      </c>
      <c r="NO10" s="52">
        <f t="array" aca="1" ref="NO10" ca="1">SUMPRODUCT((OFFSET($A10,0,31*($A$4)+DAY(VLOOKUP(NO$5,Sprints[],2,FALSE)),1,VLOOKUP(NO$5,Sprints[],4,FALSE))&lt;&gt;"")*(IF(OFFSET($A10,0,31*($A$4)+DAY(VLOOKUP(NO$5,Sprints[],2,FALSE)),1,VLOOKUP(NO$5,Sprints[],4,FALSE))=$OD$12,0.5,1)*(OFFSET($A$3,0,31*($A$4)+DAY(VLOOKUP(NO$5,Sprints[],2,FALSE)),1,VLOOKUP(NO$5,Sprints[],4,FALSE)))))</f>
        <v>0</v>
      </c>
      <c r="NP10" s="52">
        <f t="array" aca="1" ref="NP10" ca="1">SUMPRODUCT((OFFSET($A10,0,31*(VLOOKUP(NP$5,Sprints[],5,FALSE))+DAY(VLOOKUP(NP$5,Sprints[],2,FALSE)),1,VLOOKUP(NP$5,Sprints[],4,FALSE))&lt;&gt;"")*(IF(OFFSET($A10,0,31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10" s="52">
        <f t="array" aca="1" ref="NQ10" ca="1">SUMPRODUCT((OFFSET($A10,0,31*(VLOOKUP(NQ$5,Sprints[],5,FALSE))+DAY(VLOOKUP(NQ$5,Sprints[],2,FALSE)),1,VLOOKUP(NQ$5,Sprints[],4,FALSE))&lt;&gt;"")*(IF(OFFSET($A10,0,31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10" s="52">
        <f t="array" aca="1" ref="NR10" ca="1">SUMPRODUCT((OFFSET($A10,0,31*(VLOOKUP(NR$5,Sprints[],5,FALSE))+DAY(VLOOKUP(NR$5,Sprints[],2,FALSE)),1,VLOOKUP(NR$5,Sprints[],4,FALSE))&lt;&gt;"")*(IF(OFFSET($A10,0,31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10" s="52">
        <f t="array" aca="1" ref="NS10" ca="1">SUMPRODUCT((OFFSET($A10,0,31*(VLOOKUP(NS$5,Sprints[],5,FALSE))+DAY(VLOOKUP(NS$5,Sprints[],2,FALSE)),1,VLOOKUP(NS$5,Sprints[],4,FALSE))&lt;&gt;"")*(IF(OFFSET($A10,0,31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0" s="52">
        <f t="array" aca="1" ref="NT10" ca="1">SUMPRODUCT((OFFSET($A10,0,31*(VLOOKUP(NT$5,Sprints[],5,FALSE))+DAY(VLOOKUP(NT$5,Sprints[],2,FALSE)),1,VLOOKUP(NT$5,Sprints[],4,FALSE))&lt;&gt;"")*(IF(OFFSET($A10,0,31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0" s="52">
        <f t="array" aca="1" ref="NU10" ca="1">SUMPRODUCT((OFFSET($A10,0,31*(VLOOKUP(NU$5,Sprints[],5,FALSE))+DAY(VLOOKUP(NU$5,Sprints[],2,FALSE)),1,VLOOKUP(NU$5,Sprints[],4,FALSE))&lt;&gt;"")*(IF(OFFSET($A10,0,31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10" s="52">
        <f t="array" aca="1" ref="NV10" ca="1">SUMPRODUCT((OFFSET($A10,0,31*(VLOOKUP(NV$5,Sprints[],5,FALSE))+DAY(VLOOKUP(NV$5,Sprints[],2,FALSE)),1,VLOOKUP(NV$5,Sprints[],4,FALSE))&lt;&gt;"")*(IF(OFFSET($A10,0,31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10" s="52">
        <f t="array" aca="1" ref="NW10" ca="1">SUMPRODUCT((OFFSET($A10,0,31*(VLOOKUP(NW$5,Sprints[],5,FALSE))+DAY(VLOOKUP(NW$5,Sprints[],2,FALSE)),1,VLOOKUP(NW$5,Sprints[],4,FALSE))&lt;&gt;"")*(IF(OFFSET($A10,0,31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10" s="52">
        <f t="array" aca="1" ref="NX10" ca="1">SUMPRODUCT((OFFSET($A10,0,31*(VLOOKUP(NX$5,Sprints[],5,FALSE))+DAY(VLOOKUP(NX$5,Sprints[],2,FALSE)),1,VLOOKUP(NX$5,Sprints[],4,FALSE))&lt;&gt;"")*(IF(OFFSET($A10,0,31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10" s="52">
        <f t="array" aca="1" ref="NY10" ca="1">SUMPRODUCT((OFFSET($A10,0,31*(VLOOKUP(NY$5,Sprints[],5,FALSE))+DAY(VLOOKUP(NY$5,Sprints[],2,FALSE)),1,VLOOKUP(NY$5,Sprints[],4,FALSE))&lt;&gt;"")*(IF(OFFSET($A10,0,31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10" s="52">
        <f t="array" aca="1" ref="NZ10" ca="1">SUMPRODUCT((OFFSET($A10,0,31*(VLOOKUP(NZ$5,Sprints[],5,FALSE))+DAY(VLOOKUP(NZ$5,Sprints[],2,FALSE)),1,VLOOKUP(NZ$5,Sprints[],4,FALSE))&lt;&gt;"")*(IF(OFFSET($A10,0,31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10" s="52">
        <f t="array" aca="1" ref="OA10" ca="1">SUMPRODUCT((OFFSET($A10,0,31*(VLOOKUP(OA$5,Sprints[],5,FALSE))+DAY(VLOOKUP(OA$5,Sprints[],2,FALSE)),1,VLOOKUP(OA$5,Sprints[],4,FALSE))&lt;&gt;"")*(IF(OFFSET($A10,0,31*(VLOOKUP(OA$5,Sprints[],5,FALSE))+DAY(VLOOKUP(OA$5,Sprints[],2,FALSE)),1,VLOOKUP(OA$5,Sprints[],4,FALSE))=$OD$12,0.5,1)*(OFFSET($A$3,0,31*(VLOOKUP(OA$5,Sprints[],5,FALSE))+DAY(VLOOKUP(OA$5,Sprints[],2,FALSE)),1,VLOOKUP(OA$5,Sprints[],4,FALSE)))))</f>
        <v>19</v>
      </c>
      <c r="OC10" s="18" t="s">
        <v>51</v>
      </c>
      <c r="OD10" s="25" t="s">
        <v>50</v>
      </c>
    </row>
    <row r="11" spans="1:767" x14ac:dyDescent="0.45">
      <c r="A11" s="5" t="s">
        <v>44</v>
      </c>
      <c r="B11" s="2"/>
      <c r="C11" s="2"/>
      <c r="D11" s="2"/>
      <c r="E11" s="2"/>
      <c r="F11" s="2"/>
      <c r="G11" s="2"/>
      <c r="H11" s="2"/>
      <c r="I11" s="2"/>
      <c r="J11" s="2"/>
      <c r="K11" s="2" t="s">
        <v>33</v>
      </c>
      <c r="L11" s="2"/>
      <c r="M11" s="2"/>
      <c r="N11" s="2"/>
      <c r="O11" s="2"/>
      <c r="P11" s="2"/>
      <c r="Q11" s="2"/>
      <c r="R11" s="2"/>
      <c r="S11" s="2"/>
      <c r="T11" s="2"/>
      <c r="U11" s="2" t="s">
        <v>33</v>
      </c>
      <c r="V11" s="2"/>
      <c r="W11" s="2"/>
      <c r="X11" s="2" t="s">
        <v>33</v>
      </c>
      <c r="Y11" s="2" t="s">
        <v>33</v>
      </c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 t="s">
        <v>33</v>
      </c>
      <c r="AX11" s="2" t="s">
        <v>33</v>
      </c>
      <c r="AY11" s="2"/>
      <c r="AZ11" s="2"/>
      <c r="BA11" s="2" t="s">
        <v>35</v>
      </c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 t="s">
        <v>31</v>
      </c>
      <c r="CH11" s="2"/>
      <c r="CI11" s="2"/>
      <c r="CJ11" s="2" t="s">
        <v>33</v>
      </c>
      <c r="CK11" s="2" t="s">
        <v>33</v>
      </c>
      <c r="CL11" s="2" t="s">
        <v>33</v>
      </c>
      <c r="CM11" s="2" t="s">
        <v>33</v>
      </c>
      <c r="CN11" s="2" t="s">
        <v>33</v>
      </c>
      <c r="CO11" s="2"/>
      <c r="CP11" s="2"/>
      <c r="CQ11" s="2"/>
      <c r="CR11" s="2" t="s">
        <v>35</v>
      </c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 t="s">
        <v>33</v>
      </c>
      <c r="DD11" s="2"/>
      <c r="DE11" s="2"/>
      <c r="DF11" s="2"/>
      <c r="DG11" s="2"/>
      <c r="DH11" s="2"/>
      <c r="DI11" s="2"/>
      <c r="DJ11" s="2"/>
      <c r="DK11" s="2"/>
      <c r="DL11" s="2"/>
      <c r="DM11" s="2" t="s">
        <v>31</v>
      </c>
      <c r="DN11" s="2" t="s">
        <v>31</v>
      </c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 t="s">
        <v>35</v>
      </c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 t="s">
        <v>33</v>
      </c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 t="s">
        <v>35</v>
      </c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 t="s">
        <v>33</v>
      </c>
      <c r="FR11" s="2" t="s">
        <v>33</v>
      </c>
      <c r="FS11" s="2" t="s">
        <v>33</v>
      </c>
      <c r="FT11" s="2" t="s">
        <v>33</v>
      </c>
      <c r="FU11" s="2" t="s">
        <v>33</v>
      </c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 t="s">
        <v>35</v>
      </c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 t="s">
        <v>35</v>
      </c>
      <c r="JO11" s="2" t="s">
        <v>35</v>
      </c>
      <c r="JP11" s="2"/>
      <c r="JQ11" s="2"/>
      <c r="JR11" s="2"/>
      <c r="JS11" s="2"/>
      <c r="JT11" s="2"/>
      <c r="JU11" s="2" t="s">
        <v>35</v>
      </c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 t="s">
        <v>35</v>
      </c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14">
        <f t="array" aca="1" ref="NJ11" ca="1">SUMPRODUCT((OFFSET($A11,0,31*($A$3-1)+1,1,31)&lt;&gt;"")*(IF(OFFSET($A11,0,31*($A$3-1)+1,1,31)=$OD$12,0.5,1)*(OFFSET($A$4,0,31*($A$3-1)+1,1,31))))</f>
        <v>6</v>
      </c>
      <c r="NK11" s="20">
        <f t="array" aca="1" ref="NK11" ca="1">SUMPRODUCT((OFFSET($A11,0,1,1,372)&lt;&gt;"")*(IF(OFFSET($A11,0,1,1,372)=$OD$12,0.5,1)*(OFFSET($A$3,0,1,1,372))))</f>
        <v>28.5</v>
      </c>
      <c r="NL11" s="28">
        <f t="array" aca="1" ref="NL11" ca="1">SUMPRODUCT((OFFSET($A11,0,31*($A$4)+DAY(Holidays!$E$2),1,Holidays!$G$2)&lt;&gt;"")*(IF(OFFSET($A11,0,31*($A$4)+DAY(Holidays!$E$2),1,Holidays!$G$2)=$OD$12,0.5,1)*(OFFSET($A$3,0,31*($A$4)+DAY(Holidays!$E$2),1,Holidays!$G$2))))</f>
        <v>22.5</v>
      </c>
      <c r="NM11" s="52">
        <f t="array" aca="1" ref="NM11" ca="1">SUMPRODUCT((OFFSET($A11,0,31*($A$4)+DAY(VLOOKUP(NM$5,Sprints[],2,FALSE)),1,VLOOKUP(NM$5,Sprints[],4,FALSE))&lt;&gt;"")*(IF(OFFSET($A11,0,31*($A$4)+DAY(VLOOKUP(NM$5,Sprints[],2,FALSE)),1,VLOOKUP(NM$5,Sprints[],4,FALSE))=$OD$12,0.5,1)*(OFFSET($A$3,0,31*($A$4)+DAY(VLOOKUP(NM$5,Sprints[],2,FALSE)),1,VLOOKUP(NM$5,Sprints[],4,FALSE)))))</f>
        <v>0</v>
      </c>
      <c r="NN11" s="52">
        <f t="array" aca="1" ref="NN11" ca="1">SUMPRODUCT((OFFSET($A11,0,31*($A$4)+DAY(VLOOKUP(NN$5,Sprints[],2,FALSE)),1,VLOOKUP(NN$5,Sprints[],4,FALSE))&lt;&gt;"")*(IF(OFFSET($A11,0,31*($A$4)+DAY(VLOOKUP(NN$5,Sprints[],2,FALSE)),1,VLOOKUP(NN$5,Sprints[],4,FALSE))=$OD$12,0.5,1)*(OFFSET($A$3,0,31*($A$4)+DAY(VLOOKUP(NN$5,Sprints[],2,FALSE)),1,VLOOKUP(NN$5,Sprints[],4,FALSE)))))</f>
        <v>3</v>
      </c>
      <c r="NO11" s="52">
        <f t="array" aca="1" ref="NO11" ca="1">SUMPRODUCT((OFFSET($A11,0,31*($A$4)+DAY(VLOOKUP(NO$5,Sprints[],2,FALSE)),1,VLOOKUP(NO$5,Sprints[],4,FALSE))&lt;&gt;"")*(IF(OFFSET($A11,0,31*($A$4)+DAY(VLOOKUP(NO$5,Sprints[],2,FALSE)),1,VLOOKUP(NO$5,Sprints[],4,FALSE))=$OD$12,0.5,1)*(OFFSET($A$3,0,31*($A$4)+DAY(VLOOKUP(NO$5,Sprints[],2,FALSE)),1,VLOOKUP(NO$5,Sprints[],4,FALSE)))))</f>
        <v>1</v>
      </c>
      <c r="NP11" s="52">
        <f t="array" aca="1" ref="NP11" ca="1">SUMPRODUCT((OFFSET($A11,0,31*(VLOOKUP(NP$5,Sprints[],5,FALSE))+DAY(VLOOKUP(NP$5,Sprints[],2,FALSE)),1,VLOOKUP(NP$5,Sprints[],4,FALSE))&lt;&gt;"")*(IF(OFFSET($A11,0,31*(VLOOKUP(NP$5,Sprints[],5,FALSE))+DAY(VLOOKUP(NP$5,Sprints[],2,FALSE)),1,VLOOKUP(NP$5,Sprints[],4,FALSE))=$OD$12,0.5,1)*(OFFSET($A$3,0,31*(VLOOKUP(NP$5,Sprints[],5,FALSE))+DAY(VLOOKUP(NP$5,Sprints[],2,FALSE)),1,VLOOKUP(NP$5,Sprints[],4,FALSE)))))</f>
        <v>3</v>
      </c>
      <c r="NQ11" s="52">
        <f t="array" aca="1" ref="NQ11" ca="1">SUMPRODUCT((OFFSET($A11,0,31*(VLOOKUP(NQ$5,Sprints[],5,FALSE))+DAY(VLOOKUP(NQ$5,Sprints[],2,FALSE)),1,VLOOKUP(NQ$5,Sprints[],4,FALSE))&lt;&gt;"")*(IF(OFFSET($A11,0,31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1" s="52">
        <f t="array" aca="1" ref="NR11" ca="1">SUMPRODUCT((OFFSET($A11,0,31*(VLOOKUP(NR$5,Sprints[],5,FALSE))+DAY(VLOOKUP(NR$5,Sprints[],2,FALSE)),1,VLOOKUP(NR$5,Sprints[],4,FALSE))&lt;&gt;"")*(IF(OFFSET($A11,0,31*(VLOOKUP(NR$5,Sprints[],5,FALSE))+DAY(VLOOKUP(NR$5,Sprints[],2,FALSE)),1,VLOOKUP(NR$5,Sprints[],4,FALSE))=$OD$12,0.5,1)*(OFFSET($A$3,0,31*(VLOOKUP(NR$5,Sprints[],5,FALSE))+DAY(VLOOKUP(NR$5,Sprints[],2,FALSE)),1,VLOOKUP(NR$5,Sprints[],4,FALSE)))))</f>
        <v>2.5</v>
      </c>
      <c r="NS11" s="52">
        <f t="array" aca="1" ref="NS11" ca="1">SUMPRODUCT((OFFSET($A11,0,31*(VLOOKUP(NS$5,Sprints[],5,FALSE))+DAY(VLOOKUP(NS$5,Sprints[],2,FALSE)),1,VLOOKUP(NS$5,Sprints[],4,FALSE))&lt;&gt;"")*(IF(OFFSET($A11,0,31*(VLOOKUP(NS$5,Sprints[],5,FALSE))+DAY(VLOOKUP(NS$5,Sprints[],2,FALSE)),1,VLOOKUP(NS$5,Sprints[],4,FALSE))=$OD$12,0.5,1)*(OFFSET($A$3,0,31*(VLOOKUP(NS$5,Sprints[],5,FALSE))+DAY(VLOOKUP(NS$5,Sprints[],2,FALSE)),1,VLOOKUP(NS$5,Sprints[],4,FALSE)))))</f>
        <v>4</v>
      </c>
      <c r="NT11" s="52">
        <f t="array" aca="1" ref="NT11" ca="1">SUMPRODUCT((OFFSET($A11,0,31*(VLOOKUP(NT$5,Sprints[],5,FALSE))+DAY(VLOOKUP(NT$5,Sprints[],2,FALSE)),1,VLOOKUP(NT$5,Sprints[],4,FALSE))&lt;&gt;"")*(IF(OFFSET($A11,0,31*(VLOOKUP(NT$5,Sprints[],5,FALSE))+DAY(VLOOKUP(NT$5,Sprints[],2,FALSE)),1,VLOOKUP(NT$5,Sprints[],4,FALSE))=$OD$12,0.5,1)*(OFFSET($A$3,0,31*(VLOOKUP(NT$5,Sprints[],5,FALSE))+DAY(VLOOKUP(NT$5,Sprints[],2,FALSE)),1,VLOOKUP(NT$5,Sprints[],4,FALSE)))))</f>
        <v>1</v>
      </c>
      <c r="NU11" s="52">
        <f t="array" aca="1" ref="NU11" ca="1">SUMPRODUCT((OFFSET($A11,0,31*(VLOOKUP(NU$5,Sprints[],5,FALSE))+DAY(VLOOKUP(NU$5,Sprints[],2,FALSE)),1,VLOOKUP(NU$5,Sprints[],4,FALSE))&lt;&gt;"")*(IF(OFFSET($A11,0,31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11" s="52">
        <f t="array" aca="1" ref="NV11" ca="1">SUMPRODUCT((OFFSET($A11,0,31*(VLOOKUP(NV$5,Sprints[],5,FALSE))+DAY(VLOOKUP(NV$5,Sprints[],2,FALSE)),1,VLOOKUP(NV$5,Sprints[],4,FALSE))&lt;&gt;"")*(IF(OFFSET($A11,0,31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1" s="52">
        <f t="array" aca="1" ref="NW11" ca="1">SUMPRODUCT((OFFSET($A11,0,31*(VLOOKUP(NW$5,Sprints[],5,FALSE))+DAY(VLOOKUP(NW$5,Sprints[],2,FALSE)),1,VLOOKUP(NW$5,Sprints[],4,FALSE))&lt;&gt;"")*(IF(OFFSET($A11,0,31*(VLOOKUP(NW$5,Sprints[],5,FALSE))+DAY(VLOOKUP(NW$5,Sprints[],2,FALSE)),1,VLOOKUP(NW$5,Sprints[],4,FALSE))=$OD$12,0.5,1)*(OFFSET($A$3,0,31*(VLOOKUP(NW$5,Sprints[],5,FALSE))+DAY(VLOOKUP(NW$5,Sprints[],2,FALSE)),1,VLOOKUP(NW$5,Sprints[],4,FALSE)))))</f>
        <v>1</v>
      </c>
      <c r="NX11" s="52">
        <f t="array" aca="1" ref="NX11" ca="1">SUMPRODUCT((OFFSET($A11,0,31*(VLOOKUP(NX$5,Sprints[],5,FALSE))+DAY(VLOOKUP(NX$5,Sprints[],2,FALSE)),1,VLOOKUP(NX$5,Sprints[],4,FALSE))&lt;&gt;"")*(IF(OFFSET($A11,0,31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1" s="52">
        <f t="array" aca="1" ref="NY11" ca="1">SUMPRODUCT((OFFSET($A11,0,31*(VLOOKUP(NY$5,Sprints[],5,FALSE))+DAY(VLOOKUP(NY$5,Sprints[],2,FALSE)),1,VLOOKUP(NY$5,Sprints[],4,FALSE))&lt;&gt;"")*(IF(OFFSET($A11,0,31*(VLOOKUP(NY$5,Sprints[],5,FALSE))+DAY(VLOOKUP(NY$5,Sprints[],2,FALSE)),1,VLOOKUP(NY$5,Sprints[],4,FALSE))=$OD$12,0.5,1)*(OFFSET($A$3,0,31*(VLOOKUP(NY$5,Sprints[],5,FALSE))+DAY(VLOOKUP(NY$5,Sprints[],2,FALSE)),1,VLOOKUP(NY$5,Sprints[],4,FALSE)))))</f>
        <v>5</v>
      </c>
      <c r="NZ11" s="52">
        <f t="array" aca="1" ref="NZ11" ca="1">SUMPRODUCT((OFFSET($A11,0,31*(VLOOKUP(NZ$5,Sprints[],5,FALSE))+DAY(VLOOKUP(NZ$5,Sprints[],2,FALSE)),1,VLOOKUP(NZ$5,Sprints[],4,FALSE))&lt;&gt;"")*(IF(OFFSET($A11,0,31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1" s="52">
        <f t="array" aca="1" ref="OA11" ca="1">SUMPRODUCT((OFFSET($A11,0,31*(VLOOKUP(OA$5,Sprints[],5,FALSE))+DAY(VLOOKUP(OA$5,Sprints[],2,FALSE)),1,VLOOKUP(OA$5,Sprints[],4,FALSE))&lt;&gt;"")*(IF(OFFSET($A11,0,31*(VLOOKUP(OA$5,Sprints[],5,FALSE))+DAY(VLOOKUP(OA$5,Sprints[],2,FALSE)),1,VLOOKUP(OA$5,Sprints[],4,FALSE))=$OD$12,0.5,1)*(OFFSET($A$3,0,31*(VLOOKUP(OA$5,Sprints[],5,FALSE))+DAY(VLOOKUP(OA$5,Sprints[],2,FALSE)),1,VLOOKUP(OA$5,Sprints[],4,FALSE)))))</f>
        <v>5</v>
      </c>
      <c r="OC11" s="24" t="s">
        <v>34</v>
      </c>
      <c r="OD11" s="25" t="s">
        <v>35</v>
      </c>
    </row>
    <row r="12" spans="1:767" x14ac:dyDescent="0.45">
      <c r="A12" s="5" t="s">
        <v>46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 t="s">
        <v>33</v>
      </c>
      <c r="AX12" s="2" t="s">
        <v>31</v>
      </c>
      <c r="AY12" s="2"/>
      <c r="AZ12" s="2"/>
      <c r="BA12" s="2" t="s">
        <v>35</v>
      </c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 t="s">
        <v>33</v>
      </c>
      <c r="CH12" s="2"/>
      <c r="CI12" s="2"/>
      <c r="CJ12" s="2" t="s">
        <v>33</v>
      </c>
      <c r="CK12" s="2" t="s">
        <v>33</v>
      </c>
      <c r="CL12" s="2" t="s">
        <v>33</v>
      </c>
      <c r="CM12" s="2" t="s">
        <v>33</v>
      </c>
      <c r="CN12" s="2" t="s">
        <v>33</v>
      </c>
      <c r="CO12" s="2"/>
      <c r="CP12" s="2"/>
      <c r="CQ12" s="2"/>
      <c r="CR12" s="2" t="s">
        <v>35</v>
      </c>
      <c r="CS12" s="2" t="s">
        <v>33</v>
      </c>
      <c r="CT12" s="2" t="s">
        <v>33</v>
      </c>
      <c r="CU12" s="2" t="s">
        <v>33</v>
      </c>
      <c r="CV12" s="2" t="s">
        <v>33</v>
      </c>
      <c r="CW12" s="2"/>
      <c r="CX12" s="2"/>
      <c r="CY12" s="2" t="s">
        <v>33</v>
      </c>
      <c r="CZ12" s="2" t="s">
        <v>33</v>
      </c>
      <c r="DA12" s="2" t="s">
        <v>33</v>
      </c>
      <c r="DB12" s="2" t="s">
        <v>33</v>
      </c>
      <c r="DC12" s="2" t="s">
        <v>33</v>
      </c>
      <c r="DD12" s="2"/>
      <c r="DE12" s="2"/>
      <c r="DF12" s="2" t="s">
        <v>33</v>
      </c>
      <c r="DG12" s="2" t="s">
        <v>33</v>
      </c>
      <c r="DH12" s="2" t="s">
        <v>33</v>
      </c>
      <c r="DI12" s="2" t="s">
        <v>33</v>
      </c>
      <c r="DJ12" s="2" t="s">
        <v>33</v>
      </c>
      <c r="DK12" s="2"/>
      <c r="DL12" s="2"/>
      <c r="DM12" s="2" t="s">
        <v>31</v>
      </c>
      <c r="DN12" s="2" t="s">
        <v>33</v>
      </c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 t="s">
        <v>35</v>
      </c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 t="s">
        <v>35</v>
      </c>
      <c r="FD12" s="2"/>
      <c r="FE12" s="2" t="s">
        <v>33</v>
      </c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 t="s">
        <v>35</v>
      </c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 t="s">
        <v>35</v>
      </c>
      <c r="JO12" s="2" t="s">
        <v>35</v>
      </c>
      <c r="JP12" s="2"/>
      <c r="JQ12" s="2"/>
      <c r="JR12" s="2"/>
      <c r="JS12" s="2"/>
      <c r="JT12" s="2"/>
      <c r="JU12" s="2" t="s">
        <v>35</v>
      </c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 t="s">
        <v>35</v>
      </c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14">
        <f t="array" aca="1" ref="NJ12" ca="1">SUMPRODUCT((OFFSET($A12,0,31*($A$3-1)+1,1,31)&lt;&gt;"")*(IF(OFFSET($A12,0,31*($A$3-1)+1,1,31)=$OD$12,0.5,1)*(OFFSET($A$4,0,31*($A$3-1)+1,1,31))))</f>
        <v>2</v>
      </c>
      <c r="NK12" s="20">
        <f t="array" aca="1" ref="NK12" ca="1">SUMPRODUCT((OFFSET($A12,0,1,1,372)&lt;&gt;"")*(IF(OFFSET($A12,0,1,1,372)=$OD$12,0.5,1)*(OFFSET($A$3,0,1,1,372))))</f>
        <v>33</v>
      </c>
      <c r="NL12" s="28">
        <f t="array" aca="1" ref="NL12" ca="1">SUMPRODUCT((OFFSET($A12,0,31*($A$4)+DAY(Holidays!$E$2),1,Holidays!$G$2)&lt;&gt;"")*(IF(OFFSET($A12,0,31*($A$4)+DAY(Holidays!$E$2),1,Holidays!$G$2)=$OD$12,0.5,1)*(OFFSET($A$3,0,31*($A$4)+DAY(Holidays!$E$2),1,Holidays!$G$2))))</f>
        <v>28</v>
      </c>
      <c r="NM12" s="52">
        <f t="array" aca="1" ref="NM12" ca="1">SUMPRODUCT((OFFSET($A12,0,31*($A$4)+DAY(VLOOKUP(NM$5,Sprints[],2,FALSE)),1,VLOOKUP(NM$5,Sprints[],4,FALSE))&lt;&gt;"")*(IF(OFFSET($A12,0,31*($A$4)+DAY(VLOOKUP(NM$5,Sprints[],2,FALSE)),1,VLOOKUP(NM$5,Sprints[],4,FALSE))=$OD$12,0.5,1)*(OFFSET($A$3,0,31*($A$4)+DAY(VLOOKUP(NM$5,Sprints[],2,FALSE)),1,VLOOKUP(NM$5,Sprints[],4,FALSE)))))</f>
        <v>0</v>
      </c>
      <c r="NN12" s="52">
        <f t="array" aca="1" ref="NN12" ca="1">SUMPRODUCT((OFFSET($A12,0,31*($A$4)+DAY(VLOOKUP(NN$5,Sprints[],2,FALSE)),1,VLOOKUP(NN$5,Sprints[],4,FALSE))&lt;&gt;"")*(IF(OFFSET($A12,0,31*($A$4)+DAY(VLOOKUP(NN$5,Sprints[],2,FALSE)),1,VLOOKUP(NN$5,Sprints[],4,FALSE))=$OD$12,0.5,1)*(OFFSET($A$3,0,31*($A$4)+DAY(VLOOKUP(NN$5,Sprints[],2,FALSE)),1,VLOOKUP(NN$5,Sprints[],4,FALSE)))))</f>
        <v>0</v>
      </c>
      <c r="NO12" s="52">
        <f t="array" aca="1" ref="NO12" ca="1">SUMPRODUCT((OFFSET($A12,0,31*($A$4)+DAY(VLOOKUP(NO$5,Sprints[],2,FALSE)),1,VLOOKUP(NO$5,Sprints[],4,FALSE))&lt;&gt;"")*(IF(OFFSET($A12,0,31*($A$4)+DAY(VLOOKUP(NO$5,Sprints[],2,FALSE)),1,VLOOKUP(NO$5,Sprints[],4,FALSE))=$OD$12,0.5,1)*(OFFSET($A$3,0,31*($A$4)+DAY(VLOOKUP(NO$5,Sprints[],2,FALSE)),1,VLOOKUP(NO$5,Sprints[],4,FALSE)))))</f>
        <v>0</v>
      </c>
      <c r="NP12" s="52">
        <f t="array" aca="1" ref="NP12" ca="1">SUMPRODUCT((OFFSET($A12,0,31*(VLOOKUP(NP$5,Sprints[],5,FALSE))+DAY(VLOOKUP(NP$5,Sprints[],2,FALSE)),1,VLOOKUP(NP$5,Sprints[],4,FALSE))&lt;&gt;"")*(IF(OFFSET($A12,0,31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2" s="52">
        <f t="array" aca="1" ref="NQ12" ca="1">SUMPRODUCT((OFFSET($A12,0,31*(VLOOKUP(NQ$5,Sprints[],5,FALSE))+DAY(VLOOKUP(NQ$5,Sprints[],2,FALSE)),1,VLOOKUP(NQ$5,Sprints[],4,FALSE))&lt;&gt;"")*(IF(OFFSET($A12,0,31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2" s="52">
        <f t="array" aca="1" ref="NR12" ca="1">SUMPRODUCT((OFFSET($A12,0,31*(VLOOKUP(NR$5,Sprints[],5,FALSE))+DAY(VLOOKUP(NR$5,Sprints[],2,FALSE)),1,VLOOKUP(NR$5,Sprints[],4,FALSE))&lt;&gt;"")*(IF(OFFSET($A12,0,31*(VLOOKUP(NR$5,Sprints[],5,FALSE))+DAY(VLOOKUP(NR$5,Sprints[],2,FALSE)),1,VLOOKUP(NR$5,Sprints[],4,FALSE))=$OD$12,0.5,1)*(OFFSET($A$3,0,31*(VLOOKUP(NR$5,Sprints[],5,FALSE))+DAY(VLOOKUP(NR$5,Sprints[],2,FALSE)),1,VLOOKUP(NR$5,Sprints[],4,FALSE)))))</f>
        <v>3</v>
      </c>
      <c r="NS12" s="52">
        <f t="array" aca="1" ref="NS12" ca="1">SUMPRODUCT((OFFSET($A12,0,31*(VLOOKUP(NS$5,Sprints[],5,FALSE))+DAY(VLOOKUP(NS$5,Sprints[],2,FALSE)),1,VLOOKUP(NS$5,Sprints[],4,FALSE))&lt;&gt;"")*(IF(OFFSET($A12,0,31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2" s="52">
        <f t="array" aca="1" ref="NT12" ca="1">SUMPRODUCT((OFFSET($A12,0,31*(VLOOKUP(NT$5,Sprints[],5,FALSE))+DAY(VLOOKUP(NT$5,Sprints[],2,FALSE)),1,VLOOKUP(NT$5,Sprints[],4,FALSE))&lt;&gt;"")*(IF(OFFSET($A12,0,31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2" s="52">
        <f t="array" aca="1" ref="NU12" ca="1">SUMPRODUCT((OFFSET($A12,0,31*(VLOOKUP(NU$5,Sprints[],5,FALSE))+DAY(VLOOKUP(NU$5,Sprints[],2,FALSE)),1,VLOOKUP(NU$5,Sprints[],4,FALSE))&lt;&gt;"")*(IF(OFFSET($A12,0,31*(VLOOKUP(NU$5,Sprints[],5,FALSE))+DAY(VLOOKUP(NU$5,Sprints[],2,FALSE)),1,VLOOKUP(NU$5,Sprints[],4,FALSE))=$OD$12,0.5,1)*(OFFSET($A$3,0,31*(VLOOKUP(NU$5,Sprints[],5,FALSE))+DAY(VLOOKUP(NU$5,Sprints[],2,FALSE)),1,VLOOKUP(NU$5,Sprints[],4,FALSE)))))</f>
        <v>4.5</v>
      </c>
      <c r="NV12" s="52">
        <f t="array" aca="1" ref="NV12" ca="1">SUMPRODUCT((OFFSET($A12,0,31*(VLOOKUP(NV$5,Sprints[],5,FALSE))+DAY(VLOOKUP(NV$5,Sprints[],2,FALSE)),1,VLOOKUP(NV$5,Sprints[],4,FALSE))&lt;&gt;"")*(IF(OFFSET($A12,0,31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2" s="52">
        <f t="array" aca="1" ref="NW12" ca="1">SUMPRODUCT((OFFSET($A12,0,31*(VLOOKUP(NW$5,Sprints[],5,FALSE))+DAY(VLOOKUP(NW$5,Sprints[],2,FALSE)),1,VLOOKUP(NW$5,Sprints[],4,FALSE))&lt;&gt;"")*(IF(OFFSET($A12,0,31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2" s="52">
        <f t="array" aca="1" ref="NX12" ca="1">SUMPRODUCT((OFFSET($A12,0,31*(VLOOKUP(NX$5,Sprints[],5,FALSE))+DAY(VLOOKUP(NX$5,Sprints[],2,FALSE)),1,VLOOKUP(NX$5,Sprints[],4,FALSE))&lt;&gt;"")*(IF(OFFSET($A12,0,31*(VLOOKUP(NX$5,Sprints[],5,FALSE))+DAY(VLOOKUP(NX$5,Sprints[],2,FALSE)),1,VLOOKUP(NX$5,Sprints[],4,FALSE))=$OD$12,0.5,1)*(OFFSET($A$3,0,31*(VLOOKUP(NX$5,Sprints[],5,FALSE))+DAY(VLOOKUP(NX$5,Sprints[],2,FALSE)),1,VLOOKUP(NX$5,Sprints[],4,FALSE)))))</f>
        <v>2</v>
      </c>
      <c r="NY12" s="52">
        <f t="array" aca="1" ref="NY12" ca="1">SUMPRODUCT((OFFSET($A12,0,31*(VLOOKUP(NY$5,Sprints[],5,FALSE))+DAY(VLOOKUP(NY$5,Sprints[],2,FALSE)),1,VLOOKUP(NY$5,Sprints[],4,FALSE))&lt;&gt;"")*(IF(OFFSET($A12,0,31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2" s="52">
        <f t="array" aca="1" ref="NZ12" ca="1">SUMPRODUCT((OFFSET($A12,0,31*(VLOOKUP(NZ$5,Sprints[],5,FALSE))+DAY(VLOOKUP(NZ$5,Sprints[],2,FALSE)),1,VLOOKUP(NZ$5,Sprints[],4,FALSE))&lt;&gt;"")*(IF(OFFSET($A12,0,31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2" s="52">
        <f t="array" aca="1" ref="OA12" ca="1">SUMPRODUCT((OFFSET($A12,0,31*(VLOOKUP(OA$5,Sprints[],5,FALSE))+DAY(VLOOKUP(OA$5,Sprints[],2,FALSE)),1,VLOOKUP(OA$5,Sprints[],4,FALSE))&lt;&gt;"")*(IF(OFFSET($A12,0,31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  <c r="OC12" s="18" t="s">
        <v>30</v>
      </c>
      <c r="OD12" s="25" t="s">
        <v>31</v>
      </c>
    </row>
    <row r="13" spans="1:767" s="45" customFormat="1" x14ac:dyDescent="0.45">
      <c r="A13" s="5" t="s">
        <v>162</v>
      </c>
      <c r="B13" s="2"/>
      <c r="C13" s="2" t="s">
        <v>33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 t="s">
        <v>33</v>
      </c>
      <c r="AO13" s="2" t="s">
        <v>33</v>
      </c>
      <c r="AP13" s="2"/>
      <c r="AQ13" s="2"/>
      <c r="AR13" s="2"/>
      <c r="AS13" s="2"/>
      <c r="AT13" s="2"/>
      <c r="AU13" s="2" t="s">
        <v>31</v>
      </c>
      <c r="AV13" s="2"/>
      <c r="AW13" s="2" t="s">
        <v>33</v>
      </c>
      <c r="AX13" s="2" t="s">
        <v>31</v>
      </c>
      <c r="AY13" s="2"/>
      <c r="AZ13" s="2"/>
      <c r="BA13" s="2" t="s">
        <v>35</v>
      </c>
      <c r="BB13" s="2"/>
      <c r="BC13" s="2" t="s">
        <v>33</v>
      </c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 t="s">
        <v>33</v>
      </c>
      <c r="BX13" s="2"/>
      <c r="BY13" s="2"/>
      <c r="BZ13" s="2"/>
      <c r="CA13" s="2"/>
      <c r="CB13" s="2"/>
      <c r="CC13" s="2"/>
      <c r="CD13" s="2"/>
      <c r="CE13" s="2"/>
      <c r="CF13" s="2" t="s">
        <v>33</v>
      </c>
      <c r="CG13" s="2"/>
      <c r="CH13" s="2"/>
      <c r="CI13" s="2"/>
      <c r="CJ13" s="2"/>
      <c r="CK13" s="2" t="s">
        <v>33</v>
      </c>
      <c r="CL13" s="2"/>
      <c r="CM13" s="2"/>
      <c r="CO13" s="2"/>
      <c r="CP13" s="2"/>
      <c r="CQ13" s="2"/>
      <c r="CR13" s="2" t="s">
        <v>35</v>
      </c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 t="s">
        <v>33</v>
      </c>
      <c r="DK13" s="2"/>
      <c r="DL13" s="2"/>
      <c r="DM13" s="2" t="s">
        <v>31</v>
      </c>
      <c r="DN13" s="2" t="s">
        <v>31</v>
      </c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 t="s">
        <v>35</v>
      </c>
      <c r="EB13" s="2"/>
      <c r="EC13" s="2"/>
      <c r="ED13" s="2"/>
      <c r="EE13" s="2" t="s">
        <v>33</v>
      </c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 t="s">
        <v>33</v>
      </c>
      <c r="EY13" s="2"/>
      <c r="EZ13" s="2"/>
      <c r="FA13" s="2"/>
      <c r="FB13" s="2"/>
      <c r="FC13" s="2" t="s">
        <v>35</v>
      </c>
      <c r="FD13" s="2" t="s">
        <v>33</v>
      </c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 t="s">
        <v>35</v>
      </c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 t="s">
        <v>35</v>
      </c>
      <c r="JO13" s="2" t="s">
        <v>35</v>
      </c>
      <c r="JP13" s="2"/>
      <c r="JQ13" s="2"/>
      <c r="JR13" s="2"/>
      <c r="JS13" s="2"/>
      <c r="JT13" s="2"/>
      <c r="JU13" s="2" t="s">
        <v>35</v>
      </c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 t="s">
        <v>35</v>
      </c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14">
        <f t="array" aca="1" ref="NJ13" ca="1">SUMPRODUCT((OFFSET($A13,0,31*($A$3-1)+1,1,31)&lt;&gt;"")*(IF(OFFSET($A13,0,31*($A$3-1)+1,1,31)=$OD$12,0.5,1)*(OFFSET($A$4,0,31*($A$3-1)+1,1,31))))</f>
        <v>2</v>
      </c>
      <c r="NK13" s="20">
        <f t="array" aca="1" ref="NK13" ca="1">SUMPRODUCT((OFFSET($A13,0,1,1,372)&lt;&gt;"")*(IF(OFFSET($A13,0,1,1,372)=$OD$12,0.5,1)*(OFFSET($A$3,0,1,1,372))))</f>
        <v>23</v>
      </c>
      <c r="NL13" s="28">
        <f t="array" aca="1" ref="NL13" ca="1">SUMPRODUCT((OFFSET($A13,0,31*($A$4)+DAY(Holidays!$E$2),1,Holidays!$G$2)&lt;&gt;"")*(IF(OFFSET($A13,0,31*($A$4)+DAY(Holidays!$E$2),1,Holidays!$G$2)=$OD$12,0.5,1)*(OFFSET($A$3,0,31*($A$4)+DAY(Holidays!$E$2),1,Holidays!$G$2))))</f>
        <v>17</v>
      </c>
      <c r="NM13" s="52">
        <f t="array" aca="1" ref="NM13" ca="1">SUMPRODUCT((OFFSET($A13,0,31*($A$4)+DAY(VLOOKUP(NM$5,Sprints[],2,FALSE)),1,VLOOKUP(NM$5,Sprints[],4,FALSE))&lt;&gt;"")*(IF(OFFSET($A13,0,31*($A$4)+DAY(VLOOKUP(NM$5,Sprints[],2,FALSE)),1,VLOOKUP(NM$5,Sprints[],4,FALSE))=$OD$12,0.5,1)*(OFFSET($A$3,0,31*($A$4)+DAY(VLOOKUP(NM$5,Sprints[],2,FALSE)),1,VLOOKUP(NM$5,Sprints[],4,FALSE)))))</f>
        <v>0</v>
      </c>
      <c r="NN13" s="52">
        <f t="array" aca="1" ref="NN13" ca="1">SUMPRODUCT((OFFSET($A13,0,31*($A$4)+DAY(VLOOKUP(NN$5,Sprints[],2,FALSE)),1,VLOOKUP(NN$5,Sprints[],4,FALSE))&lt;&gt;"")*(IF(OFFSET($A13,0,31*($A$4)+DAY(VLOOKUP(NN$5,Sprints[],2,FALSE)),1,VLOOKUP(NN$5,Sprints[],4,FALSE))=$OD$12,0.5,1)*(OFFSET($A$3,0,31*($A$4)+DAY(VLOOKUP(NN$5,Sprints[],2,FALSE)),1,VLOOKUP(NN$5,Sprints[],4,FALSE)))))</f>
        <v>0</v>
      </c>
      <c r="NO13" s="52">
        <f t="array" aca="1" ref="NO13" ca="1">SUMPRODUCT((OFFSET($A13,0,31*($A$4)+DAY(VLOOKUP(NO$5,Sprints[],2,FALSE)),1,VLOOKUP(NO$5,Sprints[],4,FALSE))&lt;&gt;"")*(IF(OFFSET($A13,0,31*($A$4)+DAY(VLOOKUP(NO$5,Sprints[],2,FALSE)),1,VLOOKUP(NO$5,Sprints[],4,FALSE))=$OD$12,0.5,1)*(OFFSET($A$3,0,31*($A$4)+DAY(VLOOKUP(NO$5,Sprints[],2,FALSE)),1,VLOOKUP(NO$5,Sprints[],4,FALSE)))))</f>
        <v>1</v>
      </c>
      <c r="NP13" s="52">
        <f t="array" aca="1" ref="NP13" ca="1">SUMPRODUCT((OFFSET($A13,0,31*(VLOOKUP(NP$5,Sprints[],5,FALSE))+DAY(VLOOKUP(NP$5,Sprints[],2,FALSE)),1,VLOOKUP(NP$5,Sprints[],4,FALSE))&lt;&gt;"")*(IF(OFFSET($A13,0,31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13" s="52">
        <f t="array" aca="1" ref="NQ13" ca="1">SUMPRODUCT((OFFSET($A13,0,31*(VLOOKUP(NQ$5,Sprints[],5,FALSE))+DAY(VLOOKUP(NQ$5,Sprints[],2,FALSE)),1,VLOOKUP(NQ$5,Sprints[],4,FALSE))&lt;&gt;"")*(IF(OFFSET($A13,0,31*(VLOOKUP(NQ$5,Sprints[],5,FALSE))+DAY(VLOOKUP(NQ$5,Sprints[],2,FALSE)),1,VLOOKUP(NQ$5,Sprints[],4,FALSE))=$OD$12,0.5,1)*(OFFSET($A$3,0,31*(VLOOKUP(NQ$5,Sprints[],5,FALSE))+DAY(VLOOKUP(NQ$5,Sprints[],2,FALSE)),1,VLOOKUP(NQ$5,Sprints[],4,FALSE)))))</f>
        <v>1</v>
      </c>
      <c r="NR13" s="52">
        <f t="array" aca="1" ref="NR13" ca="1">SUMPRODUCT((OFFSET($A13,0,31*(VLOOKUP(NR$5,Sprints[],5,FALSE))+DAY(VLOOKUP(NR$5,Sprints[],2,FALSE)),1,VLOOKUP(NR$5,Sprints[],4,FALSE))&lt;&gt;"")*(IF(OFFSET($A13,0,31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13" s="52">
        <f t="array" aca="1" ref="NS13" ca="1">SUMPRODUCT((OFFSET($A13,0,31*(VLOOKUP(NS$5,Sprints[],5,FALSE))+DAY(VLOOKUP(NS$5,Sprints[],2,FALSE)),1,VLOOKUP(NS$5,Sprints[],4,FALSE))&lt;&gt;"")*(IF(OFFSET($A13,0,31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13" s="52">
        <f t="array" aca="1" ref="NT13" ca="1">SUMPRODUCT((OFFSET($A13,0,31*(VLOOKUP(NT$5,Sprints[],5,FALSE))+DAY(VLOOKUP(NT$5,Sprints[],2,FALSE)),1,VLOOKUP(NT$5,Sprints[],4,FALSE))&lt;&gt;"")*(IF(OFFSET($A13,0,31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13" s="52">
        <f t="array" aca="1" ref="NU13" ca="1">SUMPRODUCT((OFFSET($A13,0,31*(VLOOKUP(NU$5,Sprints[],5,FALSE))+DAY(VLOOKUP(NU$5,Sprints[],2,FALSE)),1,VLOOKUP(NU$5,Sprints[],4,FALSE))&lt;&gt;"")*(IF(OFFSET($A13,0,31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13" s="52">
        <f t="array" aca="1" ref="NV13" ca="1">SUMPRODUCT((OFFSET($A13,0,31*(VLOOKUP(NV$5,Sprints[],5,FALSE))+DAY(VLOOKUP(NV$5,Sprints[],2,FALSE)),1,VLOOKUP(NV$5,Sprints[],4,FALSE))&lt;&gt;"")*(IF(OFFSET($A13,0,31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13" s="52">
        <f t="array" aca="1" ref="NW13" ca="1">SUMPRODUCT((OFFSET($A13,0,31*(VLOOKUP(NW$5,Sprints[],5,FALSE))+DAY(VLOOKUP(NW$5,Sprints[],2,FALSE)),1,VLOOKUP(NW$5,Sprints[],4,FALSE))&lt;&gt;"")*(IF(OFFSET($A13,0,31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3" s="52">
        <f t="array" aca="1" ref="NX13" ca="1">SUMPRODUCT((OFFSET($A13,0,31*(VLOOKUP(NX$5,Sprints[],5,FALSE))+DAY(VLOOKUP(NX$5,Sprints[],2,FALSE)),1,VLOOKUP(NX$5,Sprints[],4,FALSE))&lt;&gt;"")*(IF(OFFSET($A13,0,31*(VLOOKUP(NX$5,Sprints[],5,FALSE))+DAY(VLOOKUP(NX$5,Sprints[],2,FALSE)),1,VLOOKUP(NX$5,Sprints[],4,FALSE))=$OD$12,0.5,1)*(OFFSET($A$3,0,31*(VLOOKUP(NX$5,Sprints[],5,FALSE))+DAY(VLOOKUP(NX$5,Sprints[],2,FALSE)),1,VLOOKUP(NX$5,Sprints[],4,FALSE)))))</f>
        <v>3</v>
      </c>
      <c r="NY13" s="52">
        <f t="array" aca="1" ref="NY13" ca="1">SUMPRODUCT((OFFSET($A13,0,31*(VLOOKUP(NY$5,Sprints[],5,FALSE))+DAY(VLOOKUP(NY$5,Sprints[],2,FALSE)),1,VLOOKUP(NY$5,Sprints[],4,FALSE))&lt;&gt;"")*(IF(OFFSET($A13,0,31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3" s="52">
        <f t="array" aca="1" ref="NZ13" ca="1">SUMPRODUCT((OFFSET($A13,0,31*(VLOOKUP(NZ$5,Sprints[],5,FALSE))+DAY(VLOOKUP(NZ$5,Sprints[],2,FALSE)),1,VLOOKUP(NZ$5,Sprints[],4,FALSE))&lt;&gt;"")*(IF(OFFSET($A13,0,31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3" s="52">
        <f t="array" aca="1" ref="OA13" ca="1">SUMPRODUCT((OFFSET($A13,0,31*(VLOOKUP(OA$5,Sprints[],5,FALSE))+DAY(VLOOKUP(OA$5,Sprints[],2,FALSE)),1,VLOOKUP(OA$5,Sprints[],4,FALSE))&lt;&gt;"")*(IF(OFFSET($A13,0,31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  <c r="OC13" s="62"/>
      <c r="OD13" s="63"/>
    </row>
    <row r="14" spans="1:767" x14ac:dyDescent="0.45">
      <c r="A14" s="5" t="s">
        <v>45</v>
      </c>
      <c r="B14" s="2"/>
      <c r="C14" s="2"/>
      <c r="D14" s="2"/>
      <c r="E14" s="2"/>
      <c r="F14" s="2"/>
      <c r="G14" s="2" t="s">
        <v>33</v>
      </c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 t="s">
        <v>33</v>
      </c>
      <c r="AX14" s="2" t="s">
        <v>31</v>
      </c>
      <c r="AY14" s="2"/>
      <c r="AZ14" s="2"/>
      <c r="BA14" s="2" t="s">
        <v>35</v>
      </c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 t="s">
        <v>35</v>
      </c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 t="s">
        <v>31</v>
      </c>
      <c r="DN14" s="2" t="s">
        <v>33</v>
      </c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 t="s">
        <v>35</v>
      </c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 t="s">
        <v>33</v>
      </c>
      <c r="EW14" s="2" t="s">
        <v>33</v>
      </c>
      <c r="EX14" s="2" t="s">
        <v>33</v>
      </c>
      <c r="EY14" s="2" t="s">
        <v>33</v>
      </c>
      <c r="EZ14" s="2" t="s">
        <v>33</v>
      </c>
      <c r="FA14" s="2"/>
      <c r="FB14" s="2"/>
      <c r="FC14" s="2" t="s">
        <v>35</v>
      </c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 t="s">
        <v>35</v>
      </c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 t="s">
        <v>35</v>
      </c>
      <c r="JO14" s="2" t="s">
        <v>35</v>
      </c>
      <c r="JP14" s="2"/>
      <c r="JQ14" s="2"/>
      <c r="JR14" s="2"/>
      <c r="JS14" s="2"/>
      <c r="JT14" s="2"/>
      <c r="JU14" s="2" t="s">
        <v>35</v>
      </c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 t="s">
        <v>35</v>
      </c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14">
        <f t="array" aca="1" ref="NJ14" ca="1">SUMPRODUCT((OFFSET($A14,0,31*($A$3-1)+1,1,31)&lt;&gt;"")*(IF(OFFSET($A14,0,31*($A$3-1)+1,1,31)=$OD$12,0.5,1)*(OFFSET($A$4,0,31*($A$3-1)+1,1,31))))</f>
        <v>1</v>
      </c>
      <c r="NK14" s="20">
        <f t="array" aca="1" ref="NK14" ca="1">SUMPRODUCT((OFFSET($A14,0,1,1,372)&lt;&gt;"")*(IF(OFFSET($A14,0,1,1,372)=$OD$12,0.5,1)*(OFFSET($A$3,0,1,1,372))))</f>
        <v>18</v>
      </c>
      <c r="NL14" s="28">
        <f t="array" aca="1" ref="NL14" ca="1">SUMPRODUCT((OFFSET($A14,0,31*($A$4)+DAY(Holidays!$E$2),1,Holidays!$G$2)&lt;&gt;"")*(IF(OFFSET($A14,0,31*($A$4)+DAY(Holidays!$E$2),1,Holidays!$G$2)=$OD$12,0.5,1)*(OFFSET($A$3,0,31*($A$4)+DAY(Holidays!$E$2),1,Holidays!$G$2))))</f>
        <v>12</v>
      </c>
      <c r="NM14" s="52">
        <f t="array" aca="1" ref="NM14" ca="1">SUMPRODUCT((OFFSET($A14,0,31*($A$4)+DAY(VLOOKUP(NM$5,Sprints[],2,FALSE)),1,VLOOKUP(NM$5,Sprints[],4,FALSE))&lt;&gt;"")*(IF(OFFSET($A14,0,31*($A$4)+DAY(VLOOKUP(NM$5,Sprints[],2,FALSE)),1,VLOOKUP(NM$5,Sprints[],4,FALSE))=$OD$12,0.5,1)*(OFFSET($A$3,0,31*($A$4)+DAY(VLOOKUP(NM$5,Sprints[],2,FALSE)),1,VLOOKUP(NM$5,Sprints[],4,FALSE)))))</f>
        <v>0</v>
      </c>
      <c r="NN14" s="52">
        <f t="array" aca="1" ref="NN14" ca="1">SUMPRODUCT((OFFSET($A14,0,31*($A$4)+DAY(VLOOKUP(NN$5,Sprints[],2,FALSE)),1,VLOOKUP(NN$5,Sprints[],4,FALSE))&lt;&gt;"")*(IF(OFFSET($A14,0,31*($A$4)+DAY(VLOOKUP(NN$5,Sprints[],2,FALSE)),1,VLOOKUP(NN$5,Sprints[],4,FALSE))=$OD$12,0.5,1)*(OFFSET($A$3,0,31*($A$4)+DAY(VLOOKUP(NN$5,Sprints[],2,FALSE)),1,VLOOKUP(NN$5,Sprints[],4,FALSE)))))</f>
        <v>0</v>
      </c>
      <c r="NO14" s="52">
        <f t="array" aca="1" ref="NO14" ca="1">SUMPRODUCT((OFFSET($A14,0,31*($A$4)+DAY(VLOOKUP(NO$5,Sprints[],2,FALSE)),1,VLOOKUP(NO$5,Sprints[],4,FALSE))&lt;&gt;"")*(IF(OFFSET($A14,0,31*($A$4)+DAY(VLOOKUP(NO$5,Sprints[],2,FALSE)),1,VLOOKUP(NO$5,Sprints[],4,FALSE))=$OD$12,0.5,1)*(OFFSET($A$3,0,31*($A$4)+DAY(VLOOKUP(NO$5,Sprints[],2,FALSE)),1,VLOOKUP(NO$5,Sprints[],4,FALSE)))))</f>
        <v>1</v>
      </c>
      <c r="NP14" s="52">
        <f t="array" aca="1" ref="NP14" ca="1">SUMPRODUCT((OFFSET($A14,0,31*(VLOOKUP(NP$5,Sprints[],5,FALSE))+DAY(VLOOKUP(NP$5,Sprints[],2,FALSE)),1,VLOOKUP(NP$5,Sprints[],4,FALSE))&lt;&gt;"")*(IF(OFFSET($A14,0,31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4" s="52">
        <f t="array" aca="1" ref="NQ14" ca="1">SUMPRODUCT((OFFSET($A14,0,31*(VLOOKUP(NQ$5,Sprints[],5,FALSE))+DAY(VLOOKUP(NQ$5,Sprints[],2,FALSE)),1,VLOOKUP(NQ$5,Sprints[],4,FALSE))&lt;&gt;"")*(IF(OFFSET($A14,0,31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4" s="52">
        <f t="array" aca="1" ref="NR14" ca="1">SUMPRODUCT((OFFSET($A14,0,31*(VLOOKUP(NR$5,Sprints[],5,FALSE))+DAY(VLOOKUP(NR$5,Sprints[],2,FALSE)),1,VLOOKUP(NR$5,Sprints[],4,FALSE))&lt;&gt;"")*(IF(OFFSET($A14,0,31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14" s="52">
        <f t="array" aca="1" ref="NS14" ca="1">SUMPRODUCT((OFFSET($A14,0,31*(VLOOKUP(NS$5,Sprints[],5,FALSE))+DAY(VLOOKUP(NS$5,Sprints[],2,FALSE)),1,VLOOKUP(NS$5,Sprints[],4,FALSE))&lt;&gt;"")*(IF(OFFSET($A14,0,31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14" s="52">
        <f t="array" aca="1" ref="NT14" ca="1">SUMPRODUCT((OFFSET($A14,0,31*(VLOOKUP(NT$5,Sprints[],5,FALSE))+DAY(VLOOKUP(NT$5,Sprints[],2,FALSE)),1,VLOOKUP(NT$5,Sprints[],4,FALSE))&lt;&gt;"")*(IF(OFFSET($A14,0,31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14" s="52">
        <f t="array" aca="1" ref="NU14" ca="1">SUMPRODUCT((OFFSET($A14,0,31*(VLOOKUP(NU$5,Sprints[],5,FALSE))+DAY(VLOOKUP(NU$5,Sprints[],2,FALSE)),1,VLOOKUP(NU$5,Sprints[],4,FALSE))&lt;&gt;"")*(IF(OFFSET($A14,0,31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14" s="52">
        <f t="array" aca="1" ref="NV14" ca="1">SUMPRODUCT((OFFSET($A14,0,31*(VLOOKUP(NV$5,Sprints[],5,FALSE))+DAY(VLOOKUP(NV$5,Sprints[],2,FALSE)),1,VLOOKUP(NV$5,Sprints[],4,FALSE))&lt;&gt;"")*(IF(OFFSET($A14,0,31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4" s="52">
        <f t="array" aca="1" ref="NW14" ca="1">SUMPRODUCT((OFFSET($A14,0,31*(VLOOKUP(NW$5,Sprints[],5,FALSE))+DAY(VLOOKUP(NW$5,Sprints[],2,FALSE)),1,VLOOKUP(NW$5,Sprints[],4,FALSE))&lt;&gt;"")*(IF(OFFSET($A14,0,31*(VLOOKUP(NW$5,Sprints[],5,FALSE))+DAY(VLOOKUP(NW$5,Sprints[],2,FALSE)),1,VLOOKUP(NW$5,Sprints[],4,FALSE))=$OD$12,0.5,1)*(OFFSET($A$3,0,31*(VLOOKUP(NW$5,Sprints[],5,FALSE))+DAY(VLOOKUP(NW$5,Sprints[],2,FALSE)),1,VLOOKUP(NW$5,Sprints[],4,FALSE)))))</f>
        <v>2</v>
      </c>
      <c r="NX14" s="52">
        <f t="array" aca="1" ref="NX14" ca="1">SUMPRODUCT((OFFSET($A14,0,31*(VLOOKUP(NX$5,Sprints[],5,FALSE))+DAY(VLOOKUP(NX$5,Sprints[],2,FALSE)),1,VLOOKUP(NX$5,Sprints[],4,FALSE))&lt;&gt;"")*(IF(OFFSET($A14,0,31*(VLOOKUP(NX$5,Sprints[],5,FALSE))+DAY(VLOOKUP(NX$5,Sprints[],2,FALSE)),1,VLOOKUP(NX$5,Sprints[],4,FALSE))=$OD$12,0.5,1)*(OFFSET($A$3,0,31*(VLOOKUP(NX$5,Sprints[],5,FALSE))+DAY(VLOOKUP(NX$5,Sprints[],2,FALSE)),1,VLOOKUP(NX$5,Sprints[],4,FALSE)))))</f>
        <v>4</v>
      </c>
      <c r="NY14" s="52">
        <f t="array" aca="1" ref="NY14" ca="1">SUMPRODUCT((OFFSET($A14,0,31*(VLOOKUP(NY$5,Sprints[],5,FALSE))+DAY(VLOOKUP(NY$5,Sprints[],2,FALSE)),1,VLOOKUP(NY$5,Sprints[],4,FALSE))&lt;&gt;"")*(IF(OFFSET($A14,0,31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4" s="52">
        <f t="array" aca="1" ref="NZ14" ca="1">SUMPRODUCT((OFFSET($A14,0,31*(VLOOKUP(NZ$5,Sprints[],5,FALSE))+DAY(VLOOKUP(NZ$5,Sprints[],2,FALSE)),1,VLOOKUP(NZ$5,Sprints[],4,FALSE))&lt;&gt;"")*(IF(OFFSET($A14,0,31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4" s="52">
        <f t="array" aca="1" ref="OA14" ca="1">SUMPRODUCT((OFFSET($A14,0,31*(VLOOKUP(OA$5,Sprints[],5,FALSE))+DAY(VLOOKUP(OA$5,Sprints[],2,FALSE)),1,VLOOKUP(OA$5,Sprints[],4,FALSE))&lt;&gt;"")*(IF(OFFSET($A14,0,31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15" spans="1:767" x14ac:dyDescent="0.45">
      <c r="A15" s="5" t="s">
        <v>47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 t="s">
        <v>49</v>
      </c>
      <c r="N15" s="2" t="s">
        <v>49</v>
      </c>
      <c r="O15" s="2"/>
      <c r="P15" s="2"/>
      <c r="Q15" s="2" t="s">
        <v>49</v>
      </c>
      <c r="R15" s="2" t="s">
        <v>49</v>
      </c>
      <c r="S15" s="2" t="s">
        <v>49</v>
      </c>
      <c r="T15" s="2" t="s">
        <v>49</v>
      </c>
      <c r="U15" s="2" t="s">
        <v>49</v>
      </c>
      <c r="V15" s="2"/>
      <c r="W15" s="2"/>
      <c r="X15" s="2" t="str">
        <f t="shared" ref="X15:AB15" si="7">$M$15</f>
        <v>N</v>
      </c>
      <c r="Y15" s="2" t="str">
        <f t="shared" si="7"/>
        <v>N</v>
      </c>
      <c r="Z15" s="2" t="str">
        <f t="shared" si="7"/>
        <v>N</v>
      </c>
      <c r="AA15" s="2" t="str">
        <f t="shared" si="7"/>
        <v>N</v>
      </c>
      <c r="AB15" s="2" t="str">
        <f t="shared" si="7"/>
        <v>N</v>
      </c>
      <c r="AC15" s="2"/>
      <c r="AD15" s="2"/>
      <c r="AE15" s="2" t="s">
        <v>49</v>
      </c>
      <c r="AF15" s="2"/>
      <c r="AG15" s="2" t="s">
        <v>49</v>
      </c>
      <c r="AH15" s="2" t="s">
        <v>49</v>
      </c>
      <c r="AI15" s="2" t="s">
        <v>49</v>
      </c>
      <c r="AJ15" s="2" t="s">
        <v>49</v>
      </c>
      <c r="AK15" s="2"/>
      <c r="AL15" s="2"/>
      <c r="AM15" s="2" t="s">
        <v>49</v>
      </c>
      <c r="AN15" s="2" t="s">
        <v>49</v>
      </c>
      <c r="AO15" s="2" t="s">
        <v>49</v>
      </c>
      <c r="AP15" s="2" t="s">
        <v>49</v>
      </c>
      <c r="AQ15" s="2" t="s">
        <v>49</v>
      </c>
      <c r="AR15" s="2"/>
      <c r="AS15" s="2"/>
      <c r="AT15" s="2" t="s">
        <v>49</v>
      </c>
      <c r="AU15" s="2" t="s">
        <v>49</v>
      </c>
      <c r="AV15" s="2" t="s">
        <v>49</v>
      </c>
      <c r="AW15" s="2" t="s">
        <v>49</v>
      </c>
      <c r="AX15" s="2" t="s">
        <v>49</v>
      </c>
      <c r="AY15" s="2"/>
      <c r="AZ15" s="2"/>
      <c r="BA15" s="2" t="s">
        <v>35</v>
      </c>
      <c r="BB15" s="2" t="s">
        <v>49</v>
      </c>
      <c r="BC15" s="2" t="s">
        <v>49</v>
      </c>
      <c r="BD15" s="2" t="s">
        <v>49</v>
      </c>
      <c r="BE15" s="2" t="s">
        <v>49</v>
      </c>
      <c r="BF15" s="2"/>
      <c r="BG15" s="2"/>
      <c r="BH15" s="2" t="s">
        <v>49</v>
      </c>
      <c r="BI15" s="2" t="s">
        <v>49</v>
      </c>
      <c r="BJ15" s="2" t="s">
        <v>49</v>
      </c>
      <c r="BK15" s="2" t="s">
        <v>49</v>
      </c>
      <c r="BL15" s="2" t="s">
        <v>49</v>
      </c>
      <c r="BM15" s="2"/>
      <c r="BN15" s="2"/>
      <c r="BO15" s="2" t="s">
        <v>49</v>
      </c>
      <c r="BP15" s="2" t="s">
        <v>49</v>
      </c>
      <c r="BQ15" s="2" t="s">
        <v>49</v>
      </c>
      <c r="BR15" s="2" t="s">
        <v>49</v>
      </c>
      <c r="BS15" s="2" t="s">
        <v>49</v>
      </c>
      <c r="BT15" s="2"/>
      <c r="BU15" s="2"/>
      <c r="BV15" s="2" t="s">
        <v>49</v>
      </c>
      <c r="BW15" s="2" t="s">
        <v>49</v>
      </c>
      <c r="BX15" s="2" t="s">
        <v>49</v>
      </c>
      <c r="BY15" s="2" t="s">
        <v>49</v>
      </c>
      <c r="BZ15" s="2" t="s">
        <v>49</v>
      </c>
      <c r="CA15" s="2"/>
      <c r="CB15" s="2"/>
      <c r="CC15" s="2" t="s">
        <v>49</v>
      </c>
      <c r="CD15" s="2" t="s">
        <v>49</v>
      </c>
      <c r="CE15" s="2" t="s">
        <v>49</v>
      </c>
      <c r="CF15" s="2" t="s">
        <v>49</v>
      </c>
      <c r="CG15" s="2" t="s">
        <v>49</v>
      </c>
      <c r="CH15" s="2"/>
      <c r="CI15" s="2"/>
      <c r="CJ15" s="2" t="s">
        <v>49</v>
      </c>
      <c r="CK15" s="2" t="s">
        <v>49</v>
      </c>
      <c r="CL15" s="2" t="s">
        <v>49</v>
      </c>
      <c r="CM15" s="2" t="s">
        <v>49</v>
      </c>
      <c r="CN15" s="2" t="s">
        <v>49</v>
      </c>
      <c r="CO15" s="2"/>
      <c r="CP15" s="2"/>
      <c r="CQ15" s="2"/>
      <c r="CR15" s="2" t="s">
        <v>35</v>
      </c>
      <c r="CS15" s="2" t="s">
        <v>49</v>
      </c>
      <c r="CT15" s="2" t="s">
        <v>49</v>
      </c>
      <c r="CU15" s="2" t="s">
        <v>49</v>
      </c>
      <c r="CV15" s="2" t="s">
        <v>49</v>
      </c>
      <c r="CW15" s="2"/>
      <c r="CX15" s="2"/>
      <c r="CY15" s="2" t="s">
        <v>49</v>
      </c>
      <c r="CZ15" s="2" t="s">
        <v>49</v>
      </c>
      <c r="DA15" s="2" t="s">
        <v>49</v>
      </c>
      <c r="DB15" s="2" t="s">
        <v>49</v>
      </c>
      <c r="DC15" s="2" t="s">
        <v>49</v>
      </c>
      <c r="DD15" s="2"/>
      <c r="DE15" s="2"/>
      <c r="DF15" s="2" t="s">
        <v>49</v>
      </c>
      <c r="DG15" s="2" t="s">
        <v>49</v>
      </c>
      <c r="DH15" s="2" t="s">
        <v>49</v>
      </c>
      <c r="DI15" s="2" t="s">
        <v>49</v>
      </c>
      <c r="DJ15" s="2" t="s">
        <v>49</v>
      </c>
      <c r="DK15" s="2"/>
      <c r="DL15" s="2"/>
      <c r="DM15" s="2" t="s">
        <v>49</v>
      </c>
      <c r="DN15" s="2" t="s">
        <v>49</v>
      </c>
      <c r="DO15" s="2" t="s">
        <v>49</v>
      </c>
      <c r="DP15" s="2" t="s">
        <v>49</v>
      </c>
      <c r="DQ15" s="2" t="s">
        <v>49</v>
      </c>
      <c r="DR15" s="2"/>
      <c r="DS15" s="2"/>
      <c r="DT15" s="2" t="s">
        <v>49</v>
      </c>
      <c r="DU15" s="2" t="s">
        <v>49</v>
      </c>
      <c r="DV15" s="2" t="s">
        <v>49</v>
      </c>
      <c r="DW15" s="2" t="s">
        <v>49</v>
      </c>
      <c r="DX15" s="2" t="s">
        <v>49</v>
      </c>
      <c r="DY15" s="2"/>
      <c r="DZ15" s="2"/>
      <c r="EA15" s="2" t="s">
        <v>35</v>
      </c>
      <c r="EB15" s="2" t="s">
        <v>49</v>
      </c>
      <c r="EC15" s="2" t="s">
        <v>49</v>
      </c>
      <c r="ED15" s="2" t="s">
        <v>49</v>
      </c>
      <c r="EE15" s="2" t="s">
        <v>49</v>
      </c>
      <c r="EF15" s="2"/>
      <c r="EG15" s="2"/>
      <c r="EH15" s="2" t="s">
        <v>49</v>
      </c>
      <c r="EI15" s="2" t="s">
        <v>49</v>
      </c>
      <c r="EJ15" s="2" t="s">
        <v>49</v>
      </c>
      <c r="EK15" s="2" t="s">
        <v>49</v>
      </c>
      <c r="EL15" s="2" t="s">
        <v>49</v>
      </c>
      <c r="EM15" s="2"/>
      <c r="EN15" s="2"/>
      <c r="EO15" s="2" t="s">
        <v>49</v>
      </c>
      <c r="EP15" s="2" t="s">
        <v>49</v>
      </c>
      <c r="EQ15" s="2" t="s">
        <v>49</v>
      </c>
      <c r="ER15" s="2" t="s">
        <v>49</v>
      </c>
      <c r="ES15" s="2" t="s">
        <v>49</v>
      </c>
      <c r="ET15" s="2"/>
      <c r="EU15" s="2"/>
      <c r="EV15" s="2" t="s">
        <v>49</v>
      </c>
      <c r="EW15" s="2" t="s">
        <v>49</v>
      </c>
      <c r="EX15" s="2" t="s">
        <v>49</v>
      </c>
      <c r="EY15" s="2" t="s">
        <v>49</v>
      </c>
      <c r="EZ15" s="2" t="s">
        <v>49</v>
      </c>
      <c r="FA15" s="2"/>
      <c r="FB15" s="2"/>
      <c r="FC15" s="2" t="s">
        <v>35</v>
      </c>
      <c r="FD15" s="2" t="s">
        <v>49</v>
      </c>
      <c r="FE15" s="2" t="s">
        <v>49</v>
      </c>
      <c r="FF15" s="2" t="s">
        <v>49</v>
      </c>
      <c r="FG15" s="2" t="s">
        <v>49</v>
      </c>
      <c r="FH15" s="2"/>
      <c r="FI15" s="2"/>
      <c r="FJ15" s="2" t="s">
        <v>49</v>
      </c>
      <c r="FK15" s="2" t="s">
        <v>49</v>
      </c>
      <c r="FL15" s="2" t="s">
        <v>49</v>
      </c>
      <c r="FM15" s="2" t="s">
        <v>49</v>
      </c>
      <c r="FN15" s="2" t="s">
        <v>49</v>
      </c>
      <c r="FO15" s="2"/>
      <c r="FP15" s="2"/>
      <c r="FQ15" s="2" t="s">
        <v>49</v>
      </c>
      <c r="FR15" s="2" t="s">
        <v>49</v>
      </c>
      <c r="FS15" s="2" t="s">
        <v>49</v>
      </c>
      <c r="FT15" s="2" t="s">
        <v>49</v>
      </c>
      <c r="FU15" s="2" t="s">
        <v>49</v>
      </c>
      <c r="FV15" s="2"/>
      <c r="FW15" s="2"/>
      <c r="FX15" s="2" t="s">
        <v>49</v>
      </c>
      <c r="FY15" s="2" t="s">
        <v>49</v>
      </c>
      <c r="FZ15" s="2" t="s">
        <v>49</v>
      </c>
      <c r="GA15" s="2" t="s">
        <v>49</v>
      </c>
      <c r="GB15" s="2" t="s">
        <v>49</v>
      </c>
      <c r="GC15" s="2"/>
      <c r="GD15" s="2"/>
      <c r="GE15" s="2"/>
      <c r="GF15" s="2" t="s">
        <v>49</v>
      </c>
      <c r="GG15" s="2" t="s">
        <v>49</v>
      </c>
      <c r="GH15" s="2" t="s">
        <v>49</v>
      </c>
      <c r="GI15" s="2" t="s">
        <v>49</v>
      </c>
      <c r="GJ15" s="2" t="s">
        <v>49</v>
      </c>
      <c r="GK15" s="2"/>
      <c r="GL15" s="2"/>
      <c r="GM15" s="2" t="s">
        <v>35</v>
      </c>
      <c r="GN15" s="2" t="s">
        <v>49</v>
      </c>
      <c r="GO15" s="2" t="s">
        <v>49</v>
      </c>
      <c r="GP15" s="2" t="s">
        <v>49</v>
      </c>
      <c r="GQ15" s="2" t="s">
        <v>49</v>
      </c>
      <c r="GR15" s="2"/>
      <c r="GS15" s="2"/>
      <c r="GT15" s="2" t="s">
        <v>49</v>
      </c>
      <c r="GU15" s="2" t="s">
        <v>49</v>
      </c>
      <c r="GV15" s="2" t="s">
        <v>49</v>
      </c>
      <c r="GW15" s="2" t="s">
        <v>49</v>
      </c>
      <c r="GX15" s="2" t="s">
        <v>49</v>
      </c>
      <c r="GY15" s="2"/>
      <c r="GZ15" s="2"/>
      <c r="HA15" s="2" t="s">
        <v>49</v>
      </c>
      <c r="HB15" s="2" t="s">
        <v>49</v>
      </c>
      <c r="HC15" s="2" t="s">
        <v>49</v>
      </c>
      <c r="HD15" s="2" t="s">
        <v>49</v>
      </c>
      <c r="HE15" s="2" t="s">
        <v>49</v>
      </c>
      <c r="HF15" s="2"/>
      <c r="HG15" s="2"/>
      <c r="HH15" s="2" t="s">
        <v>49</v>
      </c>
      <c r="HI15" s="2" t="s">
        <v>49</v>
      </c>
      <c r="HJ15" s="2" t="s">
        <v>49</v>
      </c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 t="s">
        <v>35</v>
      </c>
      <c r="JO15" s="2" t="s">
        <v>35</v>
      </c>
      <c r="JP15" s="2"/>
      <c r="JQ15" s="2"/>
      <c r="JR15" s="2"/>
      <c r="JS15" s="2"/>
      <c r="JT15" s="2"/>
      <c r="JU15" s="2" t="s">
        <v>35</v>
      </c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 t="s">
        <v>35</v>
      </c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14">
        <f t="array" aca="1" ref="NJ15" ca="1">SUMPRODUCT((OFFSET($A15,0,31*($A$3-1)+1,1,31)&lt;&gt;"")*(IF(OFFSET($A15,0,31*($A$3-1)+1,1,31)=$OD$12,0.5,1)*(OFFSET($A$4,0,31*($A$3-1)+1,1,31))))</f>
        <v>20</v>
      </c>
      <c r="NK15" s="20">
        <f t="array" aca="1" ref="NK15" ca="1">SUMPRODUCT((OFFSET($A15,0,1,1,372)&lt;&gt;"")*(IF(OFFSET($A15,0,1,1,372)=$OD$12,0.5,1)*(OFFSET($A$3,0,1,1,372))))</f>
        <v>149</v>
      </c>
      <c r="NL15" s="28">
        <f t="array" aca="1" ref="NL15" ca="1">SUMPRODUCT((OFFSET($A15,0,31*($A$4)+DAY(Holidays!$E$2),1,Holidays!$G$2)&lt;&gt;"")*(IF(OFFSET($A15,0,31*($A$4)+DAY(Holidays!$E$2),1,Holidays!$G$2)=$OD$12,0.5,1)*(OFFSET($A$3,0,31*($A$4)+DAY(Holidays!$E$2),1,Holidays!$G$2))))</f>
        <v>124</v>
      </c>
      <c r="NM15" s="52">
        <f t="array" aca="1" ref="NM15" ca="1">SUMPRODUCT((OFFSET($A15,0,31*($A$4)+DAY(VLOOKUP(NM$5,Sprints[],2,FALSE)),1,VLOOKUP(NM$5,Sprints[],4,FALSE))&lt;&gt;"")*(IF(OFFSET($A15,0,31*($A$4)+DAY(VLOOKUP(NM$5,Sprints[],2,FALSE)),1,VLOOKUP(NM$5,Sprints[],4,FALSE))=$OD$12,0.5,1)*(OFFSET($A$3,0,31*($A$4)+DAY(VLOOKUP(NM$5,Sprints[],2,FALSE)),1,VLOOKUP(NM$5,Sprints[],4,FALSE)))))</f>
        <v>4</v>
      </c>
      <c r="NN15" s="52">
        <f t="array" aca="1" ref="NN15" ca="1">SUMPRODUCT((OFFSET($A15,0,31*($A$4)+DAY(VLOOKUP(NN$5,Sprints[],2,FALSE)),1,VLOOKUP(NN$5,Sprints[],4,FALSE))&lt;&gt;"")*(IF(OFFSET($A15,0,31*($A$4)+DAY(VLOOKUP(NN$5,Sprints[],2,FALSE)),1,VLOOKUP(NN$5,Sprints[],4,FALSE))=$OD$12,0.5,1)*(OFFSET($A$3,0,31*($A$4)+DAY(VLOOKUP(NN$5,Sprints[],2,FALSE)),1,VLOOKUP(NN$5,Sprints[],4,FALSE)))))</f>
        <v>10</v>
      </c>
      <c r="NO15" s="52">
        <f t="array" aca="1" ref="NO15" ca="1">SUMPRODUCT((OFFSET($A15,0,31*($A$4)+DAY(VLOOKUP(NO$5,Sprints[],2,FALSE)),1,VLOOKUP(NO$5,Sprints[],4,FALSE))&lt;&gt;"")*(IF(OFFSET($A15,0,31*($A$4)+DAY(VLOOKUP(NO$5,Sprints[],2,FALSE)),1,VLOOKUP(NO$5,Sprints[],4,FALSE))=$OD$12,0.5,1)*(OFFSET($A$3,0,31*($A$4)+DAY(VLOOKUP(NO$5,Sprints[],2,FALSE)),1,VLOOKUP(NO$5,Sprints[],4,FALSE)))))</f>
        <v>2</v>
      </c>
      <c r="NP15" s="52">
        <f t="array" aca="1" ref="NP15" ca="1">SUMPRODUCT((OFFSET($A15,0,31*(VLOOKUP(NP$5,Sprints[],5,FALSE))+DAY(VLOOKUP(NP$5,Sprints[],2,FALSE)),1,VLOOKUP(NP$5,Sprints[],4,FALSE))&lt;&gt;"")*(IF(OFFSET($A15,0,31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15" s="52">
        <f t="array" aca="1" ref="NQ15" ca="1">SUMPRODUCT((OFFSET($A15,0,31*(VLOOKUP(NQ$5,Sprints[],5,FALSE))+DAY(VLOOKUP(NQ$5,Sprints[],2,FALSE)),1,VLOOKUP(NQ$5,Sprints[],4,FALSE))&lt;&gt;"")*(IF(OFFSET($A15,0,31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15" s="52">
        <f t="array" aca="1" ref="NR15" ca="1">SUMPRODUCT((OFFSET($A15,0,31*(VLOOKUP(NR$5,Sprints[],5,FALSE))+DAY(VLOOKUP(NR$5,Sprints[],2,FALSE)),1,VLOOKUP(NR$5,Sprints[],4,FALSE))&lt;&gt;"")*(IF(OFFSET($A15,0,31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15" s="52">
        <f t="array" aca="1" ref="NS15" ca="1">SUMPRODUCT((OFFSET($A15,0,31*(VLOOKUP(NS$5,Sprints[],5,FALSE))+DAY(VLOOKUP(NS$5,Sprints[],2,FALSE)),1,VLOOKUP(NS$5,Sprints[],4,FALSE))&lt;&gt;"")*(IF(OFFSET($A15,0,31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5" s="52">
        <f t="array" aca="1" ref="NT15" ca="1">SUMPRODUCT((OFFSET($A15,0,31*(VLOOKUP(NT$5,Sprints[],5,FALSE))+DAY(VLOOKUP(NT$5,Sprints[],2,FALSE)),1,VLOOKUP(NT$5,Sprints[],4,FALSE))&lt;&gt;"")*(IF(OFFSET($A15,0,31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5" s="52">
        <f t="array" aca="1" ref="NU15" ca="1">SUMPRODUCT((OFFSET($A15,0,31*(VLOOKUP(NU$5,Sprints[],5,FALSE))+DAY(VLOOKUP(NU$5,Sprints[],2,FALSE)),1,VLOOKUP(NU$5,Sprints[],4,FALSE))&lt;&gt;"")*(IF(OFFSET($A15,0,31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15" s="52">
        <f t="array" aca="1" ref="NV15" ca="1">SUMPRODUCT((OFFSET($A15,0,31*(VLOOKUP(NV$5,Sprints[],5,FALSE))+DAY(VLOOKUP(NV$5,Sprints[],2,FALSE)),1,VLOOKUP(NV$5,Sprints[],4,FALSE))&lt;&gt;"")*(IF(OFFSET($A15,0,31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15" s="52">
        <f t="array" aca="1" ref="NW15" ca="1">SUMPRODUCT((OFFSET($A15,0,31*(VLOOKUP(NW$5,Sprints[],5,FALSE))+DAY(VLOOKUP(NW$5,Sprints[],2,FALSE)),1,VLOOKUP(NW$5,Sprints[],4,FALSE))&lt;&gt;"")*(IF(OFFSET($A15,0,31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15" s="52">
        <f t="array" aca="1" ref="NX15" ca="1">SUMPRODUCT((OFFSET($A15,0,31*(VLOOKUP(NX$5,Sprints[],5,FALSE))+DAY(VLOOKUP(NX$5,Sprints[],2,FALSE)),1,VLOOKUP(NX$5,Sprints[],4,FALSE))&lt;&gt;"")*(IF(OFFSET($A15,0,31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15" s="52">
        <f t="array" aca="1" ref="NY15" ca="1">SUMPRODUCT((OFFSET($A15,0,31*(VLOOKUP(NY$5,Sprints[],5,FALSE))+DAY(VLOOKUP(NY$5,Sprints[],2,FALSE)),1,VLOOKUP(NY$5,Sprints[],4,FALSE))&lt;&gt;"")*(IF(OFFSET($A15,0,31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15" s="52">
        <f t="array" aca="1" ref="NZ15" ca="1">SUMPRODUCT((OFFSET($A15,0,31*(VLOOKUP(NZ$5,Sprints[],5,FALSE))+DAY(VLOOKUP(NZ$5,Sprints[],2,FALSE)),1,VLOOKUP(NZ$5,Sprints[],4,FALSE))&lt;&gt;"")*(IF(OFFSET($A15,0,31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15" s="52">
        <f t="array" aca="1" ref="OA15" ca="1">SUMPRODUCT((OFFSET($A15,0,31*(VLOOKUP(OA$5,Sprints[],5,FALSE))+DAY(VLOOKUP(OA$5,Sprints[],2,FALSE)),1,VLOOKUP(OA$5,Sprints[],4,FALSE))&lt;&gt;"")*(IF(OFFSET($A15,0,31*(VLOOKUP(OA$5,Sprints[],5,FALSE))+DAY(VLOOKUP(OA$5,Sprints[],2,FALSE)),1,VLOOKUP(OA$5,Sprints[],4,FALSE))=$OD$12,0.5,1)*(OFFSET($A$3,0,31*(VLOOKUP(OA$5,Sprints[],5,FALSE))+DAY(VLOOKUP(OA$5,Sprints[],2,FALSE)),1,VLOOKUP(OA$5,Sprints[],4,FALSE)))))</f>
        <v>19</v>
      </c>
    </row>
    <row r="16" spans="1:767" x14ac:dyDescent="0.45">
      <c r="A16" s="1" t="s">
        <v>67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 t="s">
        <v>33</v>
      </c>
      <c r="AX16" s="2" t="s">
        <v>31</v>
      </c>
      <c r="AY16" s="2"/>
      <c r="AZ16" s="2"/>
      <c r="BA16" s="2" t="s">
        <v>35</v>
      </c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 t="s">
        <v>33</v>
      </c>
      <c r="CK16" s="2" t="s">
        <v>33</v>
      </c>
      <c r="CL16" s="2" t="s">
        <v>33</v>
      </c>
      <c r="CM16" s="2" t="s">
        <v>33</v>
      </c>
      <c r="CN16" s="2" t="s">
        <v>33</v>
      </c>
      <c r="CO16" s="2"/>
      <c r="CP16" s="2"/>
      <c r="CQ16" s="2"/>
      <c r="CR16" s="2" t="s">
        <v>35</v>
      </c>
      <c r="CS16" s="2" t="s">
        <v>33</v>
      </c>
      <c r="CT16" s="2" t="s">
        <v>33</v>
      </c>
      <c r="CU16" s="2" t="s">
        <v>33</v>
      </c>
      <c r="CV16" s="2" t="s">
        <v>33</v>
      </c>
      <c r="CW16" s="2"/>
      <c r="CX16" s="2"/>
      <c r="CY16" s="2" t="s">
        <v>33</v>
      </c>
      <c r="CZ16" s="2" t="s">
        <v>33</v>
      </c>
      <c r="DA16" s="2" t="s">
        <v>33</v>
      </c>
      <c r="DB16" s="2" t="s">
        <v>33</v>
      </c>
      <c r="DC16" s="2" t="s">
        <v>33</v>
      </c>
      <c r="DD16" s="2"/>
      <c r="DE16" s="2"/>
      <c r="DF16" s="2" t="s">
        <v>33</v>
      </c>
      <c r="DG16" s="2" t="s">
        <v>33</v>
      </c>
      <c r="DH16" s="2" t="s">
        <v>33</v>
      </c>
      <c r="DI16" s="2" t="s">
        <v>33</v>
      </c>
      <c r="DJ16" s="2"/>
      <c r="DK16" s="2"/>
      <c r="DL16" s="2"/>
      <c r="DM16" s="2" t="s">
        <v>31</v>
      </c>
      <c r="DN16" s="2" t="s">
        <v>33</v>
      </c>
      <c r="DO16" s="2"/>
      <c r="DP16" s="2" t="s">
        <v>33</v>
      </c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 t="s">
        <v>35</v>
      </c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 t="s">
        <v>35</v>
      </c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 t="s">
        <v>35</v>
      </c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 t="s">
        <v>35</v>
      </c>
      <c r="JO16" s="2" t="s">
        <v>35</v>
      </c>
      <c r="JP16" s="2"/>
      <c r="JQ16" s="2"/>
      <c r="JR16" s="2"/>
      <c r="JS16" s="2"/>
      <c r="JT16" s="2"/>
      <c r="JU16" s="2" t="s">
        <v>35</v>
      </c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 t="s">
        <v>35</v>
      </c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14">
        <f t="array" aca="1" ref="NJ16" ca="1">SUMPRODUCT((OFFSET($A16,0,31*($A$3-1)+1,1,31)&lt;&gt;"")*(IF(OFFSET($A16,0,31*($A$3-1)+1,1,31)=$OD$12,0.5,1)*(OFFSET($A$4,0,31*($A$3-1)+1,1,31))))</f>
        <v>1</v>
      </c>
      <c r="NK16" s="20">
        <f t="array" aca="1" ref="NK16" ca="1">SUMPRODUCT((OFFSET($A16,0,1,1,372)&lt;&gt;"")*(IF(OFFSET($A16,0,1,1,372)=$OD$12,0.5,1)*(OFFSET($A$3,0,1,1,372))))</f>
        <v>31</v>
      </c>
      <c r="NL16" s="28">
        <f t="array" aca="1" ref="NL16" ca="1">SUMPRODUCT((OFFSET($A16,0,31*($A$4)+DAY(Holidays!$E$2),1,Holidays!$G$2)&lt;&gt;"")*(IF(OFFSET($A16,0,31*($A$4)+DAY(Holidays!$E$2),1,Holidays!$G$2)=$OD$12,0.5,1)*(OFFSET($A$3,0,31*($A$4)+DAY(Holidays!$E$2),1,Holidays!$G$2))))</f>
        <v>26</v>
      </c>
      <c r="NM16" s="52">
        <f t="array" aca="1" ref="NM16" ca="1">SUMPRODUCT((OFFSET($A16,0,31*($A$4)+DAY(VLOOKUP(NM$5,Sprints[],2,FALSE)),1,VLOOKUP(NM$5,Sprints[],4,FALSE))&lt;&gt;"")*(IF(OFFSET($A16,0,31*($A$4)+DAY(VLOOKUP(NM$5,Sprints[],2,FALSE)),1,VLOOKUP(NM$5,Sprints[],4,FALSE))=$OD$12,0.5,1)*(OFFSET($A$3,0,31*($A$4)+DAY(VLOOKUP(NM$5,Sprints[],2,FALSE)),1,VLOOKUP(NM$5,Sprints[],4,FALSE)))))</f>
        <v>0</v>
      </c>
      <c r="NN16" s="52">
        <f t="array" aca="1" ref="NN16" ca="1">SUMPRODUCT((OFFSET($A16,0,31*($A$4)+DAY(VLOOKUP(NN$5,Sprints[],2,FALSE)),1,VLOOKUP(NN$5,Sprints[],4,FALSE))&lt;&gt;"")*(IF(OFFSET($A16,0,31*($A$4)+DAY(VLOOKUP(NN$5,Sprints[],2,FALSE)),1,VLOOKUP(NN$5,Sprints[],4,FALSE))=$OD$12,0.5,1)*(OFFSET($A$3,0,31*($A$4)+DAY(VLOOKUP(NN$5,Sprints[],2,FALSE)),1,VLOOKUP(NN$5,Sprints[],4,FALSE)))))</f>
        <v>0</v>
      </c>
      <c r="NO16" s="52">
        <f t="array" aca="1" ref="NO16" ca="1">SUMPRODUCT((OFFSET($A16,0,31*($A$4)+DAY(VLOOKUP(NO$5,Sprints[],2,FALSE)),1,VLOOKUP(NO$5,Sprints[],4,FALSE))&lt;&gt;"")*(IF(OFFSET($A16,0,31*($A$4)+DAY(VLOOKUP(NO$5,Sprints[],2,FALSE)),1,VLOOKUP(NO$5,Sprints[],4,FALSE))=$OD$12,0.5,1)*(OFFSET($A$3,0,31*($A$4)+DAY(VLOOKUP(NO$5,Sprints[],2,FALSE)),1,VLOOKUP(NO$5,Sprints[],4,FALSE)))))</f>
        <v>0</v>
      </c>
      <c r="NP16" s="52">
        <f t="array" aca="1" ref="NP16" ca="1">SUMPRODUCT((OFFSET($A16,0,31*(VLOOKUP(NP$5,Sprints[],5,FALSE))+DAY(VLOOKUP(NP$5,Sprints[],2,FALSE)),1,VLOOKUP(NP$5,Sprints[],4,FALSE))&lt;&gt;"")*(IF(OFFSET($A16,0,31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6" s="52">
        <f t="array" aca="1" ref="NQ16" ca="1">SUMPRODUCT((OFFSET($A16,0,31*(VLOOKUP(NQ$5,Sprints[],5,FALSE))+DAY(VLOOKUP(NQ$5,Sprints[],2,FALSE)),1,VLOOKUP(NQ$5,Sprints[],4,FALSE))&lt;&gt;"")*(IF(OFFSET($A16,0,31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6" s="52">
        <f t="array" aca="1" ref="NR16" ca="1">SUMPRODUCT((OFFSET($A16,0,31*(VLOOKUP(NR$5,Sprints[],5,FALSE))+DAY(VLOOKUP(NR$5,Sprints[],2,FALSE)),1,VLOOKUP(NR$5,Sprints[],4,FALSE))&lt;&gt;"")*(IF(OFFSET($A16,0,31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16" s="52">
        <f t="array" aca="1" ref="NS16" ca="1">SUMPRODUCT((OFFSET($A16,0,31*(VLOOKUP(NS$5,Sprints[],5,FALSE))+DAY(VLOOKUP(NS$5,Sprints[],2,FALSE)),1,VLOOKUP(NS$5,Sprints[],4,FALSE))&lt;&gt;"")*(IF(OFFSET($A16,0,31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6" s="52">
        <f t="array" aca="1" ref="NT16" ca="1">SUMPRODUCT((OFFSET($A16,0,31*(VLOOKUP(NT$5,Sprints[],5,FALSE))+DAY(VLOOKUP(NT$5,Sprints[],2,FALSE)),1,VLOOKUP(NT$5,Sprints[],4,FALSE))&lt;&gt;"")*(IF(OFFSET($A16,0,31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6" s="52">
        <f t="array" aca="1" ref="NU16" ca="1">SUMPRODUCT((OFFSET($A16,0,31*(VLOOKUP(NU$5,Sprints[],5,FALSE))+DAY(VLOOKUP(NU$5,Sprints[],2,FALSE)),1,VLOOKUP(NU$5,Sprints[],4,FALSE))&lt;&gt;"")*(IF(OFFSET($A16,0,31*(VLOOKUP(NU$5,Sprints[],5,FALSE))+DAY(VLOOKUP(NU$5,Sprints[],2,FALSE)),1,VLOOKUP(NU$5,Sprints[],4,FALSE))=$OD$12,0.5,1)*(OFFSET($A$3,0,31*(VLOOKUP(NU$5,Sprints[],5,FALSE))+DAY(VLOOKUP(NU$5,Sprints[],2,FALSE)),1,VLOOKUP(NU$5,Sprints[],4,FALSE)))))</f>
        <v>4.5</v>
      </c>
      <c r="NV16" s="52">
        <f t="array" aca="1" ref="NV16" ca="1">SUMPRODUCT((OFFSET($A16,0,31*(VLOOKUP(NV$5,Sprints[],5,FALSE))+DAY(VLOOKUP(NV$5,Sprints[],2,FALSE)),1,VLOOKUP(NV$5,Sprints[],4,FALSE))&lt;&gt;"")*(IF(OFFSET($A16,0,31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6" s="52">
        <f t="array" aca="1" ref="NW16" ca="1">SUMPRODUCT((OFFSET($A16,0,31*(VLOOKUP(NW$5,Sprints[],5,FALSE))+DAY(VLOOKUP(NW$5,Sprints[],2,FALSE)),1,VLOOKUP(NW$5,Sprints[],4,FALSE))&lt;&gt;"")*(IF(OFFSET($A16,0,31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6" s="52">
        <f t="array" aca="1" ref="NX16" ca="1">SUMPRODUCT((OFFSET($A16,0,31*(VLOOKUP(NX$5,Sprints[],5,FALSE))+DAY(VLOOKUP(NX$5,Sprints[],2,FALSE)),1,VLOOKUP(NX$5,Sprints[],4,FALSE))&lt;&gt;"")*(IF(OFFSET($A16,0,31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6" s="52">
        <f t="array" aca="1" ref="NY16" ca="1">SUMPRODUCT((OFFSET($A16,0,31*(VLOOKUP(NY$5,Sprints[],5,FALSE))+DAY(VLOOKUP(NY$5,Sprints[],2,FALSE)),1,VLOOKUP(NY$5,Sprints[],4,FALSE))&lt;&gt;"")*(IF(OFFSET($A16,0,31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6" s="52">
        <f t="array" aca="1" ref="NZ16" ca="1">SUMPRODUCT((OFFSET($A16,0,31*(VLOOKUP(NZ$5,Sprints[],5,FALSE))+DAY(VLOOKUP(NZ$5,Sprints[],2,FALSE)),1,VLOOKUP(NZ$5,Sprints[],4,FALSE))&lt;&gt;"")*(IF(OFFSET($A16,0,31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6" s="52">
        <f t="array" aca="1" ref="OA16" ca="1">SUMPRODUCT((OFFSET($A16,0,31*(VLOOKUP(OA$5,Sprints[],5,FALSE))+DAY(VLOOKUP(OA$5,Sprints[],2,FALSE)),1,VLOOKUP(OA$5,Sprints[],4,FALSE))&lt;&gt;"")*(IF(OFFSET($A16,0,31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  <c r="OC16" s="17" t="s">
        <v>23</v>
      </c>
      <c r="OD16" s="17"/>
    </row>
    <row r="17" spans="1:394" x14ac:dyDescent="0.45">
      <c r="A17" s="1" t="s">
        <v>68</v>
      </c>
      <c r="B17" s="2"/>
      <c r="C17" s="2"/>
      <c r="D17" s="2"/>
      <c r="E17" s="2"/>
      <c r="F17" s="2"/>
      <c r="G17" s="2" t="s">
        <v>33</v>
      </c>
      <c r="H17" s="2"/>
      <c r="I17" s="2"/>
      <c r="J17" s="2" t="s">
        <v>33</v>
      </c>
      <c r="K17" s="2" t="s">
        <v>33</v>
      </c>
      <c r="L17" s="2" t="s">
        <v>33</v>
      </c>
      <c r="M17" s="2" t="s">
        <v>33</v>
      </c>
      <c r="N17" s="2" t="s">
        <v>33</v>
      </c>
      <c r="O17" s="2"/>
      <c r="P17" s="2"/>
      <c r="Q17" s="2" t="s">
        <v>33</v>
      </c>
      <c r="R17" s="2" t="s">
        <v>33</v>
      </c>
      <c r="S17" s="2" t="s">
        <v>33</v>
      </c>
      <c r="T17" s="2" t="s">
        <v>33</v>
      </c>
      <c r="U17" s="2" t="s">
        <v>33</v>
      </c>
      <c r="V17" s="2"/>
      <c r="W17" s="2"/>
      <c r="X17" s="2" t="s">
        <v>49</v>
      </c>
      <c r="Y17" s="2" t="s">
        <v>49</v>
      </c>
      <c r="Z17" s="2" t="s">
        <v>49</v>
      </c>
      <c r="AA17" s="2" t="s">
        <v>49</v>
      </c>
      <c r="AB17" s="2" t="s">
        <v>49</v>
      </c>
      <c r="AC17" s="2"/>
      <c r="AD17" s="2"/>
      <c r="AE17" s="2" t="s">
        <v>49</v>
      </c>
      <c r="AF17" s="2"/>
      <c r="AG17" s="2" t="s">
        <v>49</v>
      </c>
      <c r="AH17" s="2" t="s">
        <v>49</v>
      </c>
      <c r="AI17" s="2" t="s">
        <v>49</v>
      </c>
      <c r="AJ17" s="2" t="s">
        <v>49</v>
      </c>
      <c r="AK17" s="2"/>
      <c r="AL17" s="2"/>
      <c r="AM17" s="2" t="s">
        <v>49</v>
      </c>
      <c r="AN17" s="2" t="s">
        <v>49</v>
      </c>
      <c r="AO17" s="2" t="s">
        <v>49</v>
      </c>
      <c r="AP17" s="2" t="s">
        <v>49</v>
      </c>
      <c r="AQ17" s="2" t="s">
        <v>49</v>
      </c>
      <c r="AR17" s="2"/>
      <c r="AS17" s="2"/>
      <c r="AT17" s="2" t="s">
        <v>49</v>
      </c>
      <c r="AU17" s="2" t="s">
        <v>49</v>
      </c>
      <c r="AV17" s="2" t="s">
        <v>49</v>
      </c>
      <c r="AW17" s="2" t="s">
        <v>49</v>
      </c>
      <c r="AX17" s="2" t="s">
        <v>31</v>
      </c>
      <c r="AY17" s="2"/>
      <c r="AZ17" s="2"/>
      <c r="BA17" s="2" t="s">
        <v>35</v>
      </c>
      <c r="BB17" s="2" t="s">
        <v>49</v>
      </c>
      <c r="BC17" s="2" t="s">
        <v>49</v>
      </c>
      <c r="BD17" s="2" t="s">
        <v>49</v>
      </c>
      <c r="BE17" s="2" t="s">
        <v>49</v>
      </c>
      <c r="BF17" s="2"/>
      <c r="BG17" s="2"/>
      <c r="BH17" s="2" t="s">
        <v>49</v>
      </c>
      <c r="BI17" s="2" t="s">
        <v>49</v>
      </c>
      <c r="BJ17" s="2" t="s">
        <v>49</v>
      </c>
      <c r="BK17" s="2" t="s">
        <v>49</v>
      </c>
      <c r="BL17" s="2" t="s">
        <v>49</v>
      </c>
      <c r="BM17" s="2"/>
      <c r="BN17" s="2"/>
      <c r="BO17" s="2" t="s">
        <v>49</v>
      </c>
      <c r="BP17" s="2" t="s">
        <v>49</v>
      </c>
      <c r="BQ17" s="2" t="s">
        <v>49</v>
      </c>
      <c r="BR17" s="2" t="s">
        <v>49</v>
      </c>
      <c r="BS17" s="2" t="s">
        <v>49</v>
      </c>
      <c r="BT17" s="2"/>
      <c r="BU17" s="2"/>
      <c r="BV17" s="2" t="s">
        <v>49</v>
      </c>
      <c r="BW17" s="2" t="s">
        <v>49</v>
      </c>
      <c r="BX17" s="2" t="s">
        <v>49</v>
      </c>
      <c r="BY17" s="2" t="s">
        <v>49</v>
      </c>
      <c r="BZ17" s="2" t="s">
        <v>49</v>
      </c>
      <c r="CA17" s="2"/>
      <c r="CB17" s="2"/>
      <c r="CC17" s="2" t="s">
        <v>49</v>
      </c>
      <c r="CD17" s="2" t="s">
        <v>49</v>
      </c>
      <c r="CE17" s="2" t="s">
        <v>49</v>
      </c>
      <c r="CF17" s="2" t="s">
        <v>49</v>
      </c>
      <c r="CG17" s="2" t="s">
        <v>49</v>
      </c>
      <c r="CH17" s="2"/>
      <c r="CI17" s="2"/>
      <c r="CJ17" s="2" t="s">
        <v>49</v>
      </c>
      <c r="CK17" s="2" t="s">
        <v>49</v>
      </c>
      <c r="CL17" s="2" t="s">
        <v>49</v>
      </c>
      <c r="CM17" s="2" t="s">
        <v>49</v>
      </c>
      <c r="CN17" s="2" t="s">
        <v>49</v>
      </c>
      <c r="CO17" s="2"/>
      <c r="CP17" s="2"/>
      <c r="CQ17" s="2"/>
      <c r="CR17" s="2" t="s">
        <v>35</v>
      </c>
      <c r="CS17" s="2" t="s">
        <v>49</v>
      </c>
      <c r="CT17" s="2" t="s">
        <v>49</v>
      </c>
      <c r="CU17" s="2" t="s">
        <v>49</v>
      </c>
      <c r="CV17" s="2" t="s">
        <v>49</v>
      </c>
      <c r="CW17" s="2"/>
      <c r="CX17" s="2"/>
      <c r="CY17" s="2" t="s">
        <v>49</v>
      </c>
      <c r="CZ17" s="2" t="s">
        <v>49</v>
      </c>
      <c r="DA17" s="2" t="s">
        <v>49</v>
      </c>
      <c r="DB17" s="2" t="s">
        <v>49</v>
      </c>
      <c r="DC17" s="2" t="s">
        <v>49</v>
      </c>
      <c r="DD17" s="2"/>
      <c r="DE17" s="2"/>
      <c r="DF17" s="2" t="s">
        <v>49</v>
      </c>
      <c r="DG17" s="2" t="s">
        <v>49</v>
      </c>
      <c r="DH17" s="2" t="s">
        <v>49</v>
      </c>
      <c r="DI17" s="2" t="s">
        <v>49</v>
      </c>
      <c r="DJ17" s="2" t="s">
        <v>49</v>
      </c>
      <c r="DK17" s="2"/>
      <c r="DL17" s="2"/>
      <c r="DM17" s="2" t="s">
        <v>49</v>
      </c>
      <c r="DN17" s="2" t="s">
        <v>49</v>
      </c>
      <c r="DO17" s="2" t="s">
        <v>49</v>
      </c>
      <c r="DP17" s="2" t="s">
        <v>49</v>
      </c>
      <c r="DQ17" s="2" t="s">
        <v>49</v>
      </c>
      <c r="DR17" s="2"/>
      <c r="DS17" s="2"/>
      <c r="DT17" s="2" t="s">
        <v>49</v>
      </c>
      <c r="DU17" s="2" t="s">
        <v>49</v>
      </c>
      <c r="DV17" s="2" t="s">
        <v>49</v>
      </c>
      <c r="DW17" s="2" t="s">
        <v>49</v>
      </c>
      <c r="DX17" s="2" t="s">
        <v>49</v>
      </c>
      <c r="DY17" s="2"/>
      <c r="DZ17" s="2"/>
      <c r="EA17" s="2" t="s">
        <v>35</v>
      </c>
      <c r="EB17" s="2" t="s">
        <v>49</v>
      </c>
      <c r="EC17" s="2" t="s">
        <v>49</v>
      </c>
      <c r="ED17" s="2" t="s">
        <v>49</v>
      </c>
      <c r="EE17" s="2" t="s">
        <v>49</v>
      </c>
      <c r="EF17" s="2"/>
      <c r="EG17" s="2"/>
      <c r="EH17" s="2" t="s">
        <v>49</v>
      </c>
      <c r="EI17" s="2" t="s">
        <v>49</v>
      </c>
      <c r="EJ17" s="2" t="s">
        <v>49</v>
      </c>
      <c r="EK17" s="2" t="s">
        <v>49</v>
      </c>
      <c r="EL17" s="2" t="s">
        <v>49</v>
      </c>
      <c r="EM17" s="2"/>
      <c r="EN17" s="2"/>
      <c r="EO17" s="2" t="s">
        <v>49</v>
      </c>
      <c r="EP17" s="2" t="s">
        <v>49</v>
      </c>
      <c r="EQ17" s="2" t="s">
        <v>49</v>
      </c>
      <c r="ER17" s="2" t="s">
        <v>49</v>
      </c>
      <c r="ES17" s="2" t="s">
        <v>49</v>
      </c>
      <c r="ET17" s="2"/>
      <c r="EU17" s="2"/>
      <c r="EV17" s="2" t="s">
        <v>49</v>
      </c>
      <c r="EW17" s="2" t="s">
        <v>49</v>
      </c>
      <c r="EX17" s="2" t="s">
        <v>49</v>
      </c>
      <c r="EY17" s="2" t="s">
        <v>49</v>
      </c>
      <c r="EZ17" s="2" t="s">
        <v>49</v>
      </c>
      <c r="FA17" s="2"/>
      <c r="FB17" s="2"/>
      <c r="FC17" s="2" t="s">
        <v>35</v>
      </c>
      <c r="FD17" s="2" t="s">
        <v>49</v>
      </c>
      <c r="FE17" s="2" t="s">
        <v>49</v>
      </c>
      <c r="FF17" s="2" t="s">
        <v>49</v>
      </c>
      <c r="FG17" s="2" t="s">
        <v>49</v>
      </c>
      <c r="FH17" s="2"/>
      <c r="FI17" s="2"/>
      <c r="FJ17" s="2" t="s">
        <v>49</v>
      </c>
      <c r="FK17" s="2" t="s">
        <v>49</v>
      </c>
      <c r="FL17" s="2" t="s">
        <v>49</v>
      </c>
      <c r="FM17" s="2" t="s">
        <v>49</v>
      </c>
      <c r="FN17" s="2" t="s">
        <v>49</v>
      </c>
      <c r="FO17" s="2"/>
      <c r="FP17" s="2"/>
      <c r="FQ17" s="2" t="s">
        <v>49</v>
      </c>
      <c r="FR17" s="2" t="s">
        <v>49</v>
      </c>
      <c r="FS17" s="2" t="s">
        <v>49</v>
      </c>
      <c r="FT17" s="2" t="s">
        <v>49</v>
      </c>
      <c r="FU17" s="2" t="s">
        <v>49</v>
      </c>
      <c r="FV17" s="2"/>
      <c r="FW17" s="2"/>
      <c r="FX17" s="2" t="s">
        <v>49</v>
      </c>
      <c r="FY17" s="2" t="s">
        <v>49</v>
      </c>
      <c r="FZ17" s="2" t="s">
        <v>49</v>
      </c>
      <c r="GA17" s="2" t="s">
        <v>49</v>
      </c>
      <c r="GB17" s="2" t="s">
        <v>49</v>
      </c>
      <c r="GC17" s="2"/>
      <c r="GD17" s="2"/>
      <c r="GE17" s="2"/>
      <c r="GF17" s="2" t="s">
        <v>49</v>
      </c>
      <c r="GG17" s="2" t="s">
        <v>49</v>
      </c>
      <c r="GH17" s="2" t="s">
        <v>49</v>
      </c>
      <c r="GI17" s="2" t="s">
        <v>49</v>
      </c>
      <c r="GJ17" s="2" t="s">
        <v>49</v>
      </c>
      <c r="GK17" s="2"/>
      <c r="GL17" s="2"/>
      <c r="GM17" s="2" t="s">
        <v>35</v>
      </c>
      <c r="GN17" s="2" t="s">
        <v>49</v>
      </c>
      <c r="GO17" s="2" t="s">
        <v>49</v>
      </c>
      <c r="GP17" s="2" t="s">
        <v>49</v>
      </c>
      <c r="GQ17" s="2" t="s">
        <v>49</v>
      </c>
      <c r="GR17" s="2"/>
      <c r="GS17" s="2"/>
      <c r="GT17" s="2" t="s">
        <v>49</v>
      </c>
      <c r="GU17" s="2" t="s">
        <v>49</v>
      </c>
      <c r="GV17" s="2" t="s">
        <v>49</v>
      </c>
      <c r="GW17" s="2" t="s">
        <v>49</v>
      </c>
      <c r="GX17" s="2" t="s">
        <v>49</v>
      </c>
      <c r="GY17" s="2"/>
      <c r="GZ17" s="2"/>
      <c r="HA17" s="2" t="s">
        <v>49</v>
      </c>
      <c r="HB17" s="2" t="s">
        <v>49</v>
      </c>
      <c r="HC17" s="2" t="s">
        <v>49</v>
      </c>
      <c r="HD17" s="2" t="s">
        <v>49</v>
      </c>
      <c r="HE17" s="2" t="s">
        <v>49</v>
      </c>
      <c r="HF17" s="2"/>
      <c r="HG17" s="2"/>
      <c r="HH17" s="2" t="s">
        <v>49</v>
      </c>
      <c r="HI17" s="2" t="s">
        <v>49</v>
      </c>
      <c r="HJ17" s="2" t="s">
        <v>49</v>
      </c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 t="s">
        <v>35</v>
      </c>
      <c r="JO17" s="2" t="s">
        <v>35</v>
      </c>
      <c r="JP17" s="2"/>
      <c r="JQ17" s="2"/>
      <c r="JR17" s="2"/>
      <c r="JS17" s="2"/>
      <c r="JT17" s="2"/>
      <c r="JU17" s="2" t="s">
        <v>35</v>
      </c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 t="s">
        <v>35</v>
      </c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14">
        <f t="array" aca="1" ref="NJ17" ca="1">SUMPRODUCT((OFFSET($A17,0,31*($A$3-1)+1,1,31)&lt;&gt;"")*(IF(OFFSET($A17,0,31*($A$3-1)+1,1,31)=$OD$12,0.5,1)*(OFFSET($A$4,0,31*($A$3-1)+1,1,31))))</f>
        <v>20</v>
      </c>
      <c r="NK17" s="20">
        <f t="array" aca="1" ref="NK17" ca="1">SUMPRODUCT((OFFSET($A17,0,1,1,372)&lt;&gt;"")*(IF(OFFSET($A17,0,1,1,372)=$OD$12,0.5,1)*(OFFSET($A$3,0,1,1,372))))</f>
        <v>152.5</v>
      </c>
      <c r="NL17" s="28">
        <f t="array" aca="1" ref="NL17" ca="1">SUMPRODUCT((OFFSET($A17,0,31*($A$4)+DAY(Holidays!$E$2),1,Holidays!$G$2)&lt;&gt;"")*(IF(OFFSET($A17,0,31*($A$4)+DAY(Holidays!$E$2),1,Holidays!$G$2)=$OD$12,0.5,1)*(OFFSET($A$3,0,31*($A$4)+DAY(Holidays!$E$2),1,Holidays!$G$2))))</f>
        <v>124.5</v>
      </c>
      <c r="NM17" s="52">
        <f t="array" aca="1" ref="NM17" ca="1">SUMPRODUCT((OFFSET($A17,0,31*($A$4)+DAY(VLOOKUP(NM$5,Sprints[],2,FALSE)),1,VLOOKUP(NM$5,Sprints[],4,FALSE))&lt;&gt;"")*(IF(OFFSET($A17,0,31*($A$4)+DAY(VLOOKUP(NM$5,Sprints[],2,FALSE)),1,VLOOKUP(NM$5,Sprints[],4,FALSE))=$OD$12,0.5,1)*(OFFSET($A$3,0,31*($A$4)+DAY(VLOOKUP(NM$5,Sprints[],2,FALSE)),1,VLOOKUP(NM$5,Sprints[],4,FALSE)))))</f>
        <v>5</v>
      </c>
      <c r="NN17" s="52">
        <f t="array" aca="1" ref="NN17" ca="1">SUMPRODUCT((OFFSET($A17,0,31*($A$4)+DAY(VLOOKUP(NN$5,Sprints[],2,FALSE)),1,VLOOKUP(NN$5,Sprints[],4,FALSE))&lt;&gt;"")*(IF(OFFSET($A17,0,31*($A$4)+DAY(VLOOKUP(NN$5,Sprints[],2,FALSE)),1,VLOOKUP(NN$5,Sprints[],4,FALSE))=$OD$12,0.5,1)*(OFFSET($A$3,0,31*($A$4)+DAY(VLOOKUP(NN$5,Sprints[],2,FALSE)),1,VLOOKUP(NN$5,Sprints[],4,FALSE)))))</f>
        <v>10</v>
      </c>
      <c r="NO17" s="52">
        <f t="array" aca="1" ref="NO17" ca="1">SUMPRODUCT((OFFSET($A17,0,31*($A$4)+DAY(VLOOKUP(NO$5,Sprints[],2,FALSE)),1,VLOOKUP(NO$5,Sprints[],4,FALSE))&lt;&gt;"")*(IF(OFFSET($A17,0,31*($A$4)+DAY(VLOOKUP(NO$5,Sprints[],2,FALSE)),1,VLOOKUP(NO$5,Sprints[],4,FALSE))=$OD$12,0.5,1)*(OFFSET($A$3,0,31*($A$4)+DAY(VLOOKUP(NO$5,Sprints[],2,FALSE)),1,VLOOKUP(NO$5,Sprints[],4,FALSE)))))</f>
        <v>6</v>
      </c>
      <c r="NP17" s="52">
        <f t="array" aca="1" ref="NP17" ca="1">SUMPRODUCT((OFFSET($A17,0,31*(VLOOKUP(NP$5,Sprints[],5,FALSE))+DAY(VLOOKUP(NP$5,Sprints[],2,FALSE)),1,VLOOKUP(NP$5,Sprints[],4,FALSE))&lt;&gt;"")*(IF(OFFSET($A17,0,31*(VLOOKUP(NP$5,Sprints[],5,FALSE))+DAY(VLOOKUP(NP$5,Sprints[],2,FALSE)),1,VLOOKUP(NP$5,Sprints[],4,FALSE))=$OD$12,0.5,1)*(OFFSET($A$3,0,31*(VLOOKUP(NP$5,Sprints[],5,FALSE))+DAY(VLOOKUP(NP$5,Sprints[],2,FALSE)),1,VLOOKUP(NP$5,Sprints[],4,FALSE)))))</f>
        <v>9.5</v>
      </c>
      <c r="NQ17" s="52">
        <f t="array" aca="1" ref="NQ17" ca="1">SUMPRODUCT((OFFSET($A17,0,31*(VLOOKUP(NQ$5,Sprints[],5,FALSE))+DAY(VLOOKUP(NQ$5,Sprints[],2,FALSE)),1,VLOOKUP(NQ$5,Sprints[],4,FALSE))&lt;&gt;"")*(IF(OFFSET($A17,0,31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17" s="52">
        <f t="array" aca="1" ref="NR17" ca="1">SUMPRODUCT((OFFSET($A17,0,31*(VLOOKUP(NR$5,Sprints[],5,FALSE))+DAY(VLOOKUP(NR$5,Sprints[],2,FALSE)),1,VLOOKUP(NR$5,Sprints[],4,FALSE))&lt;&gt;"")*(IF(OFFSET($A17,0,31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17" s="52">
        <f t="array" aca="1" ref="NS17" ca="1">SUMPRODUCT((OFFSET($A17,0,31*(VLOOKUP(NS$5,Sprints[],5,FALSE))+DAY(VLOOKUP(NS$5,Sprints[],2,FALSE)),1,VLOOKUP(NS$5,Sprints[],4,FALSE))&lt;&gt;"")*(IF(OFFSET($A17,0,31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7" s="52">
        <f t="array" aca="1" ref="NT17" ca="1">SUMPRODUCT((OFFSET($A17,0,31*(VLOOKUP(NT$5,Sprints[],5,FALSE))+DAY(VLOOKUP(NT$5,Sprints[],2,FALSE)),1,VLOOKUP(NT$5,Sprints[],4,FALSE))&lt;&gt;"")*(IF(OFFSET($A17,0,31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7" s="52">
        <f t="array" aca="1" ref="NU17" ca="1">SUMPRODUCT((OFFSET($A17,0,31*(VLOOKUP(NU$5,Sprints[],5,FALSE))+DAY(VLOOKUP(NU$5,Sprints[],2,FALSE)),1,VLOOKUP(NU$5,Sprints[],4,FALSE))&lt;&gt;"")*(IF(OFFSET($A17,0,31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17" s="52">
        <f t="array" aca="1" ref="NV17" ca="1">SUMPRODUCT((OFFSET($A17,0,31*(VLOOKUP(NV$5,Sprints[],5,FALSE))+DAY(VLOOKUP(NV$5,Sprints[],2,FALSE)),1,VLOOKUP(NV$5,Sprints[],4,FALSE))&lt;&gt;"")*(IF(OFFSET($A17,0,31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17" s="52">
        <f t="array" aca="1" ref="NW17" ca="1">SUMPRODUCT((OFFSET($A17,0,31*(VLOOKUP(NW$5,Sprints[],5,FALSE))+DAY(VLOOKUP(NW$5,Sprints[],2,FALSE)),1,VLOOKUP(NW$5,Sprints[],4,FALSE))&lt;&gt;"")*(IF(OFFSET($A17,0,31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17" s="52">
        <f t="array" aca="1" ref="NX17" ca="1">SUMPRODUCT((OFFSET($A17,0,31*(VLOOKUP(NX$5,Sprints[],5,FALSE))+DAY(VLOOKUP(NX$5,Sprints[],2,FALSE)),1,VLOOKUP(NX$5,Sprints[],4,FALSE))&lt;&gt;"")*(IF(OFFSET($A17,0,31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17" s="52">
        <f t="array" aca="1" ref="NY17" ca="1">SUMPRODUCT((OFFSET($A17,0,31*(VLOOKUP(NY$5,Sprints[],5,FALSE))+DAY(VLOOKUP(NY$5,Sprints[],2,FALSE)),1,VLOOKUP(NY$5,Sprints[],4,FALSE))&lt;&gt;"")*(IF(OFFSET($A17,0,31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17" s="52">
        <f t="array" aca="1" ref="NZ17" ca="1">SUMPRODUCT((OFFSET($A17,0,31*(VLOOKUP(NZ$5,Sprints[],5,FALSE))+DAY(VLOOKUP(NZ$5,Sprints[],2,FALSE)),1,VLOOKUP(NZ$5,Sprints[],4,FALSE))&lt;&gt;"")*(IF(OFFSET($A17,0,31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17" s="52">
        <f t="array" aca="1" ref="OA17" ca="1">SUMPRODUCT((OFFSET($A17,0,31*(VLOOKUP(OA$5,Sprints[],5,FALSE))+DAY(VLOOKUP(OA$5,Sprints[],2,FALSE)),1,VLOOKUP(OA$5,Sprints[],4,FALSE))&lt;&gt;"")*(IF(OFFSET($A17,0,31*(VLOOKUP(OA$5,Sprints[],5,FALSE))+DAY(VLOOKUP(OA$5,Sprints[],2,FALSE)),1,VLOOKUP(OA$5,Sprints[],4,FALSE))=$OD$12,0.5,1)*(OFFSET($A$3,0,31*(VLOOKUP(OA$5,Sprints[],5,FALSE))+DAY(VLOOKUP(OA$5,Sprints[],2,FALSE)),1,VLOOKUP(OA$5,Sprints[],4,FALSE)))))</f>
        <v>19</v>
      </c>
      <c r="OC17" s="16" t="s">
        <v>11</v>
      </c>
      <c r="OD17" s="16" t="s">
        <v>25</v>
      </c>
    </row>
    <row r="18" spans="1:394" x14ac:dyDescent="0.45">
      <c r="A18" s="1" t="s">
        <v>69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 t="s">
        <v>33</v>
      </c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 t="s">
        <v>33</v>
      </c>
      <c r="AX18" s="2" t="s">
        <v>31</v>
      </c>
      <c r="AY18" s="2"/>
      <c r="AZ18" s="2"/>
      <c r="BA18" s="2" t="s">
        <v>35</v>
      </c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 t="s">
        <v>33</v>
      </c>
      <c r="BR18" s="2" t="s">
        <v>33</v>
      </c>
      <c r="BS18" s="2" t="s">
        <v>33</v>
      </c>
      <c r="BT18" s="2"/>
      <c r="BU18" s="2"/>
      <c r="BV18" s="2" t="s">
        <v>33</v>
      </c>
      <c r="BW18" s="2" t="s">
        <v>33</v>
      </c>
      <c r="BX18" s="2" t="s">
        <v>33</v>
      </c>
      <c r="BY18" s="2" t="s">
        <v>33</v>
      </c>
      <c r="BZ18" s="2" t="s">
        <v>33</v>
      </c>
      <c r="CA18" s="2"/>
      <c r="CB18" s="2"/>
      <c r="CC18" s="2" t="s">
        <v>33</v>
      </c>
      <c r="CD18" s="2" t="s">
        <v>33</v>
      </c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 t="s">
        <v>35</v>
      </c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 t="s">
        <v>31</v>
      </c>
      <c r="DN18" s="2" t="s">
        <v>31</v>
      </c>
      <c r="DO18" s="2"/>
      <c r="DP18" s="2"/>
      <c r="DQ18" s="2"/>
      <c r="DR18" s="2"/>
      <c r="DS18" s="2"/>
      <c r="DT18" s="2"/>
      <c r="DU18" s="2"/>
      <c r="DV18" s="2" t="s">
        <v>33</v>
      </c>
      <c r="DW18" s="2"/>
      <c r="DX18" s="2"/>
      <c r="DY18" s="2"/>
      <c r="DZ18" s="2"/>
      <c r="EA18" s="2" t="s">
        <v>35</v>
      </c>
      <c r="EB18" s="2" t="s">
        <v>33</v>
      </c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 t="s">
        <v>35</v>
      </c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 t="s">
        <v>35</v>
      </c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 t="s">
        <v>35</v>
      </c>
      <c r="JO18" s="2" t="s">
        <v>35</v>
      </c>
      <c r="JP18" s="2"/>
      <c r="JQ18" s="2"/>
      <c r="JR18" s="2"/>
      <c r="JS18" s="2"/>
      <c r="JT18" s="2"/>
      <c r="JU18" s="2" t="s">
        <v>35</v>
      </c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 t="s">
        <v>35</v>
      </c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14">
        <f t="array" aca="1" ref="NJ18" ca="1">SUMPRODUCT((OFFSET($A18,0,31*($A$3-1)+1,1,31)&lt;&gt;"")*(IF(OFFSET($A18,0,31*($A$3-1)+1,1,31)=$OD$12,0.5,1)*(OFFSET($A$4,0,31*($A$3-1)+1,1,31))))</f>
        <v>1</v>
      </c>
      <c r="NK18" s="20">
        <f t="array" aca="1" ref="NK18" ca="1">SUMPRODUCT((OFFSET($A18,0,1,1,372)&lt;&gt;"")*(IF(OFFSET($A18,0,1,1,372)=$OD$12,0.5,1)*(OFFSET($A$3,0,1,1,372))))</f>
        <v>24.5</v>
      </c>
      <c r="NL18" s="28">
        <f t="array" aca="1" ref="NL18" ca="1">SUMPRODUCT((OFFSET($A18,0,31*($A$4)+DAY(Holidays!$E$2),1,Holidays!$G$2)&lt;&gt;"")*(IF(OFFSET($A18,0,31*($A$4)+DAY(Holidays!$E$2),1,Holidays!$G$2)=$OD$12,0.5,1)*(OFFSET($A$3,0,31*($A$4)+DAY(Holidays!$E$2),1,Holidays!$G$2))))</f>
        <v>19.5</v>
      </c>
      <c r="NM18" s="52">
        <f t="array" aca="1" ref="NM18" ca="1">SUMPRODUCT((OFFSET($A18,0,31*($A$4)+DAY(VLOOKUP(NM$5,Sprints[],2,FALSE)),1,VLOOKUP(NM$5,Sprints[],4,FALSE))&lt;&gt;"")*(IF(OFFSET($A18,0,31*($A$4)+DAY(VLOOKUP(NM$5,Sprints[],2,FALSE)),1,VLOOKUP(NM$5,Sprints[],4,FALSE))=$OD$12,0.5,1)*(OFFSET($A$3,0,31*($A$4)+DAY(VLOOKUP(NM$5,Sprints[],2,FALSE)),1,VLOOKUP(NM$5,Sprints[],4,FALSE)))))</f>
        <v>0</v>
      </c>
      <c r="NN18" s="52">
        <f t="array" aca="1" ref="NN18" ca="1">SUMPRODUCT((OFFSET($A18,0,31*($A$4)+DAY(VLOOKUP(NN$5,Sprints[],2,FALSE)),1,VLOOKUP(NN$5,Sprints[],4,FALSE))&lt;&gt;"")*(IF(OFFSET($A18,0,31*($A$4)+DAY(VLOOKUP(NN$5,Sprints[],2,FALSE)),1,VLOOKUP(NN$5,Sprints[],4,FALSE))=$OD$12,0.5,1)*(OFFSET($A$3,0,31*($A$4)+DAY(VLOOKUP(NN$5,Sprints[],2,FALSE)),1,VLOOKUP(NN$5,Sprints[],4,FALSE)))))</f>
        <v>1</v>
      </c>
      <c r="NO18" s="52">
        <f t="array" aca="1" ref="NO18" ca="1">SUMPRODUCT((OFFSET($A18,0,31*($A$4)+DAY(VLOOKUP(NO$5,Sprints[],2,FALSE)),1,VLOOKUP(NO$5,Sprints[],4,FALSE))&lt;&gt;"")*(IF(OFFSET($A18,0,31*($A$4)+DAY(VLOOKUP(NO$5,Sprints[],2,FALSE)),1,VLOOKUP(NO$5,Sprints[],4,FALSE))=$OD$12,0.5,1)*(OFFSET($A$3,0,31*($A$4)+DAY(VLOOKUP(NO$5,Sprints[],2,FALSE)),1,VLOOKUP(NO$5,Sprints[],4,FALSE)))))</f>
        <v>0</v>
      </c>
      <c r="NP18" s="52">
        <f t="array" aca="1" ref="NP18" ca="1">SUMPRODUCT((OFFSET($A18,0,31*(VLOOKUP(NP$5,Sprints[],5,FALSE))+DAY(VLOOKUP(NP$5,Sprints[],2,FALSE)),1,VLOOKUP(NP$5,Sprints[],4,FALSE))&lt;&gt;"")*(IF(OFFSET($A18,0,31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8" s="52">
        <f t="array" aca="1" ref="NQ18" ca="1">SUMPRODUCT((OFFSET($A18,0,31*(VLOOKUP(NQ$5,Sprints[],5,FALSE))+DAY(VLOOKUP(NQ$5,Sprints[],2,FALSE)),1,VLOOKUP(NQ$5,Sprints[],4,FALSE))&lt;&gt;"")*(IF(OFFSET($A18,0,31*(VLOOKUP(NQ$5,Sprints[],5,FALSE))+DAY(VLOOKUP(NQ$5,Sprints[],2,FALSE)),1,VLOOKUP(NQ$5,Sprints[],4,FALSE))=$OD$12,0.5,1)*(OFFSET($A$3,0,31*(VLOOKUP(NQ$5,Sprints[],5,FALSE))+DAY(VLOOKUP(NQ$5,Sprints[],2,FALSE)),1,VLOOKUP(NQ$5,Sprints[],4,FALSE)))))</f>
        <v>5</v>
      </c>
      <c r="NR18" s="52">
        <f t="array" aca="1" ref="NR18" ca="1">SUMPRODUCT((OFFSET($A18,0,31*(VLOOKUP(NR$5,Sprints[],5,FALSE))+DAY(VLOOKUP(NR$5,Sprints[],2,FALSE)),1,VLOOKUP(NR$5,Sprints[],4,FALSE))&lt;&gt;"")*(IF(OFFSET($A18,0,31*(VLOOKUP(NR$5,Sprints[],5,FALSE))+DAY(VLOOKUP(NR$5,Sprints[],2,FALSE)),1,VLOOKUP(NR$5,Sprints[],4,FALSE))=$OD$12,0.5,1)*(OFFSET($A$3,0,31*(VLOOKUP(NR$5,Sprints[],5,FALSE))+DAY(VLOOKUP(NR$5,Sprints[],2,FALSE)),1,VLOOKUP(NR$5,Sprints[],4,FALSE)))))</f>
        <v>5</v>
      </c>
      <c r="NS18" s="52">
        <f t="array" aca="1" ref="NS18" ca="1">SUMPRODUCT((OFFSET($A18,0,31*(VLOOKUP(NS$5,Sprints[],5,FALSE))+DAY(VLOOKUP(NS$5,Sprints[],2,FALSE)),1,VLOOKUP(NS$5,Sprints[],4,FALSE))&lt;&gt;"")*(IF(OFFSET($A18,0,31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18" s="52">
        <f t="array" aca="1" ref="NT18" ca="1">SUMPRODUCT((OFFSET($A18,0,31*(VLOOKUP(NT$5,Sprints[],5,FALSE))+DAY(VLOOKUP(NT$5,Sprints[],2,FALSE)),1,VLOOKUP(NT$5,Sprints[],4,FALSE))&lt;&gt;"")*(IF(OFFSET($A18,0,31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18" s="52">
        <f t="array" aca="1" ref="NU18" ca="1">SUMPRODUCT((OFFSET($A18,0,31*(VLOOKUP(NU$5,Sprints[],5,FALSE))+DAY(VLOOKUP(NU$5,Sprints[],2,FALSE)),1,VLOOKUP(NU$5,Sprints[],4,FALSE))&lt;&gt;"")*(IF(OFFSET($A18,0,31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18" s="52">
        <f t="array" aca="1" ref="NV18" ca="1">SUMPRODUCT((OFFSET($A18,0,31*(VLOOKUP(NV$5,Sprints[],5,FALSE))+DAY(VLOOKUP(NV$5,Sprints[],2,FALSE)),1,VLOOKUP(NV$5,Sprints[],4,FALSE))&lt;&gt;"")*(IF(OFFSET($A18,0,31*(VLOOKUP(NV$5,Sprints[],5,FALSE))+DAY(VLOOKUP(NV$5,Sprints[],2,FALSE)),1,VLOOKUP(NV$5,Sprints[],4,FALSE))=$OD$12,0.5,1)*(OFFSET($A$3,0,31*(VLOOKUP(NV$5,Sprints[],5,FALSE))+DAY(VLOOKUP(NV$5,Sprints[],2,FALSE)),1,VLOOKUP(NV$5,Sprints[],4,FALSE)))))</f>
        <v>3</v>
      </c>
      <c r="NW18" s="52">
        <f t="array" aca="1" ref="NW18" ca="1">SUMPRODUCT((OFFSET($A18,0,31*(VLOOKUP(NW$5,Sprints[],5,FALSE))+DAY(VLOOKUP(NW$5,Sprints[],2,FALSE)),1,VLOOKUP(NW$5,Sprints[],4,FALSE))&lt;&gt;"")*(IF(OFFSET($A18,0,31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8" s="52">
        <f t="array" aca="1" ref="NX18" ca="1">SUMPRODUCT((OFFSET($A18,0,31*(VLOOKUP(NX$5,Sprints[],5,FALSE))+DAY(VLOOKUP(NX$5,Sprints[],2,FALSE)),1,VLOOKUP(NX$5,Sprints[],4,FALSE))&lt;&gt;"")*(IF(OFFSET($A18,0,31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8" s="52">
        <f t="array" aca="1" ref="NY18" ca="1">SUMPRODUCT((OFFSET($A18,0,31*(VLOOKUP(NY$5,Sprints[],5,FALSE))+DAY(VLOOKUP(NY$5,Sprints[],2,FALSE)),1,VLOOKUP(NY$5,Sprints[],4,FALSE))&lt;&gt;"")*(IF(OFFSET($A18,0,31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8" s="52">
        <f t="array" aca="1" ref="NZ18" ca="1">SUMPRODUCT((OFFSET($A18,0,31*(VLOOKUP(NZ$5,Sprints[],5,FALSE))+DAY(VLOOKUP(NZ$5,Sprints[],2,FALSE)),1,VLOOKUP(NZ$5,Sprints[],4,FALSE))&lt;&gt;"")*(IF(OFFSET($A18,0,31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8" s="52">
        <f t="array" aca="1" ref="OA18" ca="1">SUMPRODUCT((OFFSET($A18,0,31*(VLOOKUP(OA$5,Sprints[],5,FALSE))+DAY(VLOOKUP(OA$5,Sprints[],2,FALSE)),1,VLOOKUP(OA$5,Sprints[],4,FALSE))&lt;&gt;"")*(IF(OFFSET($A18,0,31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  <c r="OC18" s="16" t="s">
        <v>12</v>
      </c>
      <c r="OD18" s="16" t="s">
        <v>25</v>
      </c>
    </row>
    <row r="19" spans="1:394" x14ac:dyDescent="0.45">
      <c r="A19" s="1" t="s">
        <v>70</v>
      </c>
      <c r="B19" s="2"/>
      <c r="C19" s="2" t="s">
        <v>33</v>
      </c>
      <c r="D19" s="2" t="s">
        <v>33</v>
      </c>
      <c r="E19" s="2" t="s">
        <v>33</v>
      </c>
      <c r="F19" s="2" t="s">
        <v>33</v>
      </c>
      <c r="G19" s="2" t="s">
        <v>33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 t="s">
        <v>33</v>
      </c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 t="s">
        <v>33</v>
      </c>
      <c r="AX19" s="2" t="s">
        <v>31</v>
      </c>
      <c r="AY19" s="2"/>
      <c r="AZ19" s="2"/>
      <c r="BA19" s="2" t="s">
        <v>35</v>
      </c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 t="s">
        <v>33</v>
      </c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1"/>
      <c r="CL19" s="1"/>
      <c r="CM19" s="1"/>
      <c r="CN19" s="2" t="s">
        <v>33</v>
      </c>
      <c r="CO19" s="2"/>
      <c r="CP19" s="2"/>
      <c r="CQ19" s="2"/>
      <c r="CR19" s="2" t="s">
        <v>35</v>
      </c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 t="s">
        <v>33</v>
      </c>
      <c r="DG19" s="2"/>
      <c r="DH19" s="2"/>
      <c r="DI19" s="2"/>
      <c r="DJ19" s="2"/>
      <c r="DK19" s="2"/>
      <c r="DL19" s="2"/>
      <c r="DM19" s="2" t="s">
        <v>31</v>
      </c>
      <c r="DN19" s="2" t="s">
        <v>31</v>
      </c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 t="s">
        <v>35</v>
      </c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 t="s">
        <v>33</v>
      </c>
      <c r="ET19" s="2"/>
      <c r="EU19" s="2"/>
      <c r="EV19" s="2" t="s">
        <v>33</v>
      </c>
      <c r="EW19" s="2" t="s">
        <v>33</v>
      </c>
      <c r="EX19" s="2" t="s">
        <v>33</v>
      </c>
      <c r="EY19" s="2" t="s">
        <v>33</v>
      </c>
      <c r="EZ19" s="2" t="s">
        <v>33</v>
      </c>
      <c r="FA19" s="2"/>
      <c r="FB19" s="2"/>
      <c r="FC19" s="2" t="s">
        <v>35</v>
      </c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 t="s">
        <v>35</v>
      </c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 t="s">
        <v>35</v>
      </c>
      <c r="JO19" s="2" t="s">
        <v>35</v>
      </c>
      <c r="JP19" s="2"/>
      <c r="JQ19" s="2"/>
      <c r="JR19" s="2"/>
      <c r="JS19" s="2"/>
      <c r="JT19" s="2"/>
      <c r="JU19" s="2" t="s">
        <v>35</v>
      </c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 t="s">
        <v>35</v>
      </c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14">
        <f t="array" aca="1" ref="NJ19" ca="1">SUMPRODUCT((OFFSET($A19,0,31*($A$3-1)+1,1,31)&lt;&gt;"")*(IF(OFFSET($A19,0,31*($A$3-1)+1,1,31)=$OD$12,0.5,1)*(OFFSET($A$4,0,31*($A$3-1)+1,1,31))))</f>
        <v>1</v>
      </c>
      <c r="NK19" s="20">
        <f t="array" aca="1" ref="NK19" ca="1">SUMPRODUCT((OFFSET($A19,0,1,1,372)&lt;&gt;"")*(IF(OFFSET($A19,0,1,1,372)=$OD$12,0.5,1)*(OFFSET($A$3,0,1,1,372))))</f>
        <v>26.5</v>
      </c>
      <c r="NL19" s="28">
        <f t="array" aca="1" ref="NL19" ca="1">SUMPRODUCT((OFFSET($A19,0,31*($A$4)+DAY(Holidays!$E$2),1,Holidays!$G$2)&lt;&gt;"")*(IF(OFFSET($A19,0,31*($A$4)+DAY(Holidays!$E$2),1,Holidays!$G$2)=$OD$12,0.5,1)*(OFFSET($A$3,0,31*($A$4)+DAY(Holidays!$E$2),1,Holidays!$G$2))))</f>
        <v>16.5</v>
      </c>
      <c r="NM19" s="52">
        <f t="array" aca="1" ref="NM19" ca="1">SUMPRODUCT((OFFSET($A19,0,31*($A$4)+DAY(VLOOKUP(NM$5,Sprints[],2,FALSE)),1,VLOOKUP(NM$5,Sprints[],4,FALSE))&lt;&gt;"")*(IF(OFFSET($A19,0,31*($A$4)+DAY(VLOOKUP(NM$5,Sprints[],2,FALSE)),1,VLOOKUP(NM$5,Sprints[],4,FALSE))=$OD$12,0.5,1)*(OFFSET($A$3,0,31*($A$4)+DAY(VLOOKUP(NM$5,Sprints[],2,FALSE)),1,VLOOKUP(NM$5,Sprints[],4,FALSE)))))</f>
        <v>0</v>
      </c>
      <c r="NN19" s="52">
        <f t="array" aca="1" ref="NN19" ca="1">SUMPRODUCT((OFFSET($A19,0,31*($A$4)+DAY(VLOOKUP(NN$5,Sprints[],2,FALSE)),1,VLOOKUP(NN$5,Sprints[],4,FALSE))&lt;&gt;"")*(IF(OFFSET($A19,0,31*($A$4)+DAY(VLOOKUP(NN$5,Sprints[],2,FALSE)),1,VLOOKUP(NN$5,Sprints[],4,FALSE))=$OD$12,0.5,1)*(OFFSET($A$3,0,31*($A$4)+DAY(VLOOKUP(NN$5,Sprints[],2,FALSE)),1,VLOOKUP(NN$5,Sprints[],4,FALSE)))))</f>
        <v>1</v>
      </c>
      <c r="NO19" s="52">
        <f t="array" aca="1" ref="NO19" ca="1">SUMPRODUCT((OFFSET($A19,0,31*($A$4)+DAY(VLOOKUP(NO$5,Sprints[],2,FALSE)),1,VLOOKUP(NO$5,Sprints[],4,FALSE))&lt;&gt;"")*(IF(OFFSET($A19,0,31*($A$4)+DAY(VLOOKUP(NO$5,Sprints[],2,FALSE)),1,VLOOKUP(NO$5,Sprints[],4,FALSE))=$OD$12,0.5,1)*(OFFSET($A$3,0,31*($A$4)+DAY(VLOOKUP(NO$5,Sprints[],2,FALSE)),1,VLOOKUP(NO$5,Sprints[],4,FALSE)))))</f>
        <v>5</v>
      </c>
      <c r="NP19" s="52">
        <f t="array" aca="1" ref="NP19" ca="1">SUMPRODUCT((OFFSET($A19,0,31*(VLOOKUP(NP$5,Sprints[],5,FALSE))+DAY(VLOOKUP(NP$5,Sprints[],2,FALSE)),1,VLOOKUP(NP$5,Sprints[],4,FALSE))&lt;&gt;"")*(IF(OFFSET($A19,0,31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9" s="52">
        <f t="array" aca="1" ref="NQ19" ca="1">SUMPRODUCT((OFFSET($A19,0,31*(VLOOKUP(NQ$5,Sprints[],5,FALSE))+DAY(VLOOKUP(NQ$5,Sprints[],2,FALSE)),1,VLOOKUP(NQ$5,Sprints[],4,FALSE))&lt;&gt;"")*(IF(OFFSET($A19,0,31*(VLOOKUP(NQ$5,Sprints[],5,FALSE))+DAY(VLOOKUP(NQ$5,Sprints[],2,FALSE)),1,VLOOKUP(NQ$5,Sprints[],4,FALSE))=$OD$12,0.5,1)*(OFFSET($A$3,0,31*(VLOOKUP(NQ$5,Sprints[],5,FALSE))+DAY(VLOOKUP(NQ$5,Sprints[],2,FALSE)),1,VLOOKUP(NQ$5,Sprints[],4,FALSE)))))</f>
        <v>1</v>
      </c>
      <c r="NR19" s="52">
        <f t="array" aca="1" ref="NR19" ca="1">SUMPRODUCT((OFFSET($A19,0,31*(VLOOKUP(NR$5,Sprints[],5,FALSE))+DAY(VLOOKUP(NR$5,Sprints[],2,FALSE)),1,VLOOKUP(NR$5,Sprints[],4,FALSE))&lt;&gt;"")*(IF(OFFSET($A19,0,31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19" s="52">
        <f t="array" aca="1" ref="NS19" ca="1">SUMPRODUCT((OFFSET($A19,0,31*(VLOOKUP(NS$5,Sprints[],5,FALSE))+DAY(VLOOKUP(NS$5,Sprints[],2,FALSE)),1,VLOOKUP(NS$5,Sprints[],4,FALSE))&lt;&gt;"")*(IF(OFFSET($A19,0,31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19" s="52">
        <f t="array" aca="1" ref="NT19" ca="1">SUMPRODUCT((OFFSET($A19,0,31*(VLOOKUP(NT$5,Sprints[],5,FALSE))+DAY(VLOOKUP(NT$5,Sprints[],2,FALSE)),1,VLOOKUP(NT$5,Sprints[],4,FALSE))&lt;&gt;"")*(IF(OFFSET($A19,0,31*(VLOOKUP(NT$5,Sprints[],5,FALSE))+DAY(VLOOKUP(NT$5,Sprints[],2,FALSE)),1,VLOOKUP(NT$5,Sprints[],4,FALSE))=$OD$12,0.5,1)*(OFFSET($A$3,0,31*(VLOOKUP(NT$5,Sprints[],5,FALSE))+DAY(VLOOKUP(NT$5,Sprints[],2,FALSE)),1,VLOOKUP(NT$5,Sprints[],4,FALSE)))))</f>
        <v>1</v>
      </c>
      <c r="NU19" s="52">
        <f t="array" aca="1" ref="NU19" ca="1">SUMPRODUCT((OFFSET($A19,0,31*(VLOOKUP(NU$5,Sprints[],5,FALSE))+DAY(VLOOKUP(NU$5,Sprints[],2,FALSE)),1,VLOOKUP(NU$5,Sprints[],4,FALSE))&lt;&gt;"")*(IF(OFFSET($A19,0,31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19" s="52">
        <f t="array" aca="1" ref="NV19" ca="1">SUMPRODUCT((OFFSET($A19,0,31*(VLOOKUP(NV$5,Sprints[],5,FALSE))+DAY(VLOOKUP(NV$5,Sprints[],2,FALSE)),1,VLOOKUP(NV$5,Sprints[],4,FALSE))&lt;&gt;"")*(IF(OFFSET($A19,0,31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9" s="52">
        <f t="array" aca="1" ref="NW19" ca="1">SUMPRODUCT((OFFSET($A19,0,31*(VLOOKUP(NW$5,Sprints[],5,FALSE))+DAY(VLOOKUP(NW$5,Sprints[],2,FALSE)),1,VLOOKUP(NW$5,Sprints[],4,FALSE))&lt;&gt;"")*(IF(OFFSET($A19,0,31*(VLOOKUP(NW$5,Sprints[],5,FALSE))+DAY(VLOOKUP(NW$5,Sprints[],2,FALSE)),1,VLOOKUP(NW$5,Sprints[],4,FALSE))=$OD$12,0.5,1)*(OFFSET($A$3,0,31*(VLOOKUP(NW$5,Sprints[],5,FALSE))+DAY(VLOOKUP(NW$5,Sprints[],2,FALSE)),1,VLOOKUP(NW$5,Sprints[],4,FALSE)))))</f>
        <v>3</v>
      </c>
      <c r="NX19" s="52">
        <f t="array" aca="1" ref="NX19" ca="1">SUMPRODUCT((OFFSET($A19,0,31*(VLOOKUP(NX$5,Sprints[],5,FALSE))+DAY(VLOOKUP(NX$5,Sprints[],2,FALSE)),1,VLOOKUP(NX$5,Sprints[],4,FALSE))&lt;&gt;"")*(IF(OFFSET($A19,0,31*(VLOOKUP(NX$5,Sprints[],5,FALSE))+DAY(VLOOKUP(NX$5,Sprints[],2,FALSE)),1,VLOOKUP(NX$5,Sprints[],4,FALSE))=$OD$12,0.5,1)*(OFFSET($A$3,0,31*(VLOOKUP(NX$5,Sprints[],5,FALSE))+DAY(VLOOKUP(NX$5,Sprints[],2,FALSE)),1,VLOOKUP(NX$5,Sprints[],4,FALSE)))))</f>
        <v>4</v>
      </c>
      <c r="NY19" s="52">
        <f t="array" aca="1" ref="NY19" ca="1">SUMPRODUCT((OFFSET($A19,0,31*(VLOOKUP(NY$5,Sprints[],5,FALSE))+DAY(VLOOKUP(NY$5,Sprints[],2,FALSE)),1,VLOOKUP(NY$5,Sprints[],4,FALSE))&lt;&gt;"")*(IF(OFFSET($A19,0,31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9" s="52">
        <f t="array" aca="1" ref="NZ19" ca="1">SUMPRODUCT((OFFSET($A19,0,31*(VLOOKUP(NZ$5,Sprints[],5,FALSE))+DAY(VLOOKUP(NZ$5,Sprints[],2,FALSE)),1,VLOOKUP(NZ$5,Sprints[],4,FALSE))&lt;&gt;"")*(IF(OFFSET($A19,0,31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9" s="52">
        <f t="array" aca="1" ref="OA19" ca="1">SUMPRODUCT((OFFSET($A19,0,31*(VLOOKUP(OA$5,Sprints[],5,FALSE))+DAY(VLOOKUP(OA$5,Sprints[],2,FALSE)),1,VLOOKUP(OA$5,Sprints[],4,FALSE))&lt;&gt;"")*(IF(OFFSET($A19,0,31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  <c r="OC19" s="16" t="s">
        <v>13</v>
      </c>
      <c r="OD19" s="16" t="s">
        <v>25</v>
      </c>
    </row>
    <row r="20" spans="1:394" x14ac:dyDescent="0.45">
      <c r="A20" s="1" t="s">
        <v>71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 t="s">
        <v>33</v>
      </c>
      <c r="AN20" s="2"/>
      <c r="AO20" s="2"/>
      <c r="AP20" s="2"/>
      <c r="AQ20" s="2"/>
      <c r="AR20" s="2"/>
      <c r="AS20" s="2"/>
      <c r="AT20" s="2"/>
      <c r="AU20" s="2"/>
      <c r="AV20" s="2"/>
      <c r="AW20" s="2" t="s">
        <v>33</v>
      </c>
      <c r="AX20" s="2" t="s">
        <v>31</v>
      </c>
      <c r="AY20" s="2"/>
      <c r="AZ20" s="2"/>
      <c r="BA20" s="2" t="s">
        <v>35</v>
      </c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 t="s">
        <v>33</v>
      </c>
      <c r="BP20" s="2"/>
      <c r="BQ20" s="2"/>
      <c r="BR20" s="2"/>
      <c r="BS20" s="2"/>
      <c r="BT20" s="2"/>
      <c r="BU20" s="2"/>
      <c r="BV20" s="2" t="s">
        <v>33</v>
      </c>
      <c r="BW20" s="2"/>
      <c r="BX20" s="2"/>
      <c r="BY20" s="2"/>
      <c r="BZ20" s="2"/>
      <c r="CA20" s="2"/>
      <c r="CB20" s="2"/>
      <c r="CC20" s="2" t="s">
        <v>33</v>
      </c>
      <c r="CD20" s="2"/>
      <c r="CE20" s="2"/>
      <c r="CF20" s="2"/>
      <c r="CG20" s="2"/>
      <c r="CH20" s="2"/>
      <c r="CI20" s="2"/>
      <c r="CJ20" s="2" t="s">
        <v>33</v>
      </c>
      <c r="CK20" s="2"/>
      <c r="CL20" s="2"/>
      <c r="CM20" s="2"/>
      <c r="CN20" s="2"/>
      <c r="CO20" s="2"/>
      <c r="CP20" s="2"/>
      <c r="CQ20" s="2"/>
      <c r="CR20" s="2" t="s">
        <v>35</v>
      </c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 t="s">
        <v>31</v>
      </c>
      <c r="DN20" s="2" t="s">
        <v>31</v>
      </c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 t="s">
        <v>35</v>
      </c>
      <c r="EB20" s="2"/>
      <c r="EC20" s="2"/>
      <c r="ED20" s="2" t="s">
        <v>31</v>
      </c>
      <c r="EE20" s="2" t="s">
        <v>33</v>
      </c>
      <c r="EF20" s="2"/>
      <c r="EG20" s="2"/>
      <c r="EH20" s="2" t="s">
        <v>33</v>
      </c>
      <c r="EI20" s="2" t="s">
        <v>33</v>
      </c>
      <c r="EJ20" s="2" t="s">
        <v>33</v>
      </c>
      <c r="EK20" s="2" t="s">
        <v>33</v>
      </c>
      <c r="EL20" s="2" t="s">
        <v>33</v>
      </c>
      <c r="EM20" s="2"/>
      <c r="EN20" s="2"/>
      <c r="EO20" s="2" t="s">
        <v>33</v>
      </c>
      <c r="EP20" s="2" t="s">
        <v>33</v>
      </c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 t="s">
        <v>35</v>
      </c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 t="s">
        <v>35</v>
      </c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 t="s">
        <v>35</v>
      </c>
      <c r="JO20" s="2" t="s">
        <v>35</v>
      </c>
      <c r="JP20" s="2"/>
      <c r="JQ20" s="2"/>
      <c r="JR20" s="2"/>
      <c r="JS20" s="2"/>
      <c r="JT20" s="2"/>
      <c r="JU20" s="2" t="s">
        <v>35</v>
      </c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 t="s">
        <v>35</v>
      </c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14">
        <f t="array" aca="1" ref="NJ20" ca="1">SUMPRODUCT((OFFSET($A20,0,31*($A$3-1)+1,1,31)&lt;&gt;"")*(IF(OFFSET($A20,0,31*($A$3-1)+1,1,31)=$OD$12,0.5,1)*(OFFSET($A$4,0,31*($A$3-1)+1,1,31))))</f>
        <v>1</v>
      </c>
      <c r="NK20" s="20">
        <f t="array" aca="1" ref="NK20" ca="1">SUMPRODUCT((OFFSET($A20,0,1,1,372)&lt;&gt;"")*(IF(OFFSET($A20,0,1,1,372)=$OD$12,0.5,1)*(OFFSET($A$3,0,1,1,372))))</f>
        <v>25</v>
      </c>
      <c r="NL20" s="28">
        <f t="array" aca="1" ref="NL20" ca="1">SUMPRODUCT((OFFSET($A20,0,31*($A$4)+DAY(Holidays!$E$2),1,Holidays!$G$2)&lt;&gt;"")*(IF(OFFSET($A20,0,31*($A$4)+DAY(Holidays!$E$2),1,Holidays!$G$2)=$OD$12,0.5,1)*(OFFSET($A$3,0,31*($A$4)+DAY(Holidays!$E$2),1,Holidays!$G$2))))</f>
        <v>20</v>
      </c>
      <c r="NM20" s="52">
        <f t="array" aca="1" ref="NM20" ca="1">SUMPRODUCT((OFFSET($A20,0,31*($A$4)+DAY(VLOOKUP(NM$5,Sprints[],2,FALSE)),1,VLOOKUP(NM$5,Sprints[],4,FALSE))&lt;&gt;"")*(IF(OFFSET($A20,0,31*($A$4)+DAY(VLOOKUP(NM$5,Sprints[],2,FALSE)),1,VLOOKUP(NM$5,Sprints[],4,FALSE))=$OD$12,0.5,1)*(OFFSET($A$3,0,31*($A$4)+DAY(VLOOKUP(NM$5,Sprints[],2,FALSE)),1,VLOOKUP(NM$5,Sprints[],4,FALSE)))))</f>
        <v>0</v>
      </c>
      <c r="NN20" s="52">
        <f t="array" aca="1" ref="NN20" ca="1">SUMPRODUCT((OFFSET($A20,0,31*($A$4)+DAY(VLOOKUP(NN$5,Sprints[],2,FALSE)),1,VLOOKUP(NN$5,Sprints[],4,FALSE))&lt;&gt;"")*(IF(OFFSET($A20,0,31*($A$4)+DAY(VLOOKUP(NN$5,Sprints[],2,FALSE)),1,VLOOKUP(NN$5,Sprints[],4,FALSE))=$OD$12,0.5,1)*(OFFSET($A$3,0,31*($A$4)+DAY(VLOOKUP(NN$5,Sprints[],2,FALSE)),1,VLOOKUP(NN$5,Sprints[],4,FALSE)))))</f>
        <v>0</v>
      </c>
      <c r="NO20" s="52">
        <f t="array" aca="1" ref="NO20" ca="1">SUMPRODUCT((OFFSET($A20,0,31*($A$4)+DAY(VLOOKUP(NO$5,Sprints[],2,FALSE)),1,VLOOKUP(NO$5,Sprints[],4,FALSE))&lt;&gt;"")*(IF(OFFSET($A20,0,31*($A$4)+DAY(VLOOKUP(NO$5,Sprints[],2,FALSE)),1,VLOOKUP(NO$5,Sprints[],4,FALSE))=$OD$12,0.5,1)*(OFFSET($A$3,0,31*($A$4)+DAY(VLOOKUP(NO$5,Sprints[],2,FALSE)),1,VLOOKUP(NO$5,Sprints[],4,FALSE)))))</f>
        <v>0</v>
      </c>
      <c r="NP20" s="52">
        <f t="array" aca="1" ref="NP20" ca="1">SUMPRODUCT((OFFSET($A20,0,31*(VLOOKUP(NP$5,Sprints[],5,FALSE))+DAY(VLOOKUP(NP$5,Sprints[],2,FALSE)),1,VLOOKUP(NP$5,Sprints[],4,FALSE))&lt;&gt;"")*(IF(OFFSET($A20,0,31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0" s="52">
        <f t="array" aca="1" ref="NQ20" ca="1">SUMPRODUCT((OFFSET($A20,0,31*(VLOOKUP(NQ$5,Sprints[],5,FALSE))+DAY(VLOOKUP(NQ$5,Sprints[],2,FALSE)),1,VLOOKUP(NQ$5,Sprints[],4,FALSE))&lt;&gt;"")*(IF(OFFSET($A20,0,31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20" s="52">
        <f t="array" aca="1" ref="NR20" ca="1">SUMPRODUCT((OFFSET($A20,0,31*(VLOOKUP(NR$5,Sprints[],5,FALSE))+DAY(VLOOKUP(NR$5,Sprints[],2,FALSE)),1,VLOOKUP(NR$5,Sprints[],4,FALSE))&lt;&gt;"")*(IF(OFFSET($A20,0,31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20" s="52">
        <f t="array" aca="1" ref="NS20" ca="1">SUMPRODUCT((OFFSET($A20,0,31*(VLOOKUP(NS$5,Sprints[],5,FALSE))+DAY(VLOOKUP(NS$5,Sprints[],2,FALSE)),1,VLOOKUP(NS$5,Sprints[],4,FALSE))&lt;&gt;"")*(IF(OFFSET($A20,0,31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0" s="52">
        <f t="array" aca="1" ref="NT20" ca="1">SUMPRODUCT((OFFSET($A20,0,31*(VLOOKUP(NT$5,Sprints[],5,FALSE))+DAY(VLOOKUP(NT$5,Sprints[],2,FALSE)),1,VLOOKUP(NT$5,Sprints[],4,FALSE))&lt;&gt;"")*(IF(OFFSET($A20,0,31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0" s="52">
        <f t="array" aca="1" ref="NU20" ca="1">SUMPRODUCT((OFFSET($A20,0,31*(VLOOKUP(NU$5,Sprints[],5,FALSE))+DAY(VLOOKUP(NU$5,Sprints[],2,FALSE)),1,VLOOKUP(NU$5,Sprints[],4,FALSE))&lt;&gt;"")*(IF(OFFSET($A20,0,31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0" s="52">
        <f t="array" aca="1" ref="NV20" ca="1">SUMPRODUCT((OFFSET($A20,0,31*(VLOOKUP(NV$5,Sprints[],5,FALSE))+DAY(VLOOKUP(NV$5,Sprints[],2,FALSE)),1,VLOOKUP(NV$5,Sprints[],4,FALSE))&lt;&gt;"")*(IF(OFFSET($A20,0,31*(VLOOKUP(NV$5,Sprints[],5,FALSE))+DAY(VLOOKUP(NV$5,Sprints[],2,FALSE)),1,VLOOKUP(NV$5,Sprints[],4,FALSE))=$OD$12,0.5,1)*(OFFSET($A$3,0,31*(VLOOKUP(NV$5,Sprints[],5,FALSE))+DAY(VLOOKUP(NV$5,Sprints[],2,FALSE)),1,VLOOKUP(NV$5,Sprints[],4,FALSE)))))</f>
        <v>4.5</v>
      </c>
      <c r="NW20" s="52">
        <f t="array" aca="1" ref="NW20" ca="1">SUMPRODUCT((OFFSET($A20,0,31*(VLOOKUP(NW$5,Sprints[],5,FALSE))+DAY(VLOOKUP(NW$5,Sprints[],2,FALSE)),1,VLOOKUP(NW$5,Sprints[],4,FALSE))&lt;&gt;"")*(IF(OFFSET($A20,0,31*(VLOOKUP(NW$5,Sprints[],5,FALSE))+DAY(VLOOKUP(NW$5,Sprints[],2,FALSE)),1,VLOOKUP(NW$5,Sprints[],4,FALSE))=$OD$12,0.5,1)*(OFFSET($A$3,0,31*(VLOOKUP(NW$5,Sprints[],5,FALSE))+DAY(VLOOKUP(NW$5,Sprints[],2,FALSE)),1,VLOOKUP(NW$5,Sprints[],4,FALSE)))))</f>
        <v>5</v>
      </c>
      <c r="NX20" s="52">
        <f t="array" aca="1" ref="NX20" ca="1">SUMPRODUCT((OFFSET($A20,0,31*(VLOOKUP(NX$5,Sprints[],5,FALSE))+DAY(VLOOKUP(NX$5,Sprints[],2,FALSE)),1,VLOOKUP(NX$5,Sprints[],4,FALSE))&lt;&gt;"")*(IF(OFFSET($A20,0,31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0" s="52">
        <f t="array" aca="1" ref="NY20" ca="1">SUMPRODUCT((OFFSET($A20,0,31*(VLOOKUP(NY$5,Sprints[],5,FALSE))+DAY(VLOOKUP(NY$5,Sprints[],2,FALSE)),1,VLOOKUP(NY$5,Sprints[],4,FALSE))&lt;&gt;"")*(IF(OFFSET($A20,0,31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0" s="52">
        <f t="array" aca="1" ref="NZ20" ca="1">SUMPRODUCT((OFFSET($A20,0,31*(VLOOKUP(NZ$5,Sprints[],5,FALSE))+DAY(VLOOKUP(NZ$5,Sprints[],2,FALSE)),1,VLOOKUP(NZ$5,Sprints[],4,FALSE))&lt;&gt;"")*(IF(OFFSET($A20,0,31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0" s="52">
        <f t="array" aca="1" ref="OA20" ca="1">SUMPRODUCT((OFFSET($A20,0,31*(VLOOKUP(OA$5,Sprints[],5,FALSE))+DAY(VLOOKUP(OA$5,Sprints[],2,FALSE)),1,VLOOKUP(OA$5,Sprints[],4,FALSE))&lt;&gt;"")*(IF(OFFSET($A20,0,31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  <c r="OC20" s="16" t="s">
        <v>14</v>
      </c>
      <c r="OD20" s="16" t="s">
        <v>25</v>
      </c>
    </row>
    <row r="21" spans="1:394" x14ac:dyDescent="0.45">
      <c r="A21" s="1" t="s">
        <v>72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 t="s">
        <v>33</v>
      </c>
      <c r="AX21" s="2" t="s">
        <v>31</v>
      </c>
      <c r="AY21" s="2"/>
      <c r="AZ21" s="2"/>
      <c r="BA21" s="2" t="s">
        <v>35</v>
      </c>
      <c r="BB21" s="2"/>
      <c r="BC21" s="2"/>
      <c r="BD21" s="2"/>
      <c r="BE21" s="2"/>
      <c r="BF21" s="2"/>
      <c r="BG21" s="2"/>
      <c r="BH21" s="2" t="s">
        <v>33</v>
      </c>
      <c r="BI21" s="2" t="s">
        <v>33</v>
      </c>
      <c r="BJ21" s="2" t="s">
        <v>33</v>
      </c>
      <c r="BK21" s="2" t="s">
        <v>33</v>
      </c>
      <c r="BL21" s="2" t="s">
        <v>33</v>
      </c>
      <c r="BM21" s="2"/>
      <c r="BN21" s="2"/>
      <c r="BO21" s="2"/>
      <c r="BP21" s="2"/>
      <c r="BQ21" s="2"/>
      <c r="BR21" s="2"/>
      <c r="BS21" s="2"/>
      <c r="BT21" s="2"/>
      <c r="BU21" s="2"/>
      <c r="BV21" s="2" t="s">
        <v>33</v>
      </c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 t="s">
        <v>35</v>
      </c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 t="s">
        <v>31</v>
      </c>
      <c r="DN21" s="2" t="s">
        <v>31</v>
      </c>
      <c r="DO21" s="2"/>
      <c r="DP21" s="2"/>
      <c r="DQ21" s="2"/>
      <c r="DR21" s="2"/>
      <c r="DS21" s="2"/>
      <c r="DT21" s="2"/>
      <c r="DU21" s="2"/>
      <c r="DV21" s="2" t="s">
        <v>33</v>
      </c>
      <c r="DW21" s="2" t="s">
        <v>33</v>
      </c>
      <c r="DX21" s="2" t="s">
        <v>33</v>
      </c>
      <c r="DY21" s="2"/>
      <c r="DZ21" s="2"/>
      <c r="EA21" s="2" t="s">
        <v>35</v>
      </c>
      <c r="EB21" s="2" t="s">
        <v>33</v>
      </c>
      <c r="EC21" s="2" t="s">
        <v>33</v>
      </c>
      <c r="ED21" s="2" t="s">
        <v>33</v>
      </c>
      <c r="EE21" s="2" t="s">
        <v>33</v>
      </c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 t="s">
        <v>35</v>
      </c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 t="s">
        <v>35</v>
      </c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 t="s">
        <v>35</v>
      </c>
      <c r="JO21" s="2" t="s">
        <v>35</v>
      </c>
      <c r="JP21" s="2"/>
      <c r="JQ21" s="2"/>
      <c r="JR21" s="2"/>
      <c r="JS21" s="2"/>
      <c r="JT21" s="2"/>
      <c r="JU21" s="2" t="s">
        <v>35</v>
      </c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 t="s">
        <v>35</v>
      </c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14">
        <f t="array" aca="1" ref="NJ21" ca="1">SUMPRODUCT((OFFSET($A21,0,31*($A$3-1)+1,1,31)&lt;&gt;"")*(IF(OFFSET($A21,0,31*($A$3-1)+1,1,31)=$OD$12,0.5,1)*(OFFSET($A$4,0,31*($A$3-1)+1,1,31))))</f>
        <v>1</v>
      </c>
      <c r="NK21" s="20">
        <f t="array" aca="1" ref="NK21" ca="1">SUMPRODUCT((OFFSET($A21,0,1,1,372)&lt;&gt;"")*(IF(OFFSET($A21,0,1,1,372)=$OD$12,0.5,1)*(OFFSET($A$3,0,1,1,372))))</f>
        <v>24.5</v>
      </c>
      <c r="NL21" s="28">
        <f t="array" aca="1" ref="NL21" ca="1">SUMPRODUCT((OFFSET($A21,0,31*($A$4)+DAY(Holidays!$E$2),1,Holidays!$G$2)&lt;&gt;"")*(IF(OFFSET($A21,0,31*($A$4)+DAY(Holidays!$E$2),1,Holidays!$G$2)=$OD$12,0.5,1)*(OFFSET($A$3,0,31*($A$4)+DAY(Holidays!$E$2),1,Holidays!$G$2))))</f>
        <v>19.5</v>
      </c>
      <c r="NM21" s="52">
        <f t="array" aca="1" ref="NM21" ca="1">SUMPRODUCT((OFFSET($A21,0,31*($A$4)+DAY(VLOOKUP(NM$5,Sprints[],2,FALSE)),1,VLOOKUP(NM$5,Sprints[],4,FALSE))&lt;&gt;"")*(IF(OFFSET($A21,0,31*($A$4)+DAY(VLOOKUP(NM$5,Sprints[],2,FALSE)),1,VLOOKUP(NM$5,Sprints[],4,FALSE))=$OD$12,0.5,1)*(OFFSET($A$3,0,31*($A$4)+DAY(VLOOKUP(NM$5,Sprints[],2,FALSE)),1,VLOOKUP(NM$5,Sprints[],4,FALSE)))))</f>
        <v>0</v>
      </c>
      <c r="NN21" s="52">
        <f t="array" aca="1" ref="NN21" ca="1">SUMPRODUCT((OFFSET($A21,0,31*($A$4)+DAY(VLOOKUP(NN$5,Sprints[],2,FALSE)),1,VLOOKUP(NN$5,Sprints[],4,FALSE))&lt;&gt;"")*(IF(OFFSET($A21,0,31*($A$4)+DAY(VLOOKUP(NN$5,Sprints[],2,FALSE)),1,VLOOKUP(NN$5,Sprints[],4,FALSE))=$OD$12,0.5,1)*(OFFSET($A$3,0,31*($A$4)+DAY(VLOOKUP(NN$5,Sprints[],2,FALSE)),1,VLOOKUP(NN$5,Sprints[],4,FALSE)))))</f>
        <v>0</v>
      </c>
      <c r="NO21" s="52">
        <f t="array" aca="1" ref="NO21" ca="1">SUMPRODUCT((OFFSET($A21,0,31*($A$4)+DAY(VLOOKUP(NO$5,Sprints[],2,FALSE)),1,VLOOKUP(NO$5,Sprints[],4,FALSE))&lt;&gt;"")*(IF(OFFSET($A21,0,31*($A$4)+DAY(VLOOKUP(NO$5,Sprints[],2,FALSE)),1,VLOOKUP(NO$5,Sprints[],4,FALSE))=$OD$12,0.5,1)*(OFFSET($A$3,0,31*($A$4)+DAY(VLOOKUP(NO$5,Sprints[],2,FALSE)),1,VLOOKUP(NO$5,Sprints[],4,FALSE)))))</f>
        <v>0</v>
      </c>
      <c r="NP21" s="52">
        <f t="array" aca="1" ref="NP21" ca="1">SUMPRODUCT((OFFSET($A21,0,31*(VLOOKUP(NP$5,Sprints[],5,FALSE))+DAY(VLOOKUP(NP$5,Sprints[],2,FALSE)),1,VLOOKUP(NP$5,Sprints[],4,FALSE))&lt;&gt;"")*(IF(OFFSET($A21,0,31*(VLOOKUP(NP$5,Sprints[],5,FALSE))+DAY(VLOOKUP(NP$5,Sprints[],2,FALSE)),1,VLOOKUP(NP$5,Sprints[],4,FALSE))=$OD$12,0.5,1)*(OFFSET($A$3,0,31*(VLOOKUP(NP$5,Sprints[],5,FALSE))+DAY(VLOOKUP(NP$5,Sprints[],2,FALSE)),1,VLOOKUP(NP$5,Sprints[],4,FALSE)))))</f>
        <v>4.5</v>
      </c>
      <c r="NQ21" s="52">
        <f t="array" aca="1" ref="NQ21" ca="1">SUMPRODUCT((OFFSET($A21,0,31*(VLOOKUP(NQ$5,Sprints[],5,FALSE))+DAY(VLOOKUP(NQ$5,Sprints[],2,FALSE)),1,VLOOKUP(NQ$5,Sprints[],4,FALSE))&lt;&gt;"")*(IF(OFFSET($A21,0,31*(VLOOKUP(NQ$5,Sprints[],5,FALSE))+DAY(VLOOKUP(NQ$5,Sprints[],2,FALSE)),1,VLOOKUP(NQ$5,Sprints[],4,FALSE))=$OD$12,0.5,1)*(OFFSET($A$3,0,31*(VLOOKUP(NQ$5,Sprints[],5,FALSE))+DAY(VLOOKUP(NQ$5,Sprints[],2,FALSE)),1,VLOOKUP(NQ$5,Sprints[],4,FALSE)))))</f>
        <v>4</v>
      </c>
      <c r="NR21" s="52">
        <f t="array" aca="1" ref="NR21" ca="1">SUMPRODUCT((OFFSET($A21,0,31*(VLOOKUP(NR$5,Sprints[],5,FALSE))+DAY(VLOOKUP(NR$5,Sprints[],2,FALSE)),1,VLOOKUP(NR$5,Sprints[],4,FALSE))&lt;&gt;"")*(IF(OFFSET($A21,0,31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21" s="52">
        <f t="array" aca="1" ref="NS21" ca="1">SUMPRODUCT((OFFSET($A21,0,31*(VLOOKUP(NS$5,Sprints[],5,FALSE))+DAY(VLOOKUP(NS$5,Sprints[],2,FALSE)),1,VLOOKUP(NS$5,Sprints[],4,FALSE))&lt;&gt;"")*(IF(OFFSET($A21,0,31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1" s="52">
        <f t="array" aca="1" ref="NT21" ca="1">SUMPRODUCT((OFFSET($A21,0,31*(VLOOKUP(NT$5,Sprints[],5,FALSE))+DAY(VLOOKUP(NT$5,Sprints[],2,FALSE)),1,VLOOKUP(NT$5,Sprints[],4,FALSE))&lt;&gt;"")*(IF(OFFSET($A21,0,31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1" s="52">
        <f t="array" aca="1" ref="NU21" ca="1">SUMPRODUCT((OFFSET($A21,0,31*(VLOOKUP(NU$5,Sprints[],5,FALSE))+DAY(VLOOKUP(NU$5,Sprints[],2,FALSE)),1,VLOOKUP(NU$5,Sprints[],4,FALSE))&lt;&gt;"")*(IF(OFFSET($A21,0,31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1" s="52">
        <f t="array" aca="1" ref="NV21" ca="1">SUMPRODUCT((OFFSET($A21,0,31*(VLOOKUP(NV$5,Sprints[],5,FALSE))+DAY(VLOOKUP(NV$5,Sprints[],2,FALSE)),1,VLOOKUP(NV$5,Sprints[],4,FALSE))&lt;&gt;"")*(IF(OFFSET($A21,0,31*(VLOOKUP(NV$5,Sprints[],5,FALSE))+DAY(VLOOKUP(NV$5,Sprints[],2,FALSE)),1,VLOOKUP(NV$5,Sprints[],4,FALSE))=$OD$12,0.5,1)*(OFFSET($A$3,0,31*(VLOOKUP(NV$5,Sprints[],5,FALSE))+DAY(VLOOKUP(NV$5,Sprints[],2,FALSE)),1,VLOOKUP(NV$5,Sprints[],4,FALSE)))))</f>
        <v>8</v>
      </c>
      <c r="NW21" s="52">
        <f t="array" aca="1" ref="NW21" ca="1">SUMPRODUCT((OFFSET($A21,0,31*(VLOOKUP(NW$5,Sprints[],5,FALSE))+DAY(VLOOKUP(NW$5,Sprints[],2,FALSE)),1,VLOOKUP(NW$5,Sprints[],4,FALSE))&lt;&gt;"")*(IF(OFFSET($A21,0,31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1" s="52">
        <f t="array" aca="1" ref="NX21" ca="1">SUMPRODUCT((OFFSET($A21,0,31*(VLOOKUP(NX$5,Sprints[],5,FALSE))+DAY(VLOOKUP(NX$5,Sprints[],2,FALSE)),1,VLOOKUP(NX$5,Sprints[],4,FALSE))&lt;&gt;"")*(IF(OFFSET($A21,0,31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1" s="52">
        <f t="array" aca="1" ref="NY21" ca="1">SUMPRODUCT((OFFSET($A21,0,31*(VLOOKUP(NY$5,Sprints[],5,FALSE))+DAY(VLOOKUP(NY$5,Sprints[],2,FALSE)),1,VLOOKUP(NY$5,Sprints[],4,FALSE))&lt;&gt;"")*(IF(OFFSET($A21,0,31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1" s="52">
        <f t="array" aca="1" ref="NZ21" ca="1">SUMPRODUCT((OFFSET($A21,0,31*(VLOOKUP(NZ$5,Sprints[],5,FALSE))+DAY(VLOOKUP(NZ$5,Sprints[],2,FALSE)),1,VLOOKUP(NZ$5,Sprints[],4,FALSE))&lt;&gt;"")*(IF(OFFSET($A21,0,31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1" s="52">
        <f t="array" aca="1" ref="OA21" ca="1">SUMPRODUCT((OFFSET($A21,0,31*(VLOOKUP(OA$5,Sprints[],5,FALSE))+DAY(VLOOKUP(OA$5,Sprints[],2,FALSE)),1,VLOOKUP(OA$5,Sprints[],4,FALSE))&lt;&gt;"")*(IF(OFFSET($A21,0,31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  <c r="OC21" s="16" t="s">
        <v>15</v>
      </c>
      <c r="OD21" s="16" t="s">
        <v>25</v>
      </c>
    </row>
    <row r="22" spans="1:394" x14ac:dyDescent="0.45">
      <c r="A22" s="1" t="s">
        <v>73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 t="s">
        <v>49</v>
      </c>
      <c r="N22" s="2" t="s">
        <v>49</v>
      </c>
      <c r="O22" s="2"/>
      <c r="P22" s="2"/>
      <c r="Q22" s="2" t="s">
        <v>49</v>
      </c>
      <c r="R22" s="2" t="s">
        <v>49</v>
      </c>
      <c r="S22" s="2" t="s">
        <v>49</v>
      </c>
      <c r="T22" s="2" t="s">
        <v>49</v>
      </c>
      <c r="U22" s="2" t="s">
        <v>49</v>
      </c>
      <c r="V22" s="2"/>
      <c r="W22" s="2"/>
      <c r="X22" s="2" t="s">
        <v>49</v>
      </c>
      <c r="Y22" s="2" t="s">
        <v>49</v>
      </c>
      <c r="Z22" s="2" t="s">
        <v>49</v>
      </c>
      <c r="AA22" s="2" t="s">
        <v>49</v>
      </c>
      <c r="AB22" s="2" t="s">
        <v>49</v>
      </c>
      <c r="AC22" s="2"/>
      <c r="AD22" s="2"/>
      <c r="AE22" s="2" t="s">
        <v>49</v>
      </c>
      <c r="AF22" s="2"/>
      <c r="AG22" s="2" t="s">
        <v>49</v>
      </c>
      <c r="AH22" s="2" t="s">
        <v>49</v>
      </c>
      <c r="AI22" s="2" t="s">
        <v>49</v>
      </c>
      <c r="AJ22" s="2" t="s">
        <v>49</v>
      </c>
      <c r="AK22" s="2"/>
      <c r="AL22" s="2"/>
      <c r="AM22" s="2" t="s">
        <v>49</v>
      </c>
      <c r="AN22" s="2" t="s">
        <v>49</v>
      </c>
      <c r="AO22" s="2" t="s">
        <v>49</v>
      </c>
      <c r="AP22" s="2" t="s">
        <v>49</v>
      </c>
      <c r="AQ22" s="2" t="s">
        <v>49</v>
      </c>
      <c r="AR22" s="2"/>
      <c r="AS22" s="2"/>
      <c r="AT22" s="2" t="s">
        <v>49</v>
      </c>
      <c r="AU22" s="2" t="s">
        <v>49</v>
      </c>
      <c r="AV22" s="2" t="s">
        <v>49</v>
      </c>
      <c r="AW22" s="2" t="s">
        <v>49</v>
      </c>
      <c r="AX22" s="2" t="s">
        <v>49</v>
      </c>
      <c r="AY22" s="2"/>
      <c r="AZ22" s="2"/>
      <c r="BA22" s="2" t="s">
        <v>35</v>
      </c>
      <c r="BB22" s="2" t="s">
        <v>49</v>
      </c>
      <c r="BC22" s="2" t="s">
        <v>49</v>
      </c>
      <c r="BD22" s="2" t="s">
        <v>49</v>
      </c>
      <c r="BE22" s="2" t="s">
        <v>49</v>
      </c>
      <c r="BF22" s="2"/>
      <c r="BG22" s="2"/>
      <c r="BH22" s="2" t="s">
        <v>49</v>
      </c>
      <c r="BI22" s="2" t="s">
        <v>49</v>
      </c>
      <c r="BJ22" s="2" t="s">
        <v>49</v>
      </c>
      <c r="BK22" s="2" t="s">
        <v>49</v>
      </c>
      <c r="BL22" s="2" t="s">
        <v>49</v>
      </c>
      <c r="BM22" s="2"/>
      <c r="BN22" s="2"/>
      <c r="BO22" s="2" t="s">
        <v>49</v>
      </c>
      <c r="BP22" s="2" t="s">
        <v>49</v>
      </c>
      <c r="BQ22" s="2" t="s">
        <v>49</v>
      </c>
      <c r="BR22" s="2" t="s">
        <v>49</v>
      </c>
      <c r="BS22" s="2" t="s">
        <v>49</v>
      </c>
      <c r="BT22" s="2"/>
      <c r="BU22" s="2"/>
      <c r="BV22" s="2" t="s">
        <v>49</v>
      </c>
      <c r="BW22" s="2" t="s">
        <v>49</v>
      </c>
      <c r="BX22" s="2" t="s">
        <v>49</v>
      </c>
      <c r="BY22" s="2" t="s">
        <v>49</v>
      </c>
      <c r="BZ22" s="2" t="s">
        <v>49</v>
      </c>
      <c r="CA22" s="2"/>
      <c r="CB22" s="2"/>
      <c r="CC22" s="2" t="s">
        <v>49</v>
      </c>
      <c r="CD22" s="2" t="s">
        <v>49</v>
      </c>
      <c r="CE22" s="2" t="s">
        <v>49</v>
      </c>
      <c r="CF22" s="2" t="s">
        <v>49</v>
      </c>
      <c r="CG22" s="2" t="s">
        <v>49</v>
      </c>
      <c r="CH22" s="2"/>
      <c r="CI22" s="2"/>
      <c r="CJ22" s="2" t="s">
        <v>49</v>
      </c>
      <c r="CK22" s="2" t="s">
        <v>49</v>
      </c>
      <c r="CL22" s="2" t="s">
        <v>49</v>
      </c>
      <c r="CM22" s="2" t="s">
        <v>49</v>
      </c>
      <c r="CN22" s="2" t="s">
        <v>49</v>
      </c>
      <c r="CO22" s="2"/>
      <c r="CP22" s="2"/>
      <c r="CQ22" s="2"/>
      <c r="CR22" s="2" t="s">
        <v>35</v>
      </c>
      <c r="CS22" s="2" t="s">
        <v>49</v>
      </c>
      <c r="CT22" s="2" t="s">
        <v>49</v>
      </c>
      <c r="CU22" s="2" t="s">
        <v>49</v>
      </c>
      <c r="CV22" s="2" t="s">
        <v>49</v>
      </c>
      <c r="CW22" s="2"/>
      <c r="CX22" s="2"/>
      <c r="CY22" s="2" t="s">
        <v>49</v>
      </c>
      <c r="CZ22" s="2" t="s">
        <v>49</v>
      </c>
      <c r="DA22" s="2" t="s">
        <v>49</v>
      </c>
      <c r="DB22" s="2" t="s">
        <v>49</v>
      </c>
      <c r="DC22" s="2" t="s">
        <v>49</v>
      </c>
      <c r="DD22" s="2"/>
      <c r="DE22" s="2"/>
      <c r="DF22" s="2" t="s">
        <v>49</v>
      </c>
      <c r="DG22" s="2" t="s">
        <v>49</v>
      </c>
      <c r="DH22" s="2" t="s">
        <v>49</v>
      </c>
      <c r="DI22" s="2" t="s">
        <v>49</v>
      </c>
      <c r="DJ22" s="2" t="s">
        <v>49</v>
      </c>
      <c r="DK22" s="2"/>
      <c r="DL22" s="2"/>
      <c r="DM22" s="2" t="s">
        <v>49</v>
      </c>
      <c r="DN22" s="2" t="s">
        <v>49</v>
      </c>
      <c r="DO22" s="2" t="s">
        <v>49</v>
      </c>
      <c r="DP22" s="2" t="s">
        <v>49</v>
      </c>
      <c r="DQ22" s="2" t="s">
        <v>49</v>
      </c>
      <c r="DR22" s="2"/>
      <c r="DS22" s="2"/>
      <c r="DT22" s="2" t="s">
        <v>49</v>
      </c>
      <c r="DU22" s="2" t="s">
        <v>49</v>
      </c>
      <c r="DV22" s="2" t="s">
        <v>49</v>
      </c>
      <c r="DW22" s="2" t="s">
        <v>49</v>
      </c>
      <c r="DX22" s="2" t="s">
        <v>49</v>
      </c>
      <c r="DY22" s="2"/>
      <c r="DZ22" s="2"/>
      <c r="EA22" s="2" t="s">
        <v>35</v>
      </c>
      <c r="EB22" s="2" t="s">
        <v>49</v>
      </c>
      <c r="EC22" s="2" t="s">
        <v>49</v>
      </c>
      <c r="ED22" s="2" t="s">
        <v>49</v>
      </c>
      <c r="EE22" s="2" t="s">
        <v>49</v>
      </c>
      <c r="EF22" s="2"/>
      <c r="EG22" s="2"/>
      <c r="EH22" s="2" t="s">
        <v>49</v>
      </c>
      <c r="EI22" s="2" t="s">
        <v>49</v>
      </c>
      <c r="EJ22" s="2" t="s">
        <v>49</v>
      </c>
      <c r="EK22" s="2" t="s">
        <v>49</v>
      </c>
      <c r="EL22" s="2" t="s">
        <v>49</v>
      </c>
      <c r="EM22" s="2"/>
      <c r="EN22" s="2"/>
      <c r="EO22" s="2" t="s">
        <v>49</v>
      </c>
      <c r="EP22" s="2" t="s">
        <v>49</v>
      </c>
      <c r="EQ22" s="2" t="s">
        <v>49</v>
      </c>
      <c r="ER22" s="2" t="s">
        <v>49</v>
      </c>
      <c r="ES22" s="2" t="s">
        <v>49</v>
      </c>
      <c r="ET22" s="2"/>
      <c r="EU22" s="2"/>
      <c r="EV22" s="2" t="s">
        <v>49</v>
      </c>
      <c r="EW22" s="2" t="s">
        <v>49</v>
      </c>
      <c r="EX22" s="2" t="s">
        <v>49</v>
      </c>
      <c r="EY22" s="2" t="s">
        <v>49</v>
      </c>
      <c r="EZ22" s="2" t="s">
        <v>49</v>
      </c>
      <c r="FA22" s="2"/>
      <c r="FB22" s="2"/>
      <c r="FC22" s="2" t="s">
        <v>35</v>
      </c>
      <c r="FD22" s="2" t="s">
        <v>49</v>
      </c>
      <c r="FE22" s="2" t="s">
        <v>49</v>
      </c>
      <c r="FF22" s="2" t="s">
        <v>49</v>
      </c>
      <c r="FG22" s="2" t="s">
        <v>49</v>
      </c>
      <c r="FH22" s="2"/>
      <c r="FI22" s="2"/>
      <c r="FJ22" s="2" t="s">
        <v>49</v>
      </c>
      <c r="FK22" s="2" t="s">
        <v>49</v>
      </c>
      <c r="FL22" s="2" t="s">
        <v>49</v>
      </c>
      <c r="FM22" s="2" t="s">
        <v>49</v>
      </c>
      <c r="FN22" s="2" t="s">
        <v>49</v>
      </c>
      <c r="FO22" s="2"/>
      <c r="FP22" s="2"/>
      <c r="FQ22" s="2" t="s">
        <v>49</v>
      </c>
      <c r="FR22" s="2" t="s">
        <v>49</v>
      </c>
      <c r="FS22" s="2" t="s">
        <v>49</v>
      </c>
      <c r="FT22" s="2" t="s">
        <v>49</v>
      </c>
      <c r="FU22" s="2" t="s">
        <v>49</v>
      </c>
      <c r="FV22" s="2"/>
      <c r="FW22" s="2"/>
      <c r="FX22" s="2" t="s">
        <v>49</v>
      </c>
      <c r="FY22" s="2" t="s">
        <v>49</v>
      </c>
      <c r="FZ22" s="2" t="s">
        <v>49</v>
      </c>
      <c r="GA22" s="2" t="s">
        <v>49</v>
      </c>
      <c r="GB22" s="2" t="s">
        <v>49</v>
      </c>
      <c r="GC22" s="2"/>
      <c r="GD22" s="2"/>
      <c r="GE22" s="2"/>
      <c r="GF22" s="2" t="s">
        <v>49</v>
      </c>
      <c r="GG22" s="2" t="s">
        <v>49</v>
      </c>
      <c r="GH22" s="2" t="s">
        <v>49</v>
      </c>
      <c r="GI22" s="2" t="s">
        <v>49</v>
      </c>
      <c r="GJ22" s="2" t="s">
        <v>49</v>
      </c>
      <c r="GK22" s="2"/>
      <c r="GL22" s="2"/>
      <c r="GM22" s="2" t="s">
        <v>35</v>
      </c>
      <c r="GN22" s="2" t="s">
        <v>49</v>
      </c>
      <c r="GO22" s="2" t="s">
        <v>49</v>
      </c>
      <c r="GP22" s="2" t="s">
        <v>49</v>
      </c>
      <c r="GQ22" s="2" t="s">
        <v>49</v>
      </c>
      <c r="GR22" s="2"/>
      <c r="GS22" s="2"/>
      <c r="GT22" s="2" t="s">
        <v>49</v>
      </c>
      <c r="GU22" s="2" t="s">
        <v>49</v>
      </c>
      <c r="GV22" s="2" t="s">
        <v>49</v>
      </c>
      <c r="GW22" s="2" t="s">
        <v>49</v>
      </c>
      <c r="GX22" s="2" t="s">
        <v>49</v>
      </c>
      <c r="GY22" s="2"/>
      <c r="GZ22" s="2"/>
      <c r="HA22" s="2" t="s">
        <v>49</v>
      </c>
      <c r="HB22" s="2" t="s">
        <v>49</v>
      </c>
      <c r="HC22" s="2" t="s">
        <v>49</v>
      </c>
      <c r="HD22" s="2" t="s">
        <v>49</v>
      </c>
      <c r="HE22" s="2" t="s">
        <v>49</v>
      </c>
      <c r="HF22" s="2"/>
      <c r="HG22" s="2"/>
      <c r="HH22" s="2" t="s">
        <v>49</v>
      </c>
      <c r="HI22" s="2" t="s">
        <v>49</v>
      </c>
      <c r="HJ22" s="2" t="s">
        <v>49</v>
      </c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 t="s">
        <v>35</v>
      </c>
      <c r="JO22" s="2" t="s">
        <v>35</v>
      </c>
      <c r="JP22" s="2"/>
      <c r="JQ22" s="2"/>
      <c r="JR22" s="2"/>
      <c r="JS22" s="2"/>
      <c r="JT22" s="2"/>
      <c r="JU22" s="2" t="s">
        <v>35</v>
      </c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 t="s">
        <v>35</v>
      </c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14">
        <f t="array" aca="1" ref="NJ22" ca="1">SUMPRODUCT((OFFSET($A22,0,31*($A$3-1)+1,1,31)&lt;&gt;"")*(IF(OFFSET($A22,0,31*($A$3-1)+1,1,31)=$OD$12,0.5,1)*(OFFSET($A$4,0,31*($A$3-1)+1,1,31))))</f>
        <v>20</v>
      </c>
      <c r="NK22" s="20">
        <f t="array" aca="1" ref="NK22" ca="1">SUMPRODUCT((OFFSET($A22,0,1,1,372)&lt;&gt;"")*(IF(OFFSET($A22,0,1,1,372)=$OD$12,0.5,1)*(OFFSET($A$3,0,1,1,372))))</f>
        <v>149</v>
      </c>
      <c r="NL22" s="28">
        <f t="array" aca="1" ref="NL22" ca="1">SUMPRODUCT((OFFSET($A22,0,31*($A$4)+DAY(Holidays!$E$2),1,Holidays!$G$2)&lt;&gt;"")*(IF(OFFSET($A22,0,31*($A$4)+DAY(Holidays!$E$2),1,Holidays!$G$2)=$OD$12,0.5,1)*(OFFSET($A$3,0,31*($A$4)+DAY(Holidays!$E$2),1,Holidays!$G$2))))</f>
        <v>124</v>
      </c>
      <c r="NM22" s="52">
        <f t="array" aca="1" ref="NM22" ca="1">SUMPRODUCT((OFFSET($A22,0,31*($A$4)+DAY(VLOOKUP(NM$5,Sprints[],2,FALSE)),1,VLOOKUP(NM$5,Sprints[],4,FALSE))&lt;&gt;"")*(IF(OFFSET($A22,0,31*($A$4)+DAY(VLOOKUP(NM$5,Sprints[],2,FALSE)),1,VLOOKUP(NM$5,Sprints[],4,FALSE))=$OD$12,0.5,1)*(OFFSET($A$3,0,31*($A$4)+DAY(VLOOKUP(NM$5,Sprints[],2,FALSE)),1,VLOOKUP(NM$5,Sprints[],4,FALSE)))))</f>
        <v>4</v>
      </c>
      <c r="NN22" s="52">
        <f t="array" aca="1" ref="NN22" ca="1">SUMPRODUCT((OFFSET($A22,0,31*($A$4)+DAY(VLOOKUP(NN$5,Sprints[],2,FALSE)),1,VLOOKUP(NN$5,Sprints[],4,FALSE))&lt;&gt;"")*(IF(OFFSET($A22,0,31*($A$4)+DAY(VLOOKUP(NN$5,Sprints[],2,FALSE)),1,VLOOKUP(NN$5,Sprints[],4,FALSE))=$OD$12,0.5,1)*(OFFSET($A$3,0,31*($A$4)+DAY(VLOOKUP(NN$5,Sprints[],2,FALSE)),1,VLOOKUP(NN$5,Sprints[],4,FALSE)))))</f>
        <v>10</v>
      </c>
      <c r="NO22" s="52">
        <f t="array" aca="1" ref="NO22" ca="1">SUMPRODUCT((OFFSET($A22,0,31*($A$4)+DAY(VLOOKUP(NO$5,Sprints[],2,FALSE)),1,VLOOKUP(NO$5,Sprints[],4,FALSE))&lt;&gt;"")*(IF(OFFSET($A22,0,31*($A$4)+DAY(VLOOKUP(NO$5,Sprints[],2,FALSE)),1,VLOOKUP(NO$5,Sprints[],4,FALSE))=$OD$12,0.5,1)*(OFFSET($A$3,0,31*($A$4)+DAY(VLOOKUP(NO$5,Sprints[],2,FALSE)),1,VLOOKUP(NO$5,Sprints[],4,FALSE)))))</f>
        <v>2</v>
      </c>
      <c r="NP22" s="52">
        <f t="array" aca="1" ref="NP22" ca="1">SUMPRODUCT((OFFSET($A22,0,31*(VLOOKUP(NP$5,Sprints[],5,FALSE))+DAY(VLOOKUP(NP$5,Sprints[],2,FALSE)),1,VLOOKUP(NP$5,Sprints[],4,FALSE))&lt;&gt;"")*(IF(OFFSET($A22,0,31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22" s="52">
        <f t="array" aca="1" ref="NQ22" ca="1">SUMPRODUCT((OFFSET($A22,0,31*(VLOOKUP(NQ$5,Sprints[],5,FALSE))+DAY(VLOOKUP(NQ$5,Sprints[],2,FALSE)),1,VLOOKUP(NQ$5,Sprints[],4,FALSE))&lt;&gt;"")*(IF(OFFSET($A22,0,31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22" s="52">
        <f t="array" aca="1" ref="NR22" ca="1">SUMPRODUCT((OFFSET($A22,0,31*(VLOOKUP(NR$5,Sprints[],5,FALSE))+DAY(VLOOKUP(NR$5,Sprints[],2,FALSE)),1,VLOOKUP(NR$5,Sprints[],4,FALSE))&lt;&gt;"")*(IF(OFFSET($A22,0,31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22" s="52">
        <f t="array" aca="1" ref="NS22" ca="1">SUMPRODUCT((OFFSET($A22,0,31*(VLOOKUP(NS$5,Sprints[],5,FALSE))+DAY(VLOOKUP(NS$5,Sprints[],2,FALSE)),1,VLOOKUP(NS$5,Sprints[],4,FALSE))&lt;&gt;"")*(IF(OFFSET($A22,0,31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22" s="52">
        <f t="array" aca="1" ref="NT22" ca="1">SUMPRODUCT((OFFSET($A22,0,31*(VLOOKUP(NT$5,Sprints[],5,FALSE))+DAY(VLOOKUP(NT$5,Sprints[],2,FALSE)),1,VLOOKUP(NT$5,Sprints[],4,FALSE))&lt;&gt;"")*(IF(OFFSET($A22,0,31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22" s="52">
        <f t="array" aca="1" ref="NU22" ca="1">SUMPRODUCT((OFFSET($A22,0,31*(VLOOKUP(NU$5,Sprints[],5,FALSE))+DAY(VLOOKUP(NU$5,Sprints[],2,FALSE)),1,VLOOKUP(NU$5,Sprints[],4,FALSE))&lt;&gt;"")*(IF(OFFSET($A22,0,31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22" s="52">
        <f t="array" aca="1" ref="NV22" ca="1">SUMPRODUCT((OFFSET($A22,0,31*(VLOOKUP(NV$5,Sprints[],5,FALSE))+DAY(VLOOKUP(NV$5,Sprints[],2,FALSE)),1,VLOOKUP(NV$5,Sprints[],4,FALSE))&lt;&gt;"")*(IF(OFFSET($A22,0,31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22" s="52">
        <f t="array" aca="1" ref="NW22" ca="1">SUMPRODUCT((OFFSET($A22,0,31*(VLOOKUP(NW$5,Sprints[],5,FALSE))+DAY(VLOOKUP(NW$5,Sprints[],2,FALSE)),1,VLOOKUP(NW$5,Sprints[],4,FALSE))&lt;&gt;"")*(IF(OFFSET($A22,0,31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22" s="52">
        <f t="array" aca="1" ref="NX22" ca="1">SUMPRODUCT((OFFSET($A22,0,31*(VLOOKUP(NX$5,Sprints[],5,FALSE))+DAY(VLOOKUP(NX$5,Sprints[],2,FALSE)),1,VLOOKUP(NX$5,Sprints[],4,FALSE))&lt;&gt;"")*(IF(OFFSET($A22,0,31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22" s="52">
        <f t="array" aca="1" ref="NY22" ca="1">SUMPRODUCT((OFFSET($A22,0,31*(VLOOKUP(NY$5,Sprints[],5,FALSE))+DAY(VLOOKUP(NY$5,Sprints[],2,FALSE)),1,VLOOKUP(NY$5,Sprints[],4,FALSE))&lt;&gt;"")*(IF(OFFSET($A22,0,31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22" s="52">
        <f t="array" aca="1" ref="NZ22" ca="1">SUMPRODUCT((OFFSET($A22,0,31*(VLOOKUP(NZ$5,Sprints[],5,FALSE))+DAY(VLOOKUP(NZ$5,Sprints[],2,FALSE)),1,VLOOKUP(NZ$5,Sprints[],4,FALSE))&lt;&gt;"")*(IF(OFFSET($A22,0,31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22" s="52">
        <f t="array" aca="1" ref="OA22" ca="1">SUMPRODUCT((OFFSET($A22,0,31*(VLOOKUP(OA$5,Sprints[],5,FALSE))+DAY(VLOOKUP(OA$5,Sprints[],2,FALSE)),1,VLOOKUP(OA$5,Sprints[],4,FALSE))&lt;&gt;"")*(IF(OFFSET($A22,0,31*(VLOOKUP(OA$5,Sprints[],5,FALSE))+DAY(VLOOKUP(OA$5,Sprints[],2,FALSE)),1,VLOOKUP(OA$5,Sprints[],4,FALSE))=$OD$12,0.5,1)*(OFFSET($A$3,0,31*(VLOOKUP(OA$5,Sprints[],5,FALSE))+DAY(VLOOKUP(OA$5,Sprints[],2,FALSE)),1,VLOOKUP(OA$5,Sprints[],4,FALSE)))))</f>
        <v>19</v>
      </c>
      <c r="OC22" s="16" t="s">
        <v>16</v>
      </c>
      <c r="OD22" s="16" t="s">
        <v>24</v>
      </c>
    </row>
    <row r="23" spans="1:394" x14ac:dyDescent="0.45">
      <c r="A23" s="1" t="s">
        <v>74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 t="s">
        <v>33</v>
      </c>
      <c r="AX23" s="2" t="s">
        <v>31</v>
      </c>
      <c r="AY23" s="2"/>
      <c r="AZ23" s="2"/>
      <c r="BA23" s="2" t="s">
        <v>35</v>
      </c>
      <c r="BB23" s="2"/>
      <c r="BC23" s="2" t="s">
        <v>33</v>
      </c>
      <c r="BD23" s="2" t="s">
        <v>33</v>
      </c>
      <c r="BE23" s="2" t="s">
        <v>33</v>
      </c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 t="s">
        <v>35</v>
      </c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 t="s">
        <v>31</v>
      </c>
      <c r="DN23" s="2" t="s">
        <v>31</v>
      </c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 t="s">
        <v>35</v>
      </c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 t="s">
        <v>35</v>
      </c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 t="s">
        <v>35</v>
      </c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 t="s">
        <v>35</v>
      </c>
      <c r="JO23" s="2" t="s">
        <v>35</v>
      </c>
      <c r="JP23" s="2"/>
      <c r="JQ23" s="2"/>
      <c r="JR23" s="2"/>
      <c r="JS23" s="2"/>
      <c r="JT23" s="2"/>
      <c r="JU23" s="2" t="s">
        <v>35</v>
      </c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 t="s">
        <v>35</v>
      </c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14">
        <f t="array" aca="1" ref="NJ23" ca="1">SUMPRODUCT((OFFSET($A23,0,31*($A$3-1)+1,1,31)&lt;&gt;"")*(IF(OFFSET($A23,0,31*($A$3-1)+1,1,31)=$OD$12,0.5,1)*(OFFSET($A$4,0,31*($A$3-1)+1,1,31))))</f>
        <v>1</v>
      </c>
      <c r="NK23" s="20">
        <f t="array" aca="1" ref="NK23" ca="1">SUMPRODUCT((OFFSET($A23,0,1,1,372)&lt;&gt;"")*(IF(OFFSET($A23,0,1,1,372)=$OD$12,0.5,1)*(OFFSET($A$3,0,1,1,372))))</f>
        <v>14.5</v>
      </c>
      <c r="NL23" s="28">
        <f t="array" aca="1" ref="NL23" ca="1">SUMPRODUCT((OFFSET($A23,0,31*($A$4)+DAY(Holidays!$E$2),1,Holidays!$G$2)&lt;&gt;"")*(IF(OFFSET($A23,0,31*($A$4)+DAY(Holidays!$E$2),1,Holidays!$G$2)=$OD$12,0.5,1)*(OFFSET($A$3,0,31*($A$4)+DAY(Holidays!$E$2),1,Holidays!$G$2))))</f>
        <v>9.5</v>
      </c>
      <c r="NM23" s="52">
        <f t="array" aca="1" ref="NM23" ca="1">SUMPRODUCT((OFFSET($A23,0,31*($A$4)+DAY(VLOOKUP(NM$5,Sprints[],2,FALSE)),1,VLOOKUP(NM$5,Sprints[],4,FALSE))&lt;&gt;"")*(IF(OFFSET($A23,0,31*($A$4)+DAY(VLOOKUP(NM$5,Sprints[],2,FALSE)),1,VLOOKUP(NM$5,Sprints[],4,FALSE))=$OD$12,0.5,1)*(OFFSET($A$3,0,31*($A$4)+DAY(VLOOKUP(NM$5,Sprints[],2,FALSE)),1,VLOOKUP(NM$5,Sprints[],4,FALSE)))))</f>
        <v>0</v>
      </c>
      <c r="NN23" s="52">
        <f t="array" aca="1" ref="NN23" ca="1">SUMPRODUCT((OFFSET($A23,0,31*($A$4)+DAY(VLOOKUP(NN$5,Sprints[],2,FALSE)),1,VLOOKUP(NN$5,Sprints[],4,FALSE))&lt;&gt;"")*(IF(OFFSET($A23,0,31*($A$4)+DAY(VLOOKUP(NN$5,Sprints[],2,FALSE)),1,VLOOKUP(NN$5,Sprints[],4,FALSE))=$OD$12,0.5,1)*(OFFSET($A$3,0,31*($A$4)+DAY(VLOOKUP(NN$5,Sprints[],2,FALSE)),1,VLOOKUP(NN$5,Sprints[],4,FALSE)))))</f>
        <v>0</v>
      </c>
      <c r="NO23" s="52">
        <f t="array" aca="1" ref="NO23" ca="1">SUMPRODUCT((OFFSET($A23,0,31*($A$4)+DAY(VLOOKUP(NO$5,Sprints[],2,FALSE)),1,VLOOKUP(NO$5,Sprints[],4,FALSE))&lt;&gt;"")*(IF(OFFSET($A23,0,31*($A$4)+DAY(VLOOKUP(NO$5,Sprints[],2,FALSE)),1,VLOOKUP(NO$5,Sprints[],4,FALSE))=$OD$12,0.5,1)*(OFFSET($A$3,0,31*($A$4)+DAY(VLOOKUP(NO$5,Sprints[],2,FALSE)),1,VLOOKUP(NO$5,Sprints[],4,FALSE)))))</f>
        <v>0</v>
      </c>
      <c r="NP23" s="52">
        <f t="array" aca="1" ref="NP23" ca="1">SUMPRODUCT((OFFSET($A23,0,31*(VLOOKUP(NP$5,Sprints[],5,FALSE))+DAY(VLOOKUP(NP$5,Sprints[],2,FALSE)),1,VLOOKUP(NP$5,Sprints[],4,FALSE))&lt;&gt;"")*(IF(OFFSET($A23,0,31*(VLOOKUP(NP$5,Sprints[],5,FALSE))+DAY(VLOOKUP(NP$5,Sprints[],2,FALSE)),1,VLOOKUP(NP$5,Sprints[],4,FALSE))=$OD$12,0.5,1)*(OFFSET($A$3,0,31*(VLOOKUP(NP$5,Sprints[],5,FALSE))+DAY(VLOOKUP(NP$5,Sprints[],2,FALSE)),1,VLOOKUP(NP$5,Sprints[],4,FALSE)))))</f>
        <v>5.5</v>
      </c>
      <c r="NQ23" s="52">
        <f t="array" aca="1" ref="NQ23" ca="1">SUMPRODUCT((OFFSET($A23,0,31*(VLOOKUP(NQ$5,Sprints[],5,FALSE))+DAY(VLOOKUP(NQ$5,Sprints[],2,FALSE)),1,VLOOKUP(NQ$5,Sprints[],4,FALSE))&lt;&gt;"")*(IF(OFFSET($A23,0,31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3" s="52">
        <f t="array" aca="1" ref="NR23" ca="1">SUMPRODUCT((OFFSET($A23,0,31*(VLOOKUP(NR$5,Sprints[],5,FALSE))+DAY(VLOOKUP(NR$5,Sprints[],2,FALSE)),1,VLOOKUP(NR$5,Sprints[],4,FALSE))&lt;&gt;"")*(IF(OFFSET($A23,0,31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23" s="52">
        <f t="array" aca="1" ref="NS23" ca="1">SUMPRODUCT((OFFSET($A23,0,31*(VLOOKUP(NS$5,Sprints[],5,FALSE))+DAY(VLOOKUP(NS$5,Sprints[],2,FALSE)),1,VLOOKUP(NS$5,Sprints[],4,FALSE))&lt;&gt;"")*(IF(OFFSET($A23,0,31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3" s="52">
        <f t="array" aca="1" ref="NT23" ca="1">SUMPRODUCT((OFFSET($A23,0,31*(VLOOKUP(NT$5,Sprints[],5,FALSE))+DAY(VLOOKUP(NT$5,Sprints[],2,FALSE)),1,VLOOKUP(NT$5,Sprints[],4,FALSE))&lt;&gt;"")*(IF(OFFSET($A23,0,31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3" s="52">
        <f t="array" aca="1" ref="NU23" ca="1">SUMPRODUCT((OFFSET($A23,0,31*(VLOOKUP(NU$5,Sprints[],5,FALSE))+DAY(VLOOKUP(NU$5,Sprints[],2,FALSE)),1,VLOOKUP(NU$5,Sprints[],4,FALSE))&lt;&gt;"")*(IF(OFFSET($A23,0,31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3" s="52">
        <f t="array" aca="1" ref="NV23" ca="1">SUMPRODUCT((OFFSET($A23,0,31*(VLOOKUP(NV$5,Sprints[],5,FALSE))+DAY(VLOOKUP(NV$5,Sprints[],2,FALSE)),1,VLOOKUP(NV$5,Sprints[],4,FALSE))&lt;&gt;"")*(IF(OFFSET($A23,0,31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3" s="52">
        <f t="array" aca="1" ref="NW23" ca="1">SUMPRODUCT((OFFSET($A23,0,31*(VLOOKUP(NW$5,Sprints[],5,FALSE))+DAY(VLOOKUP(NW$5,Sprints[],2,FALSE)),1,VLOOKUP(NW$5,Sprints[],4,FALSE))&lt;&gt;"")*(IF(OFFSET($A23,0,31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3" s="52">
        <f t="array" aca="1" ref="NX23" ca="1">SUMPRODUCT((OFFSET($A23,0,31*(VLOOKUP(NX$5,Sprints[],5,FALSE))+DAY(VLOOKUP(NX$5,Sprints[],2,FALSE)),1,VLOOKUP(NX$5,Sprints[],4,FALSE))&lt;&gt;"")*(IF(OFFSET($A23,0,31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3" s="52">
        <f t="array" aca="1" ref="NY23" ca="1">SUMPRODUCT((OFFSET($A23,0,31*(VLOOKUP(NY$5,Sprints[],5,FALSE))+DAY(VLOOKUP(NY$5,Sprints[],2,FALSE)),1,VLOOKUP(NY$5,Sprints[],4,FALSE))&lt;&gt;"")*(IF(OFFSET($A23,0,31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3" s="52">
        <f t="array" aca="1" ref="NZ23" ca="1">SUMPRODUCT((OFFSET($A23,0,31*(VLOOKUP(NZ$5,Sprints[],5,FALSE))+DAY(VLOOKUP(NZ$5,Sprints[],2,FALSE)),1,VLOOKUP(NZ$5,Sprints[],4,FALSE))&lt;&gt;"")*(IF(OFFSET($A23,0,31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3" s="52">
        <f t="array" aca="1" ref="OA23" ca="1">SUMPRODUCT((OFFSET($A23,0,31*(VLOOKUP(OA$5,Sprints[],5,FALSE))+DAY(VLOOKUP(OA$5,Sprints[],2,FALSE)),1,VLOOKUP(OA$5,Sprints[],4,FALSE))&lt;&gt;"")*(IF(OFFSET($A23,0,31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  <c r="OC23" s="16" t="s">
        <v>17</v>
      </c>
      <c r="OD23" s="16" t="s">
        <v>24</v>
      </c>
    </row>
    <row r="24" spans="1:394" x14ac:dyDescent="0.45">
      <c r="A24" s="1" t="s">
        <v>75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 t="s">
        <v>33</v>
      </c>
      <c r="AQ24" s="2"/>
      <c r="AR24" s="2"/>
      <c r="AS24" s="2"/>
      <c r="AT24" s="2"/>
      <c r="AU24" s="2"/>
      <c r="AV24" s="2"/>
      <c r="AW24" s="2" t="s">
        <v>33</v>
      </c>
      <c r="AX24" s="2" t="s">
        <v>31</v>
      </c>
      <c r="AY24" s="2"/>
      <c r="AZ24" s="2"/>
      <c r="BA24" s="2" t="s">
        <v>35</v>
      </c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 t="s">
        <v>33</v>
      </c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 t="s">
        <v>35</v>
      </c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 t="s">
        <v>31</v>
      </c>
      <c r="DN24" s="2" t="s">
        <v>33</v>
      </c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 t="s">
        <v>35</v>
      </c>
      <c r="EB24" s="2" t="s">
        <v>33</v>
      </c>
      <c r="EC24" s="2" t="s">
        <v>33</v>
      </c>
      <c r="ED24" s="2"/>
      <c r="EE24" s="2"/>
      <c r="EF24" s="2"/>
      <c r="EG24" s="2"/>
      <c r="EH24" s="2" t="s">
        <v>33</v>
      </c>
      <c r="EI24" s="2" t="s">
        <v>33</v>
      </c>
      <c r="EJ24" s="2" t="s">
        <v>33</v>
      </c>
      <c r="EK24" s="2" t="s">
        <v>33</v>
      </c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 t="s">
        <v>35</v>
      </c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 t="s">
        <v>35</v>
      </c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 t="s">
        <v>35</v>
      </c>
      <c r="JO24" s="2" t="s">
        <v>35</v>
      </c>
      <c r="JP24" s="2"/>
      <c r="JQ24" s="2"/>
      <c r="JR24" s="2"/>
      <c r="JS24" s="2"/>
      <c r="JT24" s="2"/>
      <c r="JU24" s="2" t="s">
        <v>35</v>
      </c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 t="s">
        <v>35</v>
      </c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14">
        <f t="array" aca="1" ref="NJ24" ca="1">SUMPRODUCT((OFFSET($A24,0,31*($A$3-1)+1,1,31)&lt;&gt;"")*(IF(OFFSET($A24,0,31*($A$3-1)+1,1,31)=$OD$12,0.5,1)*(OFFSET($A$4,0,31*($A$3-1)+1,1,31))))</f>
        <v>1</v>
      </c>
      <c r="NK24" s="20">
        <f t="array" aca="1" ref="NK24" ca="1">SUMPRODUCT((OFFSET($A24,0,1,1,372)&lt;&gt;"")*(IF(OFFSET($A24,0,1,1,372)=$OD$12,0.5,1)*(OFFSET($A$3,0,1,1,372))))</f>
        <v>20</v>
      </c>
      <c r="NL24" s="28">
        <f t="array" aca="1" ref="NL24" ca="1">SUMPRODUCT((OFFSET($A24,0,31*($A$4)+DAY(Holidays!$E$2),1,Holidays!$G$2)&lt;&gt;"")*(IF(OFFSET($A24,0,31*($A$4)+DAY(Holidays!$E$2),1,Holidays!$G$2)=$OD$12,0.5,1)*(OFFSET($A$3,0,31*($A$4)+DAY(Holidays!$E$2),1,Holidays!$G$2))))</f>
        <v>15</v>
      </c>
      <c r="NM24" s="52">
        <f t="array" aca="1" ref="NM24" ca="1">SUMPRODUCT((OFFSET($A24,0,31*($A$4)+DAY(VLOOKUP(NM$5,Sprints[],2,FALSE)),1,VLOOKUP(NM$5,Sprints[],4,FALSE))&lt;&gt;"")*(IF(OFFSET($A24,0,31*($A$4)+DAY(VLOOKUP(NM$5,Sprints[],2,FALSE)),1,VLOOKUP(NM$5,Sprints[],4,FALSE))=$OD$12,0.5,1)*(OFFSET($A$3,0,31*($A$4)+DAY(VLOOKUP(NM$5,Sprints[],2,FALSE)),1,VLOOKUP(NM$5,Sprints[],4,FALSE)))))</f>
        <v>0</v>
      </c>
      <c r="NN24" s="52">
        <f t="array" aca="1" ref="NN24" ca="1">SUMPRODUCT((OFFSET($A24,0,31*($A$4)+DAY(VLOOKUP(NN$5,Sprints[],2,FALSE)),1,VLOOKUP(NN$5,Sprints[],4,FALSE))&lt;&gt;"")*(IF(OFFSET($A24,0,31*($A$4)+DAY(VLOOKUP(NN$5,Sprints[],2,FALSE)),1,VLOOKUP(NN$5,Sprints[],4,FALSE))=$OD$12,0.5,1)*(OFFSET($A$3,0,31*($A$4)+DAY(VLOOKUP(NN$5,Sprints[],2,FALSE)),1,VLOOKUP(NN$5,Sprints[],4,FALSE)))))</f>
        <v>0</v>
      </c>
      <c r="NO24" s="52">
        <f t="array" aca="1" ref="NO24" ca="1">SUMPRODUCT((OFFSET($A24,0,31*($A$4)+DAY(VLOOKUP(NO$5,Sprints[],2,FALSE)),1,VLOOKUP(NO$5,Sprints[],4,FALSE))&lt;&gt;"")*(IF(OFFSET($A24,0,31*($A$4)+DAY(VLOOKUP(NO$5,Sprints[],2,FALSE)),1,VLOOKUP(NO$5,Sprints[],4,FALSE))=$OD$12,0.5,1)*(OFFSET($A$3,0,31*($A$4)+DAY(VLOOKUP(NO$5,Sprints[],2,FALSE)),1,VLOOKUP(NO$5,Sprints[],4,FALSE)))))</f>
        <v>0</v>
      </c>
      <c r="NP24" s="52">
        <f t="array" aca="1" ref="NP24" ca="1">SUMPRODUCT((OFFSET($A24,0,31*(VLOOKUP(NP$5,Sprints[],5,FALSE))+DAY(VLOOKUP(NP$5,Sprints[],2,FALSE)),1,VLOOKUP(NP$5,Sprints[],4,FALSE))&lt;&gt;"")*(IF(OFFSET($A24,0,31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4" s="52">
        <f t="array" aca="1" ref="NQ24" ca="1">SUMPRODUCT((OFFSET($A24,0,31*(VLOOKUP(NQ$5,Sprints[],5,FALSE))+DAY(VLOOKUP(NQ$5,Sprints[],2,FALSE)),1,VLOOKUP(NQ$5,Sprints[],4,FALSE))&lt;&gt;"")*(IF(OFFSET($A24,0,31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4" s="52">
        <f t="array" aca="1" ref="NR24" ca="1">SUMPRODUCT((OFFSET($A24,0,31*(VLOOKUP(NR$5,Sprints[],5,FALSE))+DAY(VLOOKUP(NR$5,Sprints[],2,FALSE)),1,VLOOKUP(NR$5,Sprints[],4,FALSE))&lt;&gt;"")*(IF(OFFSET($A24,0,31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24" s="52">
        <f t="array" aca="1" ref="NS24" ca="1">SUMPRODUCT((OFFSET($A24,0,31*(VLOOKUP(NS$5,Sprints[],5,FALSE))+DAY(VLOOKUP(NS$5,Sprints[],2,FALSE)),1,VLOOKUP(NS$5,Sprints[],4,FALSE))&lt;&gt;"")*(IF(OFFSET($A24,0,31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4" s="52">
        <f t="array" aca="1" ref="NT24" ca="1">SUMPRODUCT((OFFSET($A24,0,31*(VLOOKUP(NT$5,Sprints[],5,FALSE))+DAY(VLOOKUP(NT$5,Sprints[],2,FALSE)),1,VLOOKUP(NT$5,Sprints[],4,FALSE))&lt;&gt;"")*(IF(OFFSET($A24,0,31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4" s="52">
        <f t="array" aca="1" ref="NU24" ca="1">SUMPRODUCT((OFFSET($A24,0,31*(VLOOKUP(NU$5,Sprints[],5,FALSE))+DAY(VLOOKUP(NU$5,Sprints[],2,FALSE)),1,VLOOKUP(NU$5,Sprints[],4,FALSE))&lt;&gt;"")*(IF(OFFSET($A24,0,31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24" s="52">
        <f t="array" aca="1" ref="NV24" ca="1">SUMPRODUCT((OFFSET($A24,0,31*(VLOOKUP(NV$5,Sprints[],5,FALSE))+DAY(VLOOKUP(NV$5,Sprints[],2,FALSE)),1,VLOOKUP(NV$5,Sprints[],4,FALSE))&lt;&gt;"")*(IF(OFFSET($A24,0,31*(VLOOKUP(NV$5,Sprints[],5,FALSE))+DAY(VLOOKUP(NV$5,Sprints[],2,FALSE)),1,VLOOKUP(NV$5,Sprints[],4,FALSE))=$OD$12,0.5,1)*(OFFSET($A$3,0,31*(VLOOKUP(NV$5,Sprints[],5,FALSE))+DAY(VLOOKUP(NV$5,Sprints[],2,FALSE)),1,VLOOKUP(NV$5,Sprints[],4,FALSE)))))</f>
        <v>5</v>
      </c>
      <c r="NW24" s="52">
        <f t="array" aca="1" ref="NW24" ca="1">SUMPRODUCT((OFFSET($A24,0,31*(VLOOKUP(NW$5,Sprints[],5,FALSE))+DAY(VLOOKUP(NW$5,Sprints[],2,FALSE)),1,VLOOKUP(NW$5,Sprints[],4,FALSE))&lt;&gt;"")*(IF(OFFSET($A24,0,31*(VLOOKUP(NW$5,Sprints[],5,FALSE))+DAY(VLOOKUP(NW$5,Sprints[],2,FALSE)),1,VLOOKUP(NW$5,Sprints[],4,FALSE))=$OD$12,0.5,1)*(OFFSET($A$3,0,31*(VLOOKUP(NW$5,Sprints[],5,FALSE))+DAY(VLOOKUP(NW$5,Sprints[],2,FALSE)),1,VLOOKUP(NW$5,Sprints[],4,FALSE)))))</f>
        <v>2</v>
      </c>
      <c r="NX24" s="52">
        <f t="array" aca="1" ref="NX24" ca="1">SUMPRODUCT((OFFSET($A24,0,31*(VLOOKUP(NX$5,Sprints[],5,FALSE))+DAY(VLOOKUP(NX$5,Sprints[],2,FALSE)),1,VLOOKUP(NX$5,Sprints[],4,FALSE))&lt;&gt;"")*(IF(OFFSET($A24,0,31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4" s="52">
        <f t="array" aca="1" ref="NY24" ca="1">SUMPRODUCT((OFFSET($A24,0,31*(VLOOKUP(NY$5,Sprints[],5,FALSE))+DAY(VLOOKUP(NY$5,Sprints[],2,FALSE)),1,VLOOKUP(NY$5,Sprints[],4,FALSE))&lt;&gt;"")*(IF(OFFSET($A24,0,31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4" s="52">
        <f t="array" aca="1" ref="NZ24" ca="1">SUMPRODUCT((OFFSET($A24,0,31*(VLOOKUP(NZ$5,Sprints[],5,FALSE))+DAY(VLOOKUP(NZ$5,Sprints[],2,FALSE)),1,VLOOKUP(NZ$5,Sprints[],4,FALSE))&lt;&gt;"")*(IF(OFFSET($A24,0,31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4" s="52">
        <f t="array" aca="1" ref="OA24" ca="1">SUMPRODUCT((OFFSET($A24,0,31*(VLOOKUP(OA$5,Sprints[],5,FALSE))+DAY(VLOOKUP(OA$5,Sprints[],2,FALSE)),1,VLOOKUP(OA$5,Sprints[],4,FALSE))&lt;&gt;"")*(IF(OFFSET($A24,0,31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25" spans="1:394" ht="14.75" customHeight="1" x14ac:dyDescent="0.45">
      <c r="A25" s="1" t="s">
        <v>76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 t="s">
        <v>33</v>
      </c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 t="s">
        <v>33</v>
      </c>
      <c r="AX25" s="2" t="s">
        <v>31</v>
      </c>
      <c r="AY25" s="2"/>
      <c r="AZ25" s="2"/>
      <c r="BA25" s="2" t="s">
        <v>35</v>
      </c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 t="s">
        <v>33</v>
      </c>
      <c r="BW25" s="2" t="s">
        <v>33</v>
      </c>
      <c r="BX25" s="2" t="s">
        <v>33</v>
      </c>
      <c r="BY25" s="2" t="s">
        <v>33</v>
      </c>
      <c r="BZ25" s="2" t="s">
        <v>33</v>
      </c>
      <c r="CA25" s="2"/>
      <c r="CB25" s="2"/>
      <c r="CC25" s="2" t="s">
        <v>33</v>
      </c>
      <c r="CD25" s="2" t="s">
        <v>33</v>
      </c>
      <c r="CE25" s="2" t="s">
        <v>33</v>
      </c>
      <c r="CF25" s="2" t="s">
        <v>33</v>
      </c>
      <c r="CG25" s="2" t="s">
        <v>33</v>
      </c>
      <c r="CH25" s="2"/>
      <c r="CI25" s="2"/>
      <c r="CJ25" s="2" t="s">
        <v>33</v>
      </c>
      <c r="CK25" s="1"/>
      <c r="CL25" s="1"/>
      <c r="CM25" s="1"/>
      <c r="CN25" s="1"/>
      <c r="CO25" s="2"/>
      <c r="CP25" s="2"/>
      <c r="CQ25" s="2"/>
      <c r="CR25" s="2" t="s">
        <v>35</v>
      </c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 t="s">
        <v>33</v>
      </c>
      <c r="DG25" s="2" t="s">
        <v>33</v>
      </c>
      <c r="DH25" s="2"/>
      <c r="DI25" s="2"/>
      <c r="DJ25" s="2"/>
      <c r="DK25" s="2"/>
      <c r="DL25" s="2"/>
      <c r="DM25" s="2" t="s">
        <v>31</v>
      </c>
      <c r="DN25" s="2" t="s">
        <v>31</v>
      </c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 t="s">
        <v>35</v>
      </c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 t="s">
        <v>35</v>
      </c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 t="s">
        <v>35</v>
      </c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 t="s">
        <v>35</v>
      </c>
      <c r="JO25" s="2" t="s">
        <v>35</v>
      </c>
      <c r="JP25" s="2"/>
      <c r="JQ25" s="2"/>
      <c r="JR25" s="2"/>
      <c r="JS25" s="2"/>
      <c r="JT25" s="2"/>
      <c r="JU25" s="2" t="s">
        <v>35</v>
      </c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 t="s">
        <v>35</v>
      </c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14">
        <f t="array" aca="1" ref="NJ25" ca="1">SUMPRODUCT((OFFSET($A25,0,31*($A$3-1)+1,1,31)&lt;&gt;"")*(IF(OFFSET($A25,0,31*($A$3-1)+1,1,31)=$OD$12,0.5,1)*(OFFSET($A$4,0,31*($A$3-1)+1,1,31))))</f>
        <v>1</v>
      </c>
      <c r="NK25" s="20">
        <f t="array" aca="1" ref="NK25" ca="1">SUMPRODUCT((OFFSET($A25,0,1,1,372)&lt;&gt;"")*(IF(OFFSET($A25,0,1,1,372)=$OD$12,0.5,1)*(OFFSET($A$3,0,1,1,372))))</f>
        <v>25.5</v>
      </c>
      <c r="NL25" s="28">
        <f t="array" aca="1" ref="NL25" ca="1">SUMPRODUCT((OFFSET($A25,0,31*($A$4)+DAY(Holidays!$E$2),1,Holidays!$G$2)&lt;&gt;"")*(IF(OFFSET($A25,0,31*($A$4)+DAY(Holidays!$E$2),1,Holidays!$G$2)=$OD$12,0.5,1)*(OFFSET($A$3,0,31*($A$4)+DAY(Holidays!$E$2),1,Holidays!$G$2))))</f>
        <v>20.5</v>
      </c>
      <c r="NM25" s="52">
        <f t="array" aca="1" ref="NM25" ca="1">SUMPRODUCT((OFFSET($A25,0,31*($A$4)+DAY(VLOOKUP(NM$5,Sprints[],2,FALSE)),1,VLOOKUP(NM$5,Sprints[],4,FALSE))&lt;&gt;"")*(IF(OFFSET($A25,0,31*($A$4)+DAY(VLOOKUP(NM$5,Sprints[],2,FALSE)),1,VLOOKUP(NM$5,Sprints[],4,FALSE))=$OD$12,0.5,1)*(OFFSET($A$3,0,31*($A$4)+DAY(VLOOKUP(NM$5,Sprints[],2,FALSE)),1,VLOOKUP(NM$5,Sprints[],4,FALSE)))))</f>
        <v>1</v>
      </c>
      <c r="NN25" s="52">
        <f t="array" aca="1" ref="NN25" ca="1">SUMPRODUCT((OFFSET($A25,0,31*($A$4)+DAY(VLOOKUP(NN$5,Sprints[],2,FALSE)),1,VLOOKUP(NN$5,Sprints[],4,FALSE))&lt;&gt;"")*(IF(OFFSET($A25,0,31*($A$4)+DAY(VLOOKUP(NN$5,Sprints[],2,FALSE)),1,VLOOKUP(NN$5,Sprints[],4,FALSE))=$OD$12,0.5,1)*(OFFSET($A$3,0,31*($A$4)+DAY(VLOOKUP(NN$5,Sprints[],2,FALSE)),1,VLOOKUP(NN$5,Sprints[],4,FALSE)))))</f>
        <v>0</v>
      </c>
      <c r="NO25" s="52">
        <f t="array" aca="1" ref="NO25" ca="1">SUMPRODUCT((OFFSET($A25,0,31*($A$4)+DAY(VLOOKUP(NO$5,Sprints[],2,FALSE)),1,VLOOKUP(NO$5,Sprints[],4,FALSE))&lt;&gt;"")*(IF(OFFSET($A25,0,31*($A$4)+DAY(VLOOKUP(NO$5,Sprints[],2,FALSE)),1,VLOOKUP(NO$5,Sprints[],4,FALSE))=$OD$12,0.5,1)*(OFFSET($A$3,0,31*($A$4)+DAY(VLOOKUP(NO$5,Sprints[],2,FALSE)),1,VLOOKUP(NO$5,Sprints[],4,FALSE)))))</f>
        <v>1</v>
      </c>
      <c r="NP25" s="52">
        <f t="array" aca="1" ref="NP25" ca="1">SUMPRODUCT((OFFSET($A25,0,31*(VLOOKUP(NP$5,Sprints[],5,FALSE))+DAY(VLOOKUP(NP$5,Sprints[],2,FALSE)),1,VLOOKUP(NP$5,Sprints[],4,FALSE))&lt;&gt;"")*(IF(OFFSET($A25,0,31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5" s="52">
        <f t="array" aca="1" ref="NQ25" ca="1">SUMPRODUCT((OFFSET($A25,0,31*(VLOOKUP(NQ$5,Sprints[],5,FALSE))+DAY(VLOOKUP(NQ$5,Sprints[],2,FALSE)),1,VLOOKUP(NQ$5,Sprints[],4,FALSE))&lt;&gt;"")*(IF(OFFSET($A25,0,31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25" s="52">
        <f t="array" aca="1" ref="NR25" ca="1">SUMPRODUCT((OFFSET($A25,0,31*(VLOOKUP(NR$5,Sprints[],5,FALSE))+DAY(VLOOKUP(NR$5,Sprints[],2,FALSE)),1,VLOOKUP(NR$5,Sprints[],4,FALSE))&lt;&gt;"")*(IF(OFFSET($A25,0,31*(VLOOKUP(NR$5,Sprints[],5,FALSE))+DAY(VLOOKUP(NR$5,Sprints[],2,FALSE)),1,VLOOKUP(NR$5,Sprints[],4,FALSE))=$OD$12,0.5,1)*(OFFSET($A$3,0,31*(VLOOKUP(NR$5,Sprints[],5,FALSE))+DAY(VLOOKUP(NR$5,Sprints[],2,FALSE)),1,VLOOKUP(NR$5,Sprints[],4,FALSE)))))</f>
        <v>9</v>
      </c>
      <c r="NS25" s="52">
        <f t="array" aca="1" ref="NS25" ca="1">SUMPRODUCT((OFFSET($A25,0,31*(VLOOKUP(NS$5,Sprints[],5,FALSE))+DAY(VLOOKUP(NS$5,Sprints[],2,FALSE)),1,VLOOKUP(NS$5,Sprints[],4,FALSE))&lt;&gt;"")*(IF(OFFSET($A25,0,31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5" s="52">
        <f t="array" aca="1" ref="NT25" ca="1">SUMPRODUCT((OFFSET($A25,0,31*(VLOOKUP(NT$5,Sprints[],5,FALSE))+DAY(VLOOKUP(NT$5,Sprints[],2,FALSE)),1,VLOOKUP(NT$5,Sprints[],4,FALSE))&lt;&gt;"")*(IF(OFFSET($A25,0,31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25" s="52">
        <f t="array" aca="1" ref="NU25" ca="1">SUMPRODUCT((OFFSET($A25,0,31*(VLOOKUP(NU$5,Sprints[],5,FALSE))+DAY(VLOOKUP(NU$5,Sprints[],2,FALSE)),1,VLOOKUP(NU$5,Sprints[],4,FALSE))&lt;&gt;"")*(IF(OFFSET($A25,0,31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5" s="52">
        <f t="array" aca="1" ref="NV25" ca="1">SUMPRODUCT((OFFSET($A25,0,31*(VLOOKUP(NV$5,Sprints[],5,FALSE))+DAY(VLOOKUP(NV$5,Sprints[],2,FALSE)),1,VLOOKUP(NV$5,Sprints[],4,FALSE))&lt;&gt;"")*(IF(OFFSET($A25,0,31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5" s="52">
        <f t="array" aca="1" ref="NW25" ca="1">SUMPRODUCT((OFFSET($A25,0,31*(VLOOKUP(NW$5,Sprints[],5,FALSE))+DAY(VLOOKUP(NW$5,Sprints[],2,FALSE)),1,VLOOKUP(NW$5,Sprints[],4,FALSE))&lt;&gt;"")*(IF(OFFSET($A25,0,31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5" s="52">
        <f t="array" aca="1" ref="NX25" ca="1">SUMPRODUCT((OFFSET($A25,0,31*(VLOOKUP(NX$5,Sprints[],5,FALSE))+DAY(VLOOKUP(NX$5,Sprints[],2,FALSE)),1,VLOOKUP(NX$5,Sprints[],4,FALSE))&lt;&gt;"")*(IF(OFFSET($A25,0,31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5" s="52">
        <f t="array" aca="1" ref="NY25" ca="1">SUMPRODUCT((OFFSET($A25,0,31*(VLOOKUP(NY$5,Sprints[],5,FALSE))+DAY(VLOOKUP(NY$5,Sprints[],2,FALSE)),1,VLOOKUP(NY$5,Sprints[],4,FALSE))&lt;&gt;"")*(IF(OFFSET($A25,0,31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5" s="52">
        <f t="array" aca="1" ref="NZ25" ca="1">SUMPRODUCT((OFFSET($A25,0,31*(VLOOKUP(NZ$5,Sprints[],5,FALSE))+DAY(VLOOKUP(NZ$5,Sprints[],2,FALSE)),1,VLOOKUP(NZ$5,Sprints[],4,FALSE))&lt;&gt;"")*(IF(OFFSET($A25,0,31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5" s="52">
        <f t="array" aca="1" ref="OA25" ca="1">SUMPRODUCT((OFFSET($A25,0,31*(VLOOKUP(OA$5,Sprints[],5,FALSE))+DAY(VLOOKUP(OA$5,Sprints[],2,FALSE)),1,VLOOKUP(OA$5,Sprints[],4,FALSE))&lt;&gt;"")*(IF(OFFSET($A25,0,31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26" spans="1:394" ht="15.5" customHeight="1" x14ac:dyDescent="0.45">
      <c r="A26" s="1" t="s">
        <v>77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 t="s">
        <v>33</v>
      </c>
      <c r="V26" s="2"/>
      <c r="W26" s="2"/>
      <c r="X26" s="2" t="s">
        <v>33</v>
      </c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 t="s">
        <v>33</v>
      </c>
      <c r="AV26" s="2"/>
      <c r="AW26" s="2" t="s">
        <v>33</v>
      </c>
      <c r="AX26" s="2" t="s">
        <v>31</v>
      </c>
      <c r="AY26" s="2"/>
      <c r="AZ26" s="2"/>
      <c r="BA26" s="2" t="s">
        <v>35</v>
      </c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 t="s">
        <v>33</v>
      </c>
      <c r="BP26" s="2"/>
      <c r="BQ26" s="2"/>
      <c r="BR26" s="2"/>
      <c r="BS26" s="2" t="s">
        <v>33</v>
      </c>
      <c r="BT26" s="2"/>
      <c r="BU26" s="2"/>
      <c r="BV26" s="2" t="s">
        <v>33</v>
      </c>
      <c r="BW26" s="2" t="s">
        <v>33</v>
      </c>
      <c r="BX26" s="2"/>
      <c r="BY26" s="2"/>
      <c r="BZ26" s="2"/>
      <c r="CA26" s="2"/>
      <c r="CB26" s="2"/>
      <c r="CC26" s="2" t="s">
        <v>33</v>
      </c>
      <c r="CD26" s="1"/>
      <c r="CE26" s="1"/>
      <c r="CF26" s="1"/>
      <c r="CG26" s="1"/>
      <c r="CH26" s="2"/>
      <c r="CI26" s="2"/>
      <c r="CJ26" s="2" t="s">
        <v>33</v>
      </c>
      <c r="CK26" s="2"/>
      <c r="CL26" s="2" t="s">
        <v>33</v>
      </c>
      <c r="CM26" s="2"/>
      <c r="CN26" s="2"/>
      <c r="CO26" s="2"/>
      <c r="CP26" s="2"/>
      <c r="CQ26" s="2"/>
      <c r="CR26" s="2" t="s">
        <v>35</v>
      </c>
      <c r="CS26" s="2"/>
      <c r="CT26" s="2"/>
      <c r="CU26" s="2"/>
      <c r="CV26" s="2"/>
      <c r="CW26" s="2"/>
      <c r="CX26" s="2"/>
      <c r="CY26" s="2"/>
      <c r="CZ26" s="2" t="s">
        <v>33</v>
      </c>
      <c r="DA26" s="2"/>
      <c r="DB26" s="2"/>
      <c r="DC26" s="2" t="s">
        <v>33</v>
      </c>
      <c r="DD26" s="2"/>
      <c r="DE26" s="2"/>
      <c r="DF26" s="2" t="s">
        <v>33</v>
      </c>
      <c r="DG26" s="2" t="s">
        <v>33</v>
      </c>
      <c r="DH26" s="2" t="s">
        <v>33</v>
      </c>
      <c r="DI26" s="2" t="s">
        <v>33</v>
      </c>
      <c r="DJ26" s="2" t="s">
        <v>33</v>
      </c>
      <c r="DK26" s="2"/>
      <c r="DL26" s="2"/>
      <c r="DM26" s="2" t="s">
        <v>31</v>
      </c>
      <c r="DN26" s="2" t="s">
        <v>31</v>
      </c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 t="s">
        <v>35</v>
      </c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 t="s">
        <v>35</v>
      </c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 t="s">
        <v>35</v>
      </c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 t="s">
        <v>35</v>
      </c>
      <c r="JO26" s="2" t="s">
        <v>35</v>
      </c>
      <c r="JP26" s="2"/>
      <c r="JQ26" s="2"/>
      <c r="JR26" s="2"/>
      <c r="JS26" s="2"/>
      <c r="JT26" s="2"/>
      <c r="JU26" s="2" t="s">
        <v>35</v>
      </c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 t="s">
        <v>35</v>
      </c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14">
        <f t="array" aca="1" ref="NJ26" ca="1">SUMPRODUCT((OFFSET($A26,0,31*($A$3-1)+1,1,31)&lt;&gt;"")*(IF(OFFSET($A26,0,31*($A$3-1)+1,1,31)=$OD$12,0.5,1)*(OFFSET($A$4,0,31*($A$3-1)+1,1,31))))</f>
        <v>1</v>
      </c>
      <c r="NK26" s="20">
        <f t="array" aca="1" ref="NK26" ca="1">SUMPRODUCT((OFFSET($A26,0,1,1,372)&lt;&gt;"")*(IF(OFFSET($A26,0,1,1,372)=$OD$12,0.5,1)*(OFFSET($A$3,0,1,1,372))))</f>
        <v>28.5</v>
      </c>
      <c r="NL26" s="28">
        <f t="array" aca="1" ref="NL26" ca="1">SUMPRODUCT((OFFSET($A26,0,31*($A$4)+DAY(Holidays!$E$2),1,Holidays!$G$2)&lt;&gt;"")*(IF(OFFSET($A26,0,31*($A$4)+DAY(Holidays!$E$2),1,Holidays!$G$2)=$OD$12,0.5,1)*(OFFSET($A$3,0,31*($A$4)+DAY(Holidays!$E$2),1,Holidays!$G$2))))</f>
        <v>23.5</v>
      </c>
      <c r="NM26" s="52">
        <f t="array" aca="1" ref="NM26" ca="1">SUMPRODUCT((OFFSET($A26,0,31*($A$4)+DAY(VLOOKUP(NM$5,Sprints[],2,FALSE)),1,VLOOKUP(NM$5,Sprints[],4,FALSE))&lt;&gt;"")*(IF(OFFSET($A26,0,31*($A$4)+DAY(VLOOKUP(NM$5,Sprints[],2,FALSE)),1,VLOOKUP(NM$5,Sprints[],4,FALSE))=$OD$12,0.5,1)*(OFFSET($A$3,0,31*($A$4)+DAY(VLOOKUP(NM$5,Sprints[],2,FALSE)),1,VLOOKUP(NM$5,Sprints[],4,FALSE)))))</f>
        <v>0</v>
      </c>
      <c r="NN26" s="52">
        <f t="array" aca="1" ref="NN26" ca="1">SUMPRODUCT((OFFSET($A26,0,31*($A$4)+DAY(VLOOKUP(NN$5,Sprints[],2,FALSE)),1,VLOOKUP(NN$5,Sprints[],4,FALSE))&lt;&gt;"")*(IF(OFFSET($A26,0,31*($A$4)+DAY(VLOOKUP(NN$5,Sprints[],2,FALSE)),1,VLOOKUP(NN$5,Sprints[],4,FALSE))=$OD$12,0.5,1)*(OFFSET($A$3,0,31*($A$4)+DAY(VLOOKUP(NN$5,Sprints[],2,FALSE)),1,VLOOKUP(NN$5,Sprints[],4,FALSE)))))</f>
        <v>2</v>
      </c>
      <c r="NO26" s="52">
        <f t="array" aca="1" ref="NO26" ca="1">SUMPRODUCT((OFFSET($A26,0,31*($A$4)+DAY(VLOOKUP(NO$5,Sprints[],2,FALSE)),1,VLOOKUP(NO$5,Sprints[],4,FALSE))&lt;&gt;"")*(IF(OFFSET($A26,0,31*($A$4)+DAY(VLOOKUP(NO$5,Sprints[],2,FALSE)),1,VLOOKUP(NO$5,Sprints[],4,FALSE))=$OD$12,0.5,1)*(OFFSET($A$3,0,31*($A$4)+DAY(VLOOKUP(NO$5,Sprints[],2,FALSE)),1,VLOOKUP(NO$5,Sprints[],4,FALSE)))))</f>
        <v>0</v>
      </c>
      <c r="NP26" s="52">
        <f t="array" aca="1" ref="NP26" ca="1">SUMPRODUCT((OFFSET($A26,0,31*(VLOOKUP(NP$5,Sprints[],5,FALSE))+DAY(VLOOKUP(NP$5,Sprints[],2,FALSE)),1,VLOOKUP(NP$5,Sprints[],4,FALSE))&lt;&gt;"")*(IF(OFFSET($A26,0,31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6" s="52">
        <f t="array" aca="1" ref="NQ26" ca="1">SUMPRODUCT((OFFSET($A26,0,31*(VLOOKUP(NQ$5,Sprints[],5,FALSE))+DAY(VLOOKUP(NQ$5,Sprints[],2,FALSE)),1,VLOOKUP(NQ$5,Sprints[],4,FALSE))&lt;&gt;"")*(IF(OFFSET($A26,0,31*(VLOOKUP(NQ$5,Sprints[],5,FALSE))+DAY(VLOOKUP(NQ$5,Sprints[],2,FALSE)),1,VLOOKUP(NQ$5,Sprints[],4,FALSE))=$OD$12,0.5,1)*(OFFSET($A$3,0,31*(VLOOKUP(NQ$5,Sprints[],5,FALSE))+DAY(VLOOKUP(NQ$5,Sprints[],2,FALSE)),1,VLOOKUP(NQ$5,Sprints[],4,FALSE)))))</f>
        <v>4</v>
      </c>
      <c r="NR26" s="52">
        <f t="array" aca="1" ref="NR26" ca="1">SUMPRODUCT((OFFSET($A26,0,31*(VLOOKUP(NR$5,Sprints[],5,FALSE))+DAY(VLOOKUP(NR$5,Sprints[],2,FALSE)),1,VLOOKUP(NR$5,Sprints[],4,FALSE))&lt;&gt;"")*(IF(OFFSET($A26,0,31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26" s="52">
        <f t="array" aca="1" ref="NS26" ca="1">SUMPRODUCT((OFFSET($A26,0,31*(VLOOKUP(NS$5,Sprints[],5,FALSE))+DAY(VLOOKUP(NS$5,Sprints[],2,FALSE)),1,VLOOKUP(NS$5,Sprints[],4,FALSE))&lt;&gt;"")*(IF(OFFSET($A26,0,31*(VLOOKUP(NS$5,Sprints[],5,FALSE))+DAY(VLOOKUP(NS$5,Sprints[],2,FALSE)),1,VLOOKUP(NS$5,Sprints[],4,FALSE))=$OD$12,0.5,1)*(OFFSET($A$3,0,31*(VLOOKUP(NS$5,Sprints[],5,FALSE))+DAY(VLOOKUP(NS$5,Sprints[],2,FALSE)),1,VLOOKUP(NS$5,Sprints[],4,FALSE)))))</f>
        <v>3</v>
      </c>
      <c r="NT26" s="52">
        <f t="array" aca="1" ref="NT26" ca="1">SUMPRODUCT((OFFSET($A26,0,31*(VLOOKUP(NT$5,Sprints[],5,FALSE))+DAY(VLOOKUP(NT$5,Sprints[],2,FALSE)),1,VLOOKUP(NT$5,Sprints[],4,FALSE))&lt;&gt;"")*(IF(OFFSET($A26,0,31*(VLOOKUP(NT$5,Sprints[],5,FALSE))+DAY(VLOOKUP(NT$5,Sprints[],2,FALSE)),1,VLOOKUP(NT$5,Sprints[],4,FALSE))=$OD$12,0.5,1)*(OFFSET($A$3,0,31*(VLOOKUP(NT$5,Sprints[],5,FALSE))+DAY(VLOOKUP(NT$5,Sprints[],2,FALSE)),1,VLOOKUP(NT$5,Sprints[],4,FALSE)))))</f>
        <v>3</v>
      </c>
      <c r="NU26" s="52">
        <f t="array" aca="1" ref="NU26" ca="1">SUMPRODUCT((OFFSET($A26,0,31*(VLOOKUP(NU$5,Sprints[],5,FALSE))+DAY(VLOOKUP(NU$5,Sprints[],2,FALSE)),1,VLOOKUP(NU$5,Sprints[],4,FALSE))&lt;&gt;"")*(IF(OFFSET($A26,0,31*(VLOOKUP(NU$5,Sprints[],5,FALSE))+DAY(VLOOKUP(NU$5,Sprints[],2,FALSE)),1,VLOOKUP(NU$5,Sprints[],4,FALSE))=$OD$12,0.5,1)*(OFFSET($A$3,0,31*(VLOOKUP(NU$5,Sprints[],5,FALSE))+DAY(VLOOKUP(NU$5,Sprints[],2,FALSE)),1,VLOOKUP(NU$5,Sprints[],4,FALSE)))))</f>
        <v>4</v>
      </c>
      <c r="NV26" s="52">
        <f t="array" aca="1" ref="NV26" ca="1">SUMPRODUCT((OFFSET($A26,0,31*(VLOOKUP(NV$5,Sprints[],5,FALSE))+DAY(VLOOKUP(NV$5,Sprints[],2,FALSE)),1,VLOOKUP(NV$5,Sprints[],4,FALSE))&lt;&gt;"")*(IF(OFFSET($A26,0,31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6" s="52">
        <f t="array" aca="1" ref="NW26" ca="1">SUMPRODUCT((OFFSET($A26,0,31*(VLOOKUP(NW$5,Sprints[],5,FALSE))+DAY(VLOOKUP(NW$5,Sprints[],2,FALSE)),1,VLOOKUP(NW$5,Sprints[],4,FALSE))&lt;&gt;"")*(IF(OFFSET($A26,0,31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6" s="52">
        <f t="array" aca="1" ref="NX26" ca="1">SUMPRODUCT((OFFSET($A26,0,31*(VLOOKUP(NX$5,Sprints[],5,FALSE))+DAY(VLOOKUP(NX$5,Sprints[],2,FALSE)),1,VLOOKUP(NX$5,Sprints[],4,FALSE))&lt;&gt;"")*(IF(OFFSET($A26,0,31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6" s="52">
        <f t="array" aca="1" ref="NY26" ca="1">SUMPRODUCT((OFFSET($A26,0,31*(VLOOKUP(NY$5,Sprints[],5,FALSE))+DAY(VLOOKUP(NY$5,Sprints[],2,FALSE)),1,VLOOKUP(NY$5,Sprints[],4,FALSE))&lt;&gt;"")*(IF(OFFSET($A26,0,31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6" s="52">
        <f t="array" aca="1" ref="NZ26" ca="1">SUMPRODUCT((OFFSET($A26,0,31*(VLOOKUP(NZ$5,Sprints[],5,FALSE))+DAY(VLOOKUP(NZ$5,Sprints[],2,FALSE)),1,VLOOKUP(NZ$5,Sprints[],4,FALSE))&lt;&gt;"")*(IF(OFFSET($A26,0,31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6" s="52">
        <f t="array" aca="1" ref="OA26" ca="1">SUMPRODUCT((OFFSET($A26,0,31*(VLOOKUP(OA$5,Sprints[],5,FALSE))+DAY(VLOOKUP(OA$5,Sprints[],2,FALSE)),1,VLOOKUP(OA$5,Sprints[],4,FALSE))&lt;&gt;"")*(IF(OFFSET($A26,0,31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27" spans="1:394" x14ac:dyDescent="0.45">
      <c r="A27" s="1" t="s">
        <v>78</v>
      </c>
      <c r="B27" s="2"/>
      <c r="C27" s="2"/>
      <c r="D27" s="2"/>
      <c r="E27" s="2"/>
      <c r="F27" s="2"/>
      <c r="G27" s="2" t="s">
        <v>33</v>
      </c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 t="s">
        <v>33</v>
      </c>
      <c r="AX27" s="2" t="s">
        <v>31</v>
      </c>
      <c r="AY27" s="2"/>
      <c r="AZ27" s="2"/>
      <c r="BA27" s="2" t="s">
        <v>35</v>
      </c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 t="s">
        <v>33</v>
      </c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 t="s">
        <v>33</v>
      </c>
      <c r="CO27" s="2"/>
      <c r="CP27" s="2"/>
      <c r="CQ27" s="2"/>
      <c r="CR27" s="2" t="s">
        <v>35</v>
      </c>
      <c r="CS27" s="2"/>
      <c r="CT27" s="2"/>
      <c r="CU27" s="2"/>
      <c r="CV27" s="2"/>
      <c r="CW27" s="2"/>
      <c r="CX27" s="2"/>
      <c r="CY27" s="2"/>
      <c r="CZ27" s="2"/>
      <c r="DA27" s="2"/>
      <c r="DB27" s="2" t="s">
        <v>33</v>
      </c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 t="s">
        <v>31</v>
      </c>
      <c r="DN27" s="2" t="s">
        <v>31</v>
      </c>
      <c r="DO27" s="2" t="s">
        <v>33</v>
      </c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 t="s">
        <v>35</v>
      </c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 t="s">
        <v>33</v>
      </c>
      <c r="FA27" s="2"/>
      <c r="FB27" s="2"/>
      <c r="FC27" s="2" t="s">
        <v>35</v>
      </c>
      <c r="FD27" s="2"/>
      <c r="FE27" s="2"/>
      <c r="FF27" s="2"/>
      <c r="FG27" s="2"/>
      <c r="FH27" s="2"/>
      <c r="FI27" s="2"/>
      <c r="FJ27" s="2" t="s">
        <v>33</v>
      </c>
      <c r="FK27" s="2" t="s">
        <v>33</v>
      </c>
      <c r="FL27" s="2"/>
      <c r="FM27" s="2"/>
      <c r="FN27" s="2"/>
      <c r="FO27" s="2"/>
      <c r="FP27" s="2"/>
      <c r="FQ27" s="2"/>
      <c r="FR27" s="2"/>
      <c r="FS27" s="2" t="s">
        <v>33</v>
      </c>
      <c r="FT27" s="2"/>
      <c r="FU27" s="2"/>
      <c r="FV27" s="2"/>
      <c r="FW27" s="2"/>
      <c r="FX27" s="2" t="s">
        <v>33</v>
      </c>
      <c r="FY27" s="2" t="s">
        <v>33</v>
      </c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 t="s">
        <v>35</v>
      </c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 t="s">
        <v>35</v>
      </c>
      <c r="JO27" s="2" t="s">
        <v>35</v>
      </c>
      <c r="JP27" s="2"/>
      <c r="JQ27" s="2"/>
      <c r="JR27" s="2"/>
      <c r="JS27" s="2"/>
      <c r="JT27" s="2"/>
      <c r="JU27" s="2" t="s">
        <v>35</v>
      </c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 t="s">
        <v>35</v>
      </c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14">
        <f t="array" aca="1" ref="NJ27" ca="1">SUMPRODUCT((OFFSET($A27,0,31*($A$3-1)+1,1,31)&lt;&gt;"")*(IF(OFFSET($A27,0,31*($A$3-1)+1,1,31)=$OD$12,0.5,1)*(OFFSET($A$4,0,31*($A$3-1)+1,1,31))))</f>
        <v>6</v>
      </c>
      <c r="NK27" s="20">
        <f t="array" aca="1" ref="NK27" ca="1">SUMPRODUCT((OFFSET($A27,0,1,1,372)&lt;&gt;"")*(IF(OFFSET($A27,0,1,1,372)=$OD$12,0.5,1)*(OFFSET($A$3,0,1,1,372))))</f>
        <v>22.5</v>
      </c>
      <c r="NL27" s="28">
        <f t="array" aca="1" ref="NL27" ca="1">SUMPRODUCT((OFFSET($A27,0,31*($A$4)+DAY(Holidays!$E$2),1,Holidays!$G$2)&lt;&gt;"")*(IF(OFFSET($A27,0,31*($A$4)+DAY(Holidays!$E$2),1,Holidays!$G$2)=$OD$12,0.5,1)*(OFFSET($A$3,0,31*($A$4)+DAY(Holidays!$E$2),1,Holidays!$G$2))))</f>
        <v>16.5</v>
      </c>
      <c r="NM27" s="52">
        <f t="array" aca="1" ref="NM27" ca="1">SUMPRODUCT((OFFSET($A27,0,31*($A$4)+DAY(VLOOKUP(NM$5,Sprints[],2,FALSE)),1,VLOOKUP(NM$5,Sprints[],4,FALSE))&lt;&gt;"")*(IF(OFFSET($A27,0,31*($A$4)+DAY(VLOOKUP(NM$5,Sprints[],2,FALSE)),1,VLOOKUP(NM$5,Sprints[],4,FALSE))=$OD$12,0.5,1)*(OFFSET($A$3,0,31*($A$4)+DAY(VLOOKUP(NM$5,Sprints[],2,FALSE)),1,VLOOKUP(NM$5,Sprints[],4,FALSE)))))</f>
        <v>0</v>
      </c>
      <c r="NN27" s="52">
        <f t="array" aca="1" ref="NN27" ca="1">SUMPRODUCT((OFFSET($A27,0,31*($A$4)+DAY(VLOOKUP(NN$5,Sprints[],2,FALSE)),1,VLOOKUP(NN$5,Sprints[],4,FALSE))&lt;&gt;"")*(IF(OFFSET($A27,0,31*($A$4)+DAY(VLOOKUP(NN$5,Sprints[],2,FALSE)),1,VLOOKUP(NN$5,Sprints[],4,FALSE))=$OD$12,0.5,1)*(OFFSET($A$3,0,31*($A$4)+DAY(VLOOKUP(NN$5,Sprints[],2,FALSE)),1,VLOOKUP(NN$5,Sprints[],4,FALSE)))))</f>
        <v>0</v>
      </c>
      <c r="NO27" s="52">
        <f t="array" aca="1" ref="NO27" ca="1">SUMPRODUCT((OFFSET($A27,0,31*($A$4)+DAY(VLOOKUP(NO$5,Sprints[],2,FALSE)),1,VLOOKUP(NO$5,Sprints[],4,FALSE))&lt;&gt;"")*(IF(OFFSET($A27,0,31*($A$4)+DAY(VLOOKUP(NO$5,Sprints[],2,FALSE)),1,VLOOKUP(NO$5,Sprints[],4,FALSE))=$OD$12,0.5,1)*(OFFSET($A$3,0,31*($A$4)+DAY(VLOOKUP(NO$5,Sprints[],2,FALSE)),1,VLOOKUP(NO$5,Sprints[],4,FALSE)))))</f>
        <v>1</v>
      </c>
      <c r="NP27" s="52">
        <f t="array" aca="1" ref="NP27" ca="1">SUMPRODUCT((OFFSET($A27,0,31*(VLOOKUP(NP$5,Sprints[],5,FALSE))+DAY(VLOOKUP(NP$5,Sprints[],2,FALSE)),1,VLOOKUP(NP$5,Sprints[],4,FALSE))&lt;&gt;"")*(IF(OFFSET($A27,0,31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7" s="52">
        <f t="array" aca="1" ref="NQ27" ca="1">SUMPRODUCT((OFFSET($A27,0,31*(VLOOKUP(NQ$5,Sprints[],5,FALSE))+DAY(VLOOKUP(NQ$5,Sprints[],2,FALSE)),1,VLOOKUP(NQ$5,Sprints[],4,FALSE))&lt;&gt;"")*(IF(OFFSET($A27,0,31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7" s="52">
        <f t="array" aca="1" ref="NR27" ca="1">SUMPRODUCT((OFFSET($A27,0,31*(VLOOKUP(NR$5,Sprints[],5,FALSE))+DAY(VLOOKUP(NR$5,Sprints[],2,FALSE)),1,VLOOKUP(NR$5,Sprints[],4,FALSE))&lt;&gt;"")*(IF(OFFSET($A27,0,31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27" s="52">
        <f t="array" aca="1" ref="NS27" ca="1">SUMPRODUCT((OFFSET($A27,0,31*(VLOOKUP(NS$5,Sprints[],5,FALSE))+DAY(VLOOKUP(NS$5,Sprints[],2,FALSE)),1,VLOOKUP(NS$5,Sprints[],4,FALSE))&lt;&gt;"")*(IF(OFFSET($A27,0,31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27" s="52">
        <f t="array" aca="1" ref="NT27" ca="1">SUMPRODUCT((OFFSET($A27,0,31*(VLOOKUP(NT$5,Sprints[],5,FALSE))+DAY(VLOOKUP(NT$5,Sprints[],2,FALSE)),1,VLOOKUP(NT$5,Sprints[],4,FALSE))&lt;&gt;"")*(IF(OFFSET($A27,0,31*(VLOOKUP(NT$5,Sprints[],5,FALSE))+DAY(VLOOKUP(NT$5,Sprints[],2,FALSE)),1,VLOOKUP(NT$5,Sprints[],4,FALSE))=$OD$12,0.5,1)*(OFFSET($A$3,0,31*(VLOOKUP(NT$5,Sprints[],5,FALSE))+DAY(VLOOKUP(NT$5,Sprints[],2,FALSE)),1,VLOOKUP(NT$5,Sprints[],4,FALSE)))))</f>
        <v>1</v>
      </c>
      <c r="NU27" s="52">
        <f t="array" aca="1" ref="NU27" ca="1">SUMPRODUCT((OFFSET($A27,0,31*(VLOOKUP(NU$5,Sprints[],5,FALSE))+DAY(VLOOKUP(NU$5,Sprints[],2,FALSE)),1,VLOOKUP(NU$5,Sprints[],4,FALSE))&lt;&gt;"")*(IF(OFFSET($A27,0,31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27" s="52">
        <f t="array" aca="1" ref="NV27" ca="1">SUMPRODUCT((OFFSET($A27,0,31*(VLOOKUP(NV$5,Sprints[],5,FALSE))+DAY(VLOOKUP(NV$5,Sprints[],2,FALSE)),1,VLOOKUP(NV$5,Sprints[],4,FALSE))&lt;&gt;"")*(IF(OFFSET($A27,0,31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7" s="52">
        <f t="array" aca="1" ref="NW27" ca="1">SUMPRODUCT((OFFSET($A27,0,31*(VLOOKUP(NW$5,Sprints[],5,FALSE))+DAY(VLOOKUP(NW$5,Sprints[],2,FALSE)),1,VLOOKUP(NW$5,Sprints[],4,FALSE))&lt;&gt;"")*(IF(OFFSET($A27,0,31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7" s="52">
        <f t="array" aca="1" ref="NX27" ca="1">SUMPRODUCT((OFFSET($A27,0,31*(VLOOKUP(NX$5,Sprints[],5,FALSE))+DAY(VLOOKUP(NX$5,Sprints[],2,FALSE)),1,VLOOKUP(NX$5,Sprints[],4,FALSE))&lt;&gt;"")*(IF(OFFSET($A27,0,31*(VLOOKUP(NX$5,Sprints[],5,FALSE))+DAY(VLOOKUP(NX$5,Sprints[],2,FALSE)),1,VLOOKUP(NX$5,Sprints[],4,FALSE))=$OD$12,0.5,1)*(OFFSET($A$3,0,31*(VLOOKUP(NX$5,Sprints[],5,FALSE))+DAY(VLOOKUP(NX$5,Sprints[],2,FALSE)),1,VLOOKUP(NX$5,Sprints[],4,FALSE)))))</f>
        <v>4</v>
      </c>
      <c r="NY27" s="52">
        <f t="array" aca="1" ref="NY27" ca="1">SUMPRODUCT((OFFSET($A27,0,31*(VLOOKUP(NY$5,Sprints[],5,FALSE))+DAY(VLOOKUP(NY$5,Sprints[],2,FALSE)),1,VLOOKUP(NY$5,Sprints[],4,FALSE))&lt;&gt;"")*(IF(OFFSET($A27,0,31*(VLOOKUP(NY$5,Sprints[],5,FALSE))+DAY(VLOOKUP(NY$5,Sprints[],2,FALSE)),1,VLOOKUP(NY$5,Sprints[],4,FALSE))=$OD$12,0.5,1)*(OFFSET($A$3,0,31*(VLOOKUP(NY$5,Sprints[],5,FALSE))+DAY(VLOOKUP(NY$5,Sprints[],2,FALSE)),1,VLOOKUP(NY$5,Sprints[],4,FALSE)))))</f>
        <v>3</v>
      </c>
      <c r="NZ27" s="52">
        <f t="array" aca="1" ref="NZ27" ca="1">SUMPRODUCT((OFFSET($A27,0,31*(VLOOKUP(NZ$5,Sprints[],5,FALSE))+DAY(VLOOKUP(NZ$5,Sprints[],2,FALSE)),1,VLOOKUP(NZ$5,Sprints[],4,FALSE))&lt;&gt;"")*(IF(OFFSET($A27,0,31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7" s="52">
        <f t="array" aca="1" ref="OA27" ca="1">SUMPRODUCT((OFFSET($A27,0,31*(VLOOKUP(OA$5,Sprints[],5,FALSE))+DAY(VLOOKUP(OA$5,Sprints[],2,FALSE)),1,VLOOKUP(OA$5,Sprints[],4,FALSE))&lt;&gt;"")*(IF(OFFSET($A27,0,31*(VLOOKUP(OA$5,Sprints[],5,FALSE))+DAY(VLOOKUP(OA$5,Sprints[],2,FALSE)),1,VLOOKUP(OA$5,Sprints[],4,FALSE))=$OD$12,0.5,1)*(OFFSET($A$3,0,31*(VLOOKUP(OA$5,Sprints[],5,FALSE))+DAY(VLOOKUP(OA$5,Sprints[],2,FALSE)),1,VLOOKUP(OA$5,Sprints[],4,FALSE)))))</f>
        <v>5</v>
      </c>
    </row>
    <row r="28" spans="1:394" x14ac:dyDescent="0.45">
      <c r="A28" s="1" t="s">
        <v>79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O28" s="2"/>
      <c r="P28" s="2"/>
      <c r="V28" s="2"/>
      <c r="W28" s="2"/>
      <c r="AC28" s="2"/>
      <c r="AD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 t="s">
        <v>33</v>
      </c>
      <c r="AX28" s="2" t="s">
        <v>31</v>
      </c>
      <c r="AY28" s="2"/>
      <c r="AZ28" s="2"/>
      <c r="BA28" s="2" t="s">
        <v>35</v>
      </c>
      <c r="BB28" s="2" t="s">
        <v>33</v>
      </c>
      <c r="BC28" s="2" t="s">
        <v>33</v>
      </c>
      <c r="BD28" s="2" t="s">
        <v>33</v>
      </c>
      <c r="BE28" s="2" t="s">
        <v>33</v>
      </c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1"/>
      <c r="CM28" s="1"/>
      <c r="CN28" s="1"/>
      <c r="CO28" s="2"/>
      <c r="CP28" s="2"/>
      <c r="CQ28" s="2"/>
      <c r="CR28" s="2" t="s">
        <v>35</v>
      </c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 t="s">
        <v>31</v>
      </c>
      <c r="DN28" s="2" t="s">
        <v>31</v>
      </c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 t="s">
        <v>35</v>
      </c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 t="s">
        <v>33</v>
      </c>
      <c r="EY28" s="2" t="s">
        <v>33</v>
      </c>
      <c r="EZ28" s="2" t="s">
        <v>33</v>
      </c>
      <c r="FA28" s="2"/>
      <c r="FB28" s="2"/>
      <c r="FC28" s="2" t="s">
        <v>35</v>
      </c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 t="s">
        <v>35</v>
      </c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 t="s">
        <v>35</v>
      </c>
      <c r="JO28" s="2" t="s">
        <v>35</v>
      </c>
      <c r="JP28" s="2"/>
      <c r="JQ28" s="2"/>
      <c r="JR28" s="2"/>
      <c r="JS28" s="2"/>
      <c r="JT28" s="2"/>
      <c r="JU28" s="2" t="s">
        <v>35</v>
      </c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 t="s">
        <v>35</v>
      </c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14">
        <f t="array" aca="1" ref="NJ28" ca="1">SUMPRODUCT((OFFSET($A28,0,31*($A$3-1)+1,1,31)&lt;&gt;"")*(IF(OFFSET($A28,0,31*($A$3-1)+1,1,31)=$OD$12,0.5,1)*(OFFSET($A$4,0,31*($A$3-1)+1,1,31))))</f>
        <v>1</v>
      </c>
      <c r="NK28" s="20">
        <f t="array" aca="1" ref="NK28" ca="1">SUMPRODUCT((OFFSET($A28,0,1,1,372)&lt;&gt;"")*(IF(OFFSET($A28,0,1,1,372)=$OD$12,0.5,1)*(OFFSET($A$3,0,1,1,372))))</f>
        <v>18.5</v>
      </c>
      <c r="NL28" s="28">
        <f t="array" aca="1" ref="NL28" ca="1">SUMPRODUCT((OFFSET($A28,0,31*($A$4)+DAY(Holidays!$E$2),1,Holidays!$G$2)&lt;&gt;"")*(IF(OFFSET($A28,0,31*($A$4)+DAY(Holidays!$E$2),1,Holidays!$G$2)=$OD$12,0.5,1)*(OFFSET($A$3,0,31*($A$4)+DAY(Holidays!$E$2),1,Holidays!$G$2))))</f>
        <v>13.5</v>
      </c>
      <c r="NM28" s="52">
        <f t="array" aca="1" ref="NM28" ca="1">SUMPRODUCT((OFFSET($A28,0,31*($A$4)+DAY(VLOOKUP(NM$5,Sprints[],2,FALSE)),1,VLOOKUP(NM$5,Sprints[],4,FALSE))&lt;&gt;"")*(IF(OFFSET($A28,0,31*($A$4)+DAY(VLOOKUP(NM$5,Sprints[],2,FALSE)),1,VLOOKUP(NM$5,Sprints[],4,FALSE))=$OD$12,0.5,1)*(OFFSET($A$3,0,31*($A$4)+DAY(VLOOKUP(NM$5,Sprints[],2,FALSE)),1,VLOOKUP(NM$5,Sprints[],4,FALSE)))))</f>
        <v>0</v>
      </c>
      <c r="NN28" s="52">
        <f t="array" aca="1" ref="NN28" ca="1">SUMPRODUCT((OFFSET($A28,0,31*($A$4)+DAY(VLOOKUP(NN$5,Sprints[],2,FALSE)),1,VLOOKUP(NN$5,Sprints[],4,FALSE))&lt;&gt;"")*(IF(OFFSET($A28,0,31*($A$4)+DAY(VLOOKUP(NN$5,Sprints[],2,FALSE)),1,VLOOKUP(NN$5,Sprints[],4,FALSE))=$OD$12,0.5,1)*(OFFSET($A$3,0,31*($A$4)+DAY(VLOOKUP(NN$5,Sprints[],2,FALSE)),1,VLOOKUP(NN$5,Sprints[],4,FALSE)))))</f>
        <v>0</v>
      </c>
      <c r="NO28" s="52">
        <f t="array" aca="1" ref="NO28" ca="1">SUMPRODUCT((OFFSET($A28,0,31*($A$4)+DAY(VLOOKUP(NO$5,Sprints[],2,FALSE)),1,VLOOKUP(NO$5,Sprints[],4,FALSE))&lt;&gt;"")*(IF(OFFSET($A28,0,31*($A$4)+DAY(VLOOKUP(NO$5,Sprints[],2,FALSE)),1,VLOOKUP(NO$5,Sprints[],4,FALSE))=$OD$12,0.5,1)*(OFFSET($A$3,0,31*($A$4)+DAY(VLOOKUP(NO$5,Sprints[],2,FALSE)),1,VLOOKUP(NO$5,Sprints[],4,FALSE)))))</f>
        <v>0</v>
      </c>
      <c r="NP28" s="52">
        <f t="array" aca="1" ref="NP28" ca="1">SUMPRODUCT((OFFSET($A28,0,31*(VLOOKUP(NP$5,Sprints[],5,FALSE))+DAY(VLOOKUP(NP$5,Sprints[],2,FALSE)),1,VLOOKUP(NP$5,Sprints[],4,FALSE))&lt;&gt;"")*(IF(OFFSET($A28,0,31*(VLOOKUP(NP$5,Sprints[],5,FALSE))+DAY(VLOOKUP(NP$5,Sprints[],2,FALSE)),1,VLOOKUP(NP$5,Sprints[],4,FALSE))=$OD$12,0.5,1)*(OFFSET($A$3,0,31*(VLOOKUP(NP$5,Sprints[],5,FALSE))+DAY(VLOOKUP(NP$5,Sprints[],2,FALSE)),1,VLOOKUP(NP$5,Sprints[],4,FALSE)))))</f>
        <v>6.5</v>
      </c>
      <c r="NQ28" s="52">
        <f t="array" aca="1" ref="NQ28" ca="1">SUMPRODUCT((OFFSET($A28,0,31*(VLOOKUP(NQ$5,Sprints[],5,FALSE))+DAY(VLOOKUP(NQ$5,Sprints[],2,FALSE)),1,VLOOKUP(NQ$5,Sprints[],4,FALSE))&lt;&gt;"")*(IF(OFFSET($A28,0,31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8" s="52">
        <f t="array" aca="1" ref="NR28" ca="1">SUMPRODUCT((OFFSET($A28,0,31*(VLOOKUP(NR$5,Sprints[],5,FALSE))+DAY(VLOOKUP(NR$5,Sprints[],2,FALSE)),1,VLOOKUP(NR$5,Sprints[],4,FALSE))&lt;&gt;"")*(IF(OFFSET($A28,0,31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28" s="52">
        <f t="array" aca="1" ref="NS28" ca="1">SUMPRODUCT((OFFSET($A28,0,31*(VLOOKUP(NS$5,Sprints[],5,FALSE))+DAY(VLOOKUP(NS$5,Sprints[],2,FALSE)),1,VLOOKUP(NS$5,Sprints[],4,FALSE))&lt;&gt;"")*(IF(OFFSET($A28,0,31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8" s="52">
        <f t="array" aca="1" ref="NT28" ca="1">SUMPRODUCT((OFFSET($A28,0,31*(VLOOKUP(NT$5,Sprints[],5,FALSE))+DAY(VLOOKUP(NT$5,Sprints[],2,FALSE)),1,VLOOKUP(NT$5,Sprints[],4,FALSE))&lt;&gt;"")*(IF(OFFSET($A28,0,31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8" s="52">
        <f t="array" aca="1" ref="NU28" ca="1">SUMPRODUCT((OFFSET($A28,0,31*(VLOOKUP(NU$5,Sprints[],5,FALSE))+DAY(VLOOKUP(NU$5,Sprints[],2,FALSE)),1,VLOOKUP(NU$5,Sprints[],4,FALSE))&lt;&gt;"")*(IF(OFFSET($A28,0,31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8" s="52">
        <f t="array" aca="1" ref="NV28" ca="1">SUMPRODUCT((OFFSET($A28,0,31*(VLOOKUP(NV$5,Sprints[],5,FALSE))+DAY(VLOOKUP(NV$5,Sprints[],2,FALSE)),1,VLOOKUP(NV$5,Sprints[],4,FALSE))&lt;&gt;"")*(IF(OFFSET($A28,0,31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8" s="52">
        <f t="array" aca="1" ref="NW28" ca="1">SUMPRODUCT((OFFSET($A28,0,31*(VLOOKUP(NW$5,Sprints[],5,FALSE))+DAY(VLOOKUP(NW$5,Sprints[],2,FALSE)),1,VLOOKUP(NW$5,Sprints[],4,FALSE))&lt;&gt;"")*(IF(OFFSET($A28,0,31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8" s="52">
        <f t="array" aca="1" ref="NX28" ca="1">SUMPRODUCT((OFFSET($A28,0,31*(VLOOKUP(NX$5,Sprints[],5,FALSE))+DAY(VLOOKUP(NX$5,Sprints[],2,FALSE)),1,VLOOKUP(NX$5,Sprints[],4,FALSE))&lt;&gt;"")*(IF(OFFSET($A28,0,31*(VLOOKUP(NX$5,Sprints[],5,FALSE))+DAY(VLOOKUP(NX$5,Sprints[],2,FALSE)),1,VLOOKUP(NX$5,Sprints[],4,FALSE))=$OD$12,0.5,1)*(OFFSET($A$3,0,31*(VLOOKUP(NX$5,Sprints[],5,FALSE))+DAY(VLOOKUP(NX$5,Sprints[],2,FALSE)),1,VLOOKUP(NX$5,Sprints[],4,FALSE)))))</f>
        <v>4</v>
      </c>
      <c r="NY28" s="52">
        <f t="array" aca="1" ref="NY28" ca="1">SUMPRODUCT((OFFSET($A28,0,31*(VLOOKUP(NY$5,Sprints[],5,FALSE))+DAY(VLOOKUP(NY$5,Sprints[],2,FALSE)),1,VLOOKUP(NY$5,Sprints[],4,FALSE))&lt;&gt;"")*(IF(OFFSET($A28,0,31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8" s="52">
        <f t="array" aca="1" ref="NZ28" ca="1">SUMPRODUCT((OFFSET($A28,0,31*(VLOOKUP(NZ$5,Sprints[],5,FALSE))+DAY(VLOOKUP(NZ$5,Sprints[],2,FALSE)),1,VLOOKUP(NZ$5,Sprints[],4,FALSE))&lt;&gt;"")*(IF(OFFSET($A28,0,31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8" s="52">
        <f t="array" aca="1" ref="OA28" ca="1">SUMPRODUCT((OFFSET($A28,0,31*(VLOOKUP(OA$5,Sprints[],5,FALSE))+DAY(VLOOKUP(OA$5,Sprints[],2,FALSE)),1,VLOOKUP(OA$5,Sprints[],4,FALSE))&lt;&gt;"")*(IF(OFFSET($A28,0,31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29" spans="1:394" x14ac:dyDescent="0.45">
      <c r="A29" t="s">
        <v>80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 t="s">
        <v>49</v>
      </c>
      <c r="N29" s="2" t="s">
        <v>49</v>
      </c>
      <c r="O29" s="2"/>
      <c r="P29" s="2"/>
      <c r="Q29" s="2" t="s">
        <v>49</v>
      </c>
      <c r="R29" s="2" t="s">
        <v>49</v>
      </c>
      <c r="S29" s="2" t="s">
        <v>49</v>
      </c>
      <c r="T29" s="2" t="s">
        <v>49</v>
      </c>
      <c r="U29" s="2" t="s">
        <v>49</v>
      </c>
      <c r="V29" s="2"/>
      <c r="W29" s="2"/>
      <c r="X29" s="2" t="s">
        <v>49</v>
      </c>
      <c r="Y29" s="2" t="s">
        <v>49</v>
      </c>
      <c r="Z29" s="2" t="s">
        <v>49</v>
      </c>
      <c r="AA29" s="2" t="s">
        <v>49</v>
      </c>
      <c r="AB29" s="2" t="s">
        <v>49</v>
      </c>
      <c r="AC29" s="2"/>
      <c r="AD29" s="2"/>
      <c r="AE29" s="2" t="s">
        <v>49</v>
      </c>
      <c r="AF29" s="2"/>
      <c r="AG29" s="2" t="s">
        <v>49</v>
      </c>
      <c r="AH29" s="2" t="s">
        <v>49</v>
      </c>
      <c r="AI29" s="2" t="s">
        <v>49</v>
      </c>
      <c r="AJ29" s="2" t="s">
        <v>49</v>
      </c>
      <c r="AK29" s="2"/>
      <c r="AL29" s="2"/>
      <c r="AM29" s="2" t="s">
        <v>49</v>
      </c>
      <c r="AN29" s="2" t="s">
        <v>49</v>
      </c>
      <c r="AO29" s="2" t="s">
        <v>49</v>
      </c>
      <c r="AP29" s="2" t="s">
        <v>49</v>
      </c>
      <c r="AQ29" s="2" t="s">
        <v>49</v>
      </c>
      <c r="AR29" s="2"/>
      <c r="AS29" s="2"/>
      <c r="AT29" s="2" t="s">
        <v>49</v>
      </c>
      <c r="AU29" s="2" t="s">
        <v>49</v>
      </c>
      <c r="AV29" s="2" t="s">
        <v>49</v>
      </c>
      <c r="AW29" s="2" t="s">
        <v>49</v>
      </c>
      <c r="AX29" s="2" t="s">
        <v>49</v>
      </c>
      <c r="AY29" s="2"/>
      <c r="AZ29" s="2"/>
      <c r="BA29" s="2" t="s">
        <v>35</v>
      </c>
      <c r="BB29" s="2" t="s">
        <v>49</v>
      </c>
      <c r="BC29" s="2" t="s">
        <v>49</v>
      </c>
      <c r="BD29" s="2" t="s">
        <v>49</v>
      </c>
      <c r="BE29" s="2" t="s">
        <v>49</v>
      </c>
      <c r="BF29" s="2"/>
      <c r="BG29" s="2"/>
      <c r="BH29" s="2" t="s">
        <v>49</v>
      </c>
      <c r="BI29" s="2" t="s">
        <v>49</v>
      </c>
      <c r="BJ29" s="2" t="s">
        <v>49</v>
      </c>
      <c r="BK29" s="2" t="s">
        <v>49</v>
      </c>
      <c r="BL29" s="2" t="s">
        <v>49</v>
      </c>
      <c r="BM29" s="2"/>
      <c r="BN29" s="2"/>
      <c r="BO29" s="2" t="s">
        <v>49</v>
      </c>
      <c r="BP29" s="2" t="s">
        <v>49</v>
      </c>
      <c r="BQ29" s="2" t="s">
        <v>49</v>
      </c>
      <c r="BR29" s="2" t="s">
        <v>49</v>
      </c>
      <c r="BS29" s="2" t="s">
        <v>49</v>
      </c>
      <c r="BT29" s="2"/>
      <c r="BU29" s="2"/>
      <c r="BV29" s="2" t="s">
        <v>49</v>
      </c>
      <c r="BW29" s="2" t="s">
        <v>49</v>
      </c>
      <c r="BX29" s="2" t="s">
        <v>49</v>
      </c>
      <c r="BY29" s="2" t="s">
        <v>49</v>
      </c>
      <c r="BZ29" s="2" t="s">
        <v>49</v>
      </c>
      <c r="CA29" s="2"/>
      <c r="CB29" s="2"/>
      <c r="CC29" s="2" t="s">
        <v>49</v>
      </c>
      <c r="CD29" s="2" t="s">
        <v>49</v>
      </c>
      <c r="CE29" s="2" t="s">
        <v>49</v>
      </c>
      <c r="CF29" s="2" t="s">
        <v>49</v>
      </c>
      <c r="CG29" s="2" t="s">
        <v>49</v>
      </c>
      <c r="CH29" s="2"/>
      <c r="CI29" s="2"/>
      <c r="CJ29" s="2" t="s">
        <v>49</v>
      </c>
      <c r="CK29" s="2" t="s">
        <v>49</v>
      </c>
      <c r="CL29" s="2" t="s">
        <v>49</v>
      </c>
      <c r="CM29" s="2" t="s">
        <v>49</v>
      </c>
      <c r="CN29" s="2" t="s">
        <v>49</v>
      </c>
      <c r="CO29" s="2"/>
      <c r="CP29" s="2"/>
      <c r="CQ29" s="2"/>
      <c r="CR29" s="2" t="s">
        <v>35</v>
      </c>
      <c r="CS29" s="2" t="s">
        <v>49</v>
      </c>
      <c r="CT29" s="2" t="s">
        <v>49</v>
      </c>
      <c r="CU29" s="2" t="s">
        <v>49</v>
      </c>
      <c r="CV29" s="2" t="s">
        <v>49</v>
      </c>
      <c r="CW29" s="2"/>
      <c r="CX29" s="2"/>
      <c r="CY29" s="2" t="s">
        <v>49</v>
      </c>
      <c r="CZ29" s="2" t="s">
        <v>49</v>
      </c>
      <c r="DA29" s="2" t="s">
        <v>49</v>
      </c>
      <c r="DB29" s="2" t="s">
        <v>49</v>
      </c>
      <c r="DC29" s="2" t="s">
        <v>49</v>
      </c>
      <c r="DD29" s="2"/>
      <c r="DE29" s="2"/>
      <c r="DF29" s="2" t="s">
        <v>49</v>
      </c>
      <c r="DG29" s="2" t="s">
        <v>49</v>
      </c>
      <c r="DH29" s="2" t="s">
        <v>49</v>
      </c>
      <c r="DI29" s="2" t="s">
        <v>49</v>
      </c>
      <c r="DJ29" s="2" t="s">
        <v>49</v>
      </c>
      <c r="DK29" s="2"/>
      <c r="DL29" s="2"/>
      <c r="DM29" s="2" t="s">
        <v>49</v>
      </c>
      <c r="DN29" s="2" t="s">
        <v>49</v>
      </c>
      <c r="DO29" s="2" t="s">
        <v>49</v>
      </c>
      <c r="DP29" s="2" t="s">
        <v>49</v>
      </c>
      <c r="DQ29" s="2" t="s">
        <v>49</v>
      </c>
      <c r="DR29" s="2"/>
      <c r="DS29" s="2"/>
      <c r="DT29" s="2" t="s">
        <v>49</v>
      </c>
      <c r="DU29" s="2" t="s">
        <v>49</v>
      </c>
      <c r="DV29" s="2" t="s">
        <v>49</v>
      </c>
      <c r="DW29" s="2" t="s">
        <v>49</v>
      </c>
      <c r="DX29" s="2" t="s">
        <v>49</v>
      </c>
      <c r="DY29" s="2"/>
      <c r="DZ29" s="2"/>
      <c r="EA29" s="2" t="s">
        <v>35</v>
      </c>
      <c r="EB29" s="2" t="s">
        <v>49</v>
      </c>
      <c r="EC29" s="2" t="s">
        <v>49</v>
      </c>
      <c r="ED29" s="2" t="s">
        <v>49</v>
      </c>
      <c r="EE29" s="2" t="s">
        <v>49</v>
      </c>
      <c r="EF29" s="2"/>
      <c r="EG29" s="2"/>
      <c r="EH29" s="2" t="s">
        <v>49</v>
      </c>
      <c r="EI29" s="2" t="s">
        <v>49</v>
      </c>
      <c r="EJ29" s="2" t="s">
        <v>49</v>
      </c>
      <c r="EK29" s="2" t="s">
        <v>49</v>
      </c>
      <c r="EL29" s="2" t="s">
        <v>49</v>
      </c>
      <c r="EM29" s="2"/>
      <c r="EN29" s="2"/>
      <c r="EO29" s="2" t="s">
        <v>49</v>
      </c>
      <c r="EP29" s="2" t="s">
        <v>49</v>
      </c>
      <c r="EQ29" s="2" t="s">
        <v>49</v>
      </c>
      <c r="ER29" s="2" t="s">
        <v>49</v>
      </c>
      <c r="ES29" s="2" t="s">
        <v>49</v>
      </c>
      <c r="ET29" s="2"/>
      <c r="EU29" s="2"/>
      <c r="EV29" s="2" t="s">
        <v>49</v>
      </c>
      <c r="EW29" s="2" t="s">
        <v>49</v>
      </c>
      <c r="EX29" s="2" t="s">
        <v>49</v>
      </c>
      <c r="EY29" s="2" t="s">
        <v>49</v>
      </c>
      <c r="EZ29" s="2" t="s">
        <v>49</v>
      </c>
      <c r="FA29" s="2"/>
      <c r="FB29" s="2"/>
      <c r="FC29" s="2" t="s">
        <v>35</v>
      </c>
      <c r="FD29" s="2" t="s">
        <v>49</v>
      </c>
      <c r="FE29" s="2" t="s">
        <v>49</v>
      </c>
      <c r="FF29" s="2" t="s">
        <v>49</v>
      </c>
      <c r="FG29" s="2" t="s">
        <v>49</v>
      </c>
      <c r="FH29" s="2"/>
      <c r="FI29" s="2"/>
      <c r="FJ29" s="2" t="s">
        <v>49</v>
      </c>
      <c r="FK29" s="2" t="s">
        <v>49</v>
      </c>
      <c r="FL29" s="2" t="s">
        <v>49</v>
      </c>
      <c r="FM29" s="2" t="s">
        <v>49</v>
      </c>
      <c r="FN29" s="2" t="s">
        <v>49</v>
      </c>
      <c r="FO29" s="2"/>
      <c r="FP29" s="2"/>
      <c r="FQ29" s="2" t="s">
        <v>49</v>
      </c>
      <c r="FR29" s="2" t="s">
        <v>49</v>
      </c>
      <c r="FS29" s="2" t="s">
        <v>49</v>
      </c>
      <c r="FT29" s="2" t="s">
        <v>49</v>
      </c>
      <c r="FU29" s="2" t="s">
        <v>49</v>
      </c>
      <c r="FV29" s="2"/>
      <c r="FW29" s="2"/>
      <c r="FX29" s="2" t="s">
        <v>49</v>
      </c>
      <c r="FY29" s="2" t="s">
        <v>49</v>
      </c>
      <c r="FZ29" s="2" t="s">
        <v>49</v>
      </c>
      <c r="GA29" s="2" t="s">
        <v>49</v>
      </c>
      <c r="GB29" s="2" t="s">
        <v>49</v>
      </c>
      <c r="GC29" s="2"/>
      <c r="GD29" s="2"/>
      <c r="GE29" s="2"/>
      <c r="GF29" s="2" t="s">
        <v>49</v>
      </c>
      <c r="GG29" s="2" t="s">
        <v>49</v>
      </c>
      <c r="GH29" s="2" t="s">
        <v>49</v>
      </c>
      <c r="GI29" s="2" t="s">
        <v>49</v>
      </c>
      <c r="GJ29" s="2" t="s">
        <v>49</v>
      </c>
      <c r="GK29" s="2"/>
      <c r="GL29" s="2"/>
      <c r="GM29" s="2" t="s">
        <v>35</v>
      </c>
      <c r="GN29" s="2" t="s">
        <v>49</v>
      </c>
      <c r="GO29" s="2" t="s">
        <v>49</v>
      </c>
      <c r="GP29" s="2" t="s">
        <v>49</v>
      </c>
      <c r="GQ29" s="2" t="s">
        <v>49</v>
      </c>
      <c r="GR29" s="2"/>
      <c r="GS29" s="2"/>
      <c r="GT29" s="2" t="s">
        <v>49</v>
      </c>
      <c r="GU29" s="2" t="s">
        <v>49</v>
      </c>
      <c r="GV29" s="2" t="s">
        <v>49</v>
      </c>
      <c r="GW29" s="2" t="s">
        <v>49</v>
      </c>
      <c r="GX29" s="2" t="s">
        <v>49</v>
      </c>
      <c r="GY29" s="2"/>
      <c r="GZ29" s="2"/>
      <c r="HA29" s="2" t="s">
        <v>49</v>
      </c>
      <c r="HB29" s="2" t="s">
        <v>49</v>
      </c>
      <c r="HC29" s="2" t="s">
        <v>49</v>
      </c>
      <c r="HD29" s="2" t="s">
        <v>49</v>
      </c>
      <c r="HE29" s="2" t="s">
        <v>49</v>
      </c>
      <c r="HF29" s="2"/>
      <c r="HG29" s="2"/>
      <c r="HH29" s="2" t="s">
        <v>49</v>
      </c>
      <c r="HI29" s="2" t="s">
        <v>49</v>
      </c>
      <c r="HJ29" s="2" t="s">
        <v>49</v>
      </c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 t="s">
        <v>35</v>
      </c>
      <c r="JO29" s="2" t="s">
        <v>35</v>
      </c>
      <c r="JP29" s="2"/>
      <c r="JQ29" s="2"/>
      <c r="JR29" s="2"/>
      <c r="JS29" s="2"/>
      <c r="JT29" s="2"/>
      <c r="JU29" s="2" t="s">
        <v>35</v>
      </c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 t="s">
        <v>35</v>
      </c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14">
        <f t="array" aca="1" ref="NJ29" ca="1">SUMPRODUCT((OFFSET($A29,0,31*($A$3-1)+1,1,31)&lt;&gt;"")*(IF(OFFSET($A29,0,31*($A$3-1)+1,1,31)=$OD$12,0.5,1)*(OFFSET($A$4,0,31*($A$3-1)+1,1,31))))</f>
        <v>20</v>
      </c>
      <c r="NK29" s="20">
        <f t="array" aca="1" ref="NK29" ca="1">SUMPRODUCT((OFFSET($A29,0,1,1,372)&lt;&gt;"")*(IF(OFFSET($A29,0,1,1,372)=$OD$12,0.5,1)*(OFFSET($A$3,0,1,1,372))))</f>
        <v>149</v>
      </c>
      <c r="NL29" s="28">
        <f t="array" aca="1" ref="NL29" ca="1">SUMPRODUCT((OFFSET($A29,0,31*($A$4)+DAY(Holidays!$E$2),1,Holidays!$G$2)&lt;&gt;"")*(IF(OFFSET($A29,0,31*($A$4)+DAY(Holidays!$E$2),1,Holidays!$G$2)=$OD$12,0.5,1)*(OFFSET($A$3,0,31*($A$4)+DAY(Holidays!$E$2),1,Holidays!$G$2))))</f>
        <v>124</v>
      </c>
      <c r="NM29" s="52">
        <f t="array" aca="1" ref="NM29" ca="1">SUMPRODUCT((OFFSET($A29,0,31*($A$4)+DAY(VLOOKUP(NM$5,Sprints[],2,FALSE)),1,VLOOKUP(NM$5,Sprints[],4,FALSE))&lt;&gt;"")*(IF(OFFSET($A29,0,31*($A$4)+DAY(VLOOKUP(NM$5,Sprints[],2,FALSE)),1,VLOOKUP(NM$5,Sprints[],4,FALSE))=$OD$12,0.5,1)*(OFFSET($A$3,0,31*($A$4)+DAY(VLOOKUP(NM$5,Sprints[],2,FALSE)),1,VLOOKUP(NM$5,Sprints[],4,FALSE)))))</f>
        <v>4</v>
      </c>
      <c r="NN29" s="52">
        <f t="array" aca="1" ref="NN29" ca="1">SUMPRODUCT((OFFSET($A29,0,31*($A$4)+DAY(VLOOKUP(NN$5,Sprints[],2,FALSE)),1,VLOOKUP(NN$5,Sprints[],4,FALSE))&lt;&gt;"")*(IF(OFFSET($A29,0,31*($A$4)+DAY(VLOOKUP(NN$5,Sprints[],2,FALSE)),1,VLOOKUP(NN$5,Sprints[],4,FALSE))=$OD$12,0.5,1)*(OFFSET($A$3,0,31*($A$4)+DAY(VLOOKUP(NN$5,Sprints[],2,FALSE)),1,VLOOKUP(NN$5,Sprints[],4,FALSE)))))</f>
        <v>10</v>
      </c>
      <c r="NO29" s="52">
        <f t="array" aca="1" ref="NO29" ca="1">SUMPRODUCT((OFFSET($A29,0,31*($A$4)+DAY(VLOOKUP(NO$5,Sprints[],2,FALSE)),1,VLOOKUP(NO$5,Sprints[],4,FALSE))&lt;&gt;"")*(IF(OFFSET($A29,0,31*($A$4)+DAY(VLOOKUP(NO$5,Sprints[],2,FALSE)),1,VLOOKUP(NO$5,Sprints[],4,FALSE))=$OD$12,0.5,1)*(OFFSET($A$3,0,31*($A$4)+DAY(VLOOKUP(NO$5,Sprints[],2,FALSE)),1,VLOOKUP(NO$5,Sprints[],4,FALSE)))))</f>
        <v>2</v>
      </c>
      <c r="NP29" s="52">
        <f t="array" aca="1" ref="NP29" ca="1">SUMPRODUCT((OFFSET($A29,0,31*(VLOOKUP(NP$5,Sprints[],5,FALSE))+DAY(VLOOKUP(NP$5,Sprints[],2,FALSE)),1,VLOOKUP(NP$5,Sprints[],4,FALSE))&lt;&gt;"")*(IF(OFFSET($A29,0,31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29" s="52">
        <f t="array" aca="1" ref="NQ29" ca="1">SUMPRODUCT((OFFSET($A29,0,31*(VLOOKUP(NQ$5,Sprints[],5,FALSE))+DAY(VLOOKUP(NQ$5,Sprints[],2,FALSE)),1,VLOOKUP(NQ$5,Sprints[],4,FALSE))&lt;&gt;"")*(IF(OFFSET($A29,0,31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29" s="52">
        <f t="array" aca="1" ref="NR29" ca="1">SUMPRODUCT((OFFSET($A29,0,31*(VLOOKUP(NR$5,Sprints[],5,FALSE))+DAY(VLOOKUP(NR$5,Sprints[],2,FALSE)),1,VLOOKUP(NR$5,Sprints[],4,FALSE))&lt;&gt;"")*(IF(OFFSET($A29,0,31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29" s="52">
        <f t="array" aca="1" ref="NS29" ca="1">SUMPRODUCT((OFFSET($A29,0,31*(VLOOKUP(NS$5,Sprints[],5,FALSE))+DAY(VLOOKUP(NS$5,Sprints[],2,FALSE)),1,VLOOKUP(NS$5,Sprints[],4,FALSE))&lt;&gt;"")*(IF(OFFSET($A29,0,31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29" s="52">
        <f t="array" aca="1" ref="NT29" ca="1">SUMPRODUCT((OFFSET($A29,0,31*(VLOOKUP(NT$5,Sprints[],5,FALSE))+DAY(VLOOKUP(NT$5,Sprints[],2,FALSE)),1,VLOOKUP(NT$5,Sprints[],4,FALSE))&lt;&gt;"")*(IF(OFFSET($A29,0,31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29" s="52">
        <f t="array" aca="1" ref="NU29" ca="1">SUMPRODUCT((OFFSET($A29,0,31*(VLOOKUP(NU$5,Sprints[],5,FALSE))+DAY(VLOOKUP(NU$5,Sprints[],2,FALSE)),1,VLOOKUP(NU$5,Sprints[],4,FALSE))&lt;&gt;"")*(IF(OFFSET($A29,0,31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29" s="52">
        <f t="array" aca="1" ref="NV29" ca="1">SUMPRODUCT((OFFSET($A29,0,31*(VLOOKUP(NV$5,Sprints[],5,FALSE))+DAY(VLOOKUP(NV$5,Sprints[],2,FALSE)),1,VLOOKUP(NV$5,Sprints[],4,FALSE))&lt;&gt;"")*(IF(OFFSET($A29,0,31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29" s="52">
        <f t="array" aca="1" ref="NW29" ca="1">SUMPRODUCT((OFFSET($A29,0,31*(VLOOKUP(NW$5,Sprints[],5,FALSE))+DAY(VLOOKUP(NW$5,Sprints[],2,FALSE)),1,VLOOKUP(NW$5,Sprints[],4,FALSE))&lt;&gt;"")*(IF(OFFSET($A29,0,31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29" s="52">
        <f t="array" aca="1" ref="NX29" ca="1">SUMPRODUCT((OFFSET($A29,0,31*(VLOOKUP(NX$5,Sprints[],5,FALSE))+DAY(VLOOKUP(NX$5,Sprints[],2,FALSE)),1,VLOOKUP(NX$5,Sprints[],4,FALSE))&lt;&gt;"")*(IF(OFFSET($A29,0,31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29" s="52">
        <f t="array" aca="1" ref="NY29" ca="1">SUMPRODUCT((OFFSET($A29,0,31*(VLOOKUP(NY$5,Sprints[],5,FALSE))+DAY(VLOOKUP(NY$5,Sprints[],2,FALSE)),1,VLOOKUP(NY$5,Sprints[],4,FALSE))&lt;&gt;"")*(IF(OFFSET($A29,0,31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29" s="52">
        <f t="array" aca="1" ref="NZ29" ca="1">SUMPRODUCT((OFFSET($A29,0,31*(VLOOKUP(NZ$5,Sprints[],5,FALSE))+DAY(VLOOKUP(NZ$5,Sprints[],2,FALSE)),1,VLOOKUP(NZ$5,Sprints[],4,FALSE))&lt;&gt;"")*(IF(OFFSET($A29,0,31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29" s="52">
        <f t="array" aca="1" ref="OA29" ca="1">SUMPRODUCT((OFFSET($A29,0,31*(VLOOKUP(OA$5,Sprints[],5,FALSE))+DAY(VLOOKUP(OA$5,Sprints[],2,FALSE)),1,VLOOKUP(OA$5,Sprints[],4,FALSE))&lt;&gt;"")*(IF(OFFSET($A29,0,31*(VLOOKUP(OA$5,Sprints[],5,FALSE))+DAY(VLOOKUP(OA$5,Sprints[],2,FALSE)),1,VLOOKUP(OA$5,Sprints[],4,FALSE))=$OD$12,0.5,1)*(OFFSET($A$3,0,31*(VLOOKUP(OA$5,Sprints[],5,FALSE))+DAY(VLOOKUP(OA$5,Sprints[],2,FALSE)),1,VLOOKUP(OA$5,Sprints[],4,FALSE)))))</f>
        <v>19</v>
      </c>
    </row>
    <row r="30" spans="1:394" x14ac:dyDescent="0.45">
      <c r="A30" s="5" t="s">
        <v>81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 t="s">
        <v>49</v>
      </c>
      <c r="N30" s="2" t="s">
        <v>49</v>
      </c>
      <c r="O30" s="2"/>
      <c r="P30" s="2"/>
      <c r="Q30" s="2" t="s">
        <v>49</v>
      </c>
      <c r="R30" s="2" t="s">
        <v>49</v>
      </c>
      <c r="S30" s="2" t="s">
        <v>49</v>
      </c>
      <c r="T30" s="2" t="s">
        <v>49</v>
      </c>
      <c r="U30" s="2" t="s">
        <v>49</v>
      </c>
      <c r="V30" s="2"/>
      <c r="W30" s="2"/>
      <c r="X30" s="2" t="s">
        <v>49</v>
      </c>
      <c r="Y30" s="2" t="s">
        <v>49</v>
      </c>
      <c r="Z30" s="2" t="s">
        <v>49</v>
      </c>
      <c r="AA30" s="2" t="s">
        <v>49</v>
      </c>
      <c r="AB30" s="2" t="s">
        <v>49</v>
      </c>
      <c r="AC30" s="2"/>
      <c r="AD30" s="2"/>
      <c r="AE30" s="2" t="s">
        <v>49</v>
      </c>
      <c r="AF30" s="2"/>
      <c r="AG30" s="2" t="s">
        <v>49</v>
      </c>
      <c r="AH30" s="2" t="s">
        <v>49</v>
      </c>
      <c r="AI30" s="2" t="s">
        <v>49</v>
      </c>
      <c r="AJ30" s="2" t="s">
        <v>49</v>
      </c>
      <c r="AK30" s="2"/>
      <c r="AL30" s="2"/>
      <c r="AM30" s="2" t="s">
        <v>49</v>
      </c>
      <c r="AN30" s="2" t="s">
        <v>49</v>
      </c>
      <c r="AO30" s="2" t="s">
        <v>49</v>
      </c>
      <c r="AP30" s="2" t="s">
        <v>49</v>
      </c>
      <c r="AQ30" s="2" t="s">
        <v>49</v>
      </c>
      <c r="AR30" s="2"/>
      <c r="AS30" s="2"/>
      <c r="AT30" s="2" t="s">
        <v>49</v>
      </c>
      <c r="AU30" s="2" t="s">
        <v>49</v>
      </c>
      <c r="AV30" s="2" t="s">
        <v>49</v>
      </c>
      <c r="AW30" s="2" t="s">
        <v>49</v>
      </c>
      <c r="AX30" s="2" t="s">
        <v>49</v>
      </c>
      <c r="AY30" s="2"/>
      <c r="AZ30" s="2"/>
      <c r="BA30" s="2" t="s">
        <v>35</v>
      </c>
      <c r="BB30" s="2" t="s">
        <v>49</v>
      </c>
      <c r="BC30" s="2" t="s">
        <v>49</v>
      </c>
      <c r="BD30" s="2" t="s">
        <v>49</v>
      </c>
      <c r="BE30" s="2" t="s">
        <v>49</v>
      </c>
      <c r="BF30" s="2"/>
      <c r="BG30" s="2"/>
      <c r="BH30" s="2" t="s">
        <v>49</v>
      </c>
      <c r="BI30" s="2" t="s">
        <v>49</v>
      </c>
      <c r="BJ30" s="2" t="s">
        <v>49</v>
      </c>
      <c r="BK30" s="2" t="s">
        <v>49</v>
      </c>
      <c r="BL30" s="2" t="s">
        <v>49</v>
      </c>
      <c r="BM30" s="2"/>
      <c r="BN30" s="2"/>
      <c r="BO30" s="2" t="s">
        <v>49</v>
      </c>
      <c r="BP30" s="2" t="s">
        <v>49</v>
      </c>
      <c r="BQ30" s="2" t="s">
        <v>49</v>
      </c>
      <c r="BR30" s="2" t="s">
        <v>49</v>
      </c>
      <c r="BS30" s="2" t="s">
        <v>49</v>
      </c>
      <c r="BT30" s="2"/>
      <c r="BU30" s="2"/>
      <c r="BV30" s="2" t="s">
        <v>49</v>
      </c>
      <c r="BW30" s="2" t="s">
        <v>49</v>
      </c>
      <c r="BX30" s="2" t="s">
        <v>49</v>
      </c>
      <c r="BY30" s="2" t="s">
        <v>49</v>
      </c>
      <c r="BZ30" s="2" t="s">
        <v>49</v>
      </c>
      <c r="CA30" s="2"/>
      <c r="CB30" s="2"/>
      <c r="CC30" s="2" t="s">
        <v>49</v>
      </c>
      <c r="CD30" s="2" t="s">
        <v>49</v>
      </c>
      <c r="CE30" s="2" t="s">
        <v>49</v>
      </c>
      <c r="CF30" s="2" t="s">
        <v>49</v>
      </c>
      <c r="CG30" s="2" t="s">
        <v>49</v>
      </c>
      <c r="CH30" s="2"/>
      <c r="CI30" s="2"/>
      <c r="CJ30" s="2" t="s">
        <v>49</v>
      </c>
      <c r="CK30" s="2" t="s">
        <v>49</v>
      </c>
      <c r="CL30" s="2" t="s">
        <v>49</v>
      </c>
      <c r="CM30" s="2" t="s">
        <v>49</v>
      </c>
      <c r="CN30" s="2" t="s">
        <v>49</v>
      </c>
      <c r="CO30" s="2"/>
      <c r="CP30" s="2"/>
      <c r="CQ30" s="2"/>
      <c r="CR30" s="2" t="s">
        <v>35</v>
      </c>
      <c r="CS30" s="2" t="s">
        <v>49</v>
      </c>
      <c r="CT30" s="2" t="s">
        <v>49</v>
      </c>
      <c r="CU30" s="2" t="s">
        <v>49</v>
      </c>
      <c r="CV30" s="2" t="s">
        <v>49</v>
      </c>
      <c r="CW30" s="2"/>
      <c r="CX30" s="2"/>
      <c r="CY30" s="2" t="s">
        <v>49</v>
      </c>
      <c r="CZ30" s="2" t="s">
        <v>49</v>
      </c>
      <c r="DA30" s="2" t="s">
        <v>49</v>
      </c>
      <c r="DB30" s="2" t="s">
        <v>49</v>
      </c>
      <c r="DC30" s="2" t="s">
        <v>49</v>
      </c>
      <c r="DD30" s="2"/>
      <c r="DE30" s="2"/>
      <c r="DF30" s="2" t="s">
        <v>49</v>
      </c>
      <c r="DG30" s="2" t="s">
        <v>49</v>
      </c>
      <c r="DH30" s="2" t="s">
        <v>49</v>
      </c>
      <c r="DI30" s="2" t="s">
        <v>49</v>
      </c>
      <c r="DJ30" s="2" t="s">
        <v>49</v>
      </c>
      <c r="DK30" s="2"/>
      <c r="DL30" s="2"/>
      <c r="DM30" s="2" t="s">
        <v>49</v>
      </c>
      <c r="DN30" s="2" t="s">
        <v>49</v>
      </c>
      <c r="DO30" s="2" t="s">
        <v>49</v>
      </c>
      <c r="DP30" s="2" t="s">
        <v>49</v>
      </c>
      <c r="DQ30" s="2" t="s">
        <v>49</v>
      </c>
      <c r="DR30" s="2"/>
      <c r="DS30" s="2"/>
      <c r="DT30" s="2" t="s">
        <v>49</v>
      </c>
      <c r="DU30" s="2" t="s">
        <v>49</v>
      </c>
      <c r="DV30" s="2" t="s">
        <v>49</v>
      </c>
      <c r="DW30" s="2" t="s">
        <v>49</v>
      </c>
      <c r="DX30" s="2" t="s">
        <v>49</v>
      </c>
      <c r="DY30" s="2"/>
      <c r="DZ30" s="2"/>
      <c r="EA30" s="2" t="s">
        <v>35</v>
      </c>
      <c r="EB30" s="2" t="s">
        <v>49</v>
      </c>
      <c r="EC30" s="2" t="s">
        <v>49</v>
      </c>
      <c r="ED30" s="2" t="s">
        <v>49</v>
      </c>
      <c r="EE30" s="2" t="s">
        <v>49</v>
      </c>
      <c r="EF30" s="2"/>
      <c r="EG30" s="2"/>
      <c r="EH30" s="2" t="s">
        <v>49</v>
      </c>
      <c r="EI30" s="2" t="s">
        <v>49</v>
      </c>
      <c r="EJ30" s="2" t="s">
        <v>49</v>
      </c>
      <c r="EK30" s="2" t="s">
        <v>49</v>
      </c>
      <c r="EL30" s="2" t="s">
        <v>49</v>
      </c>
      <c r="EM30" s="2"/>
      <c r="EN30" s="2"/>
      <c r="EO30" s="2" t="s">
        <v>49</v>
      </c>
      <c r="EP30" s="2" t="s">
        <v>49</v>
      </c>
      <c r="EQ30" s="2" t="s">
        <v>49</v>
      </c>
      <c r="ER30" s="2" t="s">
        <v>49</v>
      </c>
      <c r="ES30" s="2" t="s">
        <v>49</v>
      </c>
      <c r="ET30" s="2"/>
      <c r="EU30" s="2"/>
      <c r="EV30" s="2" t="s">
        <v>49</v>
      </c>
      <c r="EW30" s="2" t="s">
        <v>49</v>
      </c>
      <c r="EX30" s="2" t="s">
        <v>49</v>
      </c>
      <c r="EY30" s="2" t="s">
        <v>49</v>
      </c>
      <c r="EZ30" s="2" t="s">
        <v>49</v>
      </c>
      <c r="FA30" s="2"/>
      <c r="FB30" s="2"/>
      <c r="FC30" s="2" t="s">
        <v>35</v>
      </c>
      <c r="FD30" s="2" t="s">
        <v>49</v>
      </c>
      <c r="FE30" s="2" t="s">
        <v>49</v>
      </c>
      <c r="FF30" s="2" t="s">
        <v>49</v>
      </c>
      <c r="FG30" s="2" t="s">
        <v>49</v>
      </c>
      <c r="FH30" s="2"/>
      <c r="FI30" s="2"/>
      <c r="FJ30" s="2" t="s">
        <v>49</v>
      </c>
      <c r="FK30" s="2" t="s">
        <v>49</v>
      </c>
      <c r="FL30" s="2" t="s">
        <v>49</v>
      </c>
      <c r="FM30" s="2" t="s">
        <v>49</v>
      </c>
      <c r="FN30" s="2" t="s">
        <v>49</v>
      </c>
      <c r="FO30" s="2"/>
      <c r="FP30" s="2"/>
      <c r="FQ30" s="2" t="s">
        <v>49</v>
      </c>
      <c r="FR30" s="2" t="s">
        <v>49</v>
      </c>
      <c r="FS30" s="2" t="s">
        <v>49</v>
      </c>
      <c r="FT30" s="2" t="s">
        <v>49</v>
      </c>
      <c r="FU30" s="2" t="s">
        <v>49</v>
      </c>
      <c r="FV30" s="2"/>
      <c r="FW30" s="2"/>
      <c r="FX30" s="2" t="s">
        <v>49</v>
      </c>
      <c r="FY30" s="2" t="s">
        <v>49</v>
      </c>
      <c r="FZ30" s="2" t="s">
        <v>49</v>
      </c>
      <c r="GA30" s="2" t="s">
        <v>49</v>
      </c>
      <c r="GB30" s="2" t="s">
        <v>49</v>
      </c>
      <c r="GC30" s="2"/>
      <c r="GD30" s="2"/>
      <c r="GE30" s="2"/>
      <c r="GF30" s="2" t="s">
        <v>49</v>
      </c>
      <c r="GG30" s="2" t="s">
        <v>49</v>
      </c>
      <c r="GH30" s="2" t="s">
        <v>49</v>
      </c>
      <c r="GI30" s="2" t="s">
        <v>49</v>
      </c>
      <c r="GJ30" s="2" t="s">
        <v>49</v>
      </c>
      <c r="GK30" s="2"/>
      <c r="GL30" s="2"/>
      <c r="GM30" s="2" t="s">
        <v>35</v>
      </c>
      <c r="GN30" s="2" t="s">
        <v>49</v>
      </c>
      <c r="GO30" s="2" t="s">
        <v>49</v>
      </c>
      <c r="GP30" s="2" t="s">
        <v>49</v>
      </c>
      <c r="GQ30" s="2" t="s">
        <v>49</v>
      </c>
      <c r="GR30" s="2"/>
      <c r="GS30" s="2"/>
      <c r="GT30" s="2" t="s">
        <v>49</v>
      </c>
      <c r="GU30" s="2" t="s">
        <v>49</v>
      </c>
      <c r="GV30" s="2" t="s">
        <v>49</v>
      </c>
      <c r="GW30" s="2" t="s">
        <v>49</v>
      </c>
      <c r="GX30" s="2" t="s">
        <v>49</v>
      </c>
      <c r="GY30" s="2"/>
      <c r="GZ30" s="2"/>
      <c r="HA30" s="2" t="s">
        <v>49</v>
      </c>
      <c r="HB30" s="2" t="s">
        <v>49</v>
      </c>
      <c r="HC30" s="2" t="s">
        <v>49</v>
      </c>
      <c r="HD30" s="2" t="s">
        <v>49</v>
      </c>
      <c r="HE30" s="2" t="s">
        <v>49</v>
      </c>
      <c r="HF30" s="2"/>
      <c r="HG30" s="2"/>
      <c r="HH30" s="2" t="s">
        <v>49</v>
      </c>
      <c r="HI30" s="2" t="s">
        <v>49</v>
      </c>
      <c r="HJ30" s="2" t="s">
        <v>49</v>
      </c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 t="s">
        <v>35</v>
      </c>
      <c r="JO30" s="2" t="s">
        <v>35</v>
      </c>
      <c r="JP30" s="2"/>
      <c r="JQ30" s="2"/>
      <c r="JR30" s="2"/>
      <c r="JS30" s="2"/>
      <c r="JT30" s="2"/>
      <c r="JU30" s="2" t="s">
        <v>35</v>
      </c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 t="s">
        <v>35</v>
      </c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14">
        <f t="array" aca="1" ref="NJ30" ca="1">SUMPRODUCT((OFFSET($A30,0,31*($A$3-1)+1,1,31)&lt;&gt;"")*(IF(OFFSET($A30,0,31*($A$3-1)+1,1,31)=$OD$12,0.5,1)*(OFFSET($A$4,0,31*($A$3-1)+1,1,31))))</f>
        <v>20</v>
      </c>
      <c r="NK30" s="20">
        <f t="array" aca="1" ref="NK30" ca="1">SUMPRODUCT((OFFSET($A30,0,1,1,372)&lt;&gt;"")*(IF(OFFSET($A30,0,1,1,372)=$OD$12,0.5,1)*(OFFSET($A$3,0,1,1,372))))</f>
        <v>149</v>
      </c>
      <c r="NL30" s="28">
        <f t="array" aca="1" ref="NL30" ca="1">SUMPRODUCT((OFFSET($A30,0,31*($A$4)+DAY(Holidays!$E$2),1,Holidays!$G$2)&lt;&gt;"")*(IF(OFFSET($A30,0,31*($A$4)+DAY(Holidays!$E$2),1,Holidays!$G$2)=$OD$12,0.5,1)*(OFFSET($A$3,0,31*($A$4)+DAY(Holidays!$E$2),1,Holidays!$G$2))))</f>
        <v>124</v>
      </c>
      <c r="NM30" s="52">
        <f t="array" aca="1" ref="NM30" ca="1">SUMPRODUCT((OFFSET($A30,0,31*($A$4)+DAY(VLOOKUP(NM$5,Sprints[],2,FALSE)),1,VLOOKUP(NM$5,Sprints[],4,FALSE))&lt;&gt;"")*(IF(OFFSET($A30,0,31*($A$4)+DAY(VLOOKUP(NM$5,Sprints[],2,FALSE)),1,VLOOKUP(NM$5,Sprints[],4,FALSE))=$OD$12,0.5,1)*(OFFSET($A$3,0,31*($A$4)+DAY(VLOOKUP(NM$5,Sprints[],2,FALSE)),1,VLOOKUP(NM$5,Sprints[],4,FALSE)))))</f>
        <v>4</v>
      </c>
      <c r="NN30" s="52">
        <f t="array" aca="1" ref="NN30" ca="1">SUMPRODUCT((OFFSET($A30,0,31*($A$4)+DAY(VLOOKUP(NN$5,Sprints[],2,FALSE)),1,VLOOKUP(NN$5,Sprints[],4,FALSE))&lt;&gt;"")*(IF(OFFSET($A30,0,31*($A$4)+DAY(VLOOKUP(NN$5,Sprints[],2,FALSE)),1,VLOOKUP(NN$5,Sprints[],4,FALSE))=$OD$12,0.5,1)*(OFFSET($A$3,0,31*($A$4)+DAY(VLOOKUP(NN$5,Sprints[],2,FALSE)),1,VLOOKUP(NN$5,Sprints[],4,FALSE)))))</f>
        <v>10</v>
      </c>
      <c r="NO30" s="52">
        <f t="array" aca="1" ref="NO30" ca="1">SUMPRODUCT((OFFSET($A30,0,31*($A$4)+DAY(VLOOKUP(NO$5,Sprints[],2,FALSE)),1,VLOOKUP(NO$5,Sprints[],4,FALSE))&lt;&gt;"")*(IF(OFFSET($A30,0,31*($A$4)+DAY(VLOOKUP(NO$5,Sprints[],2,FALSE)),1,VLOOKUP(NO$5,Sprints[],4,FALSE))=$OD$12,0.5,1)*(OFFSET($A$3,0,31*($A$4)+DAY(VLOOKUP(NO$5,Sprints[],2,FALSE)),1,VLOOKUP(NO$5,Sprints[],4,FALSE)))))</f>
        <v>2</v>
      </c>
      <c r="NP30" s="52">
        <f t="array" aca="1" ref="NP30" ca="1">SUMPRODUCT((OFFSET($A30,0,31*(VLOOKUP(NP$5,Sprints[],5,FALSE))+DAY(VLOOKUP(NP$5,Sprints[],2,FALSE)),1,VLOOKUP(NP$5,Sprints[],4,FALSE))&lt;&gt;"")*(IF(OFFSET($A30,0,31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0" s="52">
        <f t="array" aca="1" ref="NQ30" ca="1">SUMPRODUCT((OFFSET($A30,0,31*(VLOOKUP(NQ$5,Sprints[],5,FALSE))+DAY(VLOOKUP(NQ$5,Sprints[],2,FALSE)),1,VLOOKUP(NQ$5,Sprints[],4,FALSE))&lt;&gt;"")*(IF(OFFSET($A30,0,31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0" s="52">
        <f t="array" aca="1" ref="NR30" ca="1">SUMPRODUCT((OFFSET($A30,0,31*(VLOOKUP(NR$5,Sprints[],5,FALSE))+DAY(VLOOKUP(NR$5,Sprints[],2,FALSE)),1,VLOOKUP(NR$5,Sprints[],4,FALSE))&lt;&gt;"")*(IF(OFFSET($A30,0,31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0" s="52">
        <f t="array" aca="1" ref="NS30" ca="1">SUMPRODUCT((OFFSET($A30,0,31*(VLOOKUP(NS$5,Sprints[],5,FALSE))+DAY(VLOOKUP(NS$5,Sprints[],2,FALSE)),1,VLOOKUP(NS$5,Sprints[],4,FALSE))&lt;&gt;"")*(IF(OFFSET($A30,0,31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0" s="52">
        <f t="array" aca="1" ref="NT30" ca="1">SUMPRODUCT((OFFSET($A30,0,31*(VLOOKUP(NT$5,Sprints[],5,FALSE))+DAY(VLOOKUP(NT$5,Sprints[],2,FALSE)),1,VLOOKUP(NT$5,Sprints[],4,FALSE))&lt;&gt;"")*(IF(OFFSET($A30,0,31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0" s="52">
        <f t="array" aca="1" ref="NU30" ca="1">SUMPRODUCT((OFFSET($A30,0,31*(VLOOKUP(NU$5,Sprints[],5,FALSE))+DAY(VLOOKUP(NU$5,Sprints[],2,FALSE)),1,VLOOKUP(NU$5,Sprints[],4,FALSE))&lt;&gt;"")*(IF(OFFSET($A30,0,31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0" s="52">
        <f t="array" aca="1" ref="NV30" ca="1">SUMPRODUCT((OFFSET($A30,0,31*(VLOOKUP(NV$5,Sprints[],5,FALSE))+DAY(VLOOKUP(NV$5,Sprints[],2,FALSE)),1,VLOOKUP(NV$5,Sprints[],4,FALSE))&lt;&gt;"")*(IF(OFFSET($A30,0,31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0" s="52">
        <f t="array" aca="1" ref="NW30" ca="1">SUMPRODUCT((OFFSET($A30,0,31*(VLOOKUP(NW$5,Sprints[],5,FALSE))+DAY(VLOOKUP(NW$5,Sprints[],2,FALSE)),1,VLOOKUP(NW$5,Sprints[],4,FALSE))&lt;&gt;"")*(IF(OFFSET($A30,0,31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0" s="52">
        <f t="array" aca="1" ref="NX30" ca="1">SUMPRODUCT((OFFSET($A30,0,31*(VLOOKUP(NX$5,Sprints[],5,FALSE))+DAY(VLOOKUP(NX$5,Sprints[],2,FALSE)),1,VLOOKUP(NX$5,Sprints[],4,FALSE))&lt;&gt;"")*(IF(OFFSET($A30,0,31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0" s="52">
        <f t="array" aca="1" ref="NY30" ca="1">SUMPRODUCT((OFFSET($A30,0,31*(VLOOKUP(NY$5,Sprints[],5,FALSE))+DAY(VLOOKUP(NY$5,Sprints[],2,FALSE)),1,VLOOKUP(NY$5,Sprints[],4,FALSE))&lt;&gt;"")*(IF(OFFSET($A30,0,31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0" s="52">
        <f t="array" aca="1" ref="NZ30" ca="1">SUMPRODUCT((OFFSET($A30,0,31*(VLOOKUP(NZ$5,Sprints[],5,FALSE))+DAY(VLOOKUP(NZ$5,Sprints[],2,FALSE)),1,VLOOKUP(NZ$5,Sprints[],4,FALSE))&lt;&gt;"")*(IF(OFFSET($A30,0,31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0" s="52">
        <f t="array" aca="1" ref="OA30" ca="1">SUMPRODUCT((OFFSET($A30,0,31*(VLOOKUP(OA$5,Sprints[],5,FALSE))+DAY(VLOOKUP(OA$5,Sprints[],2,FALSE)),1,VLOOKUP(OA$5,Sprints[],4,FALSE))&lt;&gt;"")*(IF(OFFSET($A30,0,31*(VLOOKUP(OA$5,Sprints[],5,FALSE))+DAY(VLOOKUP(OA$5,Sprints[],2,FALSE)),1,VLOOKUP(OA$5,Sprints[],4,FALSE))=$OD$12,0.5,1)*(OFFSET($A$3,0,31*(VLOOKUP(OA$5,Sprints[],5,FALSE))+DAY(VLOOKUP(OA$5,Sprints[],2,FALSE)),1,VLOOKUP(OA$5,Sprints[],4,FALSE)))))</f>
        <v>19</v>
      </c>
      <c r="OC30" s="57"/>
    </row>
    <row r="31" spans="1:394" x14ac:dyDescent="0.45">
      <c r="A31" s="1" t="s">
        <v>82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 t="s">
        <v>33</v>
      </c>
      <c r="AX31" s="2" t="s">
        <v>31</v>
      </c>
      <c r="AY31" s="2"/>
      <c r="AZ31" s="2"/>
      <c r="BA31" s="2" t="s">
        <v>35</v>
      </c>
      <c r="BB31" s="2" t="s">
        <v>33</v>
      </c>
      <c r="BC31" s="2"/>
      <c r="BD31" s="2"/>
      <c r="BE31" s="2"/>
      <c r="BF31" s="2"/>
      <c r="BG31" s="2"/>
      <c r="BH31" s="2"/>
      <c r="BI31" s="2"/>
      <c r="BJ31" s="2"/>
      <c r="BK31" s="2"/>
      <c r="BL31" s="2" t="s">
        <v>33</v>
      </c>
      <c r="BM31" s="2"/>
      <c r="BN31" s="2"/>
      <c r="BO31" s="2"/>
      <c r="BP31" s="2"/>
      <c r="BQ31" s="2"/>
      <c r="BR31" s="2"/>
      <c r="BS31" s="2" t="s">
        <v>33</v>
      </c>
      <c r="BT31" s="2"/>
      <c r="BU31" s="2"/>
      <c r="BV31" s="2"/>
      <c r="BW31" s="2"/>
      <c r="BX31" s="2"/>
      <c r="BY31" s="2"/>
      <c r="BZ31" s="2" t="s">
        <v>49</v>
      </c>
      <c r="CA31" s="2"/>
      <c r="CB31" s="2"/>
      <c r="CC31" s="2" t="s">
        <v>49</v>
      </c>
      <c r="CD31" s="2" t="s">
        <v>49</v>
      </c>
      <c r="CE31" s="2" t="s">
        <v>49</v>
      </c>
      <c r="CF31" s="2" t="s">
        <v>49</v>
      </c>
      <c r="CG31" s="2" t="s">
        <v>49</v>
      </c>
      <c r="CH31" s="2"/>
      <c r="CI31" s="2"/>
      <c r="CJ31" s="2" t="s">
        <v>49</v>
      </c>
      <c r="CK31" s="2" t="s">
        <v>49</v>
      </c>
      <c r="CL31" s="2" t="s">
        <v>49</v>
      </c>
      <c r="CM31" s="2" t="s">
        <v>49</v>
      </c>
      <c r="CN31" s="2" t="s">
        <v>49</v>
      </c>
      <c r="CO31" s="2"/>
      <c r="CP31" s="2"/>
      <c r="CQ31" s="2"/>
      <c r="CR31" s="2" t="s">
        <v>35</v>
      </c>
      <c r="CS31" s="2" t="s">
        <v>49</v>
      </c>
      <c r="CT31" s="2" t="s">
        <v>49</v>
      </c>
      <c r="CU31" s="2" t="s">
        <v>49</v>
      </c>
      <c r="CV31" s="2" t="s">
        <v>49</v>
      </c>
      <c r="CW31" s="2"/>
      <c r="CX31" s="2"/>
      <c r="CY31" s="2" t="s">
        <v>49</v>
      </c>
      <c r="CZ31" s="2" t="s">
        <v>49</v>
      </c>
      <c r="DA31" s="2" t="s">
        <v>49</v>
      </c>
      <c r="DB31" s="2" t="s">
        <v>49</v>
      </c>
      <c r="DC31" s="2" t="s">
        <v>49</v>
      </c>
      <c r="DD31" s="2"/>
      <c r="DE31" s="2"/>
      <c r="DF31" s="2" t="s">
        <v>49</v>
      </c>
      <c r="DG31" s="2" t="s">
        <v>49</v>
      </c>
      <c r="DH31" s="2" t="s">
        <v>49</v>
      </c>
      <c r="DI31" s="2" t="s">
        <v>49</v>
      </c>
      <c r="DJ31" s="2" t="s">
        <v>49</v>
      </c>
      <c r="DK31" s="2"/>
      <c r="DL31" s="2"/>
      <c r="DM31" s="2" t="s">
        <v>49</v>
      </c>
      <c r="DN31" s="2" t="s">
        <v>49</v>
      </c>
      <c r="DO31" s="2" t="s">
        <v>49</v>
      </c>
      <c r="DP31" s="2" t="s">
        <v>49</v>
      </c>
      <c r="DQ31" s="2" t="s">
        <v>49</v>
      </c>
      <c r="DR31" s="2"/>
      <c r="DS31" s="2"/>
      <c r="DT31" s="2" t="s">
        <v>49</v>
      </c>
      <c r="DU31" s="2" t="s">
        <v>49</v>
      </c>
      <c r="DV31" s="2" t="s">
        <v>49</v>
      </c>
      <c r="DW31" s="2" t="s">
        <v>49</v>
      </c>
      <c r="DX31" s="2" t="s">
        <v>49</v>
      </c>
      <c r="DY31" s="2"/>
      <c r="DZ31" s="2"/>
      <c r="EA31" s="2" t="s">
        <v>35</v>
      </c>
      <c r="EB31" s="2" t="s">
        <v>49</v>
      </c>
      <c r="EC31" s="2" t="s">
        <v>49</v>
      </c>
      <c r="ED31" s="2" t="s">
        <v>49</v>
      </c>
      <c r="EE31" s="2" t="s">
        <v>49</v>
      </c>
      <c r="EF31" s="2"/>
      <c r="EG31" s="2"/>
      <c r="EH31" s="2" t="s">
        <v>49</v>
      </c>
      <c r="EI31" s="2" t="s">
        <v>49</v>
      </c>
      <c r="EJ31" s="2" t="s">
        <v>49</v>
      </c>
      <c r="EK31" s="2" t="s">
        <v>49</v>
      </c>
      <c r="EL31" s="2" t="s">
        <v>49</v>
      </c>
      <c r="EM31" s="2"/>
      <c r="EN31" s="2"/>
      <c r="EO31" s="2" t="s">
        <v>49</v>
      </c>
      <c r="EP31" s="2" t="s">
        <v>49</v>
      </c>
      <c r="EQ31" s="2" t="s">
        <v>49</v>
      </c>
      <c r="ER31" s="2" t="s">
        <v>49</v>
      </c>
      <c r="ES31" s="2" t="s">
        <v>49</v>
      </c>
      <c r="ET31" s="2"/>
      <c r="EU31" s="2"/>
      <c r="EV31" s="2" t="s">
        <v>49</v>
      </c>
      <c r="EW31" s="2" t="s">
        <v>49</v>
      </c>
      <c r="EX31" s="2" t="s">
        <v>49</v>
      </c>
      <c r="EY31" s="2" t="s">
        <v>49</v>
      </c>
      <c r="EZ31" s="2" t="s">
        <v>49</v>
      </c>
      <c r="FA31" s="2"/>
      <c r="FB31" s="2"/>
      <c r="FC31" s="2" t="s">
        <v>35</v>
      </c>
      <c r="FD31" s="2" t="s">
        <v>49</v>
      </c>
      <c r="FE31" s="2" t="s">
        <v>49</v>
      </c>
      <c r="FF31" s="2" t="s">
        <v>49</v>
      </c>
      <c r="FG31" s="2" t="s">
        <v>49</v>
      </c>
      <c r="FH31" s="2"/>
      <c r="FI31" s="2"/>
      <c r="FJ31" s="2" t="s">
        <v>49</v>
      </c>
      <c r="FK31" s="2" t="s">
        <v>49</v>
      </c>
      <c r="FL31" s="2" t="s">
        <v>49</v>
      </c>
      <c r="FM31" s="2" t="s">
        <v>49</v>
      </c>
      <c r="FN31" s="2" t="s">
        <v>49</v>
      </c>
      <c r="FO31" s="2"/>
      <c r="FP31" s="2"/>
      <c r="FQ31" s="2" t="s">
        <v>49</v>
      </c>
      <c r="FR31" s="2" t="s">
        <v>49</v>
      </c>
      <c r="FS31" s="2" t="s">
        <v>49</v>
      </c>
      <c r="FT31" s="2" t="s">
        <v>49</v>
      </c>
      <c r="FU31" s="2" t="s">
        <v>49</v>
      </c>
      <c r="FV31" s="2"/>
      <c r="FW31" s="2"/>
      <c r="FX31" s="2" t="s">
        <v>49</v>
      </c>
      <c r="FY31" s="2" t="s">
        <v>49</v>
      </c>
      <c r="FZ31" s="2" t="s">
        <v>49</v>
      </c>
      <c r="GA31" s="2" t="s">
        <v>49</v>
      </c>
      <c r="GB31" s="2" t="s">
        <v>49</v>
      </c>
      <c r="GC31" s="2"/>
      <c r="GD31" s="2"/>
      <c r="GE31" s="2"/>
      <c r="GF31" s="2" t="s">
        <v>49</v>
      </c>
      <c r="GG31" s="2" t="s">
        <v>49</v>
      </c>
      <c r="GH31" s="2" t="s">
        <v>49</v>
      </c>
      <c r="GI31" s="2" t="s">
        <v>49</v>
      </c>
      <c r="GJ31" s="2" t="s">
        <v>49</v>
      </c>
      <c r="GK31" s="2"/>
      <c r="GL31" s="2"/>
      <c r="GM31" s="2" t="s">
        <v>35</v>
      </c>
      <c r="GN31" s="2" t="s">
        <v>49</v>
      </c>
      <c r="GO31" s="2" t="s">
        <v>49</v>
      </c>
      <c r="GP31" s="2" t="s">
        <v>49</v>
      </c>
      <c r="GQ31" s="2" t="s">
        <v>49</v>
      </c>
      <c r="GR31" s="2"/>
      <c r="GS31" s="2"/>
      <c r="GT31" s="2" t="s">
        <v>49</v>
      </c>
      <c r="GU31" s="2" t="s">
        <v>49</v>
      </c>
      <c r="GV31" s="2" t="s">
        <v>49</v>
      </c>
      <c r="GW31" s="2" t="s">
        <v>49</v>
      </c>
      <c r="GX31" s="2" t="s">
        <v>49</v>
      </c>
      <c r="GY31" s="2"/>
      <c r="GZ31" s="2"/>
      <c r="HA31" s="2" t="s">
        <v>49</v>
      </c>
      <c r="HB31" s="2" t="s">
        <v>49</v>
      </c>
      <c r="HC31" s="2" t="s">
        <v>49</v>
      </c>
      <c r="HD31" s="2" t="s">
        <v>49</v>
      </c>
      <c r="HE31" s="2" t="s">
        <v>49</v>
      </c>
      <c r="HF31" s="2"/>
      <c r="HG31" s="2"/>
      <c r="HH31" s="2" t="s">
        <v>49</v>
      </c>
      <c r="HI31" s="2" t="s">
        <v>49</v>
      </c>
      <c r="HJ31" s="2" t="s">
        <v>49</v>
      </c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 t="s">
        <v>35</v>
      </c>
      <c r="JO31" s="2" t="s">
        <v>35</v>
      </c>
      <c r="JP31" s="2"/>
      <c r="JQ31" s="2"/>
      <c r="JR31" s="2"/>
      <c r="JS31" s="2"/>
      <c r="JT31" s="2"/>
      <c r="JU31" s="2" t="s">
        <v>35</v>
      </c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 t="s">
        <v>35</v>
      </c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14">
        <f t="array" aca="1" ref="NJ31" ca="1">SUMPRODUCT((OFFSET($A31,0,31*($A$3-1)+1,1,31)&lt;&gt;"")*(IF(OFFSET($A31,0,31*($A$3-1)+1,1,31)=$OD$12,0.5,1)*(OFFSET($A$4,0,31*($A$3-1)+1,1,31))))</f>
        <v>20</v>
      </c>
      <c r="NK31" s="20">
        <f t="array" aca="1" ref="NK31" ca="1">SUMPRODUCT((OFFSET($A31,0,1,1,372)&lt;&gt;"")*(IF(OFFSET($A31,0,1,1,372)=$OD$12,0.5,1)*(OFFSET($A$3,0,1,1,372))))</f>
        <v>108.5</v>
      </c>
      <c r="NL31" s="28">
        <f t="array" aca="1" ref="NL31" ca="1">SUMPRODUCT((OFFSET($A31,0,31*($A$4)+DAY(Holidays!$E$2),1,Holidays!$G$2)&lt;&gt;"")*(IF(OFFSET($A31,0,31*($A$4)+DAY(Holidays!$E$2),1,Holidays!$G$2)=$OD$12,0.5,1)*(OFFSET($A$3,0,31*($A$4)+DAY(Holidays!$E$2),1,Holidays!$G$2))))</f>
        <v>83.5</v>
      </c>
      <c r="NM31" s="52">
        <f t="array" aca="1" ref="NM31" ca="1">SUMPRODUCT((OFFSET($A31,0,31*($A$4)+DAY(VLOOKUP(NM$5,Sprints[],2,FALSE)),1,VLOOKUP(NM$5,Sprints[],4,FALSE))&lt;&gt;"")*(IF(OFFSET($A31,0,31*($A$4)+DAY(VLOOKUP(NM$5,Sprints[],2,FALSE)),1,VLOOKUP(NM$5,Sprints[],4,FALSE))=$OD$12,0.5,1)*(OFFSET($A$3,0,31*($A$4)+DAY(VLOOKUP(NM$5,Sprints[],2,FALSE)),1,VLOOKUP(NM$5,Sprints[],4,FALSE)))))</f>
        <v>0</v>
      </c>
      <c r="NN31" s="52">
        <f t="array" aca="1" ref="NN31" ca="1">SUMPRODUCT((OFFSET($A31,0,31*($A$4)+DAY(VLOOKUP(NN$5,Sprints[],2,FALSE)),1,VLOOKUP(NN$5,Sprints[],4,FALSE))&lt;&gt;"")*(IF(OFFSET($A31,0,31*($A$4)+DAY(VLOOKUP(NN$5,Sprints[],2,FALSE)),1,VLOOKUP(NN$5,Sprints[],4,FALSE))=$OD$12,0.5,1)*(OFFSET($A$3,0,31*($A$4)+DAY(VLOOKUP(NN$5,Sprints[],2,FALSE)),1,VLOOKUP(NN$5,Sprints[],4,FALSE)))))</f>
        <v>0</v>
      </c>
      <c r="NO31" s="52">
        <f t="array" aca="1" ref="NO31" ca="1">SUMPRODUCT((OFFSET($A31,0,31*($A$4)+DAY(VLOOKUP(NO$5,Sprints[],2,FALSE)),1,VLOOKUP(NO$5,Sprints[],4,FALSE))&lt;&gt;"")*(IF(OFFSET($A31,0,31*($A$4)+DAY(VLOOKUP(NO$5,Sprints[],2,FALSE)),1,VLOOKUP(NO$5,Sprints[],4,FALSE))=$OD$12,0.5,1)*(OFFSET($A$3,0,31*($A$4)+DAY(VLOOKUP(NO$5,Sprints[],2,FALSE)),1,VLOOKUP(NO$5,Sprints[],4,FALSE)))))</f>
        <v>0</v>
      </c>
      <c r="NP31" s="52">
        <f t="array" aca="1" ref="NP31" ca="1">SUMPRODUCT((OFFSET($A31,0,31*(VLOOKUP(NP$5,Sprints[],5,FALSE))+DAY(VLOOKUP(NP$5,Sprints[],2,FALSE)),1,VLOOKUP(NP$5,Sprints[],4,FALSE))&lt;&gt;"")*(IF(OFFSET($A31,0,31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31" s="52">
        <f t="array" aca="1" ref="NQ31" ca="1">SUMPRODUCT((OFFSET($A31,0,31*(VLOOKUP(NQ$5,Sprints[],5,FALSE))+DAY(VLOOKUP(NQ$5,Sprints[],2,FALSE)),1,VLOOKUP(NQ$5,Sprints[],4,FALSE))&lt;&gt;"")*(IF(OFFSET($A31,0,31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31" s="52">
        <f t="array" aca="1" ref="NR31" ca="1">SUMPRODUCT((OFFSET($A31,0,31*(VLOOKUP(NR$5,Sprints[],5,FALSE))+DAY(VLOOKUP(NR$5,Sprints[],2,FALSE)),1,VLOOKUP(NR$5,Sprints[],4,FALSE))&lt;&gt;"")*(IF(OFFSET($A31,0,31*(VLOOKUP(NR$5,Sprints[],5,FALSE))+DAY(VLOOKUP(NR$5,Sprints[],2,FALSE)),1,VLOOKUP(NR$5,Sprints[],4,FALSE))=$OD$12,0.5,1)*(OFFSET($A$3,0,31*(VLOOKUP(NR$5,Sprints[],5,FALSE))+DAY(VLOOKUP(NR$5,Sprints[],2,FALSE)),1,VLOOKUP(NR$5,Sprints[],4,FALSE)))))</f>
        <v>8</v>
      </c>
      <c r="NS31" s="52">
        <f t="array" aca="1" ref="NS31" ca="1">SUMPRODUCT((OFFSET($A31,0,31*(VLOOKUP(NS$5,Sprints[],5,FALSE))+DAY(VLOOKUP(NS$5,Sprints[],2,FALSE)),1,VLOOKUP(NS$5,Sprints[],4,FALSE))&lt;&gt;"")*(IF(OFFSET($A31,0,31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1" s="52">
        <f t="array" aca="1" ref="NT31" ca="1">SUMPRODUCT((OFFSET($A31,0,31*(VLOOKUP(NT$5,Sprints[],5,FALSE))+DAY(VLOOKUP(NT$5,Sprints[],2,FALSE)),1,VLOOKUP(NT$5,Sprints[],4,FALSE))&lt;&gt;"")*(IF(OFFSET($A31,0,31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1" s="52">
        <f t="array" aca="1" ref="NU31" ca="1">SUMPRODUCT((OFFSET($A31,0,31*(VLOOKUP(NU$5,Sprints[],5,FALSE))+DAY(VLOOKUP(NU$5,Sprints[],2,FALSE)),1,VLOOKUP(NU$5,Sprints[],4,FALSE))&lt;&gt;"")*(IF(OFFSET($A31,0,31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1" s="52">
        <f t="array" aca="1" ref="NV31" ca="1">SUMPRODUCT((OFFSET($A31,0,31*(VLOOKUP(NV$5,Sprints[],5,FALSE))+DAY(VLOOKUP(NV$5,Sprints[],2,FALSE)),1,VLOOKUP(NV$5,Sprints[],4,FALSE))&lt;&gt;"")*(IF(OFFSET($A31,0,31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1" s="52">
        <f t="array" aca="1" ref="NW31" ca="1">SUMPRODUCT((OFFSET($A31,0,31*(VLOOKUP(NW$5,Sprints[],5,FALSE))+DAY(VLOOKUP(NW$5,Sprints[],2,FALSE)),1,VLOOKUP(NW$5,Sprints[],4,FALSE))&lt;&gt;"")*(IF(OFFSET($A31,0,31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1" s="52">
        <f t="array" aca="1" ref="NX31" ca="1">SUMPRODUCT((OFFSET($A31,0,31*(VLOOKUP(NX$5,Sprints[],5,FALSE))+DAY(VLOOKUP(NX$5,Sprints[],2,FALSE)),1,VLOOKUP(NX$5,Sprints[],4,FALSE))&lt;&gt;"")*(IF(OFFSET($A31,0,31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1" s="52">
        <f t="array" aca="1" ref="NY31" ca="1">SUMPRODUCT((OFFSET($A31,0,31*(VLOOKUP(NY$5,Sprints[],5,FALSE))+DAY(VLOOKUP(NY$5,Sprints[],2,FALSE)),1,VLOOKUP(NY$5,Sprints[],4,FALSE))&lt;&gt;"")*(IF(OFFSET($A31,0,31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1" s="52">
        <f t="array" aca="1" ref="NZ31" ca="1">SUMPRODUCT((OFFSET($A31,0,31*(VLOOKUP(NZ$5,Sprints[],5,FALSE))+DAY(VLOOKUP(NZ$5,Sprints[],2,FALSE)),1,VLOOKUP(NZ$5,Sprints[],4,FALSE))&lt;&gt;"")*(IF(OFFSET($A31,0,31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1" s="52">
        <f t="array" aca="1" ref="OA31" ca="1">SUMPRODUCT((OFFSET($A31,0,31*(VLOOKUP(OA$5,Sprints[],5,FALSE))+DAY(VLOOKUP(OA$5,Sprints[],2,FALSE)),1,VLOOKUP(OA$5,Sprints[],4,FALSE))&lt;&gt;"")*(IF(OFFSET($A31,0,31*(VLOOKUP(OA$5,Sprints[],5,FALSE))+DAY(VLOOKUP(OA$5,Sprints[],2,FALSE)),1,VLOOKUP(OA$5,Sprints[],4,FALSE))=$OD$12,0.5,1)*(OFFSET($A$3,0,31*(VLOOKUP(OA$5,Sprints[],5,FALSE))+DAY(VLOOKUP(OA$5,Sprints[],2,FALSE)),1,VLOOKUP(OA$5,Sprints[],4,FALSE)))))</f>
        <v>19</v>
      </c>
    </row>
    <row r="32" spans="1:394" x14ac:dyDescent="0.45">
      <c r="A32" s="1" t="s">
        <v>83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 t="s">
        <v>49</v>
      </c>
      <c r="N32" s="2" t="s">
        <v>49</v>
      </c>
      <c r="O32" s="2"/>
      <c r="P32" s="2"/>
      <c r="Q32" s="2" t="s">
        <v>49</v>
      </c>
      <c r="R32" s="2" t="s">
        <v>49</v>
      </c>
      <c r="S32" s="2" t="s">
        <v>49</v>
      </c>
      <c r="T32" s="2" t="s">
        <v>49</v>
      </c>
      <c r="U32" s="2" t="s">
        <v>49</v>
      </c>
      <c r="V32" s="2"/>
      <c r="W32" s="2"/>
      <c r="X32" s="2" t="s">
        <v>49</v>
      </c>
      <c r="Y32" s="2" t="s">
        <v>49</v>
      </c>
      <c r="Z32" s="2" t="s">
        <v>49</v>
      </c>
      <c r="AA32" s="2" t="s">
        <v>49</v>
      </c>
      <c r="AB32" s="2" t="s">
        <v>49</v>
      </c>
      <c r="AC32" s="2"/>
      <c r="AD32" s="2"/>
      <c r="AE32" s="2" t="s">
        <v>49</v>
      </c>
      <c r="AF32" s="2"/>
      <c r="AG32" s="2" t="s">
        <v>49</v>
      </c>
      <c r="AH32" s="2" t="s">
        <v>49</v>
      </c>
      <c r="AI32" s="2" t="s">
        <v>49</v>
      </c>
      <c r="AJ32" s="2" t="s">
        <v>49</v>
      </c>
      <c r="AK32" s="2"/>
      <c r="AL32" s="2"/>
      <c r="AM32" s="2" t="s">
        <v>49</v>
      </c>
      <c r="AN32" s="2" t="s">
        <v>49</v>
      </c>
      <c r="AO32" s="2" t="s">
        <v>49</v>
      </c>
      <c r="AP32" s="2" t="s">
        <v>49</v>
      </c>
      <c r="AQ32" s="2" t="s">
        <v>49</v>
      </c>
      <c r="AR32" s="2"/>
      <c r="AS32" s="2"/>
      <c r="AT32" s="2" t="s">
        <v>49</v>
      </c>
      <c r="AU32" s="2" t="s">
        <v>49</v>
      </c>
      <c r="AV32" s="2" t="s">
        <v>49</v>
      </c>
      <c r="AW32" s="2" t="s">
        <v>49</v>
      </c>
      <c r="AX32" s="2" t="s">
        <v>49</v>
      </c>
      <c r="AY32" s="2"/>
      <c r="AZ32" s="2"/>
      <c r="BA32" s="2" t="s">
        <v>35</v>
      </c>
      <c r="BB32" s="2" t="s">
        <v>49</v>
      </c>
      <c r="BC32" s="2" t="s">
        <v>49</v>
      </c>
      <c r="BD32" s="2" t="s">
        <v>49</v>
      </c>
      <c r="BE32" s="2" t="s">
        <v>49</v>
      </c>
      <c r="BF32" s="2"/>
      <c r="BG32" s="2"/>
      <c r="BH32" s="2" t="s">
        <v>49</v>
      </c>
      <c r="BI32" s="2" t="s">
        <v>49</v>
      </c>
      <c r="BJ32" s="2" t="s">
        <v>49</v>
      </c>
      <c r="BK32" s="2" t="s">
        <v>49</v>
      </c>
      <c r="BL32" s="2" t="s">
        <v>49</v>
      </c>
      <c r="BM32" s="2"/>
      <c r="BN32" s="2"/>
      <c r="BO32" s="2" t="s">
        <v>49</v>
      </c>
      <c r="BP32" s="2" t="s">
        <v>49</v>
      </c>
      <c r="BQ32" s="2" t="s">
        <v>49</v>
      </c>
      <c r="BR32" s="2" t="s">
        <v>49</v>
      </c>
      <c r="BS32" s="2" t="s">
        <v>49</v>
      </c>
      <c r="BT32" s="2"/>
      <c r="BU32" s="2"/>
      <c r="BV32" s="2" t="s">
        <v>49</v>
      </c>
      <c r="BW32" s="2" t="s">
        <v>49</v>
      </c>
      <c r="BX32" s="2" t="s">
        <v>49</v>
      </c>
      <c r="BY32" s="2" t="s">
        <v>49</v>
      </c>
      <c r="BZ32" s="2" t="s">
        <v>49</v>
      </c>
      <c r="CA32" s="2"/>
      <c r="CB32" s="2"/>
      <c r="CC32" s="2" t="s">
        <v>49</v>
      </c>
      <c r="CD32" s="2" t="s">
        <v>49</v>
      </c>
      <c r="CE32" s="2" t="s">
        <v>49</v>
      </c>
      <c r="CF32" s="2" t="s">
        <v>49</v>
      </c>
      <c r="CG32" s="2" t="s">
        <v>49</v>
      </c>
      <c r="CH32" s="2"/>
      <c r="CI32" s="2"/>
      <c r="CJ32" s="2" t="s">
        <v>49</v>
      </c>
      <c r="CK32" s="2" t="s">
        <v>49</v>
      </c>
      <c r="CL32" s="2" t="s">
        <v>49</v>
      </c>
      <c r="CM32" s="2" t="s">
        <v>49</v>
      </c>
      <c r="CN32" s="2" t="s">
        <v>49</v>
      </c>
      <c r="CO32" s="2"/>
      <c r="CP32" s="2"/>
      <c r="CQ32" s="2"/>
      <c r="CR32" s="2" t="s">
        <v>35</v>
      </c>
      <c r="CS32" s="2" t="s">
        <v>49</v>
      </c>
      <c r="CT32" s="2" t="s">
        <v>49</v>
      </c>
      <c r="CU32" s="2" t="s">
        <v>49</v>
      </c>
      <c r="CV32" s="2" t="s">
        <v>49</v>
      </c>
      <c r="CW32" s="2"/>
      <c r="CX32" s="2"/>
      <c r="CY32" s="2" t="s">
        <v>49</v>
      </c>
      <c r="CZ32" s="2" t="s">
        <v>49</v>
      </c>
      <c r="DA32" s="2" t="s">
        <v>49</v>
      </c>
      <c r="DB32" s="2" t="s">
        <v>49</v>
      </c>
      <c r="DC32" s="2" t="s">
        <v>49</v>
      </c>
      <c r="DD32" s="2"/>
      <c r="DE32" s="2"/>
      <c r="DF32" s="2" t="s">
        <v>49</v>
      </c>
      <c r="DG32" s="2" t="s">
        <v>49</v>
      </c>
      <c r="DH32" s="2" t="s">
        <v>49</v>
      </c>
      <c r="DI32" s="2" t="s">
        <v>49</v>
      </c>
      <c r="DJ32" s="2" t="s">
        <v>49</v>
      </c>
      <c r="DK32" s="2"/>
      <c r="DL32" s="2"/>
      <c r="DM32" s="2" t="s">
        <v>49</v>
      </c>
      <c r="DN32" s="2" t="s">
        <v>49</v>
      </c>
      <c r="DO32" s="2" t="s">
        <v>49</v>
      </c>
      <c r="DP32" s="2" t="s">
        <v>49</v>
      </c>
      <c r="DQ32" s="2" t="s">
        <v>49</v>
      </c>
      <c r="DR32" s="2"/>
      <c r="DS32" s="2"/>
      <c r="DT32" s="2" t="s">
        <v>49</v>
      </c>
      <c r="DU32" s="2" t="s">
        <v>49</v>
      </c>
      <c r="DV32" s="2" t="s">
        <v>49</v>
      </c>
      <c r="DW32" s="2" t="s">
        <v>49</v>
      </c>
      <c r="DX32" s="2" t="s">
        <v>49</v>
      </c>
      <c r="DY32" s="2"/>
      <c r="DZ32" s="2"/>
      <c r="EA32" s="2" t="s">
        <v>35</v>
      </c>
      <c r="EB32" s="2" t="s">
        <v>49</v>
      </c>
      <c r="EC32" s="2" t="s">
        <v>49</v>
      </c>
      <c r="ED32" s="2" t="s">
        <v>49</v>
      </c>
      <c r="EE32" s="2" t="s">
        <v>49</v>
      </c>
      <c r="EF32" s="2"/>
      <c r="EG32" s="2"/>
      <c r="EH32" s="2" t="s">
        <v>49</v>
      </c>
      <c r="EI32" s="2" t="s">
        <v>49</v>
      </c>
      <c r="EJ32" s="2" t="s">
        <v>49</v>
      </c>
      <c r="EK32" s="2" t="s">
        <v>49</v>
      </c>
      <c r="EL32" s="2" t="s">
        <v>49</v>
      </c>
      <c r="EM32" s="2"/>
      <c r="EN32" s="2"/>
      <c r="EO32" s="2" t="s">
        <v>49</v>
      </c>
      <c r="EP32" s="2" t="s">
        <v>49</v>
      </c>
      <c r="EQ32" s="2" t="s">
        <v>49</v>
      </c>
      <c r="ER32" s="2" t="s">
        <v>49</v>
      </c>
      <c r="ES32" s="2" t="s">
        <v>49</v>
      </c>
      <c r="ET32" s="2"/>
      <c r="EU32" s="2"/>
      <c r="EV32" s="2" t="s">
        <v>49</v>
      </c>
      <c r="EW32" s="2" t="s">
        <v>49</v>
      </c>
      <c r="EX32" s="2" t="s">
        <v>49</v>
      </c>
      <c r="EY32" s="2" t="s">
        <v>49</v>
      </c>
      <c r="EZ32" s="2" t="s">
        <v>49</v>
      </c>
      <c r="FA32" s="2"/>
      <c r="FB32" s="2"/>
      <c r="FC32" s="2" t="s">
        <v>35</v>
      </c>
      <c r="FD32" s="2" t="s">
        <v>49</v>
      </c>
      <c r="FE32" s="2" t="s">
        <v>49</v>
      </c>
      <c r="FF32" s="2" t="s">
        <v>49</v>
      </c>
      <c r="FG32" s="2" t="s">
        <v>49</v>
      </c>
      <c r="FH32" s="2"/>
      <c r="FI32" s="2"/>
      <c r="FJ32" s="2" t="s">
        <v>49</v>
      </c>
      <c r="FK32" s="2" t="s">
        <v>49</v>
      </c>
      <c r="FL32" s="2" t="s">
        <v>49</v>
      </c>
      <c r="FM32" s="2" t="s">
        <v>49</v>
      </c>
      <c r="FN32" s="2" t="s">
        <v>49</v>
      </c>
      <c r="FO32" s="2"/>
      <c r="FP32" s="2"/>
      <c r="FQ32" s="2" t="s">
        <v>49</v>
      </c>
      <c r="FR32" s="2" t="s">
        <v>49</v>
      </c>
      <c r="FS32" s="2" t="s">
        <v>49</v>
      </c>
      <c r="FT32" s="2" t="s">
        <v>49</v>
      </c>
      <c r="FU32" s="2" t="s">
        <v>49</v>
      </c>
      <c r="FV32" s="2"/>
      <c r="FW32" s="2"/>
      <c r="FX32" s="2" t="s">
        <v>49</v>
      </c>
      <c r="FY32" s="2" t="s">
        <v>49</v>
      </c>
      <c r="FZ32" s="2" t="s">
        <v>49</v>
      </c>
      <c r="GA32" s="2" t="s">
        <v>49</v>
      </c>
      <c r="GB32" s="2" t="s">
        <v>49</v>
      </c>
      <c r="GC32" s="2"/>
      <c r="GD32" s="2"/>
      <c r="GE32" s="2"/>
      <c r="GF32" s="2" t="s">
        <v>49</v>
      </c>
      <c r="GG32" s="2" t="s">
        <v>49</v>
      </c>
      <c r="GH32" s="2" t="s">
        <v>49</v>
      </c>
      <c r="GI32" s="2" t="s">
        <v>49</v>
      </c>
      <c r="GJ32" s="2" t="s">
        <v>49</v>
      </c>
      <c r="GK32" s="2"/>
      <c r="GL32" s="2"/>
      <c r="GM32" s="2" t="s">
        <v>35</v>
      </c>
      <c r="GN32" s="2" t="s">
        <v>49</v>
      </c>
      <c r="GO32" s="2" t="s">
        <v>49</v>
      </c>
      <c r="GP32" s="2" t="s">
        <v>49</v>
      </c>
      <c r="GQ32" s="2" t="s">
        <v>49</v>
      </c>
      <c r="GR32" s="2"/>
      <c r="GS32" s="2"/>
      <c r="GT32" s="2" t="s">
        <v>49</v>
      </c>
      <c r="GU32" s="2" t="s">
        <v>49</v>
      </c>
      <c r="GV32" s="2" t="s">
        <v>49</v>
      </c>
      <c r="GW32" s="2" t="s">
        <v>49</v>
      </c>
      <c r="GX32" s="2" t="s">
        <v>49</v>
      </c>
      <c r="GY32" s="2"/>
      <c r="GZ32" s="2"/>
      <c r="HA32" s="2" t="s">
        <v>49</v>
      </c>
      <c r="HB32" s="2" t="s">
        <v>49</v>
      </c>
      <c r="HC32" s="2" t="s">
        <v>49</v>
      </c>
      <c r="HD32" s="2" t="s">
        <v>49</v>
      </c>
      <c r="HE32" s="2" t="s">
        <v>49</v>
      </c>
      <c r="HF32" s="2"/>
      <c r="HG32" s="2"/>
      <c r="HH32" s="2" t="s">
        <v>49</v>
      </c>
      <c r="HI32" s="2" t="s">
        <v>49</v>
      </c>
      <c r="HJ32" s="2" t="s">
        <v>49</v>
      </c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 t="s">
        <v>35</v>
      </c>
      <c r="JO32" s="2" t="s">
        <v>35</v>
      </c>
      <c r="JP32" s="2"/>
      <c r="JQ32" s="2"/>
      <c r="JR32" s="2"/>
      <c r="JS32" s="2"/>
      <c r="JT32" s="2"/>
      <c r="JU32" s="2" t="s">
        <v>35</v>
      </c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 t="s">
        <v>35</v>
      </c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14">
        <f t="array" aca="1" ref="NJ32" ca="1">SUMPRODUCT((OFFSET($A32,0,31*($A$3-1)+1,1,31)&lt;&gt;"")*(IF(OFFSET($A32,0,31*($A$3-1)+1,1,31)=$OD$12,0.5,1)*(OFFSET($A$4,0,31*($A$3-1)+1,1,31))))</f>
        <v>20</v>
      </c>
      <c r="NK32" s="20">
        <f t="array" aca="1" ref="NK32" ca="1">SUMPRODUCT((OFFSET($A32,0,1,1,372)&lt;&gt;"")*(IF(OFFSET($A32,0,1,1,372)=$OD$12,0.5,1)*(OFFSET($A$3,0,1,1,372))))</f>
        <v>149</v>
      </c>
      <c r="NL32" s="28">
        <f t="array" aca="1" ref="NL32" ca="1">SUMPRODUCT((OFFSET($A32,0,31*($A$4)+DAY(Holidays!$E$2),1,Holidays!$G$2)&lt;&gt;"")*(IF(OFFSET($A32,0,31*($A$4)+DAY(Holidays!$E$2),1,Holidays!$G$2)=$OD$12,0.5,1)*(OFFSET($A$3,0,31*($A$4)+DAY(Holidays!$E$2),1,Holidays!$G$2))))</f>
        <v>124</v>
      </c>
      <c r="NM32" s="52">
        <f t="array" aca="1" ref="NM32" ca="1">SUMPRODUCT((OFFSET($A32,0,31*($A$4)+DAY(VLOOKUP(NM$5,Sprints[],2,FALSE)),1,VLOOKUP(NM$5,Sprints[],4,FALSE))&lt;&gt;"")*(IF(OFFSET($A32,0,31*($A$4)+DAY(VLOOKUP(NM$5,Sprints[],2,FALSE)),1,VLOOKUP(NM$5,Sprints[],4,FALSE))=$OD$12,0.5,1)*(OFFSET($A$3,0,31*($A$4)+DAY(VLOOKUP(NM$5,Sprints[],2,FALSE)),1,VLOOKUP(NM$5,Sprints[],4,FALSE)))))</f>
        <v>4</v>
      </c>
      <c r="NN32" s="52">
        <f t="array" aca="1" ref="NN32" ca="1">SUMPRODUCT((OFFSET($A32,0,31*($A$4)+DAY(VLOOKUP(NN$5,Sprints[],2,FALSE)),1,VLOOKUP(NN$5,Sprints[],4,FALSE))&lt;&gt;"")*(IF(OFFSET($A32,0,31*($A$4)+DAY(VLOOKUP(NN$5,Sprints[],2,FALSE)),1,VLOOKUP(NN$5,Sprints[],4,FALSE))=$OD$12,0.5,1)*(OFFSET($A$3,0,31*($A$4)+DAY(VLOOKUP(NN$5,Sprints[],2,FALSE)),1,VLOOKUP(NN$5,Sprints[],4,FALSE)))))</f>
        <v>10</v>
      </c>
      <c r="NO32" s="52">
        <f t="array" aca="1" ref="NO32" ca="1">SUMPRODUCT((OFFSET($A32,0,31*($A$4)+DAY(VLOOKUP(NO$5,Sprints[],2,FALSE)),1,VLOOKUP(NO$5,Sprints[],4,FALSE))&lt;&gt;"")*(IF(OFFSET($A32,0,31*($A$4)+DAY(VLOOKUP(NO$5,Sprints[],2,FALSE)),1,VLOOKUP(NO$5,Sprints[],4,FALSE))=$OD$12,0.5,1)*(OFFSET($A$3,0,31*($A$4)+DAY(VLOOKUP(NO$5,Sprints[],2,FALSE)),1,VLOOKUP(NO$5,Sprints[],4,FALSE)))))</f>
        <v>2</v>
      </c>
      <c r="NP32" s="52">
        <f t="array" aca="1" ref="NP32" ca="1">SUMPRODUCT((OFFSET($A32,0,31*(VLOOKUP(NP$5,Sprints[],5,FALSE))+DAY(VLOOKUP(NP$5,Sprints[],2,FALSE)),1,VLOOKUP(NP$5,Sprints[],4,FALSE))&lt;&gt;"")*(IF(OFFSET($A32,0,31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2" s="52">
        <f t="array" aca="1" ref="NQ32" ca="1">SUMPRODUCT((OFFSET($A32,0,31*(VLOOKUP(NQ$5,Sprints[],5,FALSE))+DAY(VLOOKUP(NQ$5,Sprints[],2,FALSE)),1,VLOOKUP(NQ$5,Sprints[],4,FALSE))&lt;&gt;"")*(IF(OFFSET($A32,0,31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2" s="52">
        <f t="array" aca="1" ref="NR32" ca="1">SUMPRODUCT((OFFSET($A32,0,31*(VLOOKUP(NR$5,Sprints[],5,FALSE))+DAY(VLOOKUP(NR$5,Sprints[],2,FALSE)),1,VLOOKUP(NR$5,Sprints[],4,FALSE))&lt;&gt;"")*(IF(OFFSET($A32,0,31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2" s="52">
        <f t="array" aca="1" ref="NS32" ca="1">SUMPRODUCT((OFFSET($A32,0,31*(VLOOKUP(NS$5,Sprints[],5,FALSE))+DAY(VLOOKUP(NS$5,Sprints[],2,FALSE)),1,VLOOKUP(NS$5,Sprints[],4,FALSE))&lt;&gt;"")*(IF(OFFSET($A32,0,31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2" s="52">
        <f t="array" aca="1" ref="NT32" ca="1">SUMPRODUCT((OFFSET($A32,0,31*(VLOOKUP(NT$5,Sprints[],5,FALSE))+DAY(VLOOKUP(NT$5,Sprints[],2,FALSE)),1,VLOOKUP(NT$5,Sprints[],4,FALSE))&lt;&gt;"")*(IF(OFFSET($A32,0,31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2" s="52">
        <f t="array" aca="1" ref="NU32" ca="1">SUMPRODUCT((OFFSET($A32,0,31*(VLOOKUP(NU$5,Sprints[],5,FALSE))+DAY(VLOOKUP(NU$5,Sprints[],2,FALSE)),1,VLOOKUP(NU$5,Sprints[],4,FALSE))&lt;&gt;"")*(IF(OFFSET($A32,0,31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2" s="52">
        <f t="array" aca="1" ref="NV32" ca="1">SUMPRODUCT((OFFSET($A32,0,31*(VLOOKUP(NV$5,Sprints[],5,FALSE))+DAY(VLOOKUP(NV$5,Sprints[],2,FALSE)),1,VLOOKUP(NV$5,Sprints[],4,FALSE))&lt;&gt;"")*(IF(OFFSET($A32,0,31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2" s="52">
        <f t="array" aca="1" ref="NW32" ca="1">SUMPRODUCT((OFFSET($A32,0,31*(VLOOKUP(NW$5,Sprints[],5,FALSE))+DAY(VLOOKUP(NW$5,Sprints[],2,FALSE)),1,VLOOKUP(NW$5,Sprints[],4,FALSE))&lt;&gt;"")*(IF(OFFSET($A32,0,31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2" s="52">
        <f t="array" aca="1" ref="NX32" ca="1">SUMPRODUCT((OFFSET($A32,0,31*(VLOOKUP(NX$5,Sprints[],5,FALSE))+DAY(VLOOKUP(NX$5,Sprints[],2,FALSE)),1,VLOOKUP(NX$5,Sprints[],4,FALSE))&lt;&gt;"")*(IF(OFFSET($A32,0,31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2" s="52">
        <f t="array" aca="1" ref="NY32" ca="1">SUMPRODUCT((OFFSET($A32,0,31*(VLOOKUP(NY$5,Sprints[],5,FALSE))+DAY(VLOOKUP(NY$5,Sprints[],2,FALSE)),1,VLOOKUP(NY$5,Sprints[],4,FALSE))&lt;&gt;"")*(IF(OFFSET($A32,0,31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2" s="52">
        <f t="array" aca="1" ref="NZ32" ca="1">SUMPRODUCT((OFFSET($A32,0,31*(VLOOKUP(NZ$5,Sprints[],5,FALSE))+DAY(VLOOKUP(NZ$5,Sprints[],2,FALSE)),1,VLOOKUP(NZ$5,Sprints[],4,FALSE))&lt;&gt;"")*(IF(OFFSET($A32,0,31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2" s="52">
        <f t="array" aca="1" ref="OA32" ca="1">SUMPRODUCT((OFFSET($A32,0,31*(VLOOKUP(OA$5,Sprints[],5,FALSE))+DAY(VLOOKUP(OA$5,Sprints[],2,FALSE)),1,VLOOKUP(OA$5,Sprints[],4,FALSE))&lt;&gt;"")*(IF(OFFSET($A32,0,31*(VLOOKUP(OA$5,Sprints[],5,FALSE))+DAY(VLOOKUP(OA$5,Sprints[],2,FALSE)),1,VLOOKUP(OA$5,Sprints[],4,FALSE))=$OD$12,0.5,1)*(OFFSET($A$3,0,31*(VLOOKUP(OA$5,Sprints[],5,FALSE))+DAY(VLOOKUP(OA$5,Sprints[],2,FALSE)),1,VLOOKUP(OA$5,Sprints[],4,FALSE)))))</f>
        <v>19</v>
      </c>
    </row>
    <row r="33" spans="1:391" x14ac:dyDescent="0.45">
      <c r="A33" s="1" t="s">
        <v>84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 t="s">
        <v>33</v>
      </c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 t="s">
        <v>33</v>
      </c>
      <c r="AX33" s="2" t="s">
        <v>33</v>
      </c>
      <c r="AY33" s="2"/>
      <c r="AZ33" s="2"/>
      <c r="BA33" s="2" t="s">
        <v>35</v>
      </c>
      <c r="BB33" s="2" t="s">
        <v>33</v>
      </c>
      <c r="BC33" s="2" t="s">
        <v>33</v>
      </c>
      <c r="BD33" s="2"/>
      <c r="BE33" s="2"/>
      <c r="BF33" s="2"/>
      <c r="BG33" s="2"/>
      <c r="BH33" s="2" t="s">
        <v>33</v>
      </c>
      <c r="BI33" s="2" t="s">
        <v>33</v>
      </c>
      <c r="BJ33" s="2" t="s">
        <v>33</v>
      </c>
      <c r="BK33" s="2" t="s">
        <v>33</v>
      </c>
      <c r="BL33" s="2" t="s">
        <v>33</v>
      </c>
      <c r="BM33" s="2"/>
      <c r="BN33" s="2"/>
      <c r="BO33" s="2" t="s">
        <v>33</v>
      </c>
      <c r="BP33" s="2" t="s">
        <v>33</v>
      </c>
      <c r="BQ33" s="2"/>
      <c r="BR33" s="2"/>
      <c r="BS33" s="2"/>
      <c r="BT33" s="2"/>
      <c r="BU33" s="2"/>
      <c r="BV33" s="2"/>
      <c r="BW33" s="2"/>
      <c r="BX33" s="2" t="s">
        <v>33</v>
      </c>
      <c r="BY33" s="2" t="s">
        <v>33</v>
      </c>
      <c r="BZ33" s="2" t="s">
        <v>33</v>
      </c>
      <c r="CA33" s="2"/>
      <c r="CB33" s="2"/>
      <c r="CC33" s="2"/>
      <c r="CD33" s="2"/>
      <c r="CE33" s="2"/>
      <c r="CF33" s="2"/>
      <c r="CG33" s="2"/>
      <c r="CH33" s="2"/>
      <c r="CI33" s="2"/>
      <c r="CJ33" s="1"/>
      <c r="CK33" s="1"/>
      <c r="CL33" s="1"/>
      <c r="CM33" s="1"/>
      <c r="CN33" s="1"/>
      <c r="CO33" s="2"/>
      <c r="CP33" s="2"/>
      <c r="CQ33" s="2"/>
      <c r="CR33" s="2" t="s">
        <v>35</v>
      </c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 t="s">
        <v>31</v>
      </c>
      <c r="DN33" s="2" t="s">
        <v>33</v>
      </c>
      <c r="DO33" s="2"/>
      <c r="DP33" s="2"/>
      <c r="DQ33" s="2"/>
      <c r="DR33" s="2"/>
      <c r="DS33" s="2"/>
      <c r="DT33" s="2" t="s">
        <v>33</v>
      </c>
      <c r="DU33" s="2" t="s">
        <v>33</v>
      </c>
      <c r="DV33" s="2"/>
      <c r="DW33" s="2"/>
      <c r="DX33" s="2"/>
      <c r="DY33" s="2"/>
      <c r="DZ33" s="2"/>
      <c r="EA33" s="2" t="s">
        <v>35</v>
      </c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 t="s">
        <v>33</v>
      </c>
      <c r="EZ33" s="2" t="s">
        <v>33</v>
      </c>
      <c r="FA33" s="2"/>
      <c r="FB33" s="2"/>
      <c r="FC33" s="2" t="s">
        <v>35</v>
      </c>
      <c r="FD33" s="2"/>
      <c r="FE33" s="2"/>
      <c r="FF33" s="2"/>
      <c r="FG33" s="2" t="s">
        <v>33</v>
      </c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 t="s">
        <v>35</v>
      </c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 t="s">
        <v>35</v>
      </c>
      <c r="JO33" s="2" t="s">
        <v>35</v>
      </c>
      <c r="JP33" s="2"/>
      <c r="JQ33" s="2"/>
      <c r="JR33" s="2"/>
      <c r="JS33" s="2"/>
      <c r="JT33" s="2"/>
      <c r="JU33" s="2" t="s">
        <v>35</v>
      </c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 t="s">
        <v>35</v>
      </c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14">
        <f t="array" aca="1" ref="NJ33" ca="1">SUMPRODUCT((OFFSET($A33,0,31*($A$3-1)+1,1,31)&lt;&gt;"")*(IF(OFFSET($A33,0,31*($A$3-1)+1,1,31)=$OD$12,0.5,1)*(OFFSET($A$4,0,31*($A$3-1)+1,1,31))))</f>
        <v>2</v>
      </c>
      <c r="NK33" s="20">
        <f t="array" aca="1" ref="NK33" ca="1">SUMPRODUCT((OFFSET($A33,0,1,1,372)&lt;&gt;"")*(IF(OFFSET($A33,0,1,1,372)=$OD$12,0.5,1)*(OFFSET($A$3,0,1,1,372))))</f>
        <v>30.5</v>
      </c>
      <c r="NL33" s="28">
        <f t="array" aca="1" ref="NL33" ca="1">SUMPRODUCT((OFFSET($A33,0,31*($A$4)+DAY(Holidays!$E$2),1,Holidays!$G$2)&lt;&gt;"")*(IF(OFFSET($A33,0,31*($A$4)+DAY(Holidays!$E$2),1,Holidays!$G$2)=$OD$12,0.5,1)*(OFFSET($A$3,0,31*($A$4)+DAY(Holidays!$E$2),1,Holidays!$G$2))))</f>
        <v>25.5</v>
      </c>
      <c r="NM33" s="52">
        <f t="array" aca="1" ref="NM33" ca="1">SUMPRODUCT((OFFSET($A33,0,31*($A$4)+DAY(VLOOKUP(NM$5,Sprints[],2,FALSE)),1,VLOOKUP(NM$5,Sprints[],4,FALSE))&lt;&gt;"")*(IF(OFFSET($A33,0,31*($A$4)+DAY(VLOOKUP(NM$5,Sprints[],2,FALSE)),1,VLOOKUP(NM$5,Sprints[],4,FALSE))=$OD$12,0.5,1)*(OFFSET($A$3,0,31*($A$4)+DAY(VLOOKUP(NM$5,Sprints[],2,FALSE)),1,VLOOKUP(NM$5,Sprints[],4,FALSE)))))</f>
        <v>1</v>
      </c>
      <c r="NN33" s="52">
        <f t="array" aca="1" ref="NN33" ca="1">SUMPRODUCT((OFFSET($A33,0,31*($A$4)+DAY(VLOOKUP(NN$5,Sprints[],2,FALSE)),1,VLOOKUP(NN$5,Sprints[],4,FALSE))&lt;&gt;"")*(IF(OFFSET($A33,0,31*($A$4)+DAY(VLOOKUP(NN$5,Sprints[],2,FALSE)),1,VLOOKUP(NN$5,Sprints[],4,FALSE))=$OD$12,0.5,1)*(OFFSET($A$3,0,31*($A$4)+DAY(VLOOKUP(NN$5,Sprints[],2,FALSE)),1,VLOOKUP(NN$5,Sprints[],4,FALSE)))))</f>
        <v>0</v>
      </c>
      <c r="NO33" s="52">
        <f t="array" aca="1" ref="NO33" ca="1">SUMPRODUCT((OFFSET($A33,0,31*($A$4)+DAY(VLOOKUP(NO$5,Sprints[],2,FALSE)),1,VLOOKUP(NO$5,Sprints[],4,FALSE))&lt;&gt;"")*(IF(OFFSET($A33,0,31*($A$4)+DAY(VLOOKUP(NO$5,Sprints[],2,FALSE)),1,VLOOKUP(NO$5,Sprints[],4,FALSE))=$OD$12,0.5,1)*(OFFSET($A$3,0,31*($A$4)+DAY(VLOOKUP(NO$5,Sprints[],2,FALSE)),1,VLOOKUP(NO$5,Sprints[],4,FALSE)))))</f>
        <v>1</v>
      </c>
      <c r="NP33" s="52">
        <f t="array" aca="1" ref="NP33" ca="1">SUMPRODUCT((OFFSET($A33,0,31*(VLOOKUP(NP$5,Sprints[],5,FALSE))+DAY(VLOOKUP(NP$5,Sprints[],2,FALSE)),1,VLOOKUP(NP$5,Sprints[],4,FALSE))&lt;&gt;"")*(IF(OFFSET($A33,0,31*(VLOOKUP(NP$5,Sprints[],5,FALSE))+DAY(VLOOKUP(NP$5,Sprints[],2,FALSE)),1,VLOOKUP(NP$5,Sprints[],4,FALSE))=$OD$12,0.5,1)*(OFFSET($A$3,0,31*(VLOOKUP(NP$5,Sprints[],5,FALSE))+DAY(VLOOKUP(NP$5,Sprints[],2,FALSE)),1,VLOOKUP(NP$5,Sprints[],4,FALSE)))))</f>
        <v>7</v>
      </c>
      <c r="NQ33" s="52">
        <f t="array" aca="1" ref="NQ33" ca="1">SUMPRODUCT((OFFSET($A33,0,31*(VLOOKUP(NQ$5,Sprints[],5,FALSE))+DAY(VLOOKUP(NQ$5,Sprints[],2,FALSE)),1,VLOOKUP(NQ$5,Sprints[],4,FALSE))&lt;&gt;"")*(IF(OFFSET($A33,0,31*(VLOOKUP(NQ$5,Sprints[],5,FALSE))+DAY(VLOOKUP(NQ$5,Sprints[],2,FALSE)),1,VLOOKUP(NQ$5,Sprints[],4,FALSE))=$OD$12,0.5,1)*(OFFSET($A$3,0,31*(VLOOKUP(NQ$5,Sprints[],5,FALSE))+DAY(VLOOKUP(NQ$5,Sprints[],2,FALSE)),1,VLOOKUP(NQ$5,Sprints[],4,FALSE)))))</f>
        <v>5</v>
      </c>
      <c r="NR33" s="52">
        <f t="array" aca="1" ref="NR33" ca="1">SUMPRODUCT((OFFSET($A33,0,31*(VLOOKUP(NR$5,Sprints[],5,FALSE))+DAY(VLOOKUP(NR$5,Sprints[],2,FALSE)),1,VLOOKUP(NR$5,Sprints[],4,FALSE))&lt;&gt;"")*(IF(OFFSET($A33,0,31*(VLOOKUP(NR$5,Sprints[],5,FALSE))+DAY(VLOOKUP(NR$5,Sprints[],2,FALSE)),1,VLOOKUP(NR$5,Sprints[],4,FALSE))=$OD$12,0.5,1)*(OFFSET($A$3,0,31*(VLOOKUP(NR$5,Sprints[],5,FALSE))+DAY(VLOOKUP(NR$5,Sprints[],2,FALSE)),1,VLOOKUP(NR$5,Sprints[],4,FALSE)))))</f>
        <v>3</v>
      </c>
      <c r="NS33" s="52">
        <f t="array" aca="1" ref="NS33" ca="1">SUMPRODUCT((OFFSET($A33,0,31*(VLOOKUP(NS$5,Sprints[],5,FALSE))+DAY(VLOOKUP(NS$5,Sprints[],2,FALSE)),1,VLOOKUP(NS$5,Sprints[],4,FALSE))&lt;&gt;"")*(IF(OFFSET($A33,0,31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33" s="52">
        <f t="array" aca="1" ref="NT33" ca="1">SUMPRODUCT((OFFSET($A33,0,31*(VLOOKUP(NT$5,Sprints[],5,FALSE))+DAY(VLOOKUP(NT$5,Sprints[],2,FALSE)),1,VLOOKUP(NT$5,Sprints[],4,FALSE))&lt;&gt;"")*(IF(OFFSET($A33,0,31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3" s="52">
        <f t="array" aca="1" ref="NU33" ca="1">SUMPRODUCT((OFFSET($A33,0,31*(VLOOKUP(NU$5,Sprints[],5,FALSE))+DAY(VLOOKUP(NU$5,Sprints[],2,FALSE)),1,VLOOKUP(NU$5,Sprints[],4,FALSE))&lt;&gt;"")*(IF(OFFSET($A33,0,31*(VLOOKUP(NU$5,Sprints[],5,FALSE))+DAY(VLOOKUP(NU$5,Sprints[],2,FALSE)),1,VLOOKUP(NU$5,Sprints[],4,FALSE))=$OD$12,0.5,1)*(OFFSET($A$3,0,31*(VLOOKUP(NU$5,Sprints[],5,FALSE))+DAY(VLOOKUP(NU$5,Sprints[],2,FALSE)),1,VLOOKUP(NU$5,Sprints[],4,FALSE)))))</f>
        <v>3.5</v>
      </c>
      <c r="NV33" s="52">
        <f t="array" aca="1" ref="NV33" ca="1">SUMPRODUCT((OFFSET($A33,0,31*(VLOOKUP(NV$5,Sprints[],5,FALSE))+DAY(VLOOKUP(NV$5,Sprints[],2,FALSE)),1,VLOOKUP(NV$5,Sprints[],4,FALSE))&lt;&gt;"")*(IF(OFFSET($A33,0,31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33" s="52">
        <f t="array" aca="1" ref="NW33" ca="1">SUMPRODUCT((OFFSET($A33,0,31*(VLOOKUP(NW$5,Sprints[],5,FALSE))+DAY(VLOOKUP(NW$5,Sprints[],2,FALSE)),1,VLOOKUP(NW$5,Sprints[],4,FALSE))&lt;&gt;"")*(IF(OFFSET($A33,0,31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3" s="52">
        <f t="array" aca="1" ref="NX33" ca="1">SUMPRODUCT((OFFSET($A33,0,31*(VLOOKUP(NX$5,Sprints[],5,FALSE))+DAY(VLOOKUP(NX$5,Sprints[],2,FALSE)),1,VLOOKUP(NX$5,Sprints[],4,FALSE))&lt;&gt;"")*(IF(OFFSET($A33,0,31*(VLOOKUP(NX$5,Sprints[],5,FALSE))+DAY(VLOOKUP(NX$5,Sprints[],2,FALSE)),1,VLOOKUP(NX$5,Sprints[],4,FALSE))=$OD$12,0.5,1)*(OFFSET($A$3,0,31*(VLOOKUP(NX$5,Sprints[],5,FALSE))+DAY(VLOOKUP(NX$5,Sprints[],2,FALSE)),1,VLOOKUP(NX$5,Sprints[],4,FALSE)))))</f>
        <v>4</v>
      </c>
      <c r="NY33" s="52">
        <f t="array" aca="1" ref="NY33" ca="1">SUMPRODUCT((OFFSET($A33,0,31*(VLOOKUP(NY$5,Sprints[],5,FALSE))+DAY(VLOOKUP(NY$5,Sprints[],2,FALSE)),1,VLOOKUP(NY$5,Sprints[],4,FALSE))&lt;&gt;"")*(IF(OFFSET($A33,0,31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3" s="52">
        <f t="array" aca="1" ref="NZ33" ca="1">SUMPRODUCT((OFFSET($A33,0,31*(VLOOKUP(NZ$5,Sprints[],5,FALSE))+DAY(VLOOKUP(NZ$5,Sprints[],2,FALSE)),1,VLOOKUP(NZ$5,Sprints[],4,FALSE))&lt;&gt;"")*(IF(OFFSET($A33,0,31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3" s="52">
        <f t="array" aca="1" ref="OA33" ca="1">SUMPRODUCT((OFFSET($A33,0,31*(VLOOKUP(OA$5,Sprints[],5,FALSE))+DAY(VLOOKUP(OA$5,Sprints[],2,FALSE)),1,VLOOKUP(OA$5,Sprints[],4,FALSE))&lt;&gt;"")*(IF(OFFSET($A33,0,31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34" spans="1:391" ht="14.75" customHeight="1" x14ac:dyDescent="0.45">
      <c r="A34" s="1" t="s">
        <v>85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 t="s">
        <v>33</v>
      </c>
      <c r="AW34" s="2" t="s">
        <v>33</v>
      </c>
      <c r="AX34" s="2" t="s">
        <v>31</v>
      </c>
      <c r="AY34" s="2"/>
      <c r="AZ34" s="2"/>
      <c r="BA34" s="2" t="s">
        <v>35</v>
      </c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 t="s">
        <v>33</v>
      </c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 t="s">
        <v>35</v>
      </c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 t="s">
        <v>31</v>
      </c>
      <c r="DN34" s="2" t="s">
        <v>33</v>
      </c>
      <c r="DO34" s="2"/>
      <c r="DP34" s="2" t="s">
        <v>31</v>
      </c>
      <c r="DQ34" s="2"/>
      <c r="DR34" s="2"/>
      <c r="DS34" s="2"/>
      <c r="DT34" s="2" t="s">
        <v>33</v>
      </c>
      <c r="DU34" s="2" t="s">
        <v>33</v>
      </c>
      <c r="DV34" s="2" t="s">
        <v>33</v>
      </c>
      <c r="DW34" s="2" t="s">
        <v>33</v>
      </c>
      <c r="DX34" s="2" t="s">
        <v>33</v>
      </c>
      <c r="DY34" s="2"/>
      <c r="DZ34" s="2"/>
      <c r="EA34" s="2" t="s">
        <v>35</v>
      </c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 t="s">
        <v>35</v>
      </c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 t="s">
        <v>35</v>
      </c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 t="s">
        <v>35</v>
      </c>
      <c r="JO34" s="2" t="s">
        <v>35</v>
      </c>
      <c r="JP34" s="2"/>
      <c r="JQ34" s="2"/>
      <c r="JR34" s="2"/>
      <c r="JS34" s="2"/>
      <c r="JT34" s="2"/>
      <c r="JU34" s="2" t="s">
        <v>35</v>
      </c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 t="s">
        <v>35</v>
      </c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14">
        <f t="array" aca="1" ref="NJ34" ca="1">SUMPRODUCT((OFFSET($A34,0,31*($A$3-1)+1,1,31)&lt;&gt;"")*(IF(OFFSET($A34,0,31*($A$3-1)+1,1,31)=$OD$12,0.5,1)*(OFFSET($A$4,0,31*($A$3-1)+1,1,31))))</f>
        <v>1</v>
      </c>
      <c r="NK34" s="20">
        <f t="array" aca="1" ref="NK34" ca="1">SUMPRODUCT((OFFSET($A34,0,1,1,372)&lt;&gt;"")*(IF(OFFSET($A34,0,1,1,372)=$OD$12,0.5,1)*(OFFSET($A$3,0,1,1,372))))</f>
        <v>19.5</v>
      </c>
      <c r="NL34" s="28">
        <f t="array" aca="1" ref="NL34" ca="1">SUMPRODUCT((OFFSET($A34,0,31*($A$4)+DAY(Holidays!$E$2),1,Holidays!$G$2)&lt;&gt;"")*(IF(OFFSET($A34,0,31*($A$4)+DAY(Holidays!$E$2),1,Holidays!$G$2)=$OD$12,0.5,1)*(OFFSET($A$3,0,31*($A$4)+DAY(Holidays!$E$2),1,Holidays!$G$2))))</f>
        <v>14.5</v>
      </c>
      <c r="NM34" s="52">
        <f t="array" aca="1" ref="NM34" ca="1">SUMPRODUCT((OFFSET($A34,0,31*($A$4)+DAY(VLOOKUP(NM$5,Sprints[],2,FALSE)),1,VLOOKUP(NM$5,Sprints[],4,FALSE))&lt;&gt;"")*(IF(OFFSET($A34,0,31*($A$4)+DAY(VLOOKUP(NM$5,Sprints[],2,FALSE)),1,VLOOKUP(NM$5,Sprints[],4,FALSE))=$OD$12,0.5,1)*(OFFSET($A$3,0,31*($A$4)+DAY(VLOOKUP(NM$5,Sprints[],2,FALSE)),1,VLOOKUP(NM$5,Sprints[],4,FALSE)))))</f>
        <v>0</v>
      </c>
      <c r="NN34" s="52">
        <f t="array" aca="1" ref="NN34" ca="1">SUMPRODUCT((OFFSET($A34,0,31*($A$4)+DAY(VLOOKUP(NN$5,Sprints[],2,FALSE)),1,VLOOKUP(NN$5,Sprints[],4,FALSE))&lt;&gt;"")*(IF(OFFSET($A34,0,31*($A$4)+DAY(VLOOKUP(NN$5,Sprints[],2,FALSE)),1,VLOOKUP(NN$5,Sprints[],4,FALSE))=$OD$12,0.5,1)*(OFFSET($A$3,0,31*($A$4)+DAY(VLOOKUP(NN$5,Sprints[],2,FALSE)),1,VLOOKUP(NN$5,Sprints[],4,FALSE)))))</f>
        <v>0</v>
      </c>
      <c r="NO34" s="52">
        <f t="array" aca="1" ref="NO34" ca="1">SUMPRODUCT((OFFSET($A34,0,31*($A$4)+DAY(VLOOKUP(NO$5,Sprints[],2,FALSE)),1,VLOOKUP(NO$5,Sprints[],4,FALSE))&lt;&gt;"")*(IF(OFFSET($A34,0,31*($A$4)+DAY(VLOOKUP(NO$5,Sprints[],2,FALSE)),1,VLOOKUP(NO$5,Sprints[],4,FALSE))=$OD$12,0.5,1)*(OFFSET($A$3,0,31*($A$4)+DAY(VLOOKUP(NO$5,Sprints[],2,FALSE)),1,VLOOKUP(NO$5,Sprints[],4,FALSE)))))</f>
        <v>0</v>
      </c>
      <c r="NP34" s="52">
        <f t="array" aca="1" ref="NP34" ca="1">SUMPRODUCT((OFFSET($A34,0,31*(VLOOKUP(NP$5,Sprints[],5,FALSE))+DAY(VLOOKUP(NP$5,Sprints[],2,FALSE)),1,VLOOKUP(NP$5,Sprints[],4,FALSE))&lt;&gt;"")*(IF(OFFSET($A34,0,31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34" s="52">
        <f t="array" aca="1" ref="NQ34" ca="1">SUMPRODUCT((OFFSET($A34,0,31*(VLOOKUP(NQ$5,Sprints[],5,FALSE))+DAY(VLOOKUP(NQ$5,Sprints[],2,FALSE)),1,VLOOKUP(NQ$5,Sprints[],4,FALSE))&lt;&gt;"")*(IF(OFFSET($A34,0,31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34" s="52">
        <f t="array" aca="1" ref="NR34" ca="1">SUMPRODUCT((OFFSET($A34,0,31*(VLOOKUP(NR$5,Sprints[],5,FALSE))+DAY(VLOOKUP(NR$5,Sprints[],2,FALSE)),1,VLOOKUP(NR$5,Sprints[],4,FALSE))&lt;&gt;"")*(IF(OFFSET($A34,0,31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34" s="52">
        <f t="array" aca="1" ref="NS34" ca="1">SUMPRODUCT((OFFSET($A34,0,31*(VLOOKUP(NS$5,Sprints[],5,FALSE))+DAY(VLOOKUP(NS$5,Sprints[],2,FALSE)),1,VLOOKUP(NS$5,Sprints[],4,FALSE))&lt;&gt;"")*(IF(OFFSET($A34,0,31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34" s="52">
        <f t="array" aca="1" ref="NT34" ca="1">SUMPRODUCT((OFFSET($A34,0,31*(VLOOKUP(NT$5,Sprints[],5,FALSE))+DAY(VLOOKUP(NT$5,Sprints[],2,FALSE)),1,VLOOKUP(NT$5,Sprints[],4,FALSE))&lt;&gt;"")*(IF(OFFSET($A34,0,31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4" s="52">
        <f t="array" aca="1" ref="NU34" ca="1">SUMPRODUCT((OFFSET($A34,0,31*(VLOOKUP(NU$5,Sprints[],5,FALSE))+DAY(VLOOKUP(NU$5,Sprints[],2,FALSE)),1,VLOOKUP(NU$5,Sprints[],4,FALSE))&lt;&gt;"")*(IF(OFFSET($A34,0,31*(VLOOKUP(NU$5,Sprints[],5,FALSE))+DAY(VLOOKUP(NU$5,Sprints[],2,FALSE)),1,VLOOKUP(NU$5,Sprints[],4,FALSE))=$OD$12,0.5,1)*(OFFSET($A$3,0,31*(VLOOKUP(NU$5,Sprints[],5,FALSE))+DAY(VLOOKUP(NU$5,Sprints[],2,FALSE)),1,VLOOKUP(NU$5,Sprints[],4,FALSE)))))</f>
        <v>4</v>
      </c>
      <c r="NV34" s="52">
        <f t="array" aca="1" ref="NV34" ca="1">SUMPRODUCT((OFFSET($A34,0,31*(VLOOKUP(NV$5,Sprints[],5,FALSE))+DAY(VLOOKUP(NV$5,Sprints[],2,FALSE)),1,VLOOKUP(NV$5,Sprints[],4,FALSE))&lt;&gt;"")*(IF(OFFSET($A34,0,31*(VLOOKUP(NV$5,Sprints[],5,FALSE))+DAY(VLOOKUP(NV$5,Sprints[],2,FALSE)),1,VLOOKUP(NV$5,Sprints[],4,FALSE))=$OD$12,0.5,1)*(OFFSET($A$3,0,31*(VLOOKUP(NV$5,Sprints[],5,FALSE))+DAY(VLOOKUP(NV$5,Sprints[],2,FALSE)),1,VLOOKUP(NV$5,Sprints[],4,FALSE)))))</f>
        <v>4</v>
      </c>
      <c r="NW34" s="52">
        <f t="array" aca="1" ref="NW34" ca="1">SUMPRODUCT((OFFSET($A34,0,31*(VLOOKUP(NW$5,Sprints[],5,FALSE))+DAY(VLOOKUP(NW$5,Sprints[],2,FALSE)),1,VLOOKUP(NW$5,Sprints[],4,FALSE))&lt;&gt;"")*(IF(OFFSET($A34,0,31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4" s="52">
        <f t="array" aca="1" ref="NX34" ca="1">SUMPRODUCT((OFFSET($A34,0,31*(VLOOKUP(NX$5,Sprints[],5,FALSE))+DAY(VLOOKUP(NX$5,Sprints[],2,FALSE)),1,VLOOKUP(NX$5,Sprints[],4,FALSE))&lt;&gt;"")*(IF(OFFSET($A34,0,31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4" s="52">
        <f t="array" aca="1" ref="NY34" ca="1">SUMPRODUCT((OFFSET($A34,0,31*(VLOOKUP(NY$5,Sprints[],5,FALSE))+DAY(VLOOKUP(NY$5,Sprints[],2,FALSE)),1,VLOOKUP(NY$5,Sprints[],4,FALSE))&lt;&gt;"")*(IF(OFFSET($A34,0,31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4" s="52">
        <f t="array" aca="1" ref="NZ34" ca="1">SUMPRODUCT((OFFSET($A34,0,31*(VLOOKUP(NZ$5,Sprints[],5,FALSE))+DAY(VLOOKUP(NZ$5,Sprints[],2,FALSE)),1,VLOOKUP(NZ$5,Sprints[],4,FALSE))&lt;&gt;"")*(IF(OFFSET($A34,0,31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4" s="52">
        <f t="array" aca="1" ref="OA34" ca="1">SUMPRODUCT((OFFSET($A34,0,31*(VLOOKUP(OA$5,Sprints[],5,FALSE))+DAY(VLOOKUP(OA$5,Sprints[],2,FALSE)),1,VLOOKUP(OA$5,Sprints[],4,FALSE))&lt;&gt;"")*(IF(OFFSET($A34,0,31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35" spans="1:391" x14ac:dyDescent="0.45">
      <c r="A35" s="5" t="s">
        <v>86</v>
      </c>
      <c r="B35" s="2"/>
      <c r="C35" s="2" t="s">
        <v>33</v>
      </c>
      <c r="D35" s="2"/>
      <c r="E35" s="2"/>
      <c r="F35" s="2"/>
      <c r="G35" s="2"/>
      <c r="H35" s="2"/>
      <c r="I35" s="2"/>
      <c r="J35" s="2" t="s">
        <v>33</v>
      </c>
      <c r="K35" s="2"/>
      <c r="L35" s="2"/>
      <c r="M35" s="2"/>
      <c r="N35" s="2" t="s">
        <v>33</v>
      </c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 t="s">
        <v>33</v>
      </c>
      <c r="AN35" s="2"/>
      <c r="AO35" s="2"/>
      <c r="AP35" s="2"/>
      <c r="AQ35" s="2"/>
      <c r="AR35" s="2"/>
      <c r="AS35" s="2"/>
      <c r="AT35" s="2"/>
      <c r="AU35" s="2"/>
      <c r="AV35" s="2"/>
      <c r="AW35" s="2" t="s">
        <v>33</v>
      </c>
      <c r="AX35" s="2" t="s">
        <v>33</v>
      </c>
      <c r="AY35" s="2"/>
      <c r="AZ35" s="2"/>
      <c r="BA35" s="2" t="s">
        <v>35</v>
      </c>
      <c r="BB35" s="2"/>
      <c r="BC35" s="2"/>
      <c r="BD35" s="2"/>
      <c r="BE35" s="2" t="s">
        <v>33</v>
      </c>
      <c r="BF35" s="2"/>
      <c r="BG35" s="2"/>
      <c r="BH35" s="2"/>
      <c r="BI35" s="2"/>
      <c r="BJ35" s="2"/>
      <c r="BK35" s="2" t="s">
        <v>31</v>
      </c>
      <c r="BL35" s="2" t="s">
        <v>33</v>
      </c>
      <c r="BM35" s="2"/>
      <c r="BN35" s="2"/>
      <c r="BO35" s="2"/>
      <c r="BP35" s="2"/>
      <c r="BQ35" s="2"/>
      <c r="BR35" s="2"/>
      <c r="BS35" s="2" t="s">
        <v>33</v>
      </c>
      <c r="BT35" s="2"/>
      <c r="BU35" s="2"/>
      <c r="BV35" s="2"/>
      <c r="BW35" s="2"/>
      <c r="BX35" s="2"/>
      <c r="BY35" s="2" t="s">
        <v>33</v>
      </c>
      <c r="BZ35" s="2" t="s">
        <v>33</v>
      </c>
      <c r="CA35" s="2"/>
      <c r="CB35" s="2"/>
      <c r="CC35" s="1"/>
      <c r="CD35" s="1"/>
      <c r="CE35" s="1"/>
      <c r="CF35" s="2" t="s">
        <v>33</v>
      </c>
      <c r="CG35" s="2" t="s">
        <v>33</v>
      </c>
      <c r="CH35" s="2"/>
      <c r="CI35" s="2"/>
      <c r="CJ35" s="2"/>
      <c r="CK35" s="2"/>
      <c r="CL35" s="2"/>
      <c r="CM35" s="2" t="s">
        <v>33</v>
      </c>
      <c r="CN35" s="2" t="s">
        <v>33</v>
      </c>
      <c r="CO35" s="2"/>
      <c r="CP35" s="2"/>
      <c r="CQ35" s="2"/>
      <c r="CR35" s="2" t="s">
        <v>35</v>
      </c>
      <c r="CS35" s="2"/>
      <c r="CT35" s="2"/>
      <c r="CU35" s="2" t="s">
        <v>33</v>
      </c>
      <c r="CV35" s="2" t="s">
        <v>33</v>
      </c>
      <c r="CW35" s="2"/>
      <c r="CX35" s="2"/>
      <c r="CY35" s="2"/>
      <c r="CZ35" s="2"/>
      <c r="DA35" s="2"/>
      <c r="DB35" s="2" t="s">
        <v>33</v>
      </c>
      <c r="DC35" s="2" t="s">
        <v>33</v>
      </c>
      <c r="DD35" s="2"/>
      <c r="DE35" s="2"/>
      <c r="DF35" s="2"/>
      <c r="DG35" s="2"/>
      <c r="DH35" s="2"/>
      <c r="DI35" s="2"/>
      <c r="DJ35" s="2"/>
      <c r="DK35" s="2"/>
      <c r="DL35" s="2"/>
      <c r="DM35" s="2" t="s">
        <v>31</v>
      </c>
      <c r="DN35" s="2" t="s">
        <v>31</v>
      </c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 t="s">
        <v>35</v>
      </c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 t="s">
        <v>33</v>
      </c>
      <c r="EQ35" s="2"/>
      <c r="ER35" s="2"/>
      <c r="ES35" s="2"/>
      <c r="ET35" s="2"/>
      <c r="EU35" s="2"/>
      <c r="EV35" s="2"/>
      <c r="EW35" s="2"/>
      <c r="EX35" s="2" t="s">
        <v>33</v>
      </c>
      <c r="EY35" s="2" t="s">
        <v>33</v>
      </c>
      <c r="EZ35" s="2" t="s">
        <v>33</v>
      </c>
      <c r="FA35" s="2"/>
      <c r="FB35" s="2"/>
      <c r="FC35" s="2" t="s">
        <v>35</v>
      </c>
      <c r="FD35" s="2" t="s">
        <v>33</v>
      </c>
      <c r="FE35" s="2" t="s">
        <v>33</v>
      </c>
      <c r="FF35" s="2" t="s">
        <v>33</v>
      </c>
      <c r="FG35" s="2" t="s">
        <v>33</v>
      </c>
      <c r="FH35" s="2"/>
      <c r="FI35" s="2"/>
      <c r="FJ35" s="2" t="s">
        <v>33</v>
      </c>
      <c r="FK35" s="2" t="s">
        <v>33</v>
      </c>
      <c r="FL35" s="2" t="s">
        <v>33</v>
      </c>
      <c r="FM35" s="2" t="s">
        <v>33</v>
      </c>
      <c r="FN35" s="2" t="s">
        <v>33</v>
      </c>
      <c r="FO35" s="2"/>
      <c r="FP35" s="2"/>
      <c r="FQ35" s="2" t="s">
        <v>33</v>
      </c>
      <c r="FR35" s="2" t="s">
        <v>33</v>
      </c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 t="s">
        <v>35</v>
      </c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 t="s">
        <v>35</v>
      </c>
      <c r="JO35" s="2" t="s">
        <v>35</v>
      </c>
      <c r="JP35" s="2"/>
      <c r="JQ35" s="2"/>
      <c r="JR35" s="2"/>
      <c r="JS35" s="2"/>
      <c r="JT35" s="2"/>
      <c r="JU35" s="2" t="s">
        <v>35</v>
      </c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 t="s">
        <v>35</v>
      </c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14">
        <f t="array" aca="1" ref="NJ35" ca="1">SUMPRODUCT((OFFSET($A35,0,31*($A$3-1)+1,1,31)&lt;&gt;"")*(IF(OFFSET($A35,0,31*($A$3-1)+1,1,31)=$OD$12,0.5,1)*(OFFSET($A$4,0,31*($A$3-1)+1,1,31))))</f>
        <v>12</v>
      </c>
      <c r="NK35" s="20">
        <f t="array" aca="1" ref="NK35" ca="1">SUMPRODUCT((OFFSET($A35,0,1,1,372)&lt;&gt;"")*(IF(OFFSET($A35,0,1,1,372)=$OD$12,0.5,1)*(OFFSET($A$3,0,1,1,372))))</f>
        <v>44.5</v>
      </c>
      <c r="NL35" s="28">
        <f t="array" aca="1" ref="NL35" ca="1">SUMPRODUCT((OFFSET($A35,0,31*($A$4)+DAY(Holidays!$E$2),1,Holidays!$G$2)&lt;&gt;"")*(IF(OFFSET($A35,0,31*($A$4)+DAY(Holidays!$E$2),1,Holidays!$G$2)=$OD$12,0.5,1)*(OFFSET($A$3,0,31*($A$4)+DAY(Holidays!$E$2),1,Holidays!$G$2))))</f>
        <v>37.5</v>
      </c>
      <c r="NM35" s="52">
        <f t="array" aca="1" ref="NM35" ca="1">SUMPRODUCT((OFFSET($A35,0,31*($A$4)+DAY(VLOOKUP(NM$5,Sprints[],2,FALSE)),1,VLOOKUP(NM$5,Sprints[],4,FALSE))&lt;&gt;"")*(IF(OFFSET($A35,0,31*($A$4)+DAY(VLOOKUP(NM$5,Sprints[],2,FALSE)),1,VLOOKUP(NM$5,Sprints[],4,FALSE))=$OD$12,0.5,1)*(OFFSET($A$3,0,31*($A$4)+DAY(VLOOKUP(NM$5,Sprints[],2,FALSE)),1,VLOOKUP(NM$5,Sprints[],4,FALSE)))))</f>
        <v>1</v>
      </c>
      <c r="NN35" s="52">
        <f t="array" aca="1" ref="NN35" ca="1">SUMPRODUCT((OFFSET($A35,0,31*($A$4)+DAY(VLOOKUP(NN$5,Sprints[],2,FALSE)),1,VLOOKUP(NN$5,Sprints[],4,FALSE))&lt;&gt;"")*(IF(OFFSET($A35,0,31*($A$4)+DAY(VLOOKUP(NN$5,Sprints[],2,FALSE)),1,VLOOKUP(NN$5,Sprints[],4,FALSE))=$OD$12,0.5,1)*(OFFSET($A$3,0,31*($A$4)+DAY(VLOOKUP(NN$5,Sprints[],2,FALSE)),1,VLOOKUP(NN$5,Sprints[],4,FALSE)))))</f>
        <v>0</v>
      </c>
      <c r="NO35" s="52">
        <f t="array" aca="1" ref="NO35" ca="1">SUMPRODUCT((OFFSET($A35,0,31*($A$4)+DAY(VLOOKUP(NO$5,Sprints[],2,FALSE)),1,VLOOKUP(NO$5,Sprints[],4,FALSE))&lt;&gt;"")*(IF(OFFSET($A35,0,31*($A$4)+DAY(VLOOKUP(NO$5,Sprints[],2,FALSE)),1,VLOOKUP(NO$5,Sprints[],4,FALSE))=$OD$12,0.5,1)*(OFFSET($A$3,0,31*($A$4)+DAY(VLOOKUP(NO$5,Sprints[],2,FALSE)),1,VLOOKUP(NO$5,Sprints[],4,FALSE)))))</f>
        <v>3</v>
      </c>
      <c r="NP35" s="52">
        <f t="array" aca="1" ref="NP35" ca="1">SUMPRODUCT((OFFSET($A35,0,31*(VLOOKUP(NP$5,Sprints[],5,FALSE))+DAY(VLOOKUP(NP$5,Sprints[],2,FALSE)),1,VLOOKUP(NP$5,Sprints[],4,FALSE))&lt;&gt;"")*(IF(OFFSET($A35,0,31*(VLOOKUP(NP$5,Sprints[],5,FALSE))+DAY(VLOOKUP(NP$5,Sprints[],2,FALSE)),1,VLOOKUP(NP$5,Sprints[],4,FALSE))=$OD$12,0.5,1)*(OFFSET($A$3,0,31*(VLOOKUP(NP$5,Sprints[],5,FALSE))+DAY(VLOOKUP(NP$5,Sprints[],2,FALSE)),1,VLOOKUP(NP$5,Sprints[],4,FALSE)))))</f>
        <v>4</v>
      </c>
      <c r="NQ35" s="52">
        <f t="array" aca="1" ref="NQ35" ca="1">SUMPRODUCT((OFFSET($A35,0,31*(VLOOKUP(NQ$5,Sprints[],5,FALSE))+DAY(VLOOKUP(NQ$5,Sprints[],2,FALSE)),1,VLOOKUP(NQ$5,Sprints[],4,FALSE))&lt;&gt;"")*(IF(OFFSET($A35,0,31*(VLOOKUP(NQ$5,Sprints[],5,FALSE))+DAY(VLOOKUP(NQ$5,Sprints[],2,FALSE)),1,VLOOKUP(NQ$5,Sprints[],4,FALSE))=$OD$12,0.5,1)*(OFFSET($A$3,0,31*(VLOOKUP(NQ$5,Sprints[],5,FALSE))+DAY(VLOOKUP(NQ$5,Sprints[],2,FALSE)),1,VLOOKUP(NQ$5,Sprints[],4,FALSE)))))</f>
        <v>2.5</v>
      </c>
      <c r="NR35" s="52">
        <f t="array" aca="1" ref="NR35" ca="1">SUMPRODUCT((OFFSET($A35,0,31*(VLOOKUP(NR$5,Sprints[],5,FALSE))+DAY(VLOOKUP(NR$5,Sprints[],2,FALSE)),1,VLOOKUP(NR$5,Sprints[],4,FALSE))&lt;&gt;"")*(IF(OFFSET($A35,0,31*(VLOOKUP(NR$5,Sprints[],5,FALSE))+DAY(VLOOKUP(NR$5,Sprints[],2,FALSE)),1,VLOOKUP(NR$5,Sprints[],4,FALSE))=$OD$12,0.5,1)*(OFFSET($A$3,0,31*(VLOOKUP(NR$5,Sprints[],5,FALSE))+DAY(VLOOKUP(NR$5,Sprints[],2,FALSE)),1,VLOOKUP(NR$5,Sprints[],4,FALSE)))))</f>
        <v>4</v>
      </c>
      <c r="NS35" s="52">
        <f t="array" aca="1" ref="NS35" ca="1">SUMPRODUCT((OFFSET($A35,0,31*(VLOOKUP(NS$5,Sprints[],5,FALSE))+DAY(VLOOKUP(NS$5,Sprints[],2,FALSE)),1,VLOOKUP(NS$5,Sprints[],4,FALSE))&lt;&gt;"")*(IF(OFFSET($A35,0,31*(VLOOKUP(NS$5,Sprints[],5,FALSE))+DAY(VLOOKUP(NS$5,Sprints[],2,FALSE)),1,VLOOKUP(NS$5,Sprints[],4,FALSE))=$OD$12,0.5,1)*(OFFSET($A$3,0,31*(VLOOKUP(NS$5,Sprints[],5,FALSE))+DAY(VLOOKUP(NS$5,Sprints[],2,FALSE)),1,VLOOKUP(NS$5,Sprints[],4,FALSE)))))</f>
        <v>5</v>
      </c>
      <c r="NT35" s="52">
        <f t="array" aca="1" ref="NT35" ca="1">SUMPRODUCT((OFFSET($A35,0,31*(VLOOKUP(NT$5,Sprints[],5,FALSE))+DAY(VLOOKUP(NT$5,Sprints[],2,FALSE)),1,VLOOKUP(NT$5,Sprints[],4,FALSE))&lt;&gt;"")*(IF(OFFSET($A35,0,31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35" s="52">
        <f t="array" aca="1" ref="NU35" ca="1">SUMPRODUCT((OFFSET($A35,0,31*(VLOOKUP(NU$5,Sprints[],5,FALSE))+DAY(VLOOKUP(NU$5,Sprints[],2,FALSE)),1,VLOOKUP(NU$5,Sprints[],4,FALSE))&lt;&gt;"")*(IF(OFFSET($A35,0,31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35" s="52">
        <f t="array" aca="1" ref="NV35" ca="1">SUMPRODUCT((OFFSET($A35,0,31*(VLOOKUP(NV$5,Sprints[],5,FALSE))+DAY(VLOOKUP(NV$5,Sprints[],2,FALSE)),1,VLOOKUP(NV$5,Sprints[],4,FALSE))&lt;&gt;"")*(IF(OFFSET($A35,0,31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35" s="52">
        <f t="array" aca="1" ref="NW35" ca="1">SUMPRODUCT((OFFSET($A35,0,31*(VLOOKUP(NW$5,Sprints[],5,FALSE))+DAY(VLOOKUP(NW$5,Sprints[],2,FALSE)),1,VLOOKUP(NW$5,Sprints[],4,FALSE))&lt;&gt;"")*(IF(OFFSET($A35,0,31*(VLOOKUP(NW$5,Sprints[],5,FALSE))+DAY(VLOOKUP(NW$5,Sprints[],2,FALSE)),1,VLOOKUP(NW$5,Sprints[],4,FALSE))=$OD$12,0.5,1)*(OFFSET($A$3,0,31*(VLOOKUP(NW$5,Sprints[],5,FALSE))+DAY(VLOOKUP(NW$5,Sprints[],2,FALSE)),1,VLOOKUP(NW$5,Sprints[],4,FALSE)))))</f>
        <v>1</v>
      </c>
      <c r="NX35" s="52">
        <f t="array" aca="1" ref="NX35" ca="1">SUMPRODUCT((OFFSET($A35,0,31*(VLOOKUP(NX$5,Sprints[],5,FALSE))+DAY(VLOOKUP(NX$5,Sprints[],2,FALSE)),1,VLOOKUP(NX$5,Sprints[],4,FALSE))&lt;&gt;"")*(IF(OFFSET($A35,0,31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5" s="52">
        <f t="array" aca="1" ref="NY35" ca="1">SUMPRODUCT((OFFSET($A35,0,31*(VLOOKUP(NY$5,Sprints[],5,FALSE))+DAY(VLOOKUP(NY$5,Sprints[],2,FALSE)),1,VLOOKUP(NY$5,Sprints[],4,FALSE))&lt;&gt;"")*(IF(OFFSET($A35,0,31*(VLOOKUP(NY$5,Sprints[],5,FALSE))+DAY(VLOOKUP(NY$5,Sprints[],2,FALSE)),1,VLOOKUP(NY$5,Sprints[],4,FALSE))=$OD$12,0.5,1)*(OFFSET($A$3,0,31*(VLOOKUP(NY$5,Sprints[],5,FALSE))+DAY(VLOOKUP(NY$5,Sprints[],2,FALSE)),1,VLOOKUP(NY$5,Sprints[],4,FALSE)))))</f>
        <v>5</v>
      </c>
      <c r="NZ35" s="52">
        <f t="array" aca="1" ref="NZ35" ca="1">SUMPRODUCT((OFFSET($A35,0,31*(VLOOKUP(NZ$5,Sprints[],5,FALSE))+DAY(VLOOKUP(NZ$5,Sprints[],2,FALSE)),1,VLOOKUP(NZ$5,Sprints[],4,FALSE))&lt;&gt;"")*(IF(OFFSET($A35,0,31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5" s="52">
        <f t="array" aca="1" ref="OA35" ca="1">SUMPRODUCT((OFFSET($A35,0,31*(VLOOKUP(OA$5,Sprints[],5,FALSE))+DAY(VLOOKUP(OA$5,Sprints[],2,FALSE)),1,VLOOKUP(OA$5,Sprints[],4,FALSE))&lt;&gt;"")*(IF(OFFSET($A35,0,31*(VLOOKUP(OA$5,Sprints[],5,FALSE))+DAY(VLOOKUP(OA$5,Sprints[],2,FALSE)),1,VLOOKUP(OA$5,Sprints[],4,FALSE))=$OD$12,0.5,1)*(OFFSET($A$3,0,31*(VLOOKUP(OA$5,Sprints[],5,FALSE))+DAY(VLOOKUP(OA$5,Sprints[],2,FALSE)),1,VLOOKUP(OA$5,Sprints[],4,FALSE)))))</f>
        <v>9</v>
      </c>
    </row>
    <row r="36" spans="1:391" x14ac:dyDescent="0.45">
      <c r="A36" s="1" t="s">
        <v>87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 t="s">
        <v>49</v>
      </c>
      <c r="N36" s="2" t="s">
        <v>49</v>
      </c>
      <c r="O36" s="2"/>
      <c r="P36" s="2"/>
      <c r="Q36" s="2" t="s">
        <v>49</v>
      </c>
      <c r="R36" s="2" t="s">
        <v>49</v>
      </c>
      <c r="S36" s="2" t="s">
        <v>49</v>
      </c>
      <c r="T36" s="2" t="s">
        <v>49</v>
      </c>
      <c r="U36" s="2" t="s">
        <v>49</v>
      </c>
      <c r="V36" s="2"/>
      <c r="W36" s="2"/>
      <c r="X36" s="2" t="s">
        <v>49</v>
      </c>
      <c r="Y36" s="2" t="s">
        <v>49</v>
      </c>
      <c r="Z36" s="2" t="s">
        <v>49</v>
      </c>
      <c r="AA36" s="2" t="s">
        <v>49</v>
      </c>
      <c r="AB36" s="2" t="s">
        <v>49</v>
      </c>
      <c r="AC36" s="2"/>
      <c r="AD36" s="2"/>
      <c r="AE36" s="2" t="s">
        <v>49</v>
      </c>
      <c r="AF36" s="2"/>
      <c r="AG36" s="2" t="s">
        <v>49</v>
      </c>
      <c r="AH36" s="2" t="s">
        <v>49</v>
      </c>
      <c r="AI36" s="2" t="s">
        <v>49</v>
      </c>
      <c r="AJ36" s="2" t="s">
        <v>49</v>
      </c>
      <c r="AK36" s="2"/>
      <c r="AL36" s="2"/>
      <c r="AM36" s="2" t="s">
        <v>49</v>
      </c>
      <c r="AN36" s="2" t="s">
        <v>49</v>
      </c>
      <c r="AO36" s="2" t="s">
        <v>49</v>
      </c>
      <c r="AP36" s="2" t="s">
        <v>49</v>
      </c>
      <c r="AQ36" s="2" t="s">
        <v>49</v>
      </c>
      <c r="AR36" s="2"/>
      <c r="AS36" s="2"/>
      <c r="AT36" s="2" t="s">
        <v>49</v>
      </c>
      <c r="AU36" s="2" t="s">
        <v>49</v>
      </c>
      <c r="AV36" s="2" t="s">
        <v>49</v>
      </c>
      <c r="AW36" s="2" t="s">
        <v>49</v>
      </c>
      <c r="AX36" s="2" t="s">
        <v>49</v>
      </c>
      <c r="AY36" s="2"/>
      <c r="AZ36" s="2"/>
      <c r="BA36" s="2" t="s">
        <v>35</v>
      </c>
      <c r="BB36" s="2" t="s">
        <v>49</v>
      </c>
      <c r="BC36" s="2" t="s">
        <v>49</v>
      </c>
      <c r="BD36" s="2" t="s">
        <v>49</v>
      </c>
      <c r="BE36" s="2" t="s">
        <v>49</v>
      </c>
      <c r="BF36" s="2"/>
      <c r="BG36" s="2"/>
      <c r="BH36" s="2" t="s">
        <v>49</v>
      </c>
      <c r="BI36" s="2" t="s">
        <v>49</v>
      </c>
      <c r="BJ36" s="2" t="s">
        <v>49</v>
      </c>
      <c r="BK36" s="2" t="s">
        <v>49</v>
      </c>
      <c r="BL36" s="2" t="s">
        <v>49</v>
      </c>
      <c r="BM36" s="2"/>
      <c r="BN36" s="2"/>
      <c r="BO36" s="2" t="s">
        <v>49</v>
      </c>
      <c r="BP36" s="2" t="s">
        <v>49</v>
      </c>
      <c r="BQ36" s="2" t="s">
        <v>49</v>
      </c>
      <c r="BR36" s="2" t="s">
        <v>49</v>
      </c>
      <c r="BS36" s="2" t="s">
        <v>49</v>
      </c>
      <c r="BT36" s="2"/>
      <c r="BU36" s="2"/>
      <c r="BV36" s="2" t="s">
        <v>49</v>
      </c>
      <c r="BW36" s="2" t="s">
        <v>49</v>
      </c>
      <c r="BX36" s="2" t="s">
        <v>49</v>
      </c>
      <c r="BY36" s="2" t="s">
        <v>49</v>
      </c>
      <c r="BZ36" s="2" t="s">
        <v>49</v>
      </c>
      <c r="CA36" s="2"/>
      <c r="CB36" s="2"/>
      <c r="CC36" s="2" t="s">
        <v>49</v>
      </c>
      <c r="CD36" s="2" t="s">
        <v>49</v>
      </c>
      <c r="CE36" s="2" t="s">
        <v>49</v>
      </c>
      <c r="CF36" s="2" t="s">
        <v>49</v>
      </c>
      <c r="CG36" s="2" t="s">
        <v>49</v>
      </c>
      <c r="CH36" s="2"/>
      <c r="CI36" s="2"/>
      <c r="CJ36" s="2" t="s">
        <v>49</v>
      </c>
      <c r="CK36" s="2" t="s">
        <v>49</v>
      </c>
      <c r="CL36" s="2" t="s">
        <v>49</v>
      </c>
      <c r="CM36" s="2" t="s">
        <v>49</v>
      </c>
      <c r="CN36" s="2" t="s">
        <v>49</v>
      </c>
      <c r="CO36" s="2"/>
      <c r="CP36" s="2"/>
      <c r="CQ36" s="2"/>
      <c r="CR36" s="2" t="s">
        <v>35</v>
      </c>
      <c r="CS36" s="2" t="s">
        <v>49</v>
      </c>
      <c r="CT36" s="2" t="s">
        <v>49</v>
      </c>
      <c r="CU36" s="2" t="s">
        <v>49</v>
      </c>
      <c r="CV36" s="2" t="s">
        <v>49</v>
      </c>
      <c r="CW36" s="2"/>
      <c r="CX36" s="2"/>
      <c r="CY36" s="2" t="s">
        <v>49</v>
      </c>
      <c r="CZ36" s="2" t="s">
        <v>49</v>
      </c>
      <c r="DA36" s="2" t="s">
        <v>49</v>
      </c>
      <c r="DB36" s="2" t="s">
        <v>49</v>
      </c>
      <c r="DC36" s="2" t="s">
        <v>49</v>
      </c>
      <c r="DD36" s="2"/>
      <c r="DE36" s="2"/>
      <c r="DF36" s="2" t="s">
        <v>49</v>
      </c>
      <c r="DG36" s="2" t="s">
        <v>49</v>
      </c>
      <c r="DH36" s="2" t="s">
        <v>49</v>
      </c>
      <c r="DI36" s="2" t="s">
        <v>49</v>
      </c>
      <c r="DJ36" s="2" t="s">
        <v>49</v>
      </c>
      <c r="DK36" s="2"/>
      <c r="DL36" s="2"/>
      <c r="DM36" s="2" t="s">
        <v>49</v>
      </c>
      <c r="DN36" s="2" t="s">
        <v>49</v>
      </c>
      <c r="DO36" s="2" t="s">
        <v>49</v>
      </c>
      <c r="DP36" s="2" t="s">
        <v>49</v>
      </c>
      <c r="DQ36" s="2" t="s">
        <v>49</v>
      </c>
      <c r="DR36" s="2"/>
      <c r="DS36" s="2"/>
      <c r="DT36" s="2" t="s">
        <v>49</v>
      </c>
      <c r="DU36" s="2" t="s">
        <v>49</v>
      </c>
      <c r="DV36" s="2" t="s">
        <v>49</v>
      </c>
      <c r="DW36" s="2" t="s">
        <v>49</v>
      </c>
      <c r="DX36" s="2" t="s">
        <v>49</v>
      </c>
      <c r="DY36" s="2"/>
      <c r="DZ36" s="2"/>
      <c r="EA36" s="2" t="s">
        <v>35</v>
      </c>
      <c r="EB36" s="2" t="s">
        <v>49</v>
      </c>
      <c r="EC36" s="2" t="s">
        <v>49</v>
      </c>
      <c r="ED36" s="2" t="s">
        <v>49</v>
      </c>
      <c r="EE36" s="2" t="s">
        <v>49</v>
      </c>
      <c r="EF36" s="2"/>
      <c r="EG36" s="2"/>
      <c r="EH36" s="2" t="s">
        <v>49</v>
      </c>
      <c r="EI36" s="2" t="s">
        <v>49</v>
      </c>
      <c r="EJ36" s="2" t="s">
        <v>49</v>
      </c>
      <c r="EK36" s="2" t="s">
        <v>49</v>
      </c>
      <c r="EL36" s="2" t="s">
        <v>49</v>
      </c>
      <c r="EM36" s="2"/>
      <c r="EN36" s="2"/>
      <c r="EO36" s="2" t="s">
        <v>49</v>
      </c>
      <c r="EP36" s="2" t="s">
        <v>49</v>
      </c>
      <c r="EQ36" s="2" t="s">
        <v>49</v>
      </c>
      <c r="ER36" s="2" t="s">
        <v>49</v>
      </c>
      <c r="ES36" s="2" t="s">
        <v>49</v>
      </c>
      <c r="ET36" s="2"/>
      <c r="EU36" s="2"/>
      <c r="EV36" s="2" t="s">
        <v>49</v>
      </c>
      <c r="EW36" s="2" t="s">
        <v>49</v>
      </c>
      <c r="EX36" s="2" t="s">
        <v>49</v>
      </c>
      <c r="EY36" s="2" t="s">
        <v>49</v>
      </c>
      <c r="EZ36" s="2" t="s">
        <v>49</v>
      </c>
      <c r="FA36" s="2"/>
      <c r="FB36" s="2"/>
      <c r="FC36" s="2" t="s">
        <v>35</v>
      </c>
      <c r="FD36" s="2" t="s">
        <v>49</v>
      </c>
      <c r="FE36" s="2" t="s">
        <v>49</v>
      </c>
      <c r="FF36" s="2" t="s">
        <v>49</v>
      </c>
      <c r="FG36" s="2" t="s">
        <v>49</v>
      </c>
      <c r="FH36" s="2"/>
      <c r="FI36" s="2"/>
      <c r="FJ36" s="2" t="s">
        <v>49</v>
      </c>
      <c r="FK36" s="2" t="s">
        <v>49</v>
      </c>
      <c r="FL36" s="2" t="s">
        <v>49</v>
      </c>
      <c r="FM36" s="2" t="s">
        <v>49</v>
      </c>
      <c r="FN36" s="2" t="s">
        <v>49</v>
      </c>
      <c r="FO36" s="2"/>
      <c r="FP36" s="2"/>
      <c r="FQ36" s="2" t="s">
        <v>49</v>
      </c>
      <c r="FR36" s="2" t="s">
        <v>49</v>
      </c>
      <c r="FS36" s="2" t="s">
        <v>49</v>
      </c>
      <c r="FT36" s="2" t="s">
        <v>49</v>
      </c>
      <c r="FU36" s="2" t="s">
        <v>49</v>
      </c>
      <c r="FV36" s="2"/>
      <c r="FW36" s="2"/>
      <c r="FX36" s="2" t="s">
        <v>49</v>
      </c>
      <c r="FY36" s="2" t="s">
        <v>49</v>
      </c>
      <c r="FZ36" s="2" t="s">
        <v>49</v>
      </c>
      <c r="GA36" s="2" t="s">
        <v>49</v>
      </c>
      <c r="GB36" s="2" t="s">
        <v>49</v>
      </c>
      <c r="GC36" s="2"/>
      <c r="GD36" s="2"/>
      <c r="GE36" s="2"/>
      <c r="GF36" s="2" t="s">
        <v>49</v>
      </c>
      <c r="GG36" s="2" t="s">
        <v>49</v>
      </c>
      <c r="GH36" s="2" t="s">
        <v>49</v>
      </c>
      <c r="GI36" s="2" t="s">
        <v>49</v>
      </c>
      <c r="GJ36" s="2" t="s">
        <v>49</v>
      </c>
      <c r="GK36" s="2"/>
      <c r="GL36" s="2"/>
      <c r="GM36" s="2" t="s">
        <v>35</v>
      </c>
      <c r="GN36" s="2" t="s">
        <v>49</v>
      </c>
      <c r="GO36" s="2" t="s">
        <v>49</v>
      </c>
      <c r="GP36" s="2" t="s">
        <v>49</v>
      </c>
      <c r="GQ36" s="2" t="s">
        <v>49</v>
      </c>
      <c r="GR36" s="2"/>
      <c r="GS36" s="2"/>
      <c r="GT36" s="2" t="s">
        <v>49</v>
      </c>
      <c r="GU36" s="2" t="s">
        <v>49</v>
      </c>
      <c r="GV36" s="2" t="s">
        <v>49</v>
      </c>
      <c r="GW36" s="2" t="s">
        <v>49</v>
      </c>
      <c r="GX36" s="2" t="s">
        <v>49</v>
      </c>
      <c r="GY36" s="2"/>
      <c r="GZ36" s="2"/>
      <c r="HA36" s="2" t="s">
        <v>49</v>
      </c>
      <c r="HB36" s="2" t="s">
        <v>49</v>
      </c>
      <c r="HC36" s="2" t="s">
        <v>49</v>
      </c>
      <c r="HD36" s="2" t="s">
        <v>49</v>
      </c>
      <c r="HE36" s="2" t="s">
        <v>49</v>
      </c>
      <c r="HF36" s="2"/>
      <c r="HG36" s="2"/>
      <c r="HH36" s="2" t="s">
        <v>49</v>
      </c>
      <c r="HI36" s="2" t="s">
        <v>49</v>
      </c>
      <c r="HJ36" s="2" t="s">
        <v>49</v>
      </c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 t="s">
        <v>35</v>
      </c>
      <c r="JO36" s="2" t="s">
        <v>35</v>
      </c>
      <c r="JP36" s="2"/>
      <c r="JQ36" s="2"/>
      <c r="JR36" s="2"/>
      <c r="JS36" s="2"/>
      <c r="JT36" s="2"/>
      <c r="JU36" s="2" t="s">
        <v>35</v>
      </c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 t="s">
        <v>35</v>
      </c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14">
        <f t="array" aca="1" ref="NJ36" ca="1">SUMPRODUCT((OFFSET($A36,0,31*($A$3-1)+1,1,31)&lt;&gt;"")*(IF(OFFSET($A36,0,31*($A$3-1)+1,1,31)=$OD$12,0.5,1)*(OFFSET($A$4,0,31*($A$3-1)+1,1,31))))</f>
        <v>20</v>
      </c>
      <c r="NK36" s="20">
        <f t="array" aca="1" ref="NK36" ca="1">SUMPRODUCT((OFFSET($A36,0,1,1,372)&lt;&gt;"")*(IF(OFFSET($A36,0,1,1,372)=$OD$12,0.5,1)*(OFFSET($A$3,0,1,1,372))))</f>
        <v>149</v>
      </c>
      <c r="NL36" s="28">
        <f t="array" aca="1" ref="NL36" ca="1">SUMPRODUCT((OFFSET($A36,0,31*($A$4)+DAY(Holidays!$E$2),1,Holidays!$G$2)&lt;&gt;"")*(IF(OFFSET($A36,0,31*($A$4)+DAY(Holidays!$E$2),1,Holidays!$G$2)=$OD$12,0.5,1)*(OFFSET($A$3,0,31*($A$4)+DAY(Holidays!$E$2),1,Holidays!$G$2))))</f>
        <v>124</v>
      </c>
      <c r="NM36" s="52">
        <f t="array" aca="1" ref="NM36" ca="1">SUMPRODUCT((OFFSET($A36,0,31*($A$4)+DAY(VLOOKUP(NM$5,Sprints[],2,FALSE)),1,VLOOKUP(NM$5,Sprints[],4,FALSE))&lt;&gt;"")*(IF(OFFSET($A36,0,31*($A$4)+DAY(VLOOKUP(NM$5,Sprints[],2,FALSE)),1,VLOOKUP(NM$5,Sprints[],4,FALSE))=$OD$12,0.5,1)*(OFFSET($A$3,0,31*($A$4)+DAY(VLOOKUP(NM$5,Sprints[],2,FALSE)),1,VLOOKUP(NM$5,Sprints[],4,FALSE)))))</f>
        <v>4</v>
      </c>
      <c r="NN36" s="52">
        <f t="array" aca="1" ref="NN36" ca="1">SUMPRODUCT((OFFSET($A36,0,31*($A$4)+DAY(VLOOKUP(NN$5,Sprints[],2,FALSE)),1,VLOOKUP(NN$5,Sprints[],4,FALSE))&lt;&gt;"")*(IF(OFFSET($A36,0,31*($A$4)+DAY(VLOOKUP(NN$5,Sprints[],2,FALSE)),1,VLOOKUP(NN$5,Sprints[],4,FALSE))=$OD$12,0.5,1)*(OFFSET($A$3,0,31*($A$4)+DAY(VLOOKUP(NN$5,Sprints[],2,FALSE)),1,VLOOKUP(NN$5,Sprints[],4,FALSE)))))</f>
        <v>10</v>
      </c>
      <c r="NO36" s="52">
        <f t="array" aca="1" ref="NO36" ca="1">SUMPRODUCT((OFFSET($A36,0,31*($A$4)+DAY(VLOOKUP(NO$5,Sprints[],2,FALSE)),1,VLOOKUP(NO$5,Sprints[],4,FALSE))&lt;&gt;"")*(IF(OFFSET($A36,0,31*($A$4)+DAY(VLOOKUP(NO$5,Sprints[],2,FALSE)),1,VLOOKUP(NO$5,Sprints[],4,FALSE))=$OD$12,0.5,1)*(OFFSET($A$3,0,31*($A$4)+DAY(VLOOKUP(NO$5,Sprints[],2,FALSE)),1,VLOOKUP(NO$5,Sprints[],4,FALSE)))))</f>
        <v>2</v>
      </c>
      <c r="NP36" s="52">
        <f t="array" aca="1" ref="NP36" ca="1">SUMPRODUCT((OFFSET($A36,0,31*(VLOOKUP(NP$5,Sprints[],5,FALSE))+DAY(VLOOKUP(NP$5,Sprints[],2,FALSE)),1,VLOOKUP(NP$5,Sprints[],4,FALSE))&lt;&gt;"")*(IF(OFFSET($A36,0,31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6" s="52">
        <f t="array" aca="1" ref="NQ36" ca="1">SUMPRODUCT((OFFSET($A36,0,31*(VLOOKUP(NQ$5,Sprints[],5,FALSE))+DAY(VLOOKUP(NQ$5,Sprints[],2,FALSE)),1,VLOOKUP(NQ$5,Sprints[],4,FALSE))&lt;&gt;"")*(IF(OFFSET($A36,0,31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6" s="52">
        <f t="array" aca="1" ref="NR36" ca="1">SUMPRODUCT((OFFSET($A36,0,31*(VLOOKUP(NR$5,Sprints[],5,FALSE))+DAY(VLOOKUP(NR$5,Sprints[],2,FALSE)),1,VLOOKUP(NR$5,Sprints[],4,FALSE))&lt;&gt;"")*(IF(OFFSET($A36,0,31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6" s="52">
        <f t="array" aca="1" ref="NS36" ca="1">SUMPRODUCT((OFFSET($A36,0,31*(VLOOKUP(NS$5,Sprints[],5,FALSE))+DAY(VLOOKUP(NS$5,Sprints[],2,FALSE)),1,VLOOKUP(NS$5,Sprints[],4,FALSE))&lt;&gt;"")*(IF(OFFSET($A36,0,31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6" s="52">
        <f t="array" aca="1" ref="NT36" ca="1">SUMPRODUCT((OFFSET($A36,0,31*(VLOOKUP(NT$5,Sprints[],5,FALSE))+DAY(VLOOKUP(NT$5,Sprints[],2,FALSE)),1,VLOOKUP(NT$5,Sprints[],4,FALSE))&lt;&gt;"")*(IF(OFFSET($A36,0,31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6" s="52">
        <f t="array" aca="1" ref="NU36" ca="1">SUMPRODUCT((OFFSET($A36,0,31*(VLOOKUP(NU$5,Sprints[],5,FALSE))+DAY(VLOOKUP(NU$5,Sprints[],2,FALSE)),1,VLOOKUP(NU$5,Sprints[],4,FALSE))&lt;&gt;"")*(IF(OFFSET($A36,0,31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6" s="52">
        <f t="array" aca="1" ref="NV36" ca="1">SUMPRODUCT((OFFSET($A36,0,31*(VLOOKUP(NV$5,Sprints[],5,FALSE))+DAY(VLOOKUP(NV$5,Sprints[],2,FALSE)),1,VLOOKUP(NV$5,Sprints[],4,FALSE))&lt;&gt;"")*(IF(OFFSET($A36,0,31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6" s="52">
        <f t="array" aca="1" ref="NW36" ca="1">SUMPRODUCT((OFFSET($A36,0,31*(VLOOKUP(NW$5,Sprints[],5,FALSE))+DAY(VLOOKUP(NW$5,Sprints[],2,FALSE)),1,VLOOKUP(NW$5,Sprints[],4,FALSE))&lt;&gt;"")*(IF(OFFSET($A36,0,31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6" s="52">
        <f t="array" aca="1" ref="NX36" ca="1">SUMPRODUCT((OFFSET($A36,0,31*(VLOOKUP(NX$5,Sprints[],5,FALSE))+DAY(VLOOKUP(NX$5,Sprints[],2,FALSE)),1,VLOOKUP(NX$5,Sprints[],4,FALSE))&lt;&gt;"")*(IF(OFFSET($A36,0,31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6" s="52">
        <f t="array" aca="1" ref="NY36" ca="1">SUMPRODUCT((OFFSET($A36,0,31*(VLOOKUP(NY$5,Sprints[],5,FALSE))+DAY(VLOOKUP(NY$5,Sprints[],2,FALSE)),1,VLOOKUP(NY$5,Sprints[],4,FALSE))&lt;&gt;"")*(IF(OFFSET($A36,0,31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6" s="52">
        <f t="array" aca="1" ref="NZ36" ca="1">SUMPRODUCT((OFFSET($A36,0,31*(VLOOKUP(NZ$5,Sprints[],5,FALSE))+DAY(VLOOKUP(NZ$5,Sprints[],2,FALSE)),1,VLOOKUP(NZ$5,Sprints[],4,FALSE))&lt;&gt;"")*(IF(OFFSET($A36,0,31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6" s="52">
        <f t="array" aca="1" ref="OA36" ca="1">SUMPRODUCT((OFFSET($A36,0,31*(VLOOKUP(OA$5,Sprints[],5,FALSE))+DAY(VLOOKUP(OA$5,Sprints[],2,FALSE)),1,VLOOKUP(OA$5,Sprints[],4,FALSE))&lt;&gt;"")*(IF(OFFSET($A36,0,31*(VLOOKUP(OA$5,Sprints[],5,FALSE))+DAY(VLOOKUP(OA$5,Sprints[],2,FALSE)),1,VLOOKUP(OA$5,Sprints[],4,FALSE))=$OD$12,0.5,1)*(OFFSET($A$3,0,31*(VLOOKUP(OA$5,Sprints[],5,FALSE))+DAY(VLOOKUP(OA$5,Sprints[],2,FALSE)),1,VLOOKUP(OA$5,Sprints[],4,FALSE)))))</f>
        <v>19</v>
      </c>
    </row>
    <row r="37" spans="1:391" x14ac:dyDescent="0.45">
      <c r="A37" s="1" t="s">
        <v>88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 t="s">
        <v>49</v>
      </c>
      <c r="N37" s="2" t="s">
        <v>49</v>
      </c>
      <c r="O37" s="2"/>
      <c r="P37" s="2"/>
      <c r="Q37" s="2" t="s">
        <v>49</v>
      </c>
      <c r="R37" s="2" t="s">
        <v>49</v>
      </c>
      <c r="S37" s="2" t="s">
        <v>49</v>
      </c>
      <c r="T37" s="2" t="s">
        <v>49</v>
      </c>
      <c r="U37" s="2" t="s">
        <v>49</v>
      </c>
      <c r="V37" s="2"/>
      <c r="W37" s="2"/>
      <c r="X37" s="2" t="s">
        <v>49</v>
      </c>
      <c r="Y37" s="2" t="s">
        <v>49</v>
      </c>
      <c r="Z37" s="2" t="s">
        <v>49</v>
      </c>
      <c r="AA37" s="2" t="s">
        <v>49</v>
      </c>
      <c r="AB37" s="2" t="s">
        <v>49</v>
      </c>
      <c r="AC37" s="2"/>
      <c r="AD37" s="2"/>
      <c r="AE37" s="2" t="s">
        <v>49</v>
      </c>
      <c r="AF37" s="2"/>
      <c r="AG37" s="2" t="s">
        <v>49</v>
      </c>
      <c r="AH37" s="2" t="s">
        <v>49</v>
      </c>
      <c r="AI37" s="2" t="s">
        <v>49</v>
      </c>
      <c r="AJ37" s="2" t="s">
        <v>49</v>
      </c>
      <c r="AK37" s="2"/>
      <c r="AL37" s="2"/>
      <c r="AM37" s="2" t="s">
        <v>49</v>
      </c>
      <c r="AN37" s="2" t="s">
        <v>49</v>
      </c>
      <c r="AO37" s="2" t="s">
        <v>49</v>
      </c>
      <c r="AP37" s="2" t="s">
        <v>49</v>
      </c>
      <c r="AQ37" s="2" t="s">
        <v>49</v>
      </c>
      <c r="AR37" s="2"/>
      <c r="AS37" s="2"/>
      <c r="AT37" s="2" t="s">
        <v>49</v>
      </c>
      <c r="AU37" s="2" t="s">
        <v>49</v>
      </c>
      <c r="AV37" s="2" t="s">
        <v>49</v>
      </c>
      <c r="AW37" s="2" t="s">
        <v>49</v>
      </c>
      <c r="AX37" s="2" t="s">
        <v>49</v>
      </c>
      <c r="AY37" s="2"/>
      <c r="AZ37" s="2"/>
      <c r="BA37" s="2" t="s">
        <v>35</v>
      </c>
      <c r="BB37" s="2" t="s">
        <v>49</v>
      </c>
      <c r="BC37" s="2" t="s">
        <v>49</v>
      </c>
      <c r="BD37" s="2" t="s">
        <v>49</v>
      </c>
      <c r="BE37" s="2" t="s">
        <v>49</v>
      </c>
      <c r="BF37" s="2"/>
      <c r="BG37" s="2"/>
      <c r="BH37" s="2" t="s">
        <v>49</v>
      </c>
      <c r="BI37" s="2" t="s">
        <v>49</v>
      </c>
      <c r="BJ37" s="2" t="s">
        <v>49</v>
      </c>
      <c r="BK37" s="2" t="s">
        <v>49</v>
      </c>
      <c r="BL37" s="2" t="s">
        <v>49</v>
      </c>
      <c r="BM37" s="2"/>
      <c r="BN37" s="2"/>
      <c r="BO37" s="2" t="s">
        <v>49</v>
      </c>
      <c r="BP37" s="2" t="s">
        <v>49</v>
      </c>
      <c r="BQ37" s="2" t="s">
        <v>49</v>
      </c>
      <c r="BR37" s="2" t="s">
        <v>49</v>
      </c>
      <c r="BS37" s="2" t="s">
        <v>49</v>
      </c>
      <c r="BT37" s="2"/>
      <c r="BU37" s="2"/>
      <c r="BV37" s="2" t="s">
        <v>49</v>
      </c>
      <c r="BW37" s="2" t="s">
        <v>49</v>
      </c>
      <c r="BX37" s="2" t="s">
        <v>49</v>
      </c>
      <c r="BY37" s="2" t="s">
        <v>49</v>
      </c>
      <c r="BZ37" s="2" t="s">
        <v>49</v>
      </c>
      <c r="CA37" s="2"/>
      <c r="CB37" s="2"/>
      <c r="CC37" s="2" t="s">
        <v>49</v>
      </c>
      <c r="CD37" s="2" t="s">
        <v>49</v>
      </c>
      <c r="CE37" s="2" t="s">
        <v>49</v>
      </c>
      <c r="CF37" s="2" t="s">
        <v>49</v>
      </c>
      <c r="CG37" s="2" t="s">
        <v>49</v>
      </c>
      <c r="CH37" s="2"/>
      <c r="CI37" s="2"/>
      <c r="CJ37" s="2" t="s">
        <v>49</v>
      </c>
      <c r="CK37" s="2" t="s">
        <v>49</v>
      </c>
      <c r="CL37" s="2" t="s">
        <v>49</v>
      </c>
      <c r="CM37" s="2" t="s">
        <v>49</v>
      </c>
      <c r="CN37" s="2" t="s">
        <v>49</v>
      </c>
      <c r="CO37" s="2"/>
      <c r="CP37" s="2"/>
      <c r="CQ37" s="2"/>
      <c r="CR37" s="2" t="s">
        <v>35</v>
      </c>
      <c r="CS37" s="2" t="s">
        <v>49</v>
      </c>
      <c r="CT37" s="2" t="s">
        <v>49</v>
      </c>
      <c r="CU37" s="2" t="s">
        <v>49</v>
      </c>
      <c r="CV37" s="2" t="s">
        <v>49</v>
      </c>
      <c r="CW37" s="2"/>
      <c r="CX37" s="2"/>
      <c r="CY37" s="2" t="s">
        <v>49</v>
      </c>
      <c r="CZ37" s="2" t="s">
        <v>49</v>
      </c>
      <c r="DA37" s="2" t="s">
        <v>49</v>
      </c>
      <c r="DB37" s="2" t="s">
        <v>49</v>
      </c>
      <c r="DC37" s="2" t="s">
        <v>49</v>
      </c>
      <c r="DD37" s="2"/>
      <c r="DE37" s="2"/>
      <c r="DF37" s="2" t="s">
        <v>49</v>
      </c>
      <c r="DG37" s="2" t="s">
        <v>49</v>
      </c>
      <c r="DH37" s="2" t="s">
        <v>49</v>
      </c>
      <c r="DI37" s="2" t="s">
        <v>49</v>
      </c>
      <c r="DJ37" s="2" t="s">
        <v>49</v>
      </c>
      <c r="DK37" s="2"/>
      <c r="DL37" s="2"/>
      <c r="DM37" s="2" t="s">
        <v>49</v>
      </c>
      <c r="DN37" s="2" t="s">
        <v>49</v>
      </c>
      <c r="DO37" s="2" t="s">
        <v>49</v>
      </c>
      <c r="DP37" s="2" t="s">
        <v>49</v>
      </c>
      <c r="DQ37" s="2" t="s">
        <v>49</v>
      </c>
      <c r="DR37" s="2"/>
      <c r="DS37" s="2"/>
      <c r="DT37" s="2" t="s">
        <v>49</v>
      </c>
      <c r="DU37" s="2" t="s">
        <v>49</v>
      </c>
      <c r="DV37" s="2" t="s">
        <v>49</v>
      </c>
      <c r="DW37" s="2" t="s">
        <v>49</v>
      </c>
      <c r="DX37" s="2" t="s">
        <v>49</v>
      </c>
      <c r="DY37" s="2"/>
      <c r="DZ37" s="2"/>
      <c r="EA37" s="2" t="s">
        <v>35</v>
      </c>
      <c r="EB37" s="2" t="s">
        <v>49</v>
      </c>
      <c r="EC37" s="2" t="s">
        <v>49</v>
      </c>
      <c r="ED37" s="2" t="s">
        <v>49</v>
      </c>
      <c r="EE37" s="2" t="s">
        <v>49</v>
      </c>
      <c r="EF37" s="2"/>
      <c r="EG37" s="2"/>
      <c r="EH37" s="2" t="s">
        <v>49</v>
      </c>
      <c r="EI37" s="2" t="s">
        <v>49</v>
      </c>
      <c r="EJ37" s="2" t="s">
        <v>49</v>
      </c>
      <c r="EK37" s="2" t="s">
        <v>49</v>
      </c>
      <c r="EL37" s="2" t="s">
        <v>49</v>
      </c>
      <c r="EM37" s="2"/>
      <c r="EN37" s="2"/>
      <c r="EO37" s="2" t="s">
        <v>49</v>
      </c>
      <c r="EP37" s="2" t="s">
        <v>49</v>
      </c>
      <c r="EQ37" s="2" t="s">
        <v>49</v>
      </c>
      <c r="ER37" s="2" t="s">
        <v>49</v>
      </c>
      <c r="ES37" s="2" t="s">
        <v>49</v>
      </c>
      <c r="ET37" s="2"/>
      <c r="EU37" s="2"/>
      <c r="EV37" s="2" t="s">
        <v>49</v>
      </c>
      <c r="EW37" s="2" t="s">
        <v>49</v>
      </c>
      <c r="EX37" s="2" t="s">
        <v>49</v>
      </c>
      <c r="EY37" s="2" t="s">
        <v>49</v>
      </c>
      <c r="EZ37" s="2" t="s">
        <v>49</v>
      </c>
      <c r="FA37" s="2"/>
      <c r="FB37" s="2"/>
      <c r="FC37" s="2" t="s">
        <v>35</v>
      </c>
      <c r="FD37" s="2" t="s">
        <v>49</v>
      </c>
      <c r="FE37" s="2" t="s">
        <v>49</v>
      </c>
      <c r="FF37" s="2" t="s">
        <v>49</v>
      </c>
      <c r="FG37" s="2" t="s">
        <v>49</v>
      </c>
      <c r="FH37" s="2"/>
      <c r="FI37" s="2"/>
      <c r="FJ37" s="2" t="s">
        <v>49</v>
      </c>
      <c r="FK37" s="2" t="s">
        <v>49</v>
      </c>
      <c r="FL37" s="2" t="s">
        <v>49</v>
      </c>
      <c r="FM37" s="2" t="s">
        <v>49</v>
      </c>
      <c r="FN37" s="2" t="s">
        <v>49</v>
      </c>
      <c r="FO37" s="2"/>
      <c r="FP37" s="2"/>
      <c r="FQ37" s="2" t="s">
        <v>49</v>
      </c>
      <c r="FR37" s="2" t="s">
        <v>49</v>
      </c>
      <c r="FS37" s="2" t="s">
        <v>49</v>
      </c>
      <c r="FT37" s="2" t="s">
        <v>49</v>
      </c>
      <c r="FU37" s="2" t="s">
        <v>49</v>
      </c>
      <c r="FV37" s="2"/>
      <c r="FW37" s="2"/>
      <c r="FX37" s="2" t="s">
        <v>49</v>
      </c>
      <c r="FY37" s="2" t="s">
        <v>49</v>
      </c>
      <c r="FZ37" s="2" t="s">
        <v>49</v>
      </c>
      <c r="GA37" s="2" t="s">
        <v>49</v>
      </c>
      <c r="GB37" s="2" t="s">
        <v>49</v>
      </c>
      <c r="GC37" s="2"/>
      <c r="GD37" s="2"/>
      <c r="GE37" s="2"/>
      <c r="GF37" s="2" t="s">
        <v>49</v>
      </c>
      <c r="GG37" s="2" t="s">
        <v>49</v>
      </c>
      <c r="GH37" s="2" t="s">
        <v>49</v>
      </c>
      <c r="GI37" s="2" t="s">
        <v>49</v>
      </c>
      <c r="GJ37" s="2" t="s">
        <v>49</v>
      </c>
      <c r="GK37" s="2"/>
      <c r="GL37" s="2"/>
      <c r="GM37" s="2" t="s">
        <v>35</v>
      </c>
      <c r="GN37" s="2" t="s">
        <v>49</v>
      </c>
      <c r="GO37" s="2" t="s">
        <v>49</v>
      </c>
      <c r="GP37" s="2" t="s">
        <v>49</v>
      </c>
      <c r="GQ37" s="2" t="s">
        <v>49</v>
      </c>
      <c r="GR37" s="2"/>
      <c r="GS37" s="2"/>
      <c r="GT37" s="2" t="s">
        <v>49</v>
      </c>
      <c r="GU37" s="2" t="s">
        <v>49</v>
      </c>
      <c r="GV37" s="2" t="s">
        <v>49</v>
      </c>
      <c r="GW37" s="2" t="s">
        <v>49</v>
      </c>
      <c r="GX37" s="2" t="s">
        <v>49</v>
      </c>
      <c r="GY37" s="2"/>
      <c r="GZ37" s="2"/>
      <c r="HA37" s="2" t="s">
        <v>49</v>
      </c>
      <c r="HB37" s="2" t="s">
        <v>49</v>
      </c>
      <c r="HC37" s="2" t="s">
        <v>49</v>
      </c>
      <c r="HD37" s="2" t="s">
        <v>49</v>
      </c>
      <c r="HE37" s="2" t="s">
        <v>49</v>
      </c>
      <c r="HF37" s="2"/>
      <c r="HG37" s="2"/>
      <c r="HH37" s="2" t="s">
        <v>49</v>
      </c>
      <c r="HI37" s="2" t="s">
        <v>49</v>
      </c>
      <c r="HJ37" s="2" t="s">
        <v>49</v>
      </c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 t="s">
        <v>35</v>
      </c>
      <c r="JO37" s="2" t="s">
        <v>35</v>
      </c>
      <c r="JP37" s="2"/>
      <c r="JQ37" s="2"/>
      <c r="JR37" s="2"/>
      <c r="JS37" s="2"/>
      <c r="JT37" s="2"/>
      <c r="JU37" s="2" t="s">
        <v>35</v>
      </c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 t="s">
        <v>35</v>
      </c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14">
        <f t="array" aca="1" ref="NJ37" ca="1">SUMPRODUCT((OFFSET($A37,0,31*($A$3-1)+1,1,31)&lt;&gt;"")*(IF(OFFSET($A37,0,31*($A$3-1)+1,1,31)=$OD$12,0.5,1)*(OFFSET($A$4,0,31*($A$3-1)+1,1,31))))</f>
        <v>20</v>
      </c>
      <c r="NK37" s="20">
        <f t="array" aca="1" ref="NK37" ca="1">SUMPRODUCT((OFFSET($A37,0,1,1,372)&lt;&gt;"")*(IF(OFFSET($A37,0,1,1,372)=$OD$12,0.5,1)*(OFFSET($A$3,0,1,1,372))))</f>
        <v>149</v>
      </c>
      <c r="NL37" s="28">
        <f t="array" aca="1" ref="NL37" ca="1">SUMPRODUCT((OFFSET($A37,0,31*($A$4)+DAY(Holidays!$E$2),1,Holidays!$G$2)&lt;&gt;"")*(IF(OFFSET($A37,0,31*($A$4)+DAY(Holidays!$E$2),1,Holidays!$G$2)=$OD$12,0.5,1)*(OFFSET($A$3,0,31*($A$4)+DAY(Holidays!$E$2),1,Holidays!$G$2))))</f>
        <v>124</v>
      </c>
      <c r="NM37" s="52">
        <f t="array" aca="1" ref="NM37" ca="1">SUMPRODUCT((OFFSET($A37,0,31*($A$4)+DAY(VLOOKUP(NM$5,Sprints[],2,FALSE)),1,VLOOKUP(NM$5,Sprints[],4,FALSE))&lt;&gt;"")*(IF(OFFSET($A37,0,31*($A$4)+DAY(VLOOKUP(NM$5,Sprints[],2,FALSE)),1,VLOOKUP(NM$5,Sprints[],4,FALSE))=$OD$12,0.5,1)*(OFFSET($A$3,0,31*($A$4)+DAY(VLOOKUP(NM$5,Sprints[],2,FALSE)),1,VLOOKUP(NM$5,Sprints[],4,FALSE)))))</f>
        <v>4</v>
      </c>
      <c r="NN37" s="52">
        <f t="array" aca="1" ref="NN37" ca="1">SUMPRODUCT((OFFSET($A37,0,31*($A$4)+DAY(VLOOKUP(NN$5,Sprints[],2,FALSE)),1,VLOOKUP(NN$5,Sprints[],4,FALSE))&lt;&gt;"")*(IF(OFFSET($A37,0,31*($A$4)+DAY(VLOOKUP(NN$5,Sprints[],2,FALSE)),1,VLOOKUP(NN$5,Sprints[],4,FALSE))=$OD$12,0.5,1)*(OFFSET($A$3,0,31*($A$4)+DAY(VLOOKUP(NN$5,Sprints[],2,FALSE)),1,VLOOKUP(NN$5,Sprints[],4,FALSE)))))</f>
        <v>10</v>
      </c>
      <c r="NO37" s="52">
        <f t="array" aca="1" ref="NO37" ca="1">SUMPRODUCT((OFFSET($A37,0,31*($A$4)+DAY(VLOOKUP(NO$5,Sprints[],2,FALSE)),1,VLOOKUP(NO$5,Sprints[],4,FALSE))&lt;&gt;"")*(IF(OFFSET($A37,0,31*($A$4)+DAY(VLOOKUP(NO$5,Sprints[],2,FALSE)),1,VLOOKUP(NO$5,Sprints[],4,FALSE))=$OD$12,0.5,1)*(OFFSET($A$3,0,31*($A$4)+DAY(VLOOKUP(NO$5,Sprints[],2,FALSE)),1,VLOOKUP(NO$5,Sprints[],4,FALSE)))))</f>
        <v>2</v>
      </c>
      <c r="NP37" s="52">
        <f t="array" aca="1" ref="NP37" ca="1">SUMPRODUCT((OFFSET($A37,0,31*(VLOOKUP(NP$5,Sprints[],5,FALSE))+DAY(VLOOKUP(NP$5,Sprints[],2,FALSE)),1,VLOOKUP(NP$5,Sprints[],4,FALSE))&lt;&gt;"")*(IF(OFFSET($A37,0,31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7" s="52">
        <f t="array" aca="1" ref="NQ37" ca="1">SUMPRODUCT((OFFSET($A37,0,31*(VLOOKUP(NQ$5,Sprints[],5,FALSE))+DAY(VLOOKUP(NQ$5,Sprints[],2,FALSE)),1,VLOOKUP(NQ$5,Sprints[],4,FALSE))&lt;&gt;"")*(IF(OFFSET($A37,0,31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7" s="52">
        <f t="array" aca="1" ref="NR37" ca="1">SUMPRODUCT((OFFSET($A37,0,31*(VLOOKUP(NR$5,Sprints[],5,FALSE))+DAY(VLOOKUP(NR$5,Sprints[],2,FALSE)),1,VLOOKUP(NR$5,Sprints[],4,FALSE))&lt;&gt;"")*(IF(OFFSET($A37,0,31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7" s="52">
        <f t="array" aca="1" ref="NS37" ca="1">SUMPRODUCT((OFFSET($A37,0,31*(VLOOKUP(NS$5,Sprints[],5,FALSE))+DAY(VLOOKUP(NS$5,Sprints[],2,FALSE)),1,VLOOKUP(NS$5,Sprints[],4,FALSE))&lt;&gt;"")*(IF(OFFSET($A37,0,31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7" s="52">
        <f t="array" aca="1" ref="NT37" ca="1">SUMPRODUCT((OFFSET($A37,0,31*(VLOOKUP(NT$5,Sprints[],5,FALSE))+DAY(VLOOKUP(NT$5,Sprints[],2,FALSE)),1,VLOOKUP(NT$5,Sprints[],4,FALSE))&lt;&gt;"")*(IF(OFFSET($A37,0,31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7" s="52">
        <f t="array" aca="1" ref="NU37" ca="1">SUMPRODUCT((OFFSET($A37,0,31*(VLOOKUP(NU$5,Sprints[],5,FALSE))+DAY(VLOOKUP(NU$5,Sprints[],2,FALSE)),1,VLOOKUP(NU$5,Sprints[],4,FALSE))&lt;&gt;"")*(IF(OFFSET($A37,0,31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7" s="52">
        <f t="array" aca="1" ref="NV37" ca="1">SUMPRODUCT((OFFSET($A37,0,31*(VLOOKUP(NV$5,Sprints[],5,FALSE))+DAY(VLOOKUP(NV$5,Sprints[],2,FALSE)),1,VLOOKUP(NV$5,Sprints[],4,FALSE))&lt;&gt;"")*(IF(OFFSET($A37,0,31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7" s="52">
        <f t="array" aca="1" ref="NW37" ca="1">SUMPRODUCT((OFFSET($A37,0,31*(VLOOKUP(NW$5,Sprints[],5,FALSE))+DAY(VLOOKUP(NW$5,Sprints[],2,FALSE)),1,VLOOKUP(NW$5,Sprints[],4,FALSE))&lt;&gt;"")*(IF(OFFSET($A37,0,31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7" s="52">
        <f t="array" aca="1" ref="NX37" ca="1">SUMPRODUCT((OFFSET($A37,0,31*(VLOOKUP(NX$5,Sprints[],5,FALSE))+DAY(VLOOKUP(NX$5,Sprints[],2,FALSE)),1,VLOOKUP(NX$5,Sprints[],4,FALSE))&lt;&gt;"")*(IF(OFFSET($A37,0,31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7" s="52">
        <f t="array" aca="1" ref="NY37" ca="1">SUMPRODUCT((OFFSET($A37,0,31*(VLOOKUP(NY$5,Sprints[],5,FALSE))+DAY(VLOOKUP(NY$5,Sprints[],2,FALSE)),1,VLOOKUP(NY$5,Sprints[],4,FALSE))&lt;&gt;"")*(IF(OFFSET($A37,0,31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7" s="52">
        <f t="array" aca="1" ref="NZ37" ca="1">SUMPRODUCT((OFFSET($A37,0,31*(VLOOKUP(NZ$5,Sprints[],5,FALSE))+DAY(VLOOKUP(NZ$5,Sprints[],2,FALSE)),1,VLOOKUP(NZ$5,Sprints[],4,FALSE))&lt;&gt;"")*(IF(OFFSET($A37,0,31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7" s="52">
        <f t="array" aca="1" ref="OA37" ca="1">SUMPRODUCT((OFFSET($A37,0,31*(VLOOKUP(OA$5,Sprints[],5,FALSE))+DAY(VLOOKUP(OA$5,Sprints[],2,FALSE)),1,VLOOKUP(OA$5,Sprints[],4,FALSE))&lt;&gt;"")*(IF(OFFSET($A37,0,31*(VLOOKUP(OA$5,Sprints[],5,FALSE))+DAY(VLOOKUP(OA$5,Sprints[],2,FALSE)),1,VLOOKUP(OA$5,Sprints[],4,FALSE))=$OD$12,0.5,1)*(OFFSET($A$3,0,31*(VLOOKUP(OA$5,Sprints[],5,FALSE))+DAY(VLOOKUP(OA$5,Sprints[],2,FALSE)),1,VLOOKUP(OA$5,Sprints[],4,FALSE)))))</f>
        <v>19</v>
      </c>
    </row>
    <row r="38" spans="1:391" x14ac:dyDescent="0.45">
      <c r="A38" s="1" t="s">
        <v>89</v>
      </c>
      <c r="B38" s="2"/>
      <c r="C38" s="2" t="s">
        <v>33</v>
      </c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 t="s">
        <v>31</v>
      </c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 t="s">
        <v>33</v>
      </c>
      <c r="AX38" s="2" t="s">
        <v>31</v>
      </c>
      <c r="AY38" s="2"/>
      <c r="AZ38" s="2"/>
      <c r="BA38" s="2" t="s">
        <v>35</v>
      </c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 t="s">
        <v>31</v>
      </c>
      <c r="BS38" s="2" t="s">
        <v>33</v>
      </c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 t="s">
        <v>33</v>
      </c>
      <c r="CO38" s="2"/>
      <c r="CP38" s="2"/>
      <c r="CQ38" s="2"/>
      <c r="CR38" s="2" t="s">
        <v>35</v>
      </c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 t="s">
        <v>33</v>
      </c>
      <c r="DK38" s="2"/>
      <c r="DL38" s="2"/>
      <c r="DM38" s="2" t="s">
        <v>31</v>
      </c>
      <c r="DN38" s="2" t="s">
        <v>31</v>
      </c>
      <c r="DO38" s="2"/>
      <c r="DP38" s="2"/>
      <c r="DQ38" s="2"/>
      <c r="DR38" s="2"/>
      <c r="DS38" s="2"/>
      <c r="DT38" s="2"/>
      <c r="DU38" s="2"/>
      <c r="DV38" s="2"/>
      <c r="DW38" s="2"/>
      <c r="DX38" s="2" t="s">
        <v>33</v>
      </c>
      <c r="DY38" s="2"/>
      <c r="DZ38" s="2"/>
      <c r="EA38" s="2" t="s">
        <v>35</v>
      </c>
      <c r="EB38" s="2"/>
      <c r="EC38" s="2" t="s">
        <v>31</v>
      </c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 t="s">
        <v>33</v>
      </c>
      <c r="FA38" s="2"/>
      <c r="FB38" s="2"/>
      <c r="FC38" s="2" t="s">
        <v>35</v>
      </c>
      <c r="FD38" s="2"/>
      <c r="FE38" s="2" t="s">
        <v>31</v>
      </c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 t="s">
        <v>35</v>
      </c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 t="s">
        <v>35</v>
      </c>
      <c r="JO38" s="2" t="s">
        <v>35</v>
      </c>
      <c r="JP38" s="2"/>
      <c r="JQ38" s="2"/>
      <c r="JR38" s="2"/>
      <c r="JS38" s="2"/>
      <c r="JT38" s="2"/>
      <c r="JU38" s="2" t="s">
        <v>35</v>
      </c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 t="s">
        <v>35</v>
      </c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14">
        <f t="array" aca="1" ref="NJ38" ca="1">SUMPRODUCT((OFFSET($A38,0,31*($A$3-1)+1,1,31)&lt;&gt;"")*(IF(OFFSET($A38,0,31*($A$3-1)+1,1,31)=$OD$12,0.5,1)*(OFFSET($A$4,0,31*($A$3-1)+1,1,31))))</f>
        <v>1.5</v>
      </c>
      <c r="NK38" s="20">
        <f t="array" aca="1" ref="NK38" ca="1">SUMPRODUCT((OFFSET($A38,0,1,1,372)&lt;&gt;"")*(IF(OFFSET($A38,0,1,1,372)=$OD$12,0.5,1)*(OFFSET($A$3,0,1,1,372))))</f>
        <v>19.5</v>
      </c>
      <c r="NL38" s="28">
        <f t="array" aca="1" ref="NL38" ca="1">SUMPRODUCT((OFFSET($A38,0,31*($A$4)+DAY(Holidays!$E$2),1,Holidays!$G$2)&lt;&gt;"")*(IF(OFFSET($A38,0,31*($A$4)+DAY(Holidays!$E$2),1,Holidays!$G$2)=$OD$12,0.5,1)*(OFFSET($A$3,0,31*($A$4)+DAY(Holidays!$E$2),1,Holidays!$G$2))))</f>
        <v>13.5</v>
      </c>
      <c r="NM38" s="52">
        <f t="array" aca="1" ref="NM38" ca="1">SUMPRODUCT((OFFSET($A38,0,31*($A$4)+DAY(VLOOKUP(NM$5,Sprints[],2,FALSE)),1,VLOOKUP(NM$5,Sprints[],4,FALSE))&lt;&gt;"")*(IF(OFFSET($A38,0,31*($A$4)+DAY(VLOOKUP(NM$5,Sprints[],2,FALSE)),1,VLOOKUP(NM$5,Sprints[],4,FALSE))=$OD$12,0.5,1)*(OFFSET($A$3,0,31*($A$4)+DAY(VLOOKUP(NM$5,Sprints[],2,FALSE)),1,VLOOKUP(NM$5,Sprints[],4,FALSE)))))</f>
        <v>0.5</v>
      </c>
      <c r="NN38" s="52">
        <f t="array" aca="1" ref="NN38" ca="1">SUMPRODUCT((OFFSET($A38,0,31*($A$4)+DAY(VLOOKUP(NN$5,Sprints[],2,FALSE)),1,VLOOKUP(NN$5,Sprints[],4,FALSE))&lt;&gt;"")*(IF(OFFSET($A38,0,31*($A$4)+DAY(VLOOKUP(NN$5,Sprints[],2,FALSE)),1,VLOOKUP(NN$5,Sprints[],4,FALSE))=$OD$12,0.5,1)*(OFFSET($A$3,0,31*($A$4)+DAY(VLOOKUP(NN$5,Sprints[],2,FALSE)),1,VLOOKUP(NN$5,Sprints[],4,FALSE)))))</f>
        <v>0</v>
      </c>
      <c r="NO38" s="52">
        <f t="array" aca="1" ref="NO38" ca="1">SUMPRODUCT((OFFSET($A38,0,31*($A$4)+DAY(VLOOKUP(NO$5,Sprints[],2,FALSE)),1,VLOOKUP(NO$5,Sprints[],4,FALSE))&lt;&gt;"")*(IF(OFFSET($A38,0,31*($A$4)+DAY(VLOOKUP(NO$5,Sprints[],2,FALSE)),1,VLOOKUP(NO$5,Sprints[],4,FALSE))=$OD$12,0.5,1)*(OFFSET($A$3,0,31*($A$4)+DAY(VLOOKUP(NO$5,Sprints[],2,FALSE)),1,VLOOKUP(NO$5,Sprints[],4,FALSE)))))</f>
        <v>1</v>
      </c>
      <c r="NP38" s="52">
        <f t="array" aca="1" ref="NP38" ca="1">SUMPRODUCT((OFFSET($A38,0,31*(VLOOKUP(NP$5,Sprints[],5,FALSE))+DAY(VLOOKUP(NP$5,Sprints[],2,FALSE)),1,VLOOKUP(NP$5,Sprints[],4,FALSE))&lt;&gt;"")*(IF(OFFSET($A38,0,31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38" s="52">
        <f t="array" aca="1" ref="NQ38" ca="1">SUMPRODUCT((OFFSET($A38,0,31*(VLOOKUP(NQ$5,Sprints[],5,FALSE))+DAY(VLOOKUP(NQ$5,Sprints[],2,FALSE)),1,VLOOKUP(NQ$5,Sprints[],4,FALSE))&lt;&gt;"")*(IF(OFFSET($A38,0,31*(VLOOKUP(NQ$5,Sprints[],5,FALSE))+DAY(VLOOKUP(NQ$5,Sprints[],2,FALSE)),1,VLOOKUP(NQ$5,Sprints[],4,FALSE))=$OD$12,0.5,1)*(OFFSET($A$3,0,31*(VLOOKUP(NQ$5,Sprints[],5,FALSE))+DAY(VLOOKUP(NQ$5,Sprints[],2,FALSE)),1,VLOOKUP(NQ$5,Sprints[],4,FALSE)))))</f>
        <v>1.5</v>
      </c>
      <c r="NR38" s="52">
        <f t="array" aca="1" ref="NR38" ca="1">SUMPRODUCT((OFFSET($A38,0,31*(VLOOKUP(NR$5,Sprints[],5,FALSE))+DAY(VLOOKUP(NR$5,Sprints[],2,FALSE)),1,VLOOKUP(NR$5,Sprints[],4,FALSE))&lt;&gt;"")*(IF(OFFSET($A38,0,31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38" s="52">
        <f t="array" aca="1" ref="NS38" ca="1">SUMPRODUCT((OFFSET($A38,0,31*(VLOOKUP(NS$5,Sprints[],5,FALSE))+DAY(VLOOKUP(NS$5,Sprints[],2,FALSE)),1,VLOOKUP(NS$5,Sprints[],4,FALSE))&lt;&gt;"")*(IF(OFFSET($A38,0,31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38" s="52">
        <f t="array" aca="1" ref="NT38" ca="1">SUMPRODUCT((OFFSET($A38,0,31*(VLOOKUP(NT$5,Sprints[],5,FALSE))+DAY(VLOOKUP(NT$5,Sprints[],2,FALSE)),1,VLOOKUP(NT$5,Sprints[],4,FALSE))&lt;&gt;"")*(IF(OFFSET($A38,0,31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8" s="52">
        <f t="array" aca="1" ref="NU38" ca="1">SUMPRODUCT((OFFSET($A38,0,31*(VLOOKUP(NU$5,Sprints[],5,FALSE))+DAY(VLOOKUP(NU$5,Sprints[],2,FALSE)),1,VLOOKUP(NU$5,Sprints[],4,FALSE))&lt;&gt;"")*(IF(OFFSET($A38,0,31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38" s="52">
        <f t="array" aca="1" ref="NV38" ca="1">SUMPRODUCT((OFFSET($A38,0,31*(VLOOKUP(NV$5,Sprints[],5,FALSE))+DAY(VLOOKUP(NV$5,Sprints[],2,FALSE)),1,VLOOKUP(NV$5,Sprints[],4,FALSE))&lt;&gt;"")*(IF(OFFSET($A38,0,31*(VLOOKUP(NV$5,Sprints[],5,FALSE))+DAY(VLOOKUP(NV$5,Sprints[],2,FALSE)),1,VLOOKUP(NV$5,Sprints[],4,FALSE))=$OD$12,0.5,1)*(OFFSET($A$3,0,31*(VLOOKUP(NV$5,Sprints[],5,FALSE))+DAY(VLOOKUP(NV$5,Sprints[],2,FALSE)),1,VLOOKUP(NV$5,Sprints[],4,FALSE)))))</f>
        <v>2.5</v>
      </c>
      <c r="NW38" s="52">
        <f t="array" aca="1" ref="NW38" ca="1">SUMPRODUCT((OFFSET($A38,0,31*(VLOOKUP(NW$5,Sprints[],5,FALSE))+DAY(VLOOKUP(NW$5,Sprints[],2,FALSE)),1,VLOOKUP(NW$5,Sprints[],4,FALSE))&lt;&gt;"")*(IF(OFFSET($A38,0,31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8" s="52">
        <f t="array" aca="1" ref="NX38" ca="1">SUMPRODUCT((OFFSET($A38,0,31*(VLOOKUP(NX$5,Sprints[],5,FALSE))+DAY(VLOOKUP(NX$5,Sprints[],2,FALSE)),1,VLOOKUP(NX$5,Sprints[],4,FALSE))&lt;&gt;"")*(IF(OFFSET($A38,0,31*(VLOOKUP(NX$5,Sprints[],5,FALSE))+DAY(VLOOKUP(NX$5,Sprints[],2,FALSE)),1,VLOOKUP(NX$5,Sprints[],4,FALSE))=$OD$12,0.5,1)*(OFFSET($A$3,0,31*(VLOOKUP(NX$5,Sprints[],5,FALSE))+DAY(VLOOKUP(NX$5,Sprints[],2,FALSE)),1,VLOOKUP(NX$5,Sprints[],4,FALSE)))))</f>
        <v>2.5</v>
      </c>
      <c r="NY38" s="52">
        <f t="array" aca="1" ref="NY38" ca="1">SUMPRODUCT((OFFSET($A38,0,31*(VLOOKUP(NY$5,Sprints[],5,FALSE))+DAY(VLOOKUP(NY$5,Sprints[],2,FALSE)),1,VLOOKUP(NY$5,Sprints[],4,FALSE))&lt;&gt;"")*(IF(OFFSET($A38,0,31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8" s="52">
        <f t="array" aca="1" ref="NZ38" ca="1">SUMPRODUCT((OFFSET($A38,0,31*(VLOOKUP(NZ$5,Sprints[],5,FALSE))+DAY(VLOOKUP(NZ$5,Sprints[],2,FALSE)),1,VLOOKUP(NZ$5,Sprints[],4,FALSE))&lt;&gt;"")*(IF(OFFSET($A38,0,31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8" s="52">
        <f t="array" aca="1" ref="OA38" ca="1">SUMPRODUCT((OFFSET($A38,0,31*(VLOOKUP(OA$5,Sprints[],5,FALSE))+DAY(VLOOKUP(OA$5,Sprints[],2,FALSE)),1,VLOOKUP(OA$5,Sprints[],4,FALSE))&lt;&gt;"")*(IF(OFFSET($A38,0,31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39" spans="1:391" x14ac:dyDescent="0.45">
      <c r="A39" s="1" t="s">
        <v>90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 t="s">
        <v>33</v>
      </c>
      <c r="AX39" s="2" t="s">
        <v>31</v>
      </c>
      <c r="AY39" s="2"/>
      <c r="AZ39" s="2"/>
      <c r="BA39" s="2" t="s">
        <v>35</v>
      </c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 t="s">
        <v>33</v>
      </c>
      <c r="CD39" s="2" t="s">
        <v>33</v>
      </c>
      <c r="CE39" s="2" t="s">
        <v>33</v>
      </c>
      <c r="CF39" s="2" t="s">
        <v>33</v>
      </c>
      <c r="CG39" s="2" t="s">
        <v>33</v>
      </c>
      <c r="CH39" s="2"/>
      <c r="CI39" s="2"/>
      <c r="CJ39" s="2" t="s">
        <v>33</v>
      </c>
      <c r="CK39" s="2" t="s">
        <v>33</v>
      </c>
      <c r="CL39" s="2" t="s">
        <v>33</v>
      </c>
      <c r="CM39" s="2" t="s">
        <v>33</v>
      </c>
      <c r="CN39" s="2" t="s">
        <v>33</v>
      </c>
      <c r="CO39" s="2"/>
      <c r="CP39" s="2"/>
      <c r="CQ39" s="2"/>
      <c r="CR39" s="2" t="s">
        <v>35</v>
      </c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 t="s">
        <v>31</v>
      </c>
      <c r="DN39" s="2" t="s">
        <v>31</v>
      </c>
      <c r="DO39" s="2"/>
      <c r="DP39" s="2"/>
      <c r="DQ39" s="2"/>
      <c r="DR39" s="2"/>
      <c r="DS39" s="2"/>
      <c r="DT39" s="2"/>
      <c r="DU39" s="2"/>
      <c r="DV39" s="2"/>
      <c r="DW39" s="2"/>
      <c r="DX39" s="2" t="s">
        <v>33</v>
      </c>
      <c r="DY39" s="2"/>
      <c r="DZ39" s="2"/>
      <c r="EA39" s="2" t="s">
        <v>35</v>
      </c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 t="s">
        <v>35</v>
      </c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 t="s">
        <v>35</v>
      </c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 t="s">
        <v>35</v>
      </c>
      <c r="JO39" s="2" t="s">
        <v>35</v>
      </c>
      <c r="JP39" s="2"/>
      <c r="JQ39" s="2"/>
      <c r="JR39" s="2"/>
      <c r="JS39" s="2"/>
      <c r="JT39" s="2"/>
      <c r="JU39" s="2" t="s">
        <v>35</v>
      </c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 t="s">
        <v>35</v>
      </c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14">
        <f t="array" aca="1" ref="NJ39" ca="1">SUMPRODUCT((OFFSET($A39,0,31*($A$3-1)+1,1,31)&lt;&gt;"")*(IF(OFFSET($A39,0,31*($A$3-1)+1,1,31)=$OD$12,0.5,1)*(OFFSET($A$4,0,31*($A$3-1)+1,1,31))))</f>
        <v>1</v>
      </c>
      <c r="NK39" s="20">
        <f t="array" aca="1" ref="NK39" ca="1">SUMPRODUCT((OFFSET($A39,0,1,1,372)&lt;&gt;"")*(IF(OFFSET($A39,0,1,1,372)=$OD$12,0.5,1)*(OFFSET($A$3,0,1,1,372))))</f>
        <v>22.5</v>
      </c>
      <c r="NL39" s="28">
        <f t="array" aca="1" ref="NL39" ca="1">SUMPRODUCT((OFFSET($A39,0,31*($A$4)+DAY(Holidays!$E$2),1,Holidays!$G$2)&lt;&gt;"")*(IF(OFFSET($A39,0,31*($A$4)+DAY(Holidays!$E$2),1,Holidays!$G$2)=$OD$12,0.5,1)*(OFFSET($A$3,0,31*($A$4)+DAY(Holidays!$E$2),1,Holidays!$G$2))))</f>
        <v>17.5</v>
      </c>
      <c r="NM39" s="52">
        <f t="array" aca="1" ref="NM39" ca="1">SUMPRODUCT((OFFSET($A39,0,31*($A$4)+DAY(VLOOKUP(NM$5,Sprints[],2,FALSE)),1,VLOOKUP(NM$5,Sprints[],4,FALSE))&lt;&gt;"")*(IF(OFFSET($A39,0,31*($A$4)+DAY(VLOOKUP(NM$5,Sprints[],2,FALSE)),1,VLOOKUP(NM$5,Sprints[],4,FALSE))=$OD$12,0.5,1)*(OFFSET($A$3,0,31*($A$4)+DAY(VLOOKUP(NM$5,Sprints[],2,FALSE)),1,VLOOKUP(NM$5,Sprints[],4,FALSE)))))</f>
        <v>0</v>
      </c>
      <c r="NN39" s="52">
        <f t="array" aca="1" ref="NN39" ca="1">SUMPRODUCT((OFFSET($A39,0,31*($A$4)+DAY(VLOOKUP(NN$5,Sprints[],2,FALSE)),1,VLOOKUP(NN$5,Sprints[],4,FALSE))&lt;&gt;"")*(IF(OFFSET($A39,0,31*($A$4)+DAY(VLOOKUP(NN$5,Sprints[],2,FALSE)),1,VLOOKUP(NN$5,Sprints[],4,FALSE))=$OD$12,0.5,1)*(OFFSET($A$3,0,31*($A$4)+DAY(VLOOKUP(NN$5,Sprints[],2,FALSE)),1,VLOOKUP(NN$5,Sprints[],4,FALSE)))))</f>
        <v>0</v>
      </c>
      <c r="NO39" s="52">
        <f t="array" aca="1" ref="NO39" ca="1">SUMPRODUCT((OFFSET($A39,0,31*($A$4)+DAY(VLOOKUP(NO$5,Sprints[],2,FALSE)),1,VLOOKUP(NO$5,Sprints[],4,FALSE))&lt;&gt;"")*(IF(OFFSET($A39,0,31*($A$4)+DAY(VLOOKUP(NO$5,Sprints[],2,FALSE)),1,VLOOKUP(NO$5,Sprints[],4,FALSE))=$OD$12,0.5,1)*(OFFSET($A$3,0,31*($A$4)+DAY(VLOOKUP(NO$5,Sprints[],2,FALSE)),1,VLOOKUP(NO$5,Sprints[],4,FALSE)))))</f>
        <v>0</v>
      </c>
      <c r="NP39" s="52">
        <f t="array" aca="1" ref="NP39" ca="1">SUMPRODUCT((OFFSET($A39,0,31*(VLOOKUP(NP$5,Sprints[],5,FALSE))+DAY(VLOOKUP(NP$5,Sprints[],2,FALSE)),1,VLOOKUP(NP$5,Sprints[],4,FALSE))&lt;&gt;"")*(IF(OFFSET($A39,0,31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39" s="52">
        <f t="array" aca="1" ref="NQ39" ca="1">SUMPRODUCT((OFFSET($A39,0,31*(VLOOKUP(NQ$5,Sprints[],5,FALSE))+DAY(VLOOKUP(NQ$5,Sprints[],2,FALSE)),1,VLOOKUP(NQ$5,Sprints[],4,FALSE))&lt;&gt;"")*(IF(OFFSET($A39,0,31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39" s="52">
        <f t="array" aca="1" ref="NR39" ca="1">SUMPRODUCT((OFFSET($A39,0,31*(VLOOKUP(NR$5,Sprints[],5,FALSE))+DAY(VLOOKUP(NR$5,Sprints[],2,FALSE)),1,VLOOKUP(NR$5,Sprints[],4,FALSE))&lt;&gt;"")*(IF(OFFSET($A39,0,31*(VLOOKUP(NR$5,Sprints[],5,FALSE))+DAY(VLOOKUP(NR$5,Sprints[],2,FALSE)),1,VLOOKUP(NR$5,Sprints[],4,FALSE))=$OD$12,0.5,1)*(OFFSET($A$3,0,31*(VLOOKUP(NR$5,Sprints[],5,FALSE))+DAY(VLOOKUP(NR$5,Sprints[],2,FALSE)),1,VLOOKUP(NR$5,Sprints[],4,FALSE)))))</f>
        <v>7</v>
      </c>
      <c r="NS39" s="52">
        <f t="array" aca="1" ref="NS39" ca="1">SUMPRODUCT((OFFSET($A39,0,31*(VLOOKUP(NS$5,Sprints[],5,FALSE))+DAY(VLOOKUP(NS$5,Sprints[],2,FALSE)),1,VLOOKUP(NS$5,Sprints[],4,FALSE))&lt;&gt;"")*(IF(OFFSET($A39,0,31*(VLOOKUP(NS$5,Sprints[],5,FALSE))+DAY(VLOOKUP(NS$5,Sprints[],2,FALSE)),1,VLOOKUP(NS$5,Sprints[],4,FALSE))=$OD$12,0.5,1)*(OFFSET($A$3,0,31*(VLOOKUP(NS$5,Sprints[],5,FALSE))+DAY(VLOOKUP(NS$5,Sprints[],2,FALSE)),1,VLOOKUP(NS$5,Sprints[],4,FALSE)))))</f>
        <v>4</v>
      </c>
      <c r="NT39" s="52">
        <f t="array" aca="1" ref="NT39" ca="1">SUMPRODUCT((OFFSET($A39,0,31*(VLOOKUP(NT$5,Sprints[],5,FALSE))+DAY(VLOOKUP(NT$5,Sprints[],2,FALSE)),1,VLOOKUP(NT$5,Sprints[],4,FALSE))&lt;&gt;"")*(IF(OFFSET($A39,0,31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9" s="52">
        <f t="array" aca="1" ref="NU39" ca="1">SUMPRODUCT((OFFSET($A39,0,31*(VLOOKUP(NU$5,Sprints[],5,FALSE))+DAY(VLOOKUP(NU$5,Sprints[],2,FALSE)),1,VLOOKUP(NU$5,Sprints[],4,FALSE))&lt;&gt;"")*(IF(OFFSET($A39,0,31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39" s="52">
        <f t="array" aca="1" ref="NV39" ca="1">SUMPRODUCT((OFFSET($A39,0,31*(VLOOKUP(NV$5,Sprints[],5,FALSE))+DAY(VLOOKUP(NV$5,Sprints[],2,FALSE)),1,VLOOKUP(NV$5,Sprints[],4,FALSE))&lt;&gt;"")*(IF(OFFSET($A39,0,31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39" s="52">
        <f t="array" aca="1" ref="NW39" ca="1">SUMPRODUCT((OFFSET($A39,0,31*(VLOOKUP(NW$5,Sprints[],5,FALSE))+DAY(VLOOKUP(NW$5,Sprints[],2,FALSE)),1,VLOOKUP(NW$5,Sprints[],4,FALSE))&lt;&gt;"")*(IF(OFFSET($A39,0,31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9" s="52">
        <f t="array" aca="1" ref="NX39" ca="1">SUMPRODUCT((OFFSET($A39,0,31*(VLOOKUP(NX$5,Sprints[],5,FALSE))+DAY(VLOOKUP(NX$5,Sprints[],2,FALSE)),1,VLOOKUP(NX$5,Sprints[],4,FALSE))&lt;&gt;"")*(IF(OFFSET($A39,0,31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9" s="52">
        <f t="array" aca="1" ref="NY39" ca="1">SUMPRODUCT((OFFSET($A39,0,31*(VLOOKUP(NY$5,Sprints[],5,FALSE))+DAY(VLOOKUP(NY$5,Sprints[],2,FALSE)),1,VLOOKUP(NY$5,Sprints[],4,FALSE))&lt;&gt;"")*(IF(OFFSET($A39,0,31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9" s="52">
        <f t="array" aca="1" ref="NZ39" ca="1">SUMPRODUCT((OFFSET($A39,0,31*(VLOOKUP(NZ$5,Sprints[],5,FALSE))+DAY(VLOOKUP(NZ$5,Sprints[],2,FALSE)),1,VLOOKUP(NZ$5,Sprints[],4,FALSE))&lt;&gt;"")*(IF(OFFSET($A39,0,31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9" s="52">
        <f t="array" aca="1" ref="OA39" ca="1">SUMPRODUCT((OFFSET($A39,0,31*(VLOOKUP(OA$5,Sprints[],5,FALSE))+DAY(VLOOKUP(OA$5,Sprints[],2,FALSE)),1,VLOOKUP(OA$5,Sprints[],4,FALSE))&lt;&gt;"")*(IF(OFFSET($A39,0,31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40" spans="1:391" x14ac:dyDescent="0.45">
      <c r="A40" s="1" t="s">
        <v>91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 t="s">
        <v>33</v>
      </c>
      <c r="V40" s="2"/>
      <c r="W40" s="2"/>
      <c r="X40" s="2" t="s">
        <v>33</v>
      </c>
      <c r="Y40" s="2" t="s">
        <v>33</v>
      </c>
      <c r="Z40" s="2" t="s">
        <v>33</v>
      </c>
      <c r="AA40" s="2" t="s">
        <v>33</v>
      </c>
      <c r="AB40" s="2" t="s">
        <v>33</v>
      </c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 t="s">
        <v>33</v>
      </c>
      <c r="AX40" s="2" t="s">
        <v>31</v>
      </c>
      <c r="AY40" s="2"/>
      <c r="AZ40" s="2"/>
      <c r="BA40" s="2" t="s">
        <v>35</v>
      </c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 t="s">
        <v>35</v>
      </c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 t="s">
        <v>31</v>
      </c>
      <c r="DN40" s="2" t="s">
        <v>31</v>
      </c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 t="s">
        <v>35</v>
      </c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 t="s">
        <v>33</v>
      </c>
      <c r="FA40" s="2"/>
      <c r="FB40" s="2"/>
      <c r="FC40" s="2" t="s">
        <v>35</v>
      </c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 t="s">
        <v>33</v>
      </c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 t="s">
        <v>35</v>
      </c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 t="s">
        <v>35</v>
      </c>
      <c r="JO40" s="2" t="s">
        <v>35</v>
      </c>
      <c r="JP40" s="2"/>
      <c r="JQ40" s="2"/>
      <c r="JR40" s="2"/>
      <c r="JS40" s="2"/>
      <c r="JT40" s="2"/>
      <c r="JU40" s="2" t="s">
        <v>35</v>
      </c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 t="s">
        <v>35</v>
      </c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14">
        <f t="array" aca="1" ref="NJ40" ca="1">SUMPRODUCT((OFFSET($A40,0,31*($A$3-1)+1,1,31)&lt;&gt;"")*(IF(OFFSET($A40,0,31*($A$3-1)+1,1,31)=$OD$12,0.5,1)*(OFFSET($A$4,0,31*($A$3-1)+1,1,31))))</f>
        <v>2</v>
      </c>
      <c r="NK40" s="20">
        <f t="array" aca="1" ref="NK40" ca="1">SUMPRODUCT((OFFSET($A40,0,1,1,372)&lt;&gt;"")*(IF(OFFSET($A40,0,1,1,372)=$OD$12,0.5,1)*(OFFSET($A$3,0,1,1,372))))</f>
        <v>19.5</v>
      </c>
      <c r="NL40" s="28">
        <f t="array" aca="1" ref="NL40" ca="1">SUMPRODUCT((OFFSET($A40,0,31*($A$4)+DAY(Holidays!$E$2),1,Holidays!$G$2)&lt;&gt;"")*(IF(OFFSET($A40,0,31*($A$4)+DAY(Holidays!$E$2),1,Holidays!$G$2)=$OD$12,0.5,1)*(OFFSET($A$3,0,31*($A$4)+DAY(Holidays!$E$2),1,Holidays!$G$2))))</f>
        <v>14.5</v>
      </c>
      <c r="NM40" s="52">
        <f t="array" aca="1" ref="NM40" ca="1">SUMPRODUCT((OFFSET($A40,0,31*($A$4)+DAY(VLOOKUP(NM$5,Sprints[],2,FALSE)),1,VLOOKUP(NM$5,Sprints[],4,FALSE))&lt;&gt;"")*(IF(OFFSET($A40,0,31*($A$4)+DAY(VLOOKUP(NM$5,Sprints[],2,FALSE)),1,VLOOKUP(NM$5,Sprints[],4,FALSE))=$OD$12,0.5,1)*(OFFSET($A$3,0,31*($A$4)+DAY(VLOOKUP(NM$5,Sprints[],2,FALSE)),1,VLOOKUP(NM$5,Sprints[],4,FALSE)))))</f>
        <v>0</v>
      </c>
      <c r="NN40" s="52">
        <f t="array" aca="1" ref="NN40" ca="1">SUMPRODUCT((OFFSET($A40,0,31*($A$4)+DAY(VLOOKUP(NN$5,Sprints[],2,FALSE)),1,VLOOKUP(NN$5,Sprints[],4,FALSE))&lt;&gt;"")*(IF(OFFSET($A40,0,31*($A$4)+DAY(VLOOKUP(NN$5,Sprints[],2,FALSE)),1,VLOOKUP(NN$5,Sprints[],4,FALSE))=$OD$12,0.5,1)*(OFFSET($A$3,0,31*($A$4)+DAY(VLOOKUP(NN$5,Sprints[],2,FALSE)),1,VLOOKUP(NN$5,Sprints[],4,FALSE)))))</f>
        <v>6</v>
      </c>
      <c r="NO40" s="52">
        <f t="array" aca="1" ref="NO40" ca="1">SUMPRODUCT((OFFSET($A40,0,31*($A$4)+DAY(VLOOKUP(NO$5,Sprints[],2,FALSE)),1,VLOOKUP(NO$5,Sprints[],4,FALSE))&lt;&gt;"")*(IF(OFFSET($A40,0,31*($A$4)+DAY(VLOOKUP(NO$5,Sprints[],2,FALSE)),1,VLOOKUP(NO$5,Sprints[],4,FALSE))=$OD$12,0.5,1)*(OFFSET($A$3,0,31*($A$4)+DAY(VLOOKUP(NO$5,Sprints[],2,FALSE)),1,VLOOKUP(NO$5,Sprints[],4,FALSE)))))</f>
        <v>0</v>
      </c>
      <c r="NP40" s="52">
        <f t="array" aca="1" ref="NP40" ca="1">SUMPRODUCT((OFFSET($A40,0,31*(VLOOKUP(NP$5,Sprints[],5,FALSE))+DAY(VLOOKUP(NP$5,Sprints[],2,FALSE)),1,VLOOKUP(NP$5,Sprints[],4,FALSE))&lt;&gt;"")*(IF(OFFSET($A40,0,31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40" s="52">
        <f t="array" aca="1" ref="NQ40" ca="1">SUMPRODUCT((OFFSET($A40,0,31*(VLOOKUP(NQ$5,Sprints[],5,FALSE))+DAY(VLOOKUP(NQ$5,Sprints[],2,FALSE)),1,VLOOKUP(NQ$5,Sprints[],4,FALSE))&lt;&gt;"")*(IF(OFFSET($A40,0,31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0" s="52">
        <f t="array" aca="1" ref="NR40" ca="1">SUMPRODUCT((OFFSET($A40,0,31*(VLOOKUP(NR$5,Sprints[],5,FALSE))+DAY(VLOOKUP(NR$5,Sprints[],2,FALSE)),1,VLOOKUP(NR$5,Sprints[],4,FALSE))&lt;&gt;"")*(IF(OFFSET($A40,0,31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0" s="52">
        <f t="array" aca="1" ref="NS40" ca="1">SUMPRODUCT((OFFSET($A40,0,31*(VLOOKUP(NS$5,Sprints[],5,FALSE))+DAY(VLOOKUP(NS$5,Sprints[],2,FALSE)),1,VLOOKUP(NS$5,Sprints[],4,FALSE))&lt;&gt;"")*(IF(OFFSET($A40,0,31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0" s="52">
        <f t="array" aca="1" ref="NT40" ca="1">SUMPRODUCT((OFFSET($A40,0,31*(VLOOKUP(NT$5,Sprints[],5,FALSE))+DAY(VLOOKUP(NT$5,Sprints[],2,FALSE)),1,VLOOKUP(NT$5,Sprints[],4,FALSE))&lt;&gt;"")*(IF(OFFSET($A40,0,31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0" s="52">
        <f t="array" aca="1" ref="NU40" ca="1">SUMPRODUCT((OFFSET($A40,0,31*(VLOOKUP(NU$5,Sprints[],5,FALSE))+DAY(VLOOKUP(NU$5,Sprints[],2,FALSE)),1,VLOOKUP(NU$5,Sprints[],4,FALSE))&lt;&gt;"")*(IF(OFFSET($A40,0,31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40" s="52">
        <f t="array" aca="1" ref="NV40" ca="1">SUMPRODUCT((OFFSET($A40,0,31*(VLOOKUP(NV$5,Sprints[],5,FALSE))+DAY(VLOOKUP(NV$5,Sprints[],2,FALSE)),1,VLOOKUP(NV$5,Sprints[],4,FALSE))&lt;&gt;"")*(IF(OFFSET($A40,0,31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0" s="52">
        <f t="array" aca="1" ref="NW40" ca="1">SUMPRODUCT((OFFSET($A40,0,31*(VLOOKUP(NW$5,Sprints[],5,FALSE))+DAY(VLOOKUP(NW$5,Sprints[],2,FALSE)),1,VLOOKUP(NW$5,Sprints[],4,FALSE))&lt;&gt;"")*(IF(OFFSET($A40,0,31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0" s="52">
        <f t="array" aca="1" ref="NX40" ca="1">SUMPRODUCT((OFFSET($A40,0,31*(VLOOKUP(NX$5,Sprints[],5,FALSE))+DAY(VLOOKUP(NX$5,Sprints[],2,FALSE)),1,VLOOKUP(NX$5,Sprints[],4,FALSE))&lt;&gt;"")*(IF(OFFSET($A40,0,31*(VLOOKUP(NX$5,Sprints[],5,FALSE))+DAY(VLOOKUP(NX$5,Sprints[],2,FALSE)),1,VLOOKUP(NX$5,Sprints[],4,FALSE))=$OD$12,0.5,1)*(OFFSET($A$3,0,31*(VLOOKUP(NX$5,Sprints[],5,FALSE))+DAY(VLOOKUP(NX$5,Sprints[],2,FALSE)),1,VLOOKUP(NX$5,Sprints[],4,FALSE)))))</f>
        <v>2</v>
      </c>
      <c r="NY40" s="52">
        <f t="array" aca="1" ref="NY40" ca="1">SUMPRODUCT((OFFSET($A40,0,31*(VLOOKUP(NY$5,Sprints[],5,FALSE))+DAY(VLOOKUP(NY$5,Sprints[],2,FALSE)),1,VLOOKUP(NY$5,Sprints[],4,FALSE))&lt;&gt;"")*(IF(OFFSET($A40,0,31*(VLOOKUP(NY$5,Sprints[],5,FALSE))+DAY(VLOOKUP(NY$5,Sprints[],2,FALSE)),1,VLOOKUP(NY$5,Sprints[],4,FALSE))=$OD$12,0.5,1)*(OFFSET($A$3,0,31*(VLOOKUP(NY$5,Sprints[],5,FALSE))+DAY(VLOOKUP(NY$5,Sprints[],2,FALSE)),1,VLOOKUP(NY$5,Sprints[],4,FALSE)))))</f>
        <v>1</v>
      </c>
      <c r="NZ40" s="52">
        <f t="array" aca="1" ref="NZ40" ca="1">SUMPRODUCT((OFFSET($A40,0,31*(VLOOKUP(NZ$5,Sprints[],5,FALSE))+DAY(VLOOKUP(NZ$5,Sprints[],2,FALSE)),1,VLOOKUP(NZ$5,Sprints[],4,FALSE))&lt;&gt;"")*(IF(OFFSET($A40,0,31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0" s="52">
        <f t="array" aca="1" ref="OA40" ca="1">SUMPRODUCT((OFFSET($A40,0,31*(VLOOKUP(OA$5,Sprints[],5,FALSE))+DAY(VLOOKUP(OA$5,Sprints[],2,FALSE)),1,VLOOKUP(OA$5,Sprints[],4,FALSE))&lt;&gt;"")*(IF(OFFSET($A40,0,31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41" spans="1:391" x14ac:dyDescent="0.45">
      <c r="A41" s="1" t="s">
        <v>92</v>
      </c>
      <c r="B41" s="2"/>
      <c r="C41" s="2" t="s">
        <v>33</v>
      </c>
      <c r="D41" s="2" t="s">
        <v>33</v>
      </c>
      <c r="E41" s="2" t="s">
        <v>33</v>
      </c>
      <c r="F41" s="2" t="s">
        <v>33</v>
      </c>
      <c r="G41" s="2" t="s">
        <v>33</v>
      </c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 t="s">
        <v>33</v>
      </c>
      <c r="AX41" s="2" t="s">
        <v>31</v>
      </c>
      <c r="AY41" s="2"/>
      <c r="AZ41" s="2"/>
      <c r="BA41" s="2" t="s">
        <v>35</v>
      </c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 t="s">
        <v>33</v>
      </c>
      <c r="BM41" s="2"/>
      <c r="BN41" s="2"/>
      <c r="BO41" s="2" t="s">
        <v>33</v>
      </c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 t="s">
        <v>35</v>
      </c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 t="s">
        <v>31</v>
      </c>
      <c r="DN41" s="2" t="s">
        <v>31</v>
      </c>
      <c r="DO41" s="2"/>
      <c r="DP41" s="2"/>
      <c r="DQ41" s="2"/>
      <c r="DR41" s="2"/>
      <c r="DS41" s="2"/>
      <c r="DT41" s="2"/>
      <c r="DU41" s="2" t="s">
        <v>33</v>
      </c>
      <c r="DV41" s="2"/>
      <c r="DW41" s="2"/>
      <c r="DX41" s="2"/>
      <c r="DY41" s="2"/>
      <c r="DZ41" s="2"/>
      <c r="EA41" s="2" t="s">
        <v>35</v>
      </c>
      <c r="EB41" s="2" t="s">
        <v>33</v>
      </c>
      <c r="EC41" s="2" t="s">
        <v>33</v>
      </c>
      <c r="ED41" s="2" t="s">
        <v>33</v>
      </c>
      <c r="EE41" s="2" t="s">
        <v>33</v>
      </c>
      <c r="EF41" s="2"/>
      <c r="EG41" s="2"/>
      <c r="EH41" s="2" t="s">
        <v>33</v>
      </c>
      <c r="EI41" s="2" t="s">
        <v>33</v>
      </c>
      <c r="EJ41" s="2" t="s">
        <v>33</v>
      </c>
      <c r="EK41" s="2" t="s">
        <v>33</v>
      </c>
      <c r="EL41" s="2" t="s">
        <v>33</v>
      </c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 t="s">
        <v>35</v>
      </c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 t="s">
        <v>35</v>
      </c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 t="s">
        <v>35</v>
      </c>
      <c r="JO41" s="2" t="s">
        <v>35</v>
      </c>
      <c r="JP41" s="2"/>
      <c r="JQ41" s="2"/>
      <c r="JR41" s="2"/>
      <c r="JS41" s="2"/>
      <c r="JT41" s="2"/>
      <c r="JU41" s="2" t="s">
        <v>35</v>
      </c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 t="s">
        <v>35</v>
      </c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14">
        <f t="array" aca="1" ref="NJ41" ca="1">SUMPRODUCT((OFFSET($A41,0,31*($A$3-1)+1,1,31)&lt;&gt;"")*(IF(OFFSET($A41,0,31*($A$3-1)+1,1,31)=$OD$12,0.5,1)*(OFFSET($A$4,0,31*($A$3-1)+1,1,31))))</f>
        <v>1</v>
      </c>
      <c r="NK41" s="20">
        <f t="array" aca="1" ref="NK41" ca="1">SUMPRODUCT((OFFSET($A41,0,1,1,372)&lt;&gt;"")*(IF(OFFSET($A41,0,1,1,372)=$OD$12,0.5,1)*(OFFSET($A$3,0,1,1,372))))</f>
        <v>28.5</v>
      </c>
      <c r="NL41" s="28">
        <f t="array" aca="1" ref="NL41" ca="1">SUMPRODUCT((OFFSET($A41,0,31*($A$4)+DAY(Holidays!$E$2),1,Holidays!$G$2)&lt;&gt;"")*(IF(OFFSET($A41,0,31*($A$4)+DAY(Holidays!$E$2),1,Holidays!$G$2)=$OD$12,0.5,1)*(OFFSET($A$3,0,31*($A$4)+DAY(Holidays!$E$2),1,Holidays!$G$2))))</f>
        <v>18.5</v>
      </c>
      <c r="NM41" s="52">
        <f t="array" aca="1" ref="NM41" ca="1">SUMPRODUCT((OFFSET($A41,0,31*($A$4)+DAY(VLOOKUP(NM$5,Sprints[],2,FALSE)),1,VLOOKUP(NM$5,Sprints[],4,FALSE))&lt;&gt;"")*(IF(OFFSET($A41,0,31*($A$4)+DAY(VLOOKUP(NM$5,Sprints[],2,FALSE)),1,VLOOKUP(NM$5,Sprints[],4,FALSE))=$OD$12,0.5,1)*(OFFSET($A$3,0,31*($A$4)+DAY(VLOOKUP(NM$5,Sprints[],2,FALSE)),1,VLOOKUP(NM$5,Sprints[],4,FALSE)))))</f>
        <v>0</v>
      </c>
      <c r="NN41" s="52">
        <f t="array" aca="1" ref="NN41" ca="1">SUMPRODUCT((OFFSET($A41,0,31*($A$4)+DAY(VLOOKUP(NN$5,Sprints[],2,FALSE)),1,VLOOKUP(NN$5,Sprints[],4,FALSE))&lt;&gt;"")*(IF(OFFSET($A41,0,31*($A$4)+DAY(VLOOKUP(NN$5,Sprints[],2,FALSE)),1,VLOOKUP(NN$5,Sprints[],4,FALSE))=$OD$12,0.5,1)*(OFFSET($A$3,0,31*($A$4)+DAY(VLOOKUP(NN$5,Sprints[],2,FALSE)),1,VLOOKUP(NN$5,Sprints[],4,FALSE)))))</f>
        <v>0</v>
      </c>
      <c r="NO41" s="52">
        <f t="array" aca="1" ref="NO41" ca="1">SUMPRODUCT((OFFSET($A41,0,31*($A$4)+DAY(VLOOKUP(NO$5,Sprints[],2,FALSE)),1,VLOOKUP(NO$5,Sprints[],4,FALSE))&lt;&gt;"")*(IF(OFFSET($A41,0,31*($A$4)+DAY(VLOOKUP(NO$5,Sprints[],2,FALSE)),1,VLOOKUP(NO$5,Sprints[],4,FALSE))=$OD$12,0.5,1)*(OFFSET($A$3,0,31*($A$4)+DAY(VLOOKUP(NO$5,Sprints[],2,FALSE)),1,VLOOKUP(NO$5,Sprints[],4,FALSE)))))</f>
        <v>5</v>
      </c>
      <c r="NP41" s="52">
        <f t="array" aca="1" ref="NP41" ca="1">SUMPRODUCT((OFFSET($A41,0,31*(VLOOKUP(NP$5,Sprints[],5,FALSE))+DAY(VLOOKUP(NP$5,Sprints[],2,FALSE)),1,VLOOKUP(NP$5,Sprints[],4,FALSE))&lt;&gt;"")*(IF(OFFSET($A41,0,31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41" s="52">
        <f t="array" aca="1" ref="NQ41" ca="1">SUMPRODUCT((OFFSET($A41,0,31*(VLOOKUP(NQ$5,Sprints[],5,FALSE))+DAY(VLOOKUP(NQ$5,Sprints[],2,FALSE)),1,VLOOKUP(NQ$5,Sprints[],4,FALSE))&lt;&gt;"")*(IF(OFFSET($A41,0,31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41" s="52">
        <f t="array" aca="1" ref="NR41" ca="1">SUMPRODUCT((OFFSET($A41,0,31*(VLOOKUP(NR$5,Sprints[],5,FALSE))+DAY(VLOOKUP(NR$5,Sprints[],2,FALSE)),1,VLOOKUP(NR$5,Sprints[],4,FALSE))&lt;&gt;"")*(IF(OFFSET($A41,0,31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1" s="52">
        <f t="array" aca="1" ref="NS41" ca="1">SUMPRODUCT((OFFSET($A41,0,31*(VLOOKUP(NS$5,Sprints[],5,FALSE))+DAY(VLOOKUP(NS$5,Sprints[],2,FALSE)),1,VLOOKUP(NS$5,Sprints[],4,FALSE))&lt;&gt;"")*(IF(OFFSET($A41,0,31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1" s="52">
        <f t="array" aca="1" ref="NT41" ca="1">SUMPRODUCT((OFFSET($A41,0,31*(VLOOKUP(NT$5,Sprints[],5,FALSE))+DAY(VLOOKUP(NT$5,Sprints[],2,FALSE)),1,VLOOKUP(NT$5,Sprints[],4,FALSE))&lt;&gt;"")*(IF(OFFSET($A41,0,31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1" s="52">
        <f t="array" aca="1" ref="NU41" ca="1">SUMPRODUCT((OFFSET($A41,0,31*(VLOOKUP(NU$5,Sprints[],5,FALSE))+DAY(VLOOKUP(NU$5,Sprints[],2,FALSE)),1,VLOOKUP(NU$5,Sprints[],4,FALSE))&lt;&gt;"")*(IF(OFFSET($A41,0,31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41" s="52">
        <f t="array" aca="1" ref="NV41" ca="1">SUMPRODUCT((OFFSET($A41,0,31*(VLOOKUP(NV$5,Sprints[],5,FALSE))+DAY(VLOOKUP(NV$5,Sprints[],2,FALSE)),1,VLOOKUP(NV$5,Sprints[],4,FALSE))&lt;&gt;"")*(IF(OFFSET($A41,0,31*(VLOOKUP(NV$5,Sprints[],5,FALSE))+DAY(VLOOKUP(NV$5,Sprints[],2,FALSE)),1,VLOOKUP(NV$5,Sprints[],4,FALSE))=$OD$12,0.5,1)*(OFFSET($A$3,0,31*(VLOOKUP(NV$5,Sprints[],5,FALSE))+DAY(VLOOKUP(NV$5,Sprints[],2,FALSE)),1,VLOOKUP(NV$5,Sprints[],4,FALSE)))))</f>
        <v>7</v>
      </c>
      <c r="NW41" s="52">
        <f t="array" aca="1" ref="NW41" ca="1">SUMPRODUCT((OFFSET($A41,0,31*(VLOOKUP(NW$5,Sprints[],5,FALSE))+DAY(VLOOKUP(NW$5,Sprints[],2,FALSE)),1,VLOOKUP(NW$5,Sprints[],4,FALSE))&lt;&gt;"")*(IF(OFFSET($A41,0,31*(VLOOKUP(NW$5,Sprints[],5,FALSE))+DAY(VLOOKUP(NW$5,Sprints[],2,FALSE)),1,VLOOKUP(NW$5,Sprints[],4,FALSE))=$OD$12,0.5,1)*(OFFSET($A$3,0,31*(VLOOKUP(NW$5,Sprints[],5,FALSE))+DAY(VLOOKUP(NW$5,Sprints[],2,FALSE)),1,VLOOKUP(NW$5,Sprints[],4,FALSE)))))</f>
        <v>3</v>
      </c>
      <c r="NX41" s="52">
        <f t="array" aca="1" ref="NX41" ca="1">SUMPRODUCT((OFFSET($A41,0,31*(VLOOKUP(NX$5,Sprints[],5,FALSE))+DAY(VLOOKUP(NX$5,Sprints[],2,FALSE)),1,VLOOKUP(NX$5,Sprints[],4,FALSE))&lt;&gt;"")*(IF(OFFSET($A41,0,31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1" s="52">
        <f t="array" aca="1" ref="NY41" ca="1">SUMPRODUCT((OFFSET($A41,0,31*(VLOOKUP(NY$5,Sprints[],5,FALSE))+DAY(VLOOKUP(NY$5,Sprints[],2,FALSE)),1,VLOOKUP(NY$5,Sprints[],4,FALSE))&lt;&gt;"")*(IF(OFFSET($A41,0,31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1" s="52">
        <f t="array" aca="1" ref="NZ41" ca="1">SUMPRODUCT((OFFSET($A41,0,31*(VLOOKUP(NZ$5,Sprints[],5,FALSE))+DAY(VLOOKUP(NZ$5,Sprints[],2,FALSE)),1,VLOOKUP(NZ$5,Sprints[],4,FALSE))&lt;&gt;"")*(IF(OFFSET($A41,0,31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1" s="52">
        <f t="array" aca="1" ref="OA41" ca="1">SUMPRODUCT((OFFSET($A41,0,31*(VLOOKUP(OA$5,Sprints[],5,FALSE))+DAY(VLOOKUP(OA$5,Sprints[],2,FALSE)),1,VLOOKUP(OA$5,Sprints[],4,FALSE))&lt;&gt;"")*(IF(OFFSET($A41,0,31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42" spans="1:391" s="45" customFormat="1" x14ac:dyDescent="0.45">
      <c r="A42" s="70" t="s">
        <v>174</v>
      </c>
      <c r="B42" s="71"/>
      <c r="C42" s="2" t="s">
        <v>49</v>
      </c>
      <c r="D42" s="2" t="s">
        <v>49</v>
      </c>
      <c r="E42" s="2" t="s">
        <v>49</v>
      </c>
      <c r="F42" s="2" t="s">
        <v>49</v>
      </c>
      <c r="G42" s="2" t="s">
        <v>49</v>
      </c>
      <c r="H42" s="71"/>
      <c r="I42" s="71"/>
      <c r="J42" s="2" t="s">
        <v>49</v>
      </c>
      <c r="K42" s="2" t="s">
        <v>49</v>
      </c>
      <c r="L42" s="2" t="s">
        <v>49</v>
      </c>
      <c r="M42" s="2" t="s">
        <v>49</v>
      </c>
      <c r="N42" s="2" t="s">
        <v>49</v>
      </c>
      <c r="O42" s="71"/>
      <c r="P42" s="71"/>
      <c r="Q42" s="2" t="s">
        <v>49</v>
      </c>
      <c r="R42" s="2" t="s">
        <v>49</v>
      </c>
      <c r="S42" s="2" t="s">
        <v>49</v>
      </c>
      <c r="T42" s="2" t="s">
        <v>49</v>
      </c>
      <c r="U42" s="2" t="s">
        <v>49</v>
      </c>
      <c r="V42" s="71"/>
      <c r="W42" s="71"/>
      <c r="X42" s="2" t="s">
        <v>49</v>
      </c>
      <c r="Y42" s="2" t="s">
        <v>49</v>
      </c>
      <c r="Z42" s="2" t="s">
        <v>49</v>
      </c>
      <c r="AA42" s="2" t="s">
        <v>49</v>
      </c>
      <c r="AB42" s="2" t="s">
        <v>49</v>
      </c>
      <c r="AC42" s="71"/>
      <c r="AD42" s="71"/>
      <c r="AE42" s="2" t="s">
        <v>49</v>
      </c>
      <c r="AF42" s="2"/>
      <c r="AG42" s="2" t="s">
        <v>49</v>
      </c>
      <c r="AH42" s="2" t="s">
        <v>49</v>
      </c>
      <c r="AI42" s="2" t="s">
        <v>49</v>
      </c>
      <c r="AJ42" s="2" t="s">
        <v>49</v>
      </c>
      <c r="AK42" s="71"/>
      <c r="AL42" s="71"/>
      <c r="AM42" s="2" t="s">
        <v>49</v>
      </c>
      <c r="AN42" s="2" t="s">
        <v>49</v>
      </c>
      <c r="AO42" s="2" t="s">
        <v>49</v>
      </c>
      <c r="AP42" s="2" t="s">
        <v>49</v>
      </c>
      <c r="AQ42" s="2" t="s">
        <v>49</v>
      </c>
      <c r="AR42" s="71"/>
      <c r="AS42" s="71"/>
      <c r="AT42" s="2" t="s">
        <v>49</v>
      </c>
      <c r="AU42" s="2" t="s">
        <v>49</v>
      </c>
      <c r="AV42" s="2" t="s">
        <v>49</v>
      </c>
      <c r="AW42" s="2" t="s">
        <v>33</v>
      </c>
      <c r="AX42" s="2" t="s">
        <v>31</v>
      </c>
      <c r="AY42" s="71"/>
      <c r="AZ42" s="71"/>
      <c r="BA42" s="2" t="s">
        <v>35</v>
      </c>
      <c r="BB42" s="71"/>
      <c r="BC42" s="71"/>
      <c r="BD42" s="71"/>
      <c r="BE42" s="71"/>
      <c r="BF42" s="71"/>
      <c r="BG42" s="71"/>
      <c r="BH42" s="71"/>
      <c r="BI42" s="71"/>
      <c r="BJ42" s="71"/>
      <c r="BK42" s="71"/>
      <c r="BL42" s="71"/>
      <c r="BM42" s="71"/>
      <c r="BN42" s="71"/>
      <c r="BO42" s="71"/>
      <c r="BP42" s="71"/>
      <c r="BQ42" s="71"/>
      <c r="BR42" s="71"/>
      <c r="BS42" s="71"/>
      <c r="BT42" s="71"/>
      <c r="BU42" s="71"/>
      <c r="BV42" s="71"/>
      <c r="BW42" s="71"/>
      <c r="BX42" s="71"/>
      <c r="BY42" s="71"/>
      <c r="BZ42" s="71"/>
      <c r="CA42" s="71"/>
      <c r="CB42" s="71"/>
      <c r="CC42" s="71"/>
      <c r="CD42" s="71"/>
      <c r="CE42" s="71"/>
      <c r="CF42" s="2"/>
      <c r="CG42" s="2"/>
      <c r="CH42" s="71"/>
      <c r="CI42" s="71"/>
      <c r="CJ42" s="71"/>
      <c r="CK42" s="71"/>
      <c r="CL42" s="71"/>
      <c r="CM42" s="71"/>
      <c r="CN42" s="71"/>
      <c r="CO42" s="71"/>
      <c r="CP42" s="71"/>
      <c r="CQ42" s="71"/>
      <c r="CR42" s="2" t="s">
        <v>35</v>
      </c>
      <c r="CS42" s="71"/>
      <c r="CT42" s="71"/>
      <c r="CU42" s="71"/>
      <c r="CV42" s="71"/>
      <c r="CW42" s="71"/>
      <c r="CX42" s="71"/>
      <c r="CY42" s="71"/>
      <c r="CZ42" s="71"/>
      <c r="DA42" s="71"/>
      <c r="DB42" s="71"/>
      <c r="DC42" s="71"/>
      <c r="DD42" s="71"/>
      <c r="DE42" s="71"/>
      <c r="DF42" s="71"/>
      <c r="DG42" s="71"/>
      <c r="DH42" s="71"/>
      <c r="DI42" s="71"/>
      <c r="DJ42" s="71"/>
      <c r="DK42" s="71"/>
      <c r="DL42" s="71"/>
      <c r="DM42" s="2" t="s">
        <v>31</v>
      </c>
      <c r="DN42" s="2" t="s">
        <v>31</v>
      </c>
      <c r="DO42" s="71"/>
      <c r="DP42" s="71"/>
      <c r="DQ42" s="71"/>
      <c r="DR42" s="71"/>
      <c r="DS42" s="71"/>
      <c r="DT42" s="71"/>
      <c r="DU42" s="71"/>
      <c r="DV42" s="71"/>
      <c r="DW42" s="71"/>
      <c r="DX42" s="71"/>
      <c r="DY42" s="71"/>
      <c r="DZ42" s="71"/>
      <c r="EA42" s="2" t="s">
        <v>35</v>
      </c>
      <c r="EB42" s="71"/>
      <c r="EC42" s="71"/>
      <c r="ED42" s="71"/>
      <c r="EE42" s="71"/>
      <c r="EF42" s="71"/>
      <c r="EG42" s="71"/>
      <c r="EH42" s="2"/>
      <c r="EI42" s="2"/>
      <c r="EJ42" s="2"/>
      <c r="EK42" s="2"/>
      <c r="EL42" s="2"/>
      <c r="EM42" s="71"/>
      <c r="EN42" s="71"/>
      <c r="EO42" s="71"/>
      <c r="EP42" s="71"/>
      <c r="EQ42" s="71"/>
      <c r="ER42" s="71"/>
      <c r="ES42" s="71"/>
      <c r="ET42" s="71"/>
      <c r="EU42" s="71"/>
      <c r="EV42" s="2" t="s">
        <v>49</v>
      </c>
      <c r="EW42" s="2" t="s">
        <v>49</v>
      </c>
      <c r="EX42" s="2" t="s">
        <v>49</v>
      </c>
      <c r="EY42" s="2" t="s">
        <v>49</v>
      </c>
      <c r="EZ42" s="2" t="s">
        <v>49</v>
      </c>
      <c r="FA42" s="71"/>
      <c r="FB42" s="71"/>
      <c r="FC42" s="2" t="s">
        <v>35</v>
      </c>
      <c r="FD42" s="2" t="s">
        <v>49</v>
      </c>
      <c r="FE42" s="2" t="s">
        <v>49</v>
      </c>
      <c r="FF42" s="2" t="s">
        <v>49</v>
      </c>
      <c r="FG42" s="2" t="s">
        <v>49</v>
      </c>
      <c r="FH42" s="71"/>
      <c r="FI42" s="71"/>
      <c r="FJ42" s="2" t="s">
        <v>49</v>
      </c>
      <c r="FK42" s="2" t="s">
        <v>49</v>
      </c>
      <c r="FL42" s="2" t="s">
        <v>49</v>
      </c>
      <c r="FM42" s="2" t="s">
        <v>49</v>
      </c>
      <c r="FN42" s="2" t="s">
        <v>49</v>
      </c>
      <c r="FO42" s="71"/>
      <c r="FP42" s="71"/>
      <c r="FQ42" s="2" t="s">
        <v>49</v>
      </c>
      <c r="FR42" s="2" t="s">
        <v>49</v>
      </c>
      <c r="FS42" s="2" t="s">
        <v>49</v>
      </c>
      <c r="FT42" s="2" t="s">
        <v>49</v>
      </c>
      <c r="FU42" s="2" t="s">
        <v>49</v>
      </c>
      <c r="FV42" s="71"/>
      <c r="FW42" s="71"/>
      <c r="FX42" s="2" t="s">
        <v>49</v>
      </c>
      <c r="FY42" s="2" t="s">
        <v>49</v>
      </c>
      <c r="FZ42" s="2" t="s">
        <v>49</v>
      </c>
      <c r="GA42" s="2" t="s">
        <v>49</v>
      </c>
      <c r="GB42" s="2" t="s">
        <v>49</v>
      </c>
      <c r="GC42" s="71"/>
      <c r="GD42" s="71"/>
      <c r="GE42" s="71"/>
      <c r="GF42" s="2" t="s">
        <v>49</v>
      </c>
      <c r="GG42" s="2" t="s">
        <v>49</v>
      </c>
      <c r="GH42" s="2" t="s">
        <v>49</v>
      </c>
      <c r="GI42" s="2" t="s">
        <v>49</v>
      </c>
      <c r="GJ42" s="2" t="s">
        <v>49</v>
      </c>
      <c r="GK42" s="71"/>
      <c r="GL42" s="71"/>
      <c r="GM42" s="2" t="s">
        <v>35</v>
      </c>
      <c r="GN42" s="2" t="s">
        <v>49</v>
      </c>
      <c r="GO42" s="2" t="s">
        <v>49</v>
      </c>
      <c r="GP42" s="2" t="s">
        <v>49</v>
      </c>
      <c r="GQ42" s="2" t="s">
        <v>49</v>
      </c>
      <c r="GR42" s="71"/>
      <c r="GS42" s="71"/>
      <c r="GT42" s="2" t="s">
        <v>49</v>
      </c>
      <c r="GU42" s="2" t="s">
        <v>49</v>
      </c>
      <c r="GV42" s="2" t="s">
        <v>49</v>
      </c>
      <c r="GW42" s="2" t="s">
        <v>49</v>
      </c>
      <c r="GX42" s="2" t="s">
        <v>49</v>
      </c>
      <c r="GY42" s="71"/>
      <c r="GZ42" s="71"/>
      <c r="HA42" s="2" t="s">
        <v>49</v>
      </c>
      <c r="HB42" s="2" t="s">
        <v>49</v>
      </c>
      <c r="HC42" s="2" t="s">
        <v>49</v>
      </c>
      <c r="HD42" s="2" t="s">
        <v>49</v>
      </c>
      <c r="HE42" s="2" t="s">
        <v>49</v>
      </c>
      <c r="HF42" s="71"/>
      <c r="HG42" s="71"/>
      <c r="HH42" s="2" t="s">
        <v>49</v>
      </c>
      <c r="HI42" s="2" t="s">
        <v>49</v>
      </c>
      <c r="HJ42" s="2" t="s">
        <v>49</v>
      </c>
      <c r="HK42" s="71"/>
      <c r="HL42" s="71"/>
      <c r="HM42" s="71"/>
      <c r="HN42" s="71"/>
      <c r="HO42" s="71"/>
      <c r="HP42" s="71"/>
      <c r="HQ42" s="71"/>
      <c r="HR42" s="71"/>
      <c r="HS42" s="71"/>
      <c r="HT42" s="71"/>
      <c r="HU42" s="71"/>
      <c r="HV42" s="71"/>
      <c r="HW42" s="71"/>
      <c r="HX42" s="71"/>
      <c r="HY42" s="71"/>
      <c r="HZ42" s="71"/>
      <c r="IA42" s="71"/>
      <c r="IB42" s="71"/>
      <c r="IC42" s="71"/>
      <c r="ID42" s="71"/>
      <c r="IE42" s="71"/>
      <c r="IF42" s="71"/>
      <c r="IG42" s="71"/>
      <c r="IH42" s="71"/>
      <c r="II42" s="71"/>
      <c r="IJ42" s="71"/>
      <c r="IK42" s="71"/>
      <c r="IL42" s="71"/>
      <c r="IM42" s="71"/>
      <c r="IN42" s="71"/>
      <c r="IO42" s="71"/>
      <c r="IP42" s="71"/>
      <c r="IQ42" s="71"/>
      <c r="IR42" s="71"/>
      <c r="IS42" s="71"/>
      <c r="IT42" s="71"/>
      <c r="IU42" s="71"/>
      <c r="IV42" s="71"/>
      <c r="IW42" s="71"/>
      <c r="IX42" s="71"/>
      <c r="IY42" s="71"/>
      <c r="IZ42" s="71"/>
      <c r="JA42" s="71"/>
      <c r="JB42" s="71"/>
      <c r="JC42" s="71"/>
      <c r="JD42" s="71"/>
      <c r="JE42" s="71"/>
      <c r="JF42" s="71"/>
      <c r="JG42" s="71"/>
      <c r="JH42" s="71"/>
      <c r="JI42" s="71"/>
      <c r="JJ42" s="71"/>
      <c r="JK42" s="71"/>
      <c r="JL42" s="71"/>
      <c r="JM42" s="71"/>
      <c r="JN42" s="2"/>
      <c r="JO42" s="2"/>
      <c r="JP42" s="71"/>
      <c r="JQ42" s="71"/>
      <c r="JR42" s="71"/>
      <c r="JS42" s="71"/>
      <c r="JT42" s="71"/>
      <c r="JU42" s="2"/>
      <c r="JV42" s="71"/>
      <c r="JW42" s="71"/>
      <c r="JX42" s="71"/>
      <c r="JY42" s="71"/>
      <c r="JZ42" s="71"/>
      <c r="KA42" s="71"/>
      <c r="KB42" s="71"/>
      <c r="KC42" s="71"/>
      <c r="KD42" s="71"/>
      <c r="KE42" s="71"/>
      <c r="KF42" s="71"/>
      <c r="KG42" s="71"/>
      <c r="KH42" s="71"/>
      <c r="KI42" s="71"/>
      <c r="KJ42" s="71"/>
      <c r="KK42" s="71"/>
      <c r="KL42" s="71"/>
      <c r="KM42" s="71"/>
      <c r="KN42" s="71"/>
      <c r="KO42" s="71"/>
      <c r="KP42" s="71"/>
      <c r="KQ42" s="71"/>
      <c r="KR42" s="71"/>
      <c r="KS42" s="71"/>
      <c r="KT42" s="71"/>
      <c r="KU42" s="71"/>
      <c r="KV42" s="71"/>
      <c r="KW42" s="71"/>
      <c r="KX42" s="71"/>
      <c r="KY42" s="71"/>
      <c r="KZ42" s="71"/>
      <c r="LA42" s="71"/>
      <c r="LB42" s="71"/>
      <c r="LC42" s="71"/>
      <c r="LD42" s="71"/>
      <c r="LE42" s="71"/>
      <c r="LF42" s="71"/>
      <c r="LG42" s="71"/>
      <c r="LH42" s="71"/>
      <c r="LI42" s="71"/>
      <c r="LJ42" s="71"/>
      <c r="LK42" s="71"/>
      <c r="LL42" s="71"/>
      <c r="LM42" s="71"/>
      <c r="LN42" s="71"/>
      <c r="LO42" s="71"/>
      <c r="LP42" s="71"/>
      <c r="LQ42" s="2"/>
      <c r="LR42" s="71"/>
      <c r="LS42" s="71"/>
      <c r="LT42" s="71"/>
      <c r="LU42" s="71"/>
      <c r="LV42" s="71"/>
      <c r="LW42" s="71"/>
      <c r="LX42" s="71"/>
      <c r="LY42" s="71"/>
      <c r="LZ42" s="71"/>
      <c r="MA42" s="71"/>
      <c r="MB42" s="71"/>
      <c r="MC42" s="71"/>
      <c r="MD42" s="71"/>
      <c r="ME42" s="71"/>
      <c r="MF42" s="71"/>
      <c r="MG42" s="71"/>
      <c r="MH42" s="71"/>
      <c r="MI42" s="71"/>
      <c r="MJ42" s="71"/>
      <c r="MK42" s="71"/>
      <c r="ML42" s="71"/>
      <c r="MM42" s="71"/>
      <c r="MN42" s="71"/>
      <c r="MO42" s="71"/>
      <c r="MP42" s="71"/>
      <c r="MQ42" s="71"/>
      <c r="MR42" s="71"/>
      <c r="MS42" s="71"/>
      <c r="MT42" s="71"/>
      <c r="MU42" s="71"/>
      <c r="MV42" s="71"/>
      <c r="MW42" s="71"/>
      <c r="MX42" s="71"/>
      <c r="MY42" s="71"/>
      <c r="MZ42" s="71"/>
      <c r="NA42" s="71"/>
      <c r="NB42" s="71"/>
      <c r="NC42" s="71"/>
      <c r="ND42" s="71"/>
      <c r="NE42" s="71"/>
      <c r="NF42" s="71"/>
      <c r="NG42" s="71"/>
      <c r="NH42" s="71"/>
      <c r="NI42" s="71"/>
      <c r="NJ42" s="72">
        <f t="array" aca="1" ref="NJ42" ca="1">SUMPRODUCT((OFFSET($A42,0,31*($A$3-1)+1,1,31)&lt;&gt;"")*(IF(OFFSET($A42,0,31*($A$3-1)+1,1,31)=$OD$12,0.5,1)*(OFFSET($A$4,0,31*($A$3-1)+1,1,31))))</f>
        <v>20</v>
      </c>
      <c r="NK42" s="73">
        <f t="array" aca="1" ref="NK42" ca="1">SUMPRODUCT((OFFSET($A42,0,1,1,372)&lt;&gt;"")*(IF(OFFSET($A42,0,1,1,372)=$OD$12,0.5,1)*(OFFSET($A$3,0,1,1,372))))</f>
        <v>86.5</v>
      </c>
      <c r="NL42" s="74">
        <f t="array" aca="1" ref="NL42" ca="1">SUMPRODUCT((OFFSET($A42,0,31*($A$4)+DAY(Holidays!$E$2),1,Holidays!$G$2)&lt;&gt;"")*(IF(OFFSET($A42,0,31*($A$4)+DAY(Holidays!$E$2),1,Holidays!$G$2)=$OD$12,0.5,1)*(OFFSET($A$3,0,31*($A$4)+DAY(Holidays!$E$2),1,Holidays!$G$2))))</f>
        <v>58.5</v>
      </c>
      <c r="NM42" s="52">
        <f t="array" aca="1" ref="NM42" ca="1">SUMPRODUCT((OFFSET($A42,0,31*($A$4)+DAY(VLOOKUP(NM$5,Sprints[],2,FALSE)),1,VLOOKUP(NM$5,Sprints[],4,FALSE))&lt;&gt;"")*(IF(OFFSET($A42,0,31*($A$4)+DAY(VLOOKUP(NM$5,Sprints[],2,FALSE)),1,VLOOKUP(NM$5,Sprints[],4,FALSE))=$OD$12,0.5,1)*(OFFSET($A$3,0,31*($A$4)+DAY(VLOOKUP(NM$5,Sprints[],2,FALSE)),1,VLOOKUP(NM$5,Sprints[],4,FALSE)))))</f>
        <v>5</v>
      </c>
      <c r="NN42" s="52">
        <f t="array" aca="1" ref="NN42" ca="1">SUMPRODUCT((OFFSET($A42,0,31*($A$4)+DAY(VLOOKUP(NN$5,Sprints[],2,FALSE)),1,VLOOKUP(NN$5,Sprints[],4,FALSE))&lt;&gt;"")*(IF(OFFSET($A42,0,31*($A$4)+DAY(VLOOKUP(NN$5,Sprints[],2,FALSE)),1,VLOOKUP(NN$5,Sprints[],4,FALSE))=$OD$12,0.5,1)*(OFFSET($A$3,0,31*($A$4)+DAY(VLOOKUP(NN$5,Sprints[],2,FALSE)),1,VLOOKUP(NN$5,Sprints[],4,FALSE)))))</f>
        <v>10</v>
      </c>
      <c r="NO42" s="52">
        <f t="array" aca="1" ref="NO42" ca="1">SUMPRODUCT((OFFSET($A42,0,31*($A$4)+DAY(VLOOKUP(NO$5,Sprints[],2,FALSE)),1,VLOOKUP(NO$5,Sprints[],4,FALSE))&lt;&gt;"")*(IF(OFFSET($A42,0,31*($A$4)+DAY(VLOOKUP(NO$5,Sprints[],2,FALSE)),1,VLOOKUP(NO$5,Sprints[],4,FALSE))=$OD$12,0.5,1)*(OFFSET($A$3,0,31*($A$4)+DAY(VLOOKUP(NO$5,Sprints[],2,FALSE)),1,VLOOKUP(NO$5,Sprints[],4,FALSE)))))</f>
        <v>10</v>
      </c>
      <c r="NP42" s="52">
        <f t="array" aca="1" ref="NP42" ca="1">SUMPRODUCT((OFFSET($A42,0,31*(VLOOKUP(NP$5,Sprints[],5,FALSE))+DAY(VLOOKUP(NP$5,Sprints[],2,FALSE)),1,VLOOKUP(NP$5,Sprints[],4,FALSE))&lt;&gt;"")*(IF(OFFSET($A42,0,31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42" s="52">
        <f t="array" aca="1" ref="NQ42" ca="1">SUMPRODUCT((OFFSET($A42,0,31*(VLOOKUP(NQ$5,Sprints[],5,FALSE))+DAY(VLOOKUP(NQ$5,Sprints[],2,FALSE)),1,VLOOKUP(NQ$5,Sprints[],4,FALSE))&lt;&gt;"")*(IF(OFFSET($A42,0,31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2" s="52">
        <f t="array" aca="1" ref="NR42" ca="1">SUMPRODUCT((OFFSET($A42,0,31*(VLOOKUP(NR$5,Sprints[],5,FALSE))+DAY(VLOOKUP(NR$5,Sprints[],2,FALSE)),1,VLOOKUP(NR$5,Sprints[],4,FALSE))&lt;&gt;"")*(IF(OFFSET($A42,0,31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2" s="52">
        <f t="array" aca="1" ref="NS42" ca="1">SUMPRODUCT((OFFSET($A42,0,31*(VLOOKUP(NS$5,Sprints[],5,FALSE))+DAY(VLOOKUP(NS$5,Sprints[],2,FALSE)),1,VLOOKUP(NS$5,Sprints[],4,FALSE))&lt;&gt;"")*(IF(OFFSET($A42,0,31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2" s="52">
        <f t="array" aca="1" ref="NT42" ca="1">SUMPRODUCT((OFFSET($A42,0,31*(VLOOKUP(NT$5,Sprints[],5,FALSE))+DAY(VLOOKUP(NT$5,Sprints[],2,FALSE)),1,VLOOKUP(NT$5,Sprints[],4,FALSE))&lt;&gt;"")*(IF(OFFSET($A42,0,31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2" s="52">
        <f t="array" aca="1" ref="NU42" ca="1">SUMPRODUCT((OFFSET($A42,0,31*(VLOOKUP(NU$5,Sprints[],5,FALSE))+DAY(VLOOKUP(NU$5,Sprints[],2,FALSE)),1,VLOOKUP(NU$5,Sprints[],4,FALSE))&lt;&gt;"")*(IF(OFFSET($A42,0,31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42" s="52">
        <f t="array" aca="1" ref="NV42" ca="1">SUMPRODUCT((OFFSET($A42,0,31*(VLOOKUP(NV$5,Sprints[],5,FALSE))+DAY(VLOOKUP(NV$5,Sprints[],2,FALSE)),1,VLOOKUP(NV$5,Sprints[],4,FALSE))&lt;&gt;"")*(IF(OFFSET($A42,0,31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2" s="52">
        <f t="array" aca="1" ref="NW42" ca="1">SUMPRODUCT((OFFSET($A42,0,31*(VLOOKUP(NW$5,Sprints[],5,FALSE))+DAY(VLOOKUP(NW$5,Sprints[],2,FALSE)),1,VLOOKUP(NW$5,Sprints[],4,FALSE))&lt;&gt;"")*(IF(OFFSET($A42,0,31*(VLOOKUP(NW$5,Sprints[],5,FALSE))+DAY(VLOOKUP(NW$5,Sprints[],2,FALSE)),1,VLOOKUP(NW$5,Sprints[],4,FALSE))=$OD$12,0.5,1)*(OFFSET($A$3,0,31*(VLOOKUP(NW$5,Sprints[],5,FALSE))+DAY(VLOOKUP(NW$5,Sprints[],2,FALSE)),1,VLOOKUP(NW$5,Sprints[],4,FALSE)))))</f>
        <v>2</v>
      </c>
      <c r="NX42" s="52">
        <f t="array" aca="1" ref="NX42" ca="1">SUMPRODUCT((OFFSET($A42,0,31*(VLOOKUP(NX$5,Sprints[],5,FALSE))+DAY(VLOOKUP(NX$5,Sprints[],2,FALSE)),1,VLOOKUP(NX$5,Sprints[],4,FALSE))&lt;&gt;"")*(IF(OFFSET($A42,0,31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42" s="52">
        <f t="array" aca="1" ref="NY42" ca="1">SUMPRODUCT((OFFSET($A42,0,31*(VLOOKUP(NY$5,Sprints[],5,FALSE))+DAY(VLOOKUP(NY$5,Sprints[],2,FALSE)),1,VLOOKUP(NY$5,Sprints[],4,FALSE))&lt;&gt;"")*(IF(OFFSET($A42,0,31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42" s="52">
        <f t="array" aca="1" ref="NZ42" ca="1">SUMPRODUCT((OFFSET($A42,0,31*(VLOOKUP(NZ$5,Sprints[],5,FALSE))+DAY(VLOOKUP(NZ$5,Sprints[],2,FALSE)),1,VLOOKUP(NZ$5,Sprints[],4,FALSE))&lt;&gt;"")*(IF(OFFSET($A42,0,31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42" s="52">
        <f t="array" aca="1" ref="OA42" ca="1">SUMPRODUCT((OFFSET($A42,0,31*(VLOOKUP(OA$5,Sprints[],5,FALSE))+DAY(VLOOKUP(OA$5,Sprints[],2,FALSE)),1,VLOOKUP(OA$5,Sprints[],4,FALSE))&lt;&gt;"")*(IF(OFFSET($A42,0,31*(VLOOKUP(OA$5,Sprints[],5,FALSE))+DAY(VLOOKUP(OA$5,Sprints[],2,FALSE)),1,VLOOKUP(OA$5,Sprints[],4,FALSE))=$OD$12,0.5,1)*(OFFSET($A$3,0,31*(VLOOKUP(OA$5,Sprints[],5,FALSE))+DAY(VLOOKUP(OA$5,Sprints[],2,FALSE)),1,VLOOKUP(OA$5,Sprints[],4,FALSE)))))</f>
        <v>19</v>
      </c>
    </row>
    <row r="43" spans="1:391" s="45" customFormat="1" x14ac:dyDescent="0.45">
      <c r="A43" s="70" t="s">
        <v>175</v>
      </c>
      <c r="B43" s="71"/>
      <c r="C43" s="2" t="s">
        <v>49</v>
      </c>
      <c r="D43" s="2" t="s">
        <v>49</v>
      </c>
      <c r="E43" s="2" t="s">
        <v>49</v>
      </c>
      <c r="F43" s="2" t="s">
        <v>49</v>
      </c>
      <c r="G43" s="2" t="s">
        <v>49</v>
      </c>
      <c r="H43" s="71"/>
      <c r="I43" s="71"/>
      <c r="J43" s="2" t="s">
        <v>49</v>
      </c>
      <c r="K43" s="2" t="s">
        <v>49</v>
      </c>
      <c r="L43" s="2" t="s">
        <v>49</v>
      </c>
      <c r="M43" s="2" t="s">
        <v>49</v>
      </c>
      <c r="N43" s="2" t="s">
        <v>49</v>
      </c>
      <c r="O43" s="71"/>
      <c r="P43" s="71"/>
      <c r="Q43" s="2" t="s">
        <v>49</v>
      </c>
      <c r="R43" s="2" t="s">
        <v>49</v>
      </c>
      <c r="S43" s="2" t="s">
        <v>49</v>
      </c>
      <c r="T43" s="2" t="s">
        <v>49</v>
      </c>
      <c r="U43" s="2" t="s">
        <v>49</v>
      </c>
      <c r="V43" s="71"/>
      <c r="W43" s="71"/>
      <c r="X43" s="2" t="s">
        <v>49</v>
      </c>
      <c r="Y43" s="2" t="s">
        <v>49</v>
      </c>
      <c r="Z43" s="2" t="s">
        <v>49</v>
      </c>
      <c r="AA43" s="2" t="s">
        <v>49</v>
      </c>
      <c r="AB43" s="2" t="s">
        <v>49</v>
      </c>
      <c r="AC43" s="71"/>
      <c r="AD43" s="71"/>
      <c r="AE43" s="2" t="s">
        <v>49</v>
      </c>
      <c r="AF43" s="2"/>
      <c r="AG43" s="2" t="s">
        <v>49</v>
      </c>
      <c r="AH43" s="2" t="s">
        <v>49</v>
      </c>
      <c r="AI43" s="2" t="s">
        <v>49</v>
      </c>
      <c r="AJ43" s="2" t="s">
        <v>49</v>
      </c>
      <c r="AK43" s="71"/>
      <c r="AL43" s="71"/>
      <c r="AM43" s="2" t="s">
        <v>49</v>
      </c>
      <c r="AN43" s="2" t="s">
        <v>49</v>
      </c>
      <c r="AO43" s="2" t="s">
        <v>49</v>
      </c>
      <c r="AP43" s="2" t="s">
        <v>49</v>
      </c>
      <c r="AQ43" s="2" t="s">
        <v>49</v>
      </c>
      <c r="AR43" s="71"/>
      <c r="AS43" s="71"/>
      <c r="AT43" s="2" t="s">
        <v>49</v>
      </c>
      <c r="AU43" s="2" t="s">
        <v>49</v>
      </c>
      <c r="AV43" s="2" t="s">
        <v>49</v>
      </c>
      <c r="AW43" s="2" t="s">
        <v>33</v>
      </c>
      <c r="AX43" s="2" t="s">
        <v>31</v>
      </c>
      <c r="AY43" s="71"/>
      <c r="AZ43" s="71"/>
      <c r="BA43" s="2" t="s">
        <v>35</v>
      </c>
      <c r="BB43" s="71"/>
      <c r="BC43" s="71"/>
      <c r="BD43" s="71"/>
      <c r="BE43" s="71"/>
      <c r="BF43" s="71"/>
      <c r="BG43" s="71"/>
      <c r="BH43" s="71"/>
      <c r="BI43" s="71"/>
      <c r="BJ43" s="71"/>
      <c r="BK43" s="71"/>
      <c r="BL43" s="71"/>
      <c r="BM43" s="71"/>
      <c r="BN43" s="71"/>
      <c r="BO43" s="71"/>
      <c r="BP43" s="71"/>
      <c r="BQ43" s="71"/>
      <c r="BR43" s="71"/>
      <c r="BS43" s="71"/>
      <c r="BT43" s="71"/>
      <c r="BU43" s="71"/>
      <c r="BV43" s="71"/>
      <c r="BW43" s="71"/>
      <c r="BX43" s="71"/>
      <c r="BY43" s="71"/>
      <c r="BZ43" s="71"/>
      <c r="CA43" s="71"/>
      <c r="CB43" s="71"/>
      <c r="CC43" s="71"/>
      <c r="CD43" s="71"/>
      <c r="CE43" s="71"/>
      <c r="CF43" s="2"/>
      <c r="CG43" s="2"/>
      <c r="CH43" s="71"/>
      <c r="CI43" s="71"/>
      <c r="CJ43" s="71"/>
      <c r="CK43" s="71"/>
      <c r="CL43" s="71"/>
      <c r="CM43" s="71"/>
      <c r="CN43" s="71"/>
      <c r="CO43" s="71"/>
      <c r="CP43" s="71"/>
      <c r="CQ43" s="71"/>
      <c r="CR43" s="2" t="s">
        <v>35</v>
      </c>
      <c r="CS43" s="71"/>
      <c r="CT43" s="71"/>
      <c r="CU43" s="71"/>
      <c r="CV43" s="71"/>
      <c r="CW43" s="71"/>
      <c r="CX43" s="71"/>
      <c r="CY43" s="71"/>
      <c r="CZ43" s="71"/>
      <c r="DA43" s="71"/>
      <c r="DB43" s="71"/>
      <c r="DC43" s="71"/>
      <c r="DD43" s="71"/>
      <c r="DE43" s="71"/>
      <c r="DF43" s="71"/>
      <c r="DG43" s="71"/>
      <c r="DH43" s="71"/>
      <c r="DI43" s="71"/>
      <c r="DJ43" s="71"/>
      <c r="DK43" s="71"/>
      <c r="DL43" s="71"/>
      <c r="DM43" s="2" t="s">
        <v>31</v>
      </c>
      <c r="DN43" s="2" t="s">
        <v>31</v>
      </c>
      <c r="DO43" s="71"/>
      <c r="DP43" s="71"/>
      <c r="DQ43" s="71"/>
      <c r="DR43" s="71"/>
      <c r="DS43" s="71"/>
      <c r="DT43" s="71"/>
      <c r="DU43" s="71"/>
      <c r="DV43" s="71"/>
      <c r="DW43" s="71"/>
      <c r="DX43" s="71"/>
      <c r="DY43" s="71"/>
      <c r="DZ43" s="71"/>
      <c r="EA43" s="2" t="s">
        <v>35</v>
      </c>
      <c r="EB43" s="71"/>
      <c r="EC43" s="71"/>
      <c r="ED43" s="71"/>
      <c r="EE43" s="71" t="s">
        <v>182</v>
      </c>
      <c r="EF43" s="71"/>
      <c r="EG43" s="71"/>
      <c r="EH43" s="2"/>
      <c r="EI43" s="2"/>
      <c r="EJ43" s="2"/>
      <c r="EK43" s="2"/>
      <c r="EL43" s="2"/>
      <c r="EM43" s="71"/>
      <c r="EN43" s="71"/>
      <c r="EO43" s="71"/>
      <c r="EP43" s="71"/>
      <c r="EQ43" s="71"/>
      <c r="ER43" s="71"/>
      <c r="ES43" s="71"/>
      <c r="ET43" s="71"/>
      <c r="EU43" s="71"/>
      <c r="EV43" s="2"/>
      <c r="EW43" s="2"/>
      <c r="EX43" s="2"/>
      <c r="EY43" s="2"/>
      <c r="EZ43" s="2"/>
      <c r="FA43" s="71"/>
      <c r="FB43" s="71"/>
      <c r="FC43" s="2" t="s">
        <v>35</v>
      </c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71"/>
      <c r="GD43" s="71"/>
      <c r="GE43" s="71"/>
      <c r="GF43" s="2"/>
      <c r="GG43" s="2"/>
      <c r="GH43" s="2"/>
      <c r="GI43" s="2"/>
      <c r="GJ43" s="2"/>
      <c r="GK43" s="2"/>
      <c r="GL43" s="2"/>
      <c r="GM43" s="2" t="s">
        <v>35</v>
      </c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71"/>
      <c r="HL43" s="71"/>
      <c r="HM43" s="71"/>
      <c r="HN43" s="71"/>
      <c r="HO43" s="71"/>
      <c r="HP43" s="71"/>
      <c r="HQ43" s="71"/>
      <c r="HR43" s="71"/>
      <c r="HS43" s="71"/>
      <c r="HT43" s="71"/>
      <c r="HU43" s="71"/>
      <c r="HV43" s="71"/>
      <c r="HW43" s="71"/>
      <c r="HX43" s="71"/>
      <c r="HY43" s="71"/>
      <c r="HZ43" s="71"/>
      <c r="IA43" s="71"/>
      <c r="IB43" s="71"/>
      <c r="IC43" s="71"/>
      <c r="ID43" s="71"/>
      <c r="IE43" s="71"/>
      <c r="IF43" s="71"/>
      <c r="IG43" s="71"/>
      <c r="IH43" s="71"/>
      <c r="II43" s="71"/>
      <c r="IJ43" s="71"/>
      <c r="IK43" s="71"/>
      <c r="IL43" s="71"/>
      <c r="IM43" s="71"/>
      <c r="IN43" s="71"/>
      <c r="IO43" s="71"/>
      <c r="IP43" s="71"/>
      <c r="IQ43" s="71"/>
      <c r="IR43" s="71"/>
      <c r="IS43" s="71"/>
      <c r="IT43" s="71"/>
      <c r="IU43" s="71"/>
      <c r="IV43" s="71"/>
      <c r="IW43" s="71"/>
      <c r="IX43" s="71"/>
      <c r="IY43" s="71"/>
      <c r="IZ43" s="71"/>
      <c r="JA43" s="71"/>
      <c r="JB43" s="71"/>
      <c r="JC43" s="71"/>
      <c r="JD43" s="71"/>
      <c r="JE43" s="71"/>
      <c r="JF43" s="71"/>
      <c r="JG43" s="71"/>
      <c r="JH43" s="71"/>
      <c r="JI43" s="71"/>
      <c r="JJ43" s="71"/>
      <c r="JK43" s="71"/>
      <c r="JL43" s="71"/>
      <c r="JM43" s="71"/>
      <c r="JN43" s="2"/>
      <c r="JO43" s="2"/>
      <c r="JP43" s="71"/>
      <c r="JQ43" s="71"/>
      <c r="JR43" s="71"/>
      <c r="JS43" s="71"/>
      <c r="JT43" s="71"/>
      <c r="JU43" s="2"/>
      <c r="JV43" s="71"/>
      <c r="JW43" s="71"/>
      <c r="JX43" s="71"/>
      <c r="JY43" s="71"/>
      <c r="JZ43" s="71"/>
      <c r="KA43" s="71"/>
      <c r="KB43" s="71"/>
      <c r="KC43" s="71"/>
      <c r="KD43" s="71"/>
      <c r="KE43" s="71"/>
      <c r="KF43" s="71"/>
      <c r="KG43" s="71"/>
      <c r="KH43" s="71"/>
      <c r="KI43" s="71"/>
      <c r="KJ43" s="71"/>
      <c r="KK43" s="71"/>
      <c r="KL43" s="71"/>
      <c r="KM43" s="71"/>
      <c r="KN43" s="71"/>
      <c r="KO43" s="71"/>
      <c r="KP43" s="71"/>
      <c r="KQ43" s="71"/>
      <c r="KR43" s="71"/>
      <c r="KS43" s="71"/>
      <c r="KT43" s="71"/>
      <c r="KU43" s="71"/>
      <c r="KV43" s="71"/>
      <c r="KW43" s="71"/>
      <c r="KX43" s="71"/>
      <c r="KY43" s="71"/>
      <c r="KZ43" s="71"/>
      <c r="LA43" s="71"/>
      <c r="LB43" s="71"/>
      <c r="LC43" s="71"/>
      <c r="LD43" s="71"/>
      <c r="LE43" s="71"/>
      <c r="LF43" s="71"/>
      <c r="LG43" s="71"/>
      <c r="LH43" s="71"/>
      <c r="LI43" s="71"/>
      <c r="LJ43" s="71"/>
      <c r="LK43" s="71"/>
      <c r="LL43" s="71"/>
      <c r="LM43" s="71"/>
      <c r="LN43" s="71"/>
      <c r="LO43" s="71"/>
      <c r="LP43" s="71"/>
      <c r="LQ43" s="2"/>
      <c r="LR43" s="71"/>
      <c r="LS43" s="71"/>
      <c r="LT43" s="71"/>
      <c r="LU43" s="71"/>
      <c r="LV43" s="71"/>
      <c r="LW43" s="71"/>
      <c r="LX43" s="71"/>
      <c r="LY43" s="71"/>
      <c r="LZ43" s="71"/>
      <c r="MA43" s="71"/>
      <c r="MB43" s="71"/>
      <c r="MC43" s="71"/>
      <c r="MD43" s="71"/>
      <c r="ME43" s="71"/>
      <c r="MF43" s="71"/>
      <c r="MG43" s="71"/>
      <c r="MH43" s="71"/>
      <c r="MI43" s="71"/>
      <c r="MJ43" s="71"/>
      <c r="MK43" s="71"/>
      <c r="ML43" s="71"/>
      <c r="MM43" s="71"/>
      <c r="MN43" s="71"/>
      <c r="MO43" s="71"/>
      <c r="MP43" s="71"/>
      <c r="MQ43" s="71"/>
      <c r="MR43" s="71"/>
      <c r="MS43" s="71"/>
      <c r="MT43" s="71"/>
      <c r="MU43" s="71"/>
      <c r="MV43" s="71"/>
      <c r="MW43" s="71"/>
      <c r="MX43" s="71"/>
      <c r="MY43" s="71"/>
      <c r="MZ43" s="71"/>
      <c r="NA43" s="71"/>
      <c r="NB43" s="71"/>
      <c r="NC43" s="71"/>
      <c r="ND43" s="71"/>
      <c r="NE43" s="71"/>
      <c r="NF43" s="71"/>
      <c r="NG43" s="71"/>
      <c r="NH43" s="71"/>
      <c r="NI43" s="71"/>
      <c r="NJ43" s="72">
        <f t="array" aca="1" ref="NJ43" ca="1">SUMPRODUCT((OFFSET($A43,0,31*($A$3-1)+1,1,31)&lt;&gt;"")*(IF(OFFSET($A43,0,31*($A$3-1)+1,1,31)=$OD$12,0.5,1)*(OFFSET($A$4,0,31*($A$3-1)+1,1,31))))</f>
        <v>1</v>
      </c>
      <c r="NK43" s="73">
        <f t="array" aca="1" ref="NK43" ca="1">SUMPRODUCT((OFFSET($A43,0,1,1,372)&lt;&gt;"")*(IF(OFFSET($A43,0,1,1,372)=$OD$12,0.5,1)*(OFFSET($A$3,0,1,1,372))))</f>
        <v>41.5</v>
      </c>
      <c r="NL43" s="74">
        <f t="array" aca="1" ref="NL43" ca="1">SUMPRODUCT((OFFSET($A43,0,31*($A$4)+DAY(Holidays!$E$2),1,Holidays!$G$2)&lt;&gt;"")*(IF(OFFSET($A43,0,31*($A$4)+DAY(Holidays!$E$2),1,Holidays!$G$2)=$OD$12,0.5,1)*(OFFSET($A$3,0,31*($A$4)+DAY(Holidays!$E$2),1,Holidays!$G$2))))</f>
        <v>33.5</v>
      </c>
      <c r="NM43" s="52">
        <f t="array" aca="1" ref="NM43" ca="1">SUMPRODUCT((OFFSET($A43,0,31*($A$4)+DAY(VLOOKUP(NM$5,Sprints[],2,FALSE)),1,VLOOKUP(NM$5,Sprints[],4,FALSE))&lt;&gt;"")*(IF(OFFSET($A43,0,31*($A$4)+DAY(VLOOKUP(NM$5,Sprints[],2,FALSE)),1,VLOOKUP(NM$5,Sprints[],4,FALSE))=$OD$12,0.5,1)*(OFFSET($A$3,0,31*($A$4)+DAY(VLOOKUP(NM$5,Sprints[],2,FALSE)),1,VLOOKUP(NM$5,Sprints[],4,FALSE)))))</f>
        <v>5</v>
      </c>
      <c r="NN43" s="52">
        <f t="array" aca="1" ref="NN43" ca="1">SUMPRODUCT((OFFSET($A43,0,31*($A$4)+DAY(VLOOKUP(NN$5,Sprints[],2,FALSE)),1,VLOOKUP(NN$5,Sprints[],4,FALSE))&lt;&gt;"")*(IF(OFFSET($A43,0,31*($A$4)+DAY(VLOOKUP(NN$5,Sprints[],2,FALSE)),1,VLOOKUP(NN$5,Sprints[],4,FALSE))=$OD$12,0.5,1)*(OFFSET($A$3,0,31*($A$4)+DAY(VLOOKUP(NN$5,Sprints[],2,FALSE)),1,VLOOKUP(NN$5,Sprints[],4,FALSE)))))</f>
        <v>10</v>
      </c>
      <c r="NO43" s="52">
        <f t="array" aca="1" ref="NO43" ca="1">SUMPRODUCT((OFFSET($A43,0,31*($A$4)+DAY(VLOOKUP(NO$5,Sprints[],2,FALSE)),1,VLOOKUP(NO$5,Sprints[],4,FALSE))&lt;&gt;"")*(IF(OFFSET($A43,0,31*($A$4)+DAY(VLOOKUP(NO$5,Sprints[],2,FALSE)),1,VLOOKUP(NO$5,Sprints[],4,FALSE))=$OD$12,0.5,1)*(OFFSET($A$3,0,31*($A$4)+DAY(VLOOKUP(NO$5,Sprints[],2,FALSE)),1,VLOOKUP(NO$5,Sprints[],4,FALSE)))))</f>
        <v>10</v>
      </c>
      <c r="NP43" s="52">
        <f t="array" aca="1" ref="NP43" ca="1">SUMPRODUCT((OFFSET($A43,0,31*(VLOOKUP(NP$5,Sprints[],5,FALSE))+DAY(VLOOKUP(NP$5,Sprints[],2,FALSE)),1,VLOOKUP(NP$5,Sprints[],4,FALSE))&lt;&gt;"")*(IF(OFFSET($A43,0,31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43" s="52">
        <f t="array" aca="1" ref="NQ43" ca="1">SUMPRODUCT((OFFSET($A43,0,31*(VLOOKUP(NQ$5,Sprints[],5,FALSE))+DAY(VLOOKUP(NQ$5,Sprints[],2,FALSE)),1,VLOOKUP(NQ$5,Sprints[],4,FALSE))&lt;&gt;"")*(IF(OFFSET($A43,0,31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3" s="52">
        <f t="array" aca="1" ref="NR43" ca="1">SUMPRODUCT((OFFSET($A43,0,31*(VLOOKUP(NR$5,Sprints[],5,FALSE))+DAY(VLOOKUP(NR$5,Sprints[],2,FALSE)),1,VLOOKUP(NR$5,Sprints[],4,FALSE))&lt;&gt;"")*(IF(OFFSET($A43,0,31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3" s="52">
        <f t="array" aca="1" ref="NS43" ca="1">SUMPRODUCT((OFFSET($A43,0,31*(VLOOKUP(NS$5,Sprints[],5,FALSE))+DAY(VLOOKUP(NS$5,Sprints[],2,FALSE)),1,VLOOKUP(NS$5,Sprints[],4,FALSE))&lt;&gt;"")*(IF(OFFSET($A43,0,31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3" s="52">
        <f t="array" aca="1" ref="NT43" ca="1">SUMPRODUCT((OFFSET($A43,0,31*(VLOOKUP(NT$5,Sprints[],5,FALSE))+DAY(VLOOKUP(NT$5,Sprints[],2,FALSE)),1,VLOOKUP(NT$5,Sprints[],4,FALSE))&lt;&gt;"")*(IF(OFFSET($A43,0,31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3" s="52">
        <f t="array" aca="1" ref="NU43" ca="1">SUMPRODUCT((OFFSET($A43,0,31*(VLOOKUP(NU$5,Sprints[],5,FALSE))+DAY(VLOOKUP(NU$5,Sprints[],2,FALSE)),1,VLOOKUP(NU$5,Sprints[],4,FALSE))&lt;&gt;"")*(IF(OFFSET($A43,0,31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43" s="52">
        <f t="array" aca="1" ref="NV43" ca="1">SUMPRODUCT((OFFSET($A43,0,31*(VLOOKUP(NV$5,Sprints[],5,FALSE))+DAY(VLOOKUP(NV$5,Sprints[],2,FALSE)),1,VLOOKUP(NV$5,Sprints[],4,FALSE))&lt;&gt;"")*(IF(OFFSET($A43,0,31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43" s="52">
        <f t="array" aca="1" ref="NW43" ca="1">SUMPRODUCT((OFFSET($A43,0,31*(VLOOKUP(NW$5,Sprints[],5,FALSE))+DAY(VLOOKUP(NW$5,Sprints[],2,FALSE)),1,VLOOKUP(NW$5,Sprints[],4,FALSE))&lt;&gt;"")*(IF(OFFSET($A43,0,31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3" s="52">
        <f t="array" aca="1" ref="NX43" ca="1">SUMPRODUCT((OFFSET($A43,0,31*(VLOOKUP(NX$5,Sprints[],5,FALSE))+DAY(VLOOKUP(NX$5,Sprints[],2,FALSE)),1,VLOOKUP(NX$5,Sprints[],4,FALSE))&lt;&gt;"")*(IF(OFFSET($A43,0,31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3" s="52">
        <f t="array" aca="1" ref="NY43" ca="1">SUMPRODUCT((OFFSET($A43,0,31*(VLOOKUP(NY$5,Sprints[],5,FALSE))+DAY(VLOOKUP(NY$5,Sprints[],2,FALSE)),1,VLOOKUP(NY$5,Sprints[],4,FALSE))&lt;&gt;"")*(IF(OFFSET($A43,0,31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3" s="52">
        <f t="array" aca="1" ref="NZ43" ca="1">SUMPRODUCT((OFFSET($A43,0,31*(VLOOKUP(NZ$5,Sprints[],5,FALSE))+DAY(VLOOKUP(NZ$5,Sprints[],2,FALSE)),1,VLOOKUP(NZ$5,Sprints[],4,FALSE))&lt;&gt;"")*(IF(OFFSET($A43,0,31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3" s="52">
        <f t="array" aca="1" ref="OA43" ca="1">SUMPRODUCT((OFFSET($A43,0,31*(VLOOKUP(OA$5,Sprints[],5,FALSE))+DAY(VLOOKUP(OA$5,Sprints[],2,FALSE)),1,VLOOKUP(OA$5,Sprints[],4,FALSE))&lt;&gt;"")*(IF(OFFSET($A43,0,31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44" spans="1:391" s="45" customFormat="1" x14ac:dyDescent="0.45">
      <c r="A44" s="70" t="s">
        <v>183</v>
      </c>
      <c r="B44" s="71"/>
      <c r="C44" s="2" t="s">
        <v>49</v>
      </c>
      <c r="D44" s="2" t="s">
        <v>49</v>
      </c>
      <c r="E44" s="2" t="s">
        <v>49</v>
      </c>
      <c r="F44" s="2" t="s">
        <v>49</v>
      </c>
      <c r="G44" s="2" t="s">
        <v>49</v>
      </c>
      <c r="H44" s="71"/>
      <c r="I44" s="71"/>
      <c r="J44" s="2" t="s">
        <v>49</v>
      </c>
      <c r="K44" s="2" t="s">
        <v>49</v>
      </c>
      <c r="L44" s="2" t="s">
        <v>49</v>
      </c>
      <c r="M44" s="2" t="s">
        <v>49</v>
      </c>
      <c r="N44" s="2" t="s">
        <v>49</v>
      </c>
      <c r="O44" s="71"/>
      <c r="P44" s="71"/>
      <c r="Q44" s="2" t="s">
        <v>49</v>
      </c>
      <c r="R44" s="2" t="s">
        <v>49</v>
      </c>
      <c r="S44" s="2" t="s">
        <v>49</v>
      </c>
      <c r="T44" s="2" t="s">
        <v>49</v>
      </c>
      <c r="U44" s="2" t="s">
        <v>49</v>
      </c>
      <c r="V44" s="71"/>
      <c r="W44" s="71"/>
      <c r="X44" s="2" t="s">
        <v>49</v>
      </c>
      <c r="Y44" s="2" t="s">
        <v>49</v>
      </c>
      <c r="Z44" s="2" t="s">
        <v>49</v>
      </c>
      <c r="AA44" s="2" t="s">
        <v>49</v>
      </c>
      <c r="AB44" s="2" t="s">
        <v>49</v>
      </c>
      <c r="AC44" s="71"/>
      <c r="AD44" s="71"/>
      <c r="AE44" s="2" t="s">
        <v>49</v>
      </c>
      <c r="AF44" s="71"/>
      <c r="AG44" s="2" t="s">
        <v>49</v>
      </c>
      <c r="AH44" s="2" t="s">
        <v>49</v>
      </c>
      <c r="AI44" s="2" t="s">
        <v>49</v>
      </c>
      <c r="AJ44" s="2" t="s">
        <v>49</v>
      </c>
      <c r="AK44" s="71"/>
      <c r="AL44" s="71"/>
      <c r="AM44" s="2" t="s">
        <v>49</v>
      </c>
      <c r="AN44" s="2" t="s">
        <v>49</v>
      </c>
      <c r="AO44" s="2" t="s">
        <v>49</v>
      </c>
      <c r="AP44" s="2" t="s">
        <v>49</v>
      </c>
      <c r="AQ44" s="2" t="s">
        <v>49</v>
      </c>
      <c r="AR44" s="71"/>
      <c r="AS44" s="71"/>
      <c r="AT44" s="2" t="s">
        <v>49</v>
      </c>
      <c r="AU44" s="2" t="s">
        <v>49</v>
      </c>
      <c r="AV44" s="2" t="s">
        <v>49</v>
      </c>
      <c r="AW44" s="2" t="s">
        <v>49</v>
      </c>
      <c r="AX44" s="2" t="s">
        <v>49</v>
      </c>
      <c r="AY44" s="71"/>
      <c r="AZ44" s="71"/>
      <c r="BA44" s="2" t="s">
        <v>35</v>
      </c>
      <c r="BB44" s="2" t="s">
        <v>49</v>
      </c>
      <c r="BC44" s="2" t="s">
        <v>49</v>
      </c>
      <c r="BD44" s="2" t="s">
        <v>49</v>
      </c>
      <c r="BE44" s="2" t="s">
        <v>49</v>
      </c>
      <c r="BF44" s="71"/>
      <c r="BG44" s="71"/>
      <c r="BH44" s="2" t="s">
        <v>49</v>
      </c>
      <c r="BI44" s="2" t="s">
        <v>49</v>
      </c>
      <c r="BJ44" s="2" t="s">
        <v>49</v>
      </c>
      <c r="BK44" s="2" t="s">
        <v>49</v>
      </c>
      <c r="BL44" s="2" t="s">
        <v>49</v>
      </c>
      <c r="BM44" s="71"/>
      <c r="BN44" s="71"/>
      <c r="BO44" s="2" t="s">
        <v>49</v>
      </c>
      <c r="BP44" s="2" t="s">
        <v>49</v>
      </c>
      <c r="BQ44" s="2" t="s">
        <v>49</v>
      </c>
      <c r="BR44" s="2" t="s">
        <v>49</v>
      </c>
      <c r="BS44" s="2" t="s">
        <v>49</v>
      </c>
      <c r="BT44" s="71"/>
      <c r="BU44" s="71"/>
      <c r="BV44" s="2" t="s">
        <v>49</v>
      </c>
      <c r="BW44" s="2" t="s">
        <v>49</v>
      </c>
      <c r="BX44" s="2" t="s">
        <v>49</v>
      </c>
      <c r="BY44" s="2" t="s">
        <v>49</v>
      </c>
      <c r="BZ44" s="2" t="s">
        <v>49</v>
      </c>
      <c r="CA44" s="71"/>
      <c r="CB44" s="71"/>
      <c r="CC44" s="2" t="s">
        <v>49</v>
      </c>
      <c r="CD44" s="2" t="s">
        <v>49</v>
      </c>
      <c r="CE44" s="2" t="s">
        <v>49</v>
      </c>
      <c r="CF44" s="2" t="s">
        <v>49</v>
      </c>
      <c r="CG44" s="2" t="s">
        <v>49</v>
      </c>
      <c r="CH44" s="71"/>
      <c r="CI44" s="71"/>
      <c r="CJ44" s="2" t="s">
        <v>49</v>
      </c>
      <c r="CK44" s="2" t="s">
        <v>49</v>
      </c>
      <c r="CL44" s="2" t="s">
        <v>49</v>
      </c>
      <c r="CM44" s="2" t="s">
        <v>49</v>
      </c>
      <c r="CN44" s="2" t="s">
        <v>49</v>
      </c>
      <c r="CO44" s="71"/>
      <c r="CP44" s="71"/>
      <c r="CQ44" s="71"/>
      <c r="CR44" s="2" t="s">
        <v>35</v>
      </c>
      <c r="CS44" s="2" t="s">
        <v>49</v>
      </c>
      <c r="CT44" s="2" t="s">
        <v>49</v>
      </c>
      <c r="CU44" s="2" t="s">
        <v>49</v>
      </c>
      <c r="CV44" s="2" t="s">
        <v>49</v>
      </c>
      <c r="CW44" s="71"/>
      <c r="CX44" s="71"/>
      <c r="CY44" s="2" t="s">
        <v>49</v>
      </c>
      <c r="CZ44" s="2" t="s">
        <v>49</v>
      </c>
      <c r="DA44" s="2" t="s">
        <v>49</v>
      </c>
      <c r="DB44" s="2" t="s">
        <v>49</v>
      </c>
      <c r="DC44" s="2" t="s">
        <v>49</v>
      </c>
      <c r="DD44" s="71"/>
      <c r="DE44" s="71"/>
      <c r="DF44" s="2" t="s">
        <v>49</v>
      </c>
      <c r="DG44" s="2" t="s">
        <v>49</v>
      </c>
      <c r="DH44" s="2" t="s">
        <v>49</v>
      </c>
      <c r="DI44" s="2" t="s">
        <v>49</v>
      </c>
      <c r="DJ44" s="2" t="s">
        <v>49</v>
      </c>
      <c r="DK44" s="71"/>
      <c r="DL44" s="71"/>
      <c r="DM44" s="2" t="s">
        <v>49</v>
      </c>
      <c r="DN44" s="2" t="s">
        <v>49</v>
      </c>
      <c r="DO44" s="2" t="s">
        <v>49</v>
      </c>
      <c r="DP44" s="2" t="s">
        <v>49</v>
      </c>
      <c r="DQ44" s="2" t="s">
        <v>49</v>
      </c>
      <c r="DR44" s="71"/>
      <c r="DS44" s="71"/>
      <c r="DT44" s="2" t="s">
        <v>49</v>
      </c>
      <c r="DU44" s="2" t="s">
        <v>49</v>
      </c>
      <c r="DV44" s="2" t="s">
        <v>49</v>
      </c>
      <c r="DW44" s="2" t="s">
        <v>49</v>
      </c>
      <c r="DX44" s="2" t="s">
        <v>49</v>
      </c>
      <c r="DY44" s="71"/>
      <c r="DZ44" s="71"/>
      <c r="EA44" s="2" t="s">
        <v>35</v>
      </c>
      <c r="EB44" s="71"/>
      <c r="EC44" s="71"/>
      <c r="ED44" s="71"/>
      <c r="EE44" s="71"/>
      <c r="EF44" s="71"/>
      <c r="EG44" s="71"/>
      <c r="EH44" s="2"/>
      <c r="EI44" s="2"/>
      <c r="EJ44" s="2"/>
      <c r="EK44" s="2"/>
      <c r="EL44" s="2"/>
      <c r="EM44" s="71"/>
      <c r="EN44" s="71"/>
      <c r="EO44" s="71"/>
      <c r="EP44" s="71"/>
      <c r="EQ44" s="71"/>
      <c r="ER44" s="71"/>
      <c r="ES44" s="71"/>
      <c r="ET44" s="71"/>
      <c r="EU44" s="71"/>
      <c r="EV44" s="71"/>
      <c r="EW44" s="71"/>
      <c r="EX44" s="71"/>
      <c r="EY44" s="71"/>
      <c r="EZ44" s="71"/>
      <c r="FA44" s="71"/>
      <c r="FB44" s="71"/>
      <c r="FC44" s="2" t="s">
        <v>35</v>
      </c>
      <c r="FD44" s="71"/>
      <c r="FE44" s="71"/>
      <c r="FF44" s="71"/>
      <c r="FG44" s="71"/>
      <c r="FH44" s="71"/>
      <c r="FI44" s="71"/>
      <c r="FJ44" s="71"/>
      <c r="FK44" s="71"/>
      <c r="FL44" s="71"/>
      <c r="FM44" s="71"/>
      <c r="FN44" s="71"/>
      <c r="FO44" s="71"/>
      <c r="FP44" s="71"/>
      <c r="FQ44" s="71"/>
      <c r="FR44" s="71"/>
      <c r="FS44" s="71"/>
      <c r="FT44" s="71"/>
      <c r="FU44" s="71"/>
      <c r="FV44" s="71"/>
      <c r="FW44" s="71"/>
      <c r="FX44" s="71"/>
      <c r="FY44" s="71"/>
      <c r="FZ44" s="71"/>
      <c r="GA44" s="71"/>
      <c r="GB44" s="71"/>
      <c r="GC44" s="71"/>
      <c r="GD44" s="71"/>
      <c r="GE44" s="71"/>
      <c r="GF44" s="71"/>
      <c r="GG44" s="71"/>
      <c r="GH44" s="71"/>
      <c r="GI44" s="71"/>
      <c r="GJ44" s="71"/>
      <c r="GK44" s="71"/>
      <c r="GL44" s="71"/>
      <c r="GM44" s="2" t="s">
        <v>35</v>
      </c>
      <c r="GN44" s="71"/>
      <c r="GO44" s="71"/>
      <c r="GP44" s="71"/>
      <c r="GQ44" s="71"/>
      <c r="GR44" s="71"/>
      <c r="GS44" s="71"/>
      <c r="GT44" s="71"/>
      <c r="GU44" s="71"/>
      <c r="GV44" s="71"/>
      <c r="GW44" s="71"/>
      <c r="GX44" s="71"/>
      <c r="GY44" s="71"/>
      <c r="GZ44" s="71"/>
      <c r="HA44" s="71"/>
      <c r="HB44" s="71"/>
      <c r="HC44" s="71"/>
      <c r="HD44" s="71"/>
      <c r="HE44" s="71"/>
      <c r="HF44" s="71"/>
      <c r="HG44" s="71"/>
      <c r="HH44" s="71"/>
      <c r="HI44" s="71"/>
      <c r="HJ44" s="71"/>
      <c r="HK44" s="71"/>
      <c r="HL44" s="71"/>
      <c r="HM44" s="71"/>
      <c r="HN44" s="71"/>
      <c r="HO44" s="71"/>
      <c r="HP44" s="71"/>
      <c r="HQ44" s="71"/>
      <c r="HR44" s="71"/>
      <c r="HS44" s="71"/>
      <c r="HT44" s="71"/>
      <c r="HU44" s="71"/>
      <c r="HV44" s="71"/>
      <c r="HW44" s="71"/>
      <c r="HX44" s="71"/>
      <c r="HY44" s="71"/>
      <c r="HZ44" s="71"/>
      <c r="IA44" s="71"/>
      <c r="IB44" s="71"/>
      <c r="IC44" s="71"/>
      <c r="ID44" s="71"/>
      <c r="IE44" s="71"/>
      <c r="IF44" s="71"/>
      <c r="IG44" s="71"/>
      <c r="IH44" s="71"/>
      <c r="II44" s="71"/>
      <c r="IJ44" s="71"/>
      <c r="IK44" s="71"/>
      <c r="IL44" s="71"/>
      <c r="IM44" s="71"/>
      <c r="IN44" s="71"/>
      <c r="IO44" s="71"/>
      <c r="IP44" s="71"/>
      <c r="IQ44" s="71"/>
      <c r="IR44" s="71"/>
      <c r="IS44" s="71"/>
      <c r="IT44" s="71"/>
      <c r="IU44" s="71"/>
      <c r="IV44" s="71"/>
      <c r="IW44" s="71"/>
      <c r="IX44" s="71"/>
      <c r="IY44" s="71"/>
      <c r="IZ44" s="71"/>
      <c r="JA44" s="71"/>
      <c r="JB44" s="71"/>
      <c r="JC44" s="71"/>
      <c r="JD44" s="71"/>
      <c r="JE44" s="71"/>
      <c r="JF44" s="71"/>
      <c r="JG44" s="71"/>
      <c r="JH44" s="71"/>
      <c r="JI44" s="71"/>
      <c r="JJ44" s="71"/>
      <c r="JK44" s="71"/>
      <c r="JL44" s="71"/>
      <c r="JM44" s="71"/>
      <c r="JN44" s="2"/>
      <c r="JO44" s="2"/>
      <c r="JP44" s="71"/>
      <c r="JQ44" s="71"/>
      <c r="JR44" s="71"/>
      <c r="JS44" s="71"/>
      <c r="JT44" s="71"/>
      <c r="JU44" s="2"/>
      <c r="JV44" s="71"/>
      <c r="JW44" s="71"/>
      <c r="JX44" s="71"/>
      <c r="JY44" s="71"/>
      <c r="JZ44" s="71"/>
      <c r="KA44" s="71"/>
      <c r="KB44" s="71"/>
      <c r="KC44" s="71"/>
      <c r="KD44" s="71"/>
      <c r="KE44" s="71"/>
      <c r="KF44" s="71"/>
      <c r="KG44" s="71"/>
      <c r="KH44" s="71"/>
      <c r="KI44" s="71"/>
      <c r="KJ44" s="71"/>
      <c r="KK44" s="71"/>
      <c r="KL44" s="71"/>
      <c r="KM44" s="71"/>
      <c r="KN44" s="71"/>
      <c r="KO44" s="71"/>
      <c r="KP44" s="71"/>
      <c r="KQ44" s="71"/>
      <c r="KR44" s="71"/>
      <c r="KS44" s="71"/>
      <c r="KT44" s="71"/>
      <c r="KU44" s="71"/>
      <c r="KV44" s="71"/>
      <c r="KW44" s="71"/>
      <c r="KX44" s="71"/>
      <c r="KY44" s="71"/>
      <c r="KZ44" s="71"/>
      <c r="LA44" s="71"/>
      <c r="LB44" s="71"/>
      <c r="LC44" s="71"/>
      <c r="LD44" s="71"/>
      <c r="LE44" s="71"/>
      <c r="LF44" s="71"/>
      <c r="LG44" s="71"/>
      <c r="LH44" s="71"/>
      <c r="LI44" s="71"/>
      <c r="LJ44" s="71"/>
      <c r="LK44" s="71"/>
      <c r="LL44" s="71"/>
      <c r="LM44" s="71"/>
      <c r="LN44" s="71"/>
      <c r="LO44" s="71"/>
      <c r="LP44" s="71"/>
      <c r="LQ44" s="2"/>
      <c r="LR44" s="71"/>
      <c r="LS44" s="71"/>
      <c r="LT44" s="71"/>
      <c r="LU44" s="71"/>
      <c r="LV44" s="71"/>
      <c r="LW44" s="71"/>
      <c r="LX44" s="71"/>
      <c r="LY44" s="71"/>
      <c r="LZ44" s="71"/>
      <c r="MA44" s="71"/>
      <c r="MB44" s="71"/>
      <c r="MC44" s="71"/>
      <c r="MD44" s="71"/>
      <c r="ME44" s="71"/>
      <c r="MF44" s="71"/>
      <c r="MG44" s="71"/>
      <c r="MH44" s="71"/>
      <c r="MI44" s="71"/>
      <c r="MJ44" s="71"/>
      <c r="MK44" s="71"/>
      <c r="ML44" s="71"/>
      <c r="MM44" s="71"/>
      <c r="MN44" s="71"/>
      <c r="MO44" s="71"/>
      <c r="MP44" s="71"/>
      <c r="MQ44" s="71"/>
      <c r="MR44" s="71"/>
      <c r="MS44" s="71"/>
      <c r="MT44" s="71"/>
      <c r="MU44" s="71"/>
      <c r="MV44" s="71"/>
      <c r="MW44" s="71"/>
      <c r="MX44" s="71"/>
      <c r="MY44" s="71"/>
      <c r="MZ44" s="71"/>
      <c r="NA44" s="71"/>
      <c r="NB44" s="71"/>
      <c r="NC44" s="71"/>
      <c r="ND44" s="71"/>
      <c r="NE44" s="71"/>
      <c r="NF44" s="71"/>
      <c r="NG44" s="71"/>
      <c r="NH44" s="71"/>
      <c r="NI44" s="71"/>
      <c r="NJ44" s="72">
        <f t="array" aca="1" ref="NJ44" ca="1">SUMPRODUCT((OFFSET($A44,0,31*($A$3-1)+1,1,31)&lt;&gt;"")*(IF(OFFSET($A44,0,31*($A$3-1)+1,1,31)=$OD$12,0.5,1)*(OFFSET($A$4,0,31*($A$3-1)+1,1,31))))</f>
        <v>1</v>
      </c>
      <c r="NK44" s="73">
        <f t="array" aca="1" ref="NK44" ca="1">SUMPRODUCT((OFFSET($A44,0,1,1,372)&lt;&gt;"")*(IF(OFFSET($A44,0,1,1,372)=$OD$12,0.5,1)*(OFFSET($A$3,0,1,1,372))))</f>
        <v>93</v>
      </c>
      <c r="NL44" s="74">
        <f t="array" aca="1" ref="NL44" ca="1">SUMPRODUCT((OFFSET($A44,0,31*($A$4)+DAY(Holidays!$E$2),1,Holidays!$G$2)&lt;&gt;"")*(IF(OFFSET($A44,0,31*($A$4)+DAY(Holidays!$E$2),1,Holidays!$G$2)=$OD$12,0.5,1)*(OFFSET($A$3,0,31*($A$4)+DAY(Holidays!$E$2),1,Holidays!$G$2))))</f>
        <v>85</v>
      </c>
      <c r="NM44" s="52">
        <f t="array" aca="1" ref="NM44" ca="1">SUMPRODUCT((OFFSET($A44,0,31*($A$4)+DAY(VLOOKUP(NM$5,Sprints[],2,FALSE)),1,VLOOKUP(NM$5,Sprints[],4,FALSE))&lt;&gt;"")*(IF(OFFSET($A44,0,31*($A$4)+DAY(VLOOKUP(NM$5,Sprints[],2,FALSE)),1,VLOOKUP(NM$5,Sprints[],4,FALSE))=$OD$12,0.5,1)*(OFFSET($A$3,0,31*($A$4)+DAY(VLOOKUP(NM$5,Sprints[],2,FALSE)),1,VLOOKUP(NM$5,Sprints[],4,FALSE)))))</f>
        <v>5</v>
      </c>
      <c r="NN44" s="52">
        <f t="array" aca="1" ref="NN44" ca="1">SUMPRODUCT((OFFSET($A44,0,31*($A$4)+DAY(VLOOKUP(NN$5,Sprints[],2,FALSE)),1,VLOOKUP(NN$5,Sprints[],4,FALSE))&lt;&gt;"")*(IF(OFFSET($A44,0,31*($A$4)+DAY(VLOOKUP(NN$5,Sprints[],2,FALSE)),1,VLOOKUP(NN$5,Sprints[],4,FALSE))=$OD$12,0.5,1)*(OFFSET($A$3,0,31*($A$4)+DAY(VLOOKUP(NN$5,Sprints[],2,FALSE)),1,VLOOKUP(NN$5,Sprints[],4,FALSE)))))</f>
        <v>10</v>
      </c>
      <c r="NO44" s="52">
        <f t="array" aca="1" ref="NO44" ca="1">SUMPRODUCT((OFFSET($A44,0,31*($A$4)+DAY(VLOOKUP(NO$5,Sprints[],2,FALSE)),1,VLOOKUP(NO$5,Sprints[],4,FALSE))&lt;&gt;"")*(IF(OFFSET($A44,0,31*($A$4)+DAY(VLOOKUP(NO$5,Sprints[],2,FALSE)),1,VLOOKUP(NO$5,Sprints[],4,FALSE))=$OD$12,0.5,1)*(OFFSET($A$3,0,31*($A$4)+DAY(VLOOKUP(NO$5,Sprints[],2,FALSE)),1,VLOOKUP(NO$5,Sprints[],4,FALSE)))))</f>
        <v>10</v>
      </c>
      <c r="NP44" s="52">
        <f t="array" aca="1" ref="NP44" ca="1">SUMPRODUCT((OFFSET($A44,0,31*(VLOOKUP(NP$5,Sprints[],5,FALSE))+DAY(VLOOKUP(NP$5,Sprints[],2,FALSE)),1,VLOOKUP(NP$5,Sprints[],4,FALSE))&lt;&gt;"")*(IF(OFFSET($A44,0,31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44" s="52">
        <f t="array" aca="1" ref="NQ44" ca="1">SUMPRODUCT((OFFSET($A44,0,31*(VLOOKUP(NQ$5,Sprints[],5,FALSE))+DAY(VLOOKUP(NQ$5,Sprints[],2,FALSE)),1,VLOOKUP(NQ$5,Sprints[],4,FALSE))&lt;&gt;"")*(IF(OFFSET($A44,0,31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44" s="52">
        <f t="array" aca="1" ref="NR44" ca="1">SUMPRODUCT((OFFSET($A44,0,31*(VLOOKUP(NR$5,Sprints[],5,FALSE))+DAY(VLOOKUP(NR$5,Sprints[],2,FALSE)),1,VLOOKUP(NR$5,Sprints[],4,FALSE))&lt;&gt;"")*(IF(OFFSET($A44,0,31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44" s="52">
        <f t="array" aca="1" ref="NS44" ca="1">SUMPRODUCT((OFFSET($A44,0,31*(VLOOKUP(NS$5,Sprints[],5,FALSE))+DAY(VLOOKUP(NS$5,Sprints[],2,FALSE)),1,VLOOKUP(NS$5,Sprints[],4,FALSE))&lt;&gt;"")*(IF(OFFSET($A44,0,31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44" s="52">
        <f t="array" aca="1" ref="NT44" ca="1">SUMPRODUCT((OFFSET($A44,0,31*(VLOOKUP(NT$5,Sprints[],5,FALSE))+DAY(VLOOKUP(NT$5,Sprints[],2,FALSE)),1,VLOOKUP(NT$5,Sprints[],4,FALSE))&lt;&gt;"")*(IF(OFFSET($A44,0,31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44" s="52">
        <f t="array" aca="1" ref="NU44" ca="1">SUMPRODUCT((OFFSET($A44,0,31*(VLOOKUP(NU$5,Sprints[],5,FALSE))+DAY(VLOOKUP(NU$5,Sprints[],2,FALSE)),1,VLOOKUP(NU$5,Sprints[],4,FALSE))&lt;&gt;"")*(IF(OFFSET($A44,0,31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44" s="52">
        <f t="array" aca="1" ref="NV44" ca="1">SUMPRODUCT((OFFSET($A44,0,31*(VLOOKUP(NV$5,Sprints[],5,FALSE))+DAY(VLOOKUP(NV$5,Sprints[],2,FALSE)),1,VLOOKUP(NV$5,Sprints[],4,FALSE))&lt;&gt;"")*(IF(OFFSET($A44,0,31*(VLOOKUP(NV$5,Sprints[],5,FALSE))+DAY(VLOOKUP(NV$5,Sprints[],2,FALSE)),1,VLOOKUP(NV$5,Sprints[],4,FALSE))=$OD$12,0.5,1)*(OFFSET($A$3,0,31*(VLOOKUP(NV$5,Sprints[],5,FALSE))+DAY(VLOOKUP(NV$5,Sprints[],2,FALSE)),1,VLOOKUP(NV$5,Sprints[],4,FALSE)))))</f>
        <v>4</v>
      </c>
      <c r="NW44" s="52">
        <f t="array" aca="1" ref="NW44" ca="1">SUMPRODUCT((OFFSET($A44,0,31*(VLOOKUP(NW$5,Sprints[],5,FALSE))+DAY(VLOOKUP(NW$5,Sprints[],2,FALSE)),1,VLOOKUP(NW$5,Sprints[],4,FALSE))&lt;&gt;"")*(IF(OFFSET($A44,0,31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4" s="52">
        <f t="array" aca="1" ref="NX44" ca="1">SUMPRODUCT((OFFSET($A44,0,31*(VLOOKUP(NX$5,Sprints[],5,FALSE))+DAY(VLOOKUP(NX$5,Sprints[],2,FALSE)),1,VLOOKUP(NX$5,Sprints[],4,FALSE))&lt;&gt;"")*(IF(OFFSET($A44,0,31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4" s="52">
        <f t="array" aca="1" ref="NY44" ca="1">SUMPRODUCT((OFFSET($A44,0,31*(VLOOKUP(NY$5,Sprints[],5,FALSE))+DAY(VLOOKUP(NY$5,Sprints[],2,FALSE)),1,VLOOKUP(NY$5,Sprints[],4,FALSE))&lt;&gt;"")*(IF(OFFSET($A44,0,31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4" s="52">
        <f t="array" aca="1" ref="NZ44" ca="1">SUMPRODUCT((OFFSET($A44,0,31*(VLOOKUP(NZ$5,Sprints[],5,FALSE))+DAY(VLOOKUP(NZ$5,Sprints[],2,FALSE)),1,VLOOKUP(NZ$5,Sprints[],4,FALSE))&lt;&gt;"")*(IF(OFFSET($A44,0,31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4" s="52">
        <f t="array" aca="1" ref="OA44" ca="1">SUMPRODUCT((OFFSET($A44,0,31*(VLOOKUP(OA$5,Sprints[],5,FALSE))+DAY(VLOOKUP(OA$5,Sprints[],2,FALSE)),1,VLOOKUP(OA$5,Sprints[],4,FALSE))&lt;&gt;"")*(IF(OFFSET($A44,0,31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45" spans="1:391" s="45" customFormat="1" x14ac:dyDescent="0.45">
      <c r="A45" s="70" t="s">
        <v>184</v>
      </c>
      <c r="B45" s="71"/>
      <c r="C45" s="2" t="s">
        <v>49</v>
      </c>
      <c r="D45" s="2" t="s">
        <v>49</v>
      </c>
      <c r="E45" s="2" t="s">
        <v>49</v>
      </c>
      <c r="F45" s="2" t="s">
        <v>49</v>
      </c>
      <c r="G45" s="2" t="s">
        <v>49</v>
      </c>
      <c r="H45" s="71"/>
      <c r="I45" s="71"/>
      <c r="J45" s="2" t="s">
        <v>49</v>
      </c>
      <c r="K45" s="2" t="s">
        <v>49</v>
      </c>
      <c r="L45" s="2" t="s">
        <v>49</v>
      </c>
      <c r="M45" s="2" t="s">
        <v>49</v>
      </c>
      <c r="N45" s="2" t="s">
        <v>49</v>
      </c>
      <c r="O45" s="71"/>
      <c r="P45" s="71"/>
      <c r="Q45" s="2" t="s">
        <v>49</v>
      </c>
      <c r="R45" s="2" t="s">
        <v>49</v>
      </c>
      <c r="S45" s="2" t="s">
        <v>49</v>
      </c>
      <c r="T45" s="2" t="s">
        <v>49</v>
      </c>
      <c r="U45" s="2" t="s">
        <v>49</v>
      </c>
      <c r="V45" s="71"/>
      <c r="W45" s="71"/>
      <c r="X45" s="2" t="s">
        <v>49</v>
      </c>
      <c r="Y45" s="2" t="s">
        <v>49</v>
      </c>
      <c r="Z45" s="2" t="s">
        <v>49</v>
      </c>
      <c r="AA45" s="2" t="s">
        <v>49</v>
      </c>
      <c r="AB45" s="2" t="s">
        <v>49</v>
      </c>
      <c r="AC45" s="71"/>
      <c r="AD45" s="71"/>
      <c r="AE45" s="2" t="s">
        <v>49</v>
      </c>
      <c r="AF45" s="71"/>
      <c r="AG45" s="2" t="s">
        <v>49</v>
      </c>
      <c r="AH45" s="2" t="s">
        <v>49</v>
      </c>
      <c r="AI45" s="2" t="s">
        <v>49</v>
      </c>
      <c r="AJ45" s="2" t="s">
        <v>49</v>
      </c>
      <c r="AK45" s="71"/>
      <c r="AL45" s="71"/>
      <c r="AM45" s="2" t="s">
        <v>49</v>
      </c>
      <c r="AN45" s="2" t="s">
        <v>49</v>
      </c>
      <c r="AO45" s="2" t="s">
        <v>49</v>
      </c>
      <c r="AP45" s="2" t="s">
        <v>49</v>
      </c>
      <c r="AQ45" s="2" t="s">
        <v>49</v>
      </c>
      <c r="AR45" s="71"/>
      <c r="AS45" s="71"/>
      <c r="AT45" s="2" t="s">
        <v>49</v>
      </c>
      <c r="AU45" s="2" t="s">
        <v>49</v>
      </c>
      <c r="AV45" s="2" t="s">
        <v>49</v>
      </c>
      <c r="AW45" s="2" t="s">
        <v>49</v>
      </c>
      <c r="AX45" s="2" t="s">
        <v>49</v>
      </c>
      <c r="AY45" s="71"/>
      <c r="AZ45" s="71"/>
      <c r="BA45" s="2" t="s">
        <v>35</v>
      </c>
      <c r="BB45" s="2" t="s">
        <v>49</v>
      </c>
      <c r="BC45" s="2" t="s">
        <v>49</v>
      </c>
      <c r="BD45" s="2" t="s">
        <v>49</v>
      </c>
      <c r="BE45" s="2" t="s">
        <v>49</v>
      </c>
      <c r="BF45" s="71"/>
      <c r="BG45" s="71"/>
      <c r="BH45" s="2" t="s">
        <v>49</v>
      </c>
      <c r="BI45" s="2" t="s">
        <v>49</v>
      </c>
      <c r="BJ45" s="2" t="s">
        <v>49</v>
      </c>
      <c r="BK45" s="2" t="s">
        <v>49</v>
      </c>
      <c r="BL45" s="2" t="s">
        <v>49</v>
      </c>
      <c r="BM45" s="71"/>
      <c r="BN45" s="71"/>
      <c r="BO45" s="2" t="s">
        <v>49</v>
      </c>
      <c r="BP45" s="2" t="s">
        <v>49</v>
      </c>
      <c r="BQ45" s="2" t="s">
        <v>49</v>
      </c>
      <c r="BR45" s="2" t="s">
        <v>49</v>
      </c>
      <c r="BS45" s="2" t="s">
        <v>49</v>
      </c>
      <c r="BT45" s="71"/>
      <c r="BU45" s="71"/>
      <c r="BV45" s="2" t="s">
        <v>49</v>
      </c>
      <c r="BW45" s="2" t="s">
        <v>49</v>
      </c>
      <c r="BX45" s="2" t="s">
        <v>49</v>
      </c>
      <c r="BY45" s="2" t="s">
        <v>49</v>
      </c>
      <c r="BZ45" s="2" t="s">
        <v>49</v>
      </c>
      <c r="CA45" s="71"/>
      <c r="CB45" s="71"/>
      <c r="CC45" s="2" t="s">
        <v>49</v>
      </c>
      <c r="CD45" s="2" t="s">
        <v>49</v>
      </c>
      <c r="CE45" s="2" t="s">
        <v>49</v>
      </c>
      <c r="CF45" s="2" t="s">
        <v>49</v>
      </c>
      <c r="CG45" s="2" t="s">
        <v>49</v>
      </c>
      <c r="CH45" s="71"/>
      <c r="CI45" s="71"/>
      <c r="CJ45" s="2" t="s">
        <v>49</v>
      </c>
      <c r="CK45" s="2" t="s">
        <v>49</v>
      </c>
      <c r="CL45" s="2" t="s">
        <v>49</v>
      </c>
      <c r="CM45" s="2" t="s">
        <v>49</v>
      </c>
      <c r="CN45" s="2" t="s">
        <v>49</v>
      </c>
      <c r="CO45" s="71"/>
      <c r="CP45" s="71"/>
      <c r="CQ45" s="71"/>
      <c r="CR45" s="2" t="s">
        <v>35</v>
      </c>
      <c r="CS45" s="2" t="s">
        <v>49</v>
      </c>
      <c r="CT45" s="2" t="s">
        <v>49</v>
      </c>
      <c r="CU45" s="2" t="s">
        <v>49</v>
      </c>
      <c r="CV45" s="2" t="s">
        <v>49</v>
      </c>
      <c r="CW45" s="71"/>
      <c r="CX45" s="71"/>
      <c r="CY45" s="2" t="s">
        <v>49</v>
      </c>
      <c r="CZ45" s="2" t="s">
        <v>49</v>
      </c>
      <c r="DA45" s="2" t="s">
        <v>49</v>
      </c>
      <c r="DB45" s="2" t="s">
        <v>49</v>
      </c>
      <c r="DC45" s="2" t="s">
        <v>49</v>
      </c>
      <c r="DD45" s="71"/>
      <c r="DE45" s="71"/>
      <c r="DF45" s="2" t="s">
        <v>49</v>
      </c>
      <c r="DG45" s="2" t="s">
        <v>49</v>
      </c>
      <c r="DH45" s="2" t="s">
        <v>49</v>
      </c>
      <c r="DI45" s="2" t="s">
        <v>49</v>
      </c>
      <c r="DJ45" s="2" t="s">
        <v>49</v>
      </c>
      <c r="DK45" s="71"/>
      <c r="DL45" s="71"/>
      <c r="DM45" s="2" t="s">
        <v>49</v>
      </c>
      <c r="DN45" s="2" t="s">
        <v>49</v>
      </c>
      <c r="DO45" s="2" t="s">
        <v>49</v>
      </c>
      <c r="DP45" s="2" t="s">
        <v>49</v>
      </c>
      <c r="DQ45" s="2" t="s">
        <v>49</v>
      </c>
      <c r="DR45" s="71"/>
      <c r="DS45" s="71"/>
      <c r="DT45" s="2" t="s">
        <v>49</v>
      </c>
      <c r="DU45" s="2" t="s">
        <v>49</v>
      </c>
      <c r="DV45" s="2" t="s">
        <v>49</v>
      </c>
      <c r="DW45" s="2" t="s">
        <v>49</v>
      </c>
      <c r="DX45" s="2" t="s">
        <v>49</v>
      </c>
      <c r="DY45" s="71"/>
      <c r="DZ45" s="71"/>
      <c r="EA45" s="2" t="s">
        <v>35</v>
      </c>
      <c r="EB45" s="2" t="s">
        <v>49</v>
      </c>
      <c r="EC45" s="2" t="s">
        <v>49</v>
      </c>
      <c r="ED45" s="2" t="s">
        <v>49</v>
      </c>
      <c r="EE45" s="2" t="s">
        <v>49</v>
      </c>
      <c r="EF45" s="71"/>
      <c r="EG45" s="71"/>
      <c r="EH45" s="2" t="s">
        <v>49</v>
      </c>
      <c r="EI45" s="2" t="s">
        <v>49</v>
      </c>
      <c r="EJ45" s="2" t="s">
        <v>49</v>
      </c>
      <c r="EK45" s="2" t="s">
        <v>49</v>
      </c>
      <c r="EL45" s="2" t="s">
        <v>49</v>
      </c>
      <c r="EM45" s="71"/>
      <c r="EN45" s="71"/>
      <c r="EO45" s="2" t="s">
        <v>49</v>
      </c>
      <c r="EP45" s="2" t="s">
        <v>49</v>
      </c>
      <c r="EQ45" s="2" t="s">
        <v>49</v>
      </c>
      <c r="ER45" s="2" t="s">
        <v>49</v>
      </c>
      <c r="ES45" s="2" t="s">
        <v>49</v>
      </c>
      <c r="ET45" s="71"/>
      <c r="EU45" s="71"/>
      <c r="EV45" s="2" t="s">
        <v>49</v>
      </c>
      <c r="EW45" s="2" t="s">
        <v>49</v>
      </c>
      <c r="EX45" s="2" t="s">
        <v>49</v>
      </c>
      <c r="EY45" s="2" t="s">
        <v>49</v>
      </c>
      <c r="EZ45" s="2" t="s">
        <v>49</v>
      </c>
      <c r="FA45" s="71"/>
      <c r="FB45" s="71"/>
      <c r="FC45" s="2" t="s">
        <v>35</v>
      </c>
      <c r="FD45" s="71"/>
      <c r="FE45" s="71"/>
      <c r="FF45" s="71"/>
      <c r="FG45" s="71"/>
      <c r="FH45" s="71"/>
      <c r="FI45" s="71"/>
      <c r="FJ45" s="71"/>
      <c r="FK45" s="71"/>
      <c r="FL45" s="71"/>
      <c r="FM45" s="71"/>
      <c r="FN45" s="71"/>
      <c r="FO45" s="71"/>
      <c r="FP45" s="71"/>
      <c r="FQ45" s="71"/>
      <c r="FR45" s="71"/>
      <c r="FS45" s="71"/>
      <c r="FT45" s="71"/>
      <c r="FU45" s="71"/>
      <c r="FV45" s="71"/>
      <c r="FW45" s="71"/>
      <c r="FX45" s="71"/>
      <c r="FY45" s="71"/>
      <c r="FZ45" s="71"/>
      <c r="GA45" s="71"/>
      <c r="GB45" s="71"/>
      <c r="GC45" s="71"/>
      <c r="GD45" s="71"/>
      <c r="GE45" s="71"/>
      <c r="GF45" s="71"/>
      <c r="GG45" s="71"/>
      <c r="GH45" s="71"/>
      <c r="GI45" s="71"/>
      <c r="GJ45" s="71"/>
      <c r="GK45" s="71"/>
      <c r="GL45" s="71"/>
      <c r="GM45" s="2" t="s">
        <v>35</v>
      </c>
      <c r="GN45" s="71"/>
      <c r="GO45" s="71"/>
      <c r="GP45" s="71"/>
      <c r="GQ45" s="71"/>
      <c r="GR45" s="71"/>
      <c r="GS45" s="71"/>
      <c r="GT45" s="71"/>
      <c r="GU45" s="71"/>
      <c r="GV45" s="71"/>
      <c r="GW45" s="71"/>
      <c r="GX45" s="71"/>
      <c r="GY45" s="71"/>
      <c r="GZ45" s="71"/>
      <c r="HA45" s="71"/>
      <c r="HB45" s="71"/>
      <c r="HC45" s="71"/>
      <c r="HD45" s="71"/>
      <c r="HE45" s="71"/>
      <c r="HF45" s="71"/>
      <c r="HG45" s="71"/>
      <c r="HH45" s="71"/>
      <c r="HI45" s="71"/>
      <c r="HJ45" s="71"/>
      <c r="HK45" s="71"/>
      <c r="HL45" s="71"/>
      <c r="HM45" s="71"/>
      <c r="HN45" s="71"/>
      <c r="HO45" s="71"/>
      <c r="HP45" s="71"/>
      <c r="HQ45" s="71"/>
      <c r="HR45" s="71"/>
      <c r="HS45" s="71"/>
      <c r="HT45" s="71"/>
      <c r="HU45" s="71"/>
      <c r="HV45" s="71"/>
      <c r="HW45" s="71"/>
      <c r="HX45" s="71"/>
      <c r="HY45" s="71"/>
      <c r="HZ45" s="71"/>
      <c r="IA45" s="71"/>
      <c r="IB45" s="71"/>
      <c r="IC45" s="71"/>
      <c r="ID45" s="71"/>
      <c r="IE45" s="71"/>
      <c r="IF45" s="71"/>
      <c r="IG45" s="71"/>
      <c r="IH45" s="71"/>
      <c r="II45" s="71"/>
      <c r="IJ45" s="71"/>
      <c r="IK45" s="71"/>
      <c r="IL45" s="71"/>
      <c r="IM45" s="71"/>
      <c r="IN45" s="71"/>
      <c r="IO45" s="71"/>
      <c r="IP45" s="71"/>
      <c r="IQ45" s="71"/>
      <c r="IR45" s="71"/>
      <c r="IS45" s="71"/>
      <c r="IT45" s="71"/>
      <c r="IU45" s="71"/>
      <c r="IV45" s="71"/>
      <c r="IW45" s="71"/>
      <c r="IX45" s="71"/>
      <c r="IY45" s="71"/>
      <c r="IZ45" s="71"/>
      <c r="JA45" s="71"/>
      <c r="JB45" s="71"/>
      <c r="JC45" s="71"/>
      <c r="JD45" s="71"/>
      <c r="JE45" s="71"/>
      <c r="JF45" s="71"/>
      <c r="JG45" s="71"/>
      <c r="JH45" s="71"/>
      <c r="JI45" s="71"/>
      <c r="JJ45" s="71"/>
      <c r="JK45" s="71"/>
      <c r="JL45" s="71"/>
      <c r="JM45" s="71"/>
      <c r="JN45" s="2"/>
      <c r="JO45" s="2"/>
      <c r="JP45" s="71"/>
      <c r="JQ45" s="71"/>
      <c r="JR45" s="71"/>
      <c r="JS45" s="71"/>
      <c r="JT45" s="71"/>
      <c r="JU45" s="2"/>
      <c r="JV45" s="71"/>
      <c r="JW45" s="71"/>
      <c r="JX45" s="71"/>
      <c r="JY45" s="71"/>
      <c r="JZ45" s="71"/>
      <c r="KA45" s="71"/>
      <c r="KB45" s="71"/>
      <c r="KC45" s="71"/>
      <c r="KD45" s="71"/>
      <c r="KE45" s="71"/>
      <c r="KF45" s="71"/>
      <c r="KG45" s="71"/>
      <c r="KH45" s="71"/>
      <c r="KI45" s="71"/>
      <c r="KJ45" s="71"/>
      <c r="KK45" s="71"/>
      <c r="KL45" s="71"/>
      <c r="KM45" s="71"/>
      <c r="KN45" s="71"/>
      <c r="KO45" s="71"/>
      <c r="KP45" s="71"/>
      <c r="KQ45" s="71"/>
      <c r="KR45" s="71"/>
      <c r="KS45" s="71"/>
      <c r="KT45" s="71"/>
      <c r="KU45" s="71"/>
      <c r="KV45" s="71"/>
      <c r="KW45" s="71"/>
      <c r="KX45" s="71"/>
      <c r="KY45" s="71"/>
      <c r="KZ45" s="71"/>
      <c r="LA45" s="71"/>
      <c r="LB45" s="71"/>
      <c r="LC45" s="71"/>
      <c r="LD45" s="71"/>
      <c r="LE45" s="71"/>
      <c r="LF45" s="71"/>
      <c r="LG45" s="71"/>
      <c r="LH45" s="71"/>
      <c r="LI45" s="71"/>
      <c r="LJ45" s="71"/>
      <c r="LK45" s="71"/>
      <c r="LL45" s="71"/>
      <c r="LM45" s="71"/>
      <c r="LN45" s="71"/>
      <c r="LO45" s="71"/>
      <c r="LP45" s="71"/>
      <c r="LQ45" s="2"/>
      <c r="LR45" s="71"/>
      <c r="LS45" s="71"/>
      <c r="LT45" s="71"/>
      <c r="LU45" s="71"/>
      <c r="LV45" s="71"/>
      <c r="LW45" s="71"/>
      <c r="LX45" s="71"/>
      <c r="LY45" s="71"/>
      <c r="LZ45" s="71"/>
      <c r="MA45" s="71"/>
      <c r="MB45" s="71"/>
      <c r="MC45" s="71"/>
      <c r="MD45" s="71"/>
      <c r="ME45" s="71"/>
      <c r="MF45" s="71"/>
      <c r="MG45" s="71"/>
      <c r="MH45" s="71"/>
      <c r="MI45" s="71"/>
      <c r="MJ45" s="71"/>
      <c r="MK45" s="71"/>
      <c r="ML45" s="71"/>
      <c r="MM45" s="71"/>
      <c r="MN45" s="71"/>
      <c r="MO45" s="71"/>
      <c r="MP45" s="71"/>
      <c r="MQ45" s="71"/>
      <c r="MR45" s="71"/>
      <c r="MS45" s="71"/>
      <c r="MT45" s="71"/>
      <c r="MU45" s="71"/>
      <c r="MV45" s="71"/>
      <c r="MW45" s="71"/>
      <c r="MX45" s="71"/>
      <c r="MY45" s="71"/>
      <c r="MZ45" s="71"/>
      <c r="NA45" s="71"/>
      <c r="NB45" s="71"/>
      <c r="NC45" s="71"/>
      <c r="ND45" s="71"/>
      <c r="NE45" s="71"/>
      <c r="NF45" s="71"/>
      <c r="NG45" s="71"/>
      <c r="NH45" s="71"/>
      <c r="NI45" s="71"/>
      <c r="NJ45" s="72">
        <f t="array" aca="1" ref="NJ45" ca="1">SUMPRODUCT((OFFSET($A45,0,31*($A$3-1)+1,1,31)&lt;&gt;"")*(IF(OFFSET($A45,0,31*($A$3-1)+1,1,31)=$OD$12,0.5,1)*(OFFSET($A$4,0,31*($A$3-1)+1,1,31))))</f>
        <v>1</v>
      </c>
      <c r="NK45" s="73">
        <f t="array" aca="1" ref="NK45" ca="1">SUMPRODUCT((OFFSET($A45,0,1,1,372)&lt;&gt;"")*(IF(OFFSET($A45,0,1,1,372)=$OD$12,0.5,1)*(OFFSET($A$3,0,1,1,372))))</f>
        <v>112</v>
      </c>
      <c r="NL45" s="74">
        <f t="array" aca="1" ref="NL45" ca="1">SUMPRODUCT((OFFSET($A45,0,31*($A$4)+DAY(Holidays!$E$2),1,Holidays!$G$2)&lt;&gt;"")*(IF(OFFSET($A45,0,31*($A$4)+DAY(Holidays!$E$2),1,Holidays!$G$2)=$OD$12,0.5,1)*(OFFSET($A$3,0,31*($A$4)+DAY(Holidays!$E$2),1,Holidays!$G$2))))</f>
        <v>104</v>
      </c>
      <c r="NM45" s="52">
        <f t="array" aca="1" ref="NM45" ca="1">SUMPRODUCT((OFFSET($A45,0,31*($A$4)+DAY(VLOOKUP(NM$5,Sprints[],2,FALSE)),1,VLOOKUP(NM$5,Sprints[],4,FALSE))&lt;&gt;"")*(IF(OFFSET($A45,0,31*($A$4)+DAY(VLOOKUP(NM$5,Sprints[],2,FALSE)),1,VLOOKUP(NM$5,Sprints[],4,FALSE))=$OD$12,0.5,1)*(OFFSET($A$3,0,31*($A$4)+DAY(VLOOKUP(NM$5,Sprints[],2,FALSE)),1,VLOOKUP(NM$5,Sprints[],4,FALSE)))))</f>
        <v>5</v>
      </c>
      <c r="NN45" s="52">
        <f t="array" aca="1" ref="NN45" ca="1">SUMPRODUCT((OFFSET($A45,0,31*($A$4)+DAY(VLOOKUP(NN$5,Sprints[],2,FALSE)),1,VLOOKUP(NN$5,Sprints[],4,FALSE))&lt;&gt;"")*(IF(OFFSET($A45,0,31*($A$4)+DAY(VLOOKUP(NN$5,Sprints[],2,FALSE)),1,VLOOKUP(NN$5,Sprints[],4,FALSE))=$OD$12,0.5,1)*(OFFSET($A$3,0,31*($A$4)+DAY(VLOOKUP(NN$5,Sprints[],2,FALSE)),1,VLOOKUP(NN$5,Sprints[],4,FALSE)))))</f>
        <v>10</v>
      </c>
      <c r="NO45" s="52">
        <f t="array" aca="1" ref="NO45" ca="1">SUMPRODUCT((OFFSET($A45,0,31*($A$4)+DAY(VLOOKUP(NO$5,Sprints[],2,FALSE)),1,VLOOKUP(NO$5,Sprints[],4,FALSE))&lt;&gt;"")*(IF(OFFSET($A45,0,31*($A$4)+DAY(VLOOKUP(NO$5,Sprints[],2,FALSE)),1,VLOOKUP(NO$5,Sprints[],4,FALSE))=$OD$12,0.5,1)*(OFFSET($A$3,0,31*($A$4)+DAY(VLOOKUP(NO$5,Sprints[],2,FALSE)),1,VLOOKUP(NO$5,Sprints[],4,FALSE)))))</f>
        <v>10</v>
      </c>
      <c r="NP45" s="52">
        <f t="array" aca="1" ref="NP45" ca="1">SUMPRODUCT((OFFSET($A45,0,31*(VLOOKUP(NP$5,Sprints[],5,FALSE))+DAY(VLOOKUP(NP$5,Sprints[],2,FALSE)),1,VLOOKUP(NP$5,Sprints[],4,FALSE))&lt;&gt;"")*(IF(OFFSET($A45,0,31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45" s="52">
        <f t="array" aca="1" ref="NQ45" ca="1">SUMPRODUCT((OFFSET($A45,0,31*(VLOOKUP(NQ$5,Sprints[],5,FALSE))+DAY(VLOOKUP(NQ$5,Sprints[],2,FALSE)),1,VLOOKUP(NQ$5,Sprints[],4,FALSE))&lt;&gt;"")*(IF(OFFSET($A45,0,31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45" s="52">
        <f t="array" aca="1" ref="NR45" ca="1">SUMPRODUCT((OFFSET($A45,0,31*(VLOOKUP(NR$5,Sprints[],5,FALSE))+DAY(VLOOKUP(NR$5,Sprints[],2,FALSE)),1,VLOOKUP(NR$5,Sprints[],4,FALSE))&lt;&gt;"")*(IF(OFFSET($A45,0,31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45" s="52">
        <f t="array" aca="1" ref="NS45" ca="1">SUMPRODUCT((OFFSET($A45,0,31*(VLOOKUP(NS$5,Sprints[],5,FALSE))+DAY(VLOOKUP(NS$5,Sprints[],2,FALSE)),1,VLOOKUP(NS$5,Sprints[],4,FALSE))&lt;&gt;"")*(IF(OFFSET($A45,0,31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45" s="52">
        <f t="array" aca="1" ref="NT45" ca="1">SUMPRODUCT((OFFSET($A45,0,31*(VLOOKUP(NT$5,Sprints[],5,FALSE))+DAY(VLOOKUP(NT$5,Sprints[],2,FALSE)),1,VLOOKUP(NT$5,Sprints[],4,FALSE))&lt;&gt;"")*(IF(OFFSET($A45,0,31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45" s="52">
        <f t="array" aca="1" ref="NU45" ca="1">SUMPRODUCT((OFFSET($A45,0,31*(VLOOKUP(NU$5,Sprints[],5,FALSE))+DAY(VLOOKUP(NU$5,Sprints[],2,FALSE)),1,VLOOKUP(NU$5,Sprints[],4,FALSE))&lt;&gt;"")*(IF(OFFSET($A45,0,31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45" s="52">
        <f t="array" aca="1" ref="NV45" ca="1">SUMPRODUCT((OFFSET($A45,0,31*(VLOOKUP(NV$5,Sprints[],5,FALSE))+DAY(VLOOKUP(NV$5,Sprints[],2,FALSE)),1,VLOOKUP(NV$5,Sprints[],4,FALSE))&lt;&gt;"")*(IF(OFFSET($A45,0,31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45" s="52">
        <f t="array" aca="1" ref="NW45" ca="1">SUMPRODUCT((OFFSET($A45,0,31*(VLOOKUP(NW$5,Sprints[],5,FALSE))+DAY(VLOOKUP(NW$5,Sprints[],2,FALSE)),1,VLOOKUP(NW$5,Sprints[],4,FALSE))&lt;&gt;"")*(IF(OFFSET($A45,0,31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45" s="52">
        <f t="array" aca="1" ref="NX45" ca="1">SUMPRODUCT((OFFSET($A45,0,31*(VLOOKUP(NX$5,Sprints[],5,FALSE))+DAY(VLOOKUP(NX$5,Sprints[],2,FALSE)),1,VLOOKUP(NX$5,Sprints[],4,FALSE))&lt;&gt;"")*(IF(OFFSET($A45,0,31*(VLOOKUP(NX$5,Sprints[],5,FALSE))+DAY(VLOOKUP(NX$5,Sprints[],2,FALSE)),1,VLOOKUP(NX$5,Sprints[],4,FALSE))=$OD$12,0.5,1)*(OFFSET($A$3,0,31*(VLOOKUP(NX$5,Sprints[],5,FALSE))+DAY(VLOOKUP(NX$5,Sprints[],2,FALSE)),1,VLOOKUP(NX$5,Sprints[],4,FALSE)))))</f>
        <v>4</v>
      </c>
      <c r="NY45" s="52">
        <f t="array" aca="1" ref="NY45" ca="1">SUMPRODUCT((OFFSET($A45,0,31*(VLOOKUP(NY$5,Sprints[],5,FALSE))+DAY(VLOOKUP(NY$5,Sprints[],2,FALSE)),1,VLOOKUP(NY$5,Sprints[],4,FALSE))&lt;&gt;"")*(IF(OFFSET($A45,0,31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5" s="52">
        <f t="array" aca="1" ref="NZ45" ca="1">SUMPRODUCT((OFFSET($A45,0,31*(VLOOKUP(NZ$5,Sprints[],5,FALSE))+DAY(VLOOKUP(NZ$5,Sprints[],2,FALSE)),1,VLOOKUP(NZ$5,Sprints[],4,FALSE))&lt;&gt;"")*(IF(OFFSET($A45,0,31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5" s="52">
        <f t="array" aca="1" ref="OA45" ca="1">SUMPRODUCT((OFFSET($A45,0,31*(VLOOKUP(OA$5,Sprints[],5,FALSE))+DAY(VLOOKUP(OA$5,Sprints[],2,FALSE)),1,VLOOKUP(OA$5,Sprints[],4,FALSE))&lt;&gt;"")*(IF(OFFSET($A45,0,31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46" spans="1:391" ht="14.65" thickBot="1" x14ac:dyDescent="0.5">
      <c r="A46" s="41" t="s">
        <v>93</v>
      </c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2" t="s">
        <v>33</v>
      </c>
      <c r="AX46" s="2" t="s">
        <v>33</v>
      </c>
      <c r="AY46" s="37"/>
      <c r="AZ46" s="37"/>
      <c r="BA46" s="2" t="s">
        <v>35</v>
      </c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 t="s">
        <v>31</v>
      </c>
      <c r="CD46" s="37"/>
      <c r="CE46" s="37" t="s">
        <v>33</v>
      </c>
      <c r="CF46" s="37"/>
      <c r="CG46" s="37"/>
      <c r="CH46" s="37"/>
      <c r="CI46" s="37"/>
      <c r="CJ46" s="37"/>
      <c r="CK46" s="37"/>
      <c r="CL46" s="37"/>
      <c r="CM46" s="37"/>
      <c r="CN46" s="37"/>
      <c r="CO46" s="37"/>
      <c r="CP46" s="37"/>
      <c r="CQ46" s="37"/>
      <c r="CR46" s="2" t="s">
        <v>35</v>
      </c>
      <c r="CS46" s="37"/>
      <c r="CT46" s="37"/>
      <c r="CU46" s="37"/>
      <c r="CV46" s="37"/>
      <c r="CW46" s="37"/>
      <c r="CX46" s="37"/>
      <c r="CY46" s="37"/>
      <c r="CZ46" s="37"/>
      <c r="DA46" s="37"/>
      <c r="DB46" s="37" t="s">
        <v>31</v>
      </c>
      <c r="DC46" s="37"/>
      <c r="DD46" s="37"/>
      <c r="DE46" s="37"/>
      <c r="DF46" s="37" t="s">
        <v>33</v>
      </c>
      <c r="DG46" s="37" t="s">
        <v>33</v>
      </c>
      <c r="DH46" s="37"/>
      <c r="DI46" s="37"/>
      <c r="DJ46" s="37"/>
      <c r="DK46" s="37"/>
      <c r="DL46" s="37"/>
      <c r="DM46" s="37" t="s">
        <v>31</v>
      </c>
      <c r="DN46" s="37" t="s">
        <v>33</v>
      </c>
      <c r="DO46" s="37"/>
      <c r="DP46" s="37"/>
      <c r="DQ46" s="37"/>
      <c r="DR46" s="37"/>
      <c r="DS46" s="37"/>
      <c r="DT46" s="37"/>
      <c r="DU46" s="37"/>
      <c r="DV46" s="37"/>
      <c r="DW46" s="37"/>
      <c r="DX46" s="37"/>
      <c r="DY46" s="37"/>
      <c r="DZ46" s="37"/>
      <c r="EA46" s="2" t="s">
        <v>35</v>
      </c>
      <c r="EB46" s="37"/>
      <c r="EC46" s="37"/>
      <c r="ED46" s="37"/>
      <c r="EE46" s="37"/>
      <c r="EF46" s="37"/>
      <c r="EG46" s="37"/>
      <c r="EH46" s="2"/>
      <c r="EI46" s="2"/>
      <c r="EJ46" s="2"/>
      <c r="EK46" s="2"/>
      <c r="EL46" s="2"/>
      <c r="EM46" s="37"/>
      <c r="EN46" s="37"/>
      <c r="EO46" s="37" t="s">
        <v>33</v>
      </c>
      <c r="EP46" s="37"/>
      <c r="EQ46" s="37"/>
      <c r="ER46" s="37"/>
      <c r="ES46" s="37"/>
      <c r="ET46" s="37"/>
      <c r="EU46" s="37"/>
      <c r="EV46" s="37"/>
      <c r="EW46" s="37"/>
      <c r="EX46" s="37"/>
      <c r="EY46" s="37"/>
      <c r="EZ46" s="37"/>
      <c r="FA46" s="37"/>
      <c r="FB46" s="37"/>
      <c r="FC46" s="2" t="s">
        <v>35</v>
      </c>
      <c r="FD46" s="37"/>
      <c r="FE46" s="37"/>
      <c r="FF46" s="37"/>
      <c r="FG46" s="37"/>
      <c r="FH46" s="37"/>
      <c r="FI46" s="37"/>
      <c r="FJ46" s="37"/>
      <c r="FK46" s="37"/>
      <c r="FL46" s="37"/>
      <c r="FM46" s="37"/>
      <c r="FN46" s="37"/>
      <c r="FO46" s="37"/>
      <c r="FP46" s="37"/>
      <c r="FQ46" s="37"/>
      <c r="FR46" s="37"/>
      <c r="FS46" s="37"/>
      <c r="FT46" s="37"/>
      <c r="FU46" s="37"/>
      <c r="FV46" s="37"/>
      <c r="FW46" s="37"/>
      <c r="FX46" s="37"/>
      <c r="FY46" s="37"/>
      <c r="FZ46" s="37"/>
      <c r="GA46" s="37"/>
      <c r="GB46" s="37"/>
      <c r="GC46" s="37"/>
      <c r="GD46" s="37"/>
      <c r="GE46" s="37"/>
      <c r="GF46" s="37"/>
      <c r="GG46" s="37"/>
      <c r="GH46" s="37"/>
      <c r="GI46" s="37"/>
      <c r="GJ46" s="37"/>
      <c r="GK46" s="37"/>
      <c r="GL46" s="37"/>
      <c r="GM46" s="2" t="s">
        <v>35</v>
      </c>
      <c r="GN46" s="37"/>
      <c r="GO46" s="37"/>
      <c r="GP46" s="37"/>
      <c r="GQ46" s="37"/>
      <c r="GR46" s="37"/>
      <c r="GS46" s="37"/>
      <c r="GT46" s="37"/>
      <c r="GU46" s="37"/>
      <c r="GV46" s="37"/>
      <c r="GW46" s="37"/>
      <c r="GX46" s="37"/>
      <c r="GY46" s="37"/>
      <c r="GZ46" s="37"/>
      <c r="HA46" s="37"/>
      <c r="HB46" s="37"/>
      <c r="HC46" s="37"/>
      <c r="HD46" s="37"/>
      <c r="HE46" s="37"/>
      <c r="HF46" s="37"/>
      <c r="HG46" s="37"/>
      <c r="HH46" s="37"/>
      <c r="HI46" s="37"/>
      <c r="HJ46" s="37"/>
      <c r="HK46" s="37"/>
      <c r="HL46" s="37"/>
      <c r="HM46" s="37"/>
      <c r="HN46" s="37"/>
      <c r="HO46" s="37"/>
      <c r="HP46" s="37"/>
      <c r="HQ46" s="37"/>
      <c r="HR46" s="37"/>
      <c r="HS46" s="37"/>
      <c r="HT46" s="37"/>
      <c r="HU46" s="37"/>
      <c r="HV46" s="37"/>
      <c r="HW46" s="37"/>
      <c r="HX46" s="37"/>
      <c r="HY46" s="37"/>
      <c r="HZ46" s="37"/>
      <c r="IA46" s="37"/>
      <c r="IB46" s="37"/>
      <c r="IC46" s="37"/>
      <c r="ID46" s="37"/>
      <c r="IE46" s="37"/>
      <c r="IF46" s="37"/>
      <c r="IG46" s="37"/>
      <c r="IH46" s="37"/>
      <c r="II46" s="37"/>
      <c r="IJ46" s="37"/>
      <c r="IK46" s="37"/>
      <c r="IL46" s="37"/>
      <c r="IM46" s="37"/>
      <c r="IN46" s="37"/>
      <c r="IO46" s="37"/>
      <c r="IP46" s="37"/>
      <c r="IQ46" s="37"/>
      <c r="IR46" s="37"/>
      <c r="IS46" s="37"/>
      <c r="IT46" s="37"/>
      <c r="IU46" s="37"/>
      <c r="IV46" s="37"/>
      <c r="IW46" s="37"/>
      <c r="IX46" s="37"/>
      <c r="IY46" s="37"/>
      <c r="IZ46" s="37"/>
      <c r="JA46" s="37"/>
      <c r="JB46" s="37"/>
      <c r="JC46" s="37"/>
      <c r="JD46" s="37"/>
      <c r="JE46" s="37"/>
      <c r="JF46" s="37"/>
      <c r="JG46" s="37"/>
      <c r="JH46" s="37"/>
      <c r="JI46" s="37"/>
      <c r="JJ46" s="37"/>
      <c r="JK46" s="37"/>
      <c r="JL46" s="37"/>
      <c r="JM46" s="37"/>
      <c r="JN46" s="2" t="s">
        <v>35</v>
      </c>
      <c r="JO46" s="2" t="s">
        <v>35</v>
      </c>
      <c r="JP46" s="37"/>
      <c r="JQ46" s="37"/>
      <c r="JR46" s="37"/>
      <c r="JS46" s="37"/>
      <c r="JT46" s="37"/>
      <c r="JU46" s="2" t="s">
        <v>35</v>
      </c>
      <c r="JV46" s="37"/>
      <c r="JW46" s="37"/>
      <c r="JX46" s="37"/>
      <c r="JY46" s="37"/>
      <c r="JZ46" s="37"/>
      <c r="KA46" s="37"/>
      <c r="KB46" s="37"/>
      <c r="KC46" s="37"/>
      <c r="KD46" s="37"/>
      <c r="KE46" s="37"/>
      <c r="KF46" s="37"/>
      <c r="KG46" s="37"/>
      <c r="KH46" s="37"/>
      <c r="KI46" s="37"/>
      <c r="KJ46" s="37"/>
      <c r="KK46" s="37"/>
      <c r="KL46" s="37"/>
      <c r="KM46" s="37"/>
      <c r="KN46" s="37"/>
      <c r="KO46" s="37"/>
      <c r="KP46" s="37"/>
      <c r="KQ46" s="37"/>
      <c r="KR46" s="37"/>
      <c r="KS46" s="37"/>
      <c r="KT46" s="37"/>
      <c r="KU46" s="37"/>
      <c r="KV46" s="37"/>
      <c r="KW46" s="37"/>
      <c r="KX46" s="37"/>
      <c r="KY46" s="37"/>
      <c r="KZ46" s="37"/>
      <c r="LA46" s="37"/>
      <c r="LB46" s="37"/>
      <c r="LC46" s="37"/>
      <c r="LD46" s="37"/>
      <c r="LE46" s="37"/>
      <c r="LF46" s="37"/>
      <c r="LG46" s="37"/>
      <c r="LH46" s="37"/>
      <c r="LI46" s="37"/>
      <c r="LJ46" s="37"/>
      <c r="LK46" s="37"/>
      <c r="LL46" s="37"/>
      <c r="LM46" s="37"/>
      <c r="LN46" s="37"/>
      <c r="LO46" s="37"/>
      <c r="LP46" s="37"/>
      <c r="LQ46" s="2" t="s">
        <v>35</v>
      </c>
      <c r="LR46" s="37"/>
      <c r="LS46" s="37"/>
      <c r="LT46" s="37"/>
      <c r="LU46" s="37"/>
      <c r="LV46" s="37"/>
      <c r="LW46" s="37"/>
      <c r="LX46" s="37"/>
      <c r="LY46" s="37"/>
      <c r="LZ46" s="37"/>
      <c r="MA46" s="37"/>
      <c r="MB46" s="37"/>
      <c r="MC46" s="37"/>
      <c r="MD46" s="37"/>
      <c r="ME46" s="37"/>
      <c r="MF46" s="37"/>
      <c r="MG46" s="37"/>
      <c r="MH46" s="37"/>
      <c r="MI46" s="37"/>
      <c r="MJ46" s="37"/>
      <c r="MK46" s="37"/>
      <c r="ML46" s="37"/>
      <c r="MM46" s="37"/>
      <c r="MN46" s="37"/>
      <c r="MO46" s="37"/>
      <c r="MP46" s="37"/>
      <c r="MQ46" s="37"/>
      <c r="MR46" s="37"/>
      <c r="MS46" s="37"/>
      <c r="MT46" s="37"/>
      <c r="MU46" s="37"/>
      <c r="MV46" s="37"/>
      <c r="MW46" s="37"/>
      <c r="MX46" s="37"/>
      <c r="MY46" s="37"/>
      <c r="MZ46" s="37"/>
      <c r="NA46" s="37"/>
      <c r="NB46" s="37"/>
      <c r="NC46" s="37"/>
      <c r="ND46" s="37"/>
      <c r="NE46" s="37"/>
      <c r="NF46" s="37"/>
      <c r="NG46" s="37"/>
      <c r="NH46" s="37"/>
      <c r="NI46" s="37"/>
      <c r="NJ46" s="59">
        <f t="array" aca="1" ref="NJ46" ca="1">SUMPRODUCT((OFFSET($A46,0,31*($A$3-1)+1,1,31)&lt;&gt;"")*(IF(OFFSET($A46,0,31*($A$3-1)+1,1,31)=$OD$12,0.5,1)*(OFFSET($A$4,0,31*($A$3-1)+1,1,31))))</f>
        <v>1</v>
      </c>
      <c r="NK46" s="55">
        <f t="array" aca="1" ref="NK46" ca="1">SUMPRODUCT((OFFSET($A46,0,1,1,372)&lt;&gt;"")*(IF(OFFSET($A46,0,1,1,372)=$OD$12,0.5,1)*(OFFSET($A$3,0,1,1,372))))</f>
        <v>17.5</v>
      </c>
      <c r="NL46" s="43">
        <f t="array" aca="1" ref="NL46" ca="1">SUMPRODUCT((OFFSET($A46,0,31*($A$4)+DAY(Holidays!$E$2),1,Holidays!$G$2)&lt;&gt;"")*(IF(OFFSET($A46,0,31*($A$4)+DAY(Holidays!$E$2),1,Holidays!$G$2)=$OD$12,0.5,1)*(OFFSET($A$3,0,31*($A$4)+DAY(Holidays!$E$2),1,Holidays!$G$2))))</f>
        <v>12.5</v>
      </c>
      <c r="NM46" s="53">
        <f t="array" aca="1" ref="NM46" ca="1">SUMPRODUCT((OFFSET($A46,0,31*($A$4)+DAY(VLOOKUP(NM$5,Sprints[],2,FALSE)),1,VLOOKUP(NM$5,Sprints[],4,FALSE))&lt;&gt;"")*(IF(OFFSET($A46,0,31*($A$4)+DAY(VLOOKUP(NM$5,Sprints[],2,FALSE)),1,VLOOKUP(NM$5,Sprints[],4,FALSE))=$OD$12,0.5,1)*(OFFSET($A$3,0,31*($A$4)+DAY(VLOOKUP(NM$5,Sprints[],2,FALSE)),1,VLOOKUP(NM$5,Sprints[],4,FALSE)))))</f>
        <v>0</v>
      </c>
      <c r="NN46" s="53">
        <f t="array" aca="1" ref="NN46" ca="1">SUMPRODUCT((OFFSET($A46,0,31*($A$4)+DAY(VLOOKUP(NN$5,Sprints[],2,FALSE)),1,VLOOKUP(NN$5,Sprints[],4,FALSE))&lt;&gt;"")*(IF(OFFSET($A46,0,31*($A$4)+DAY(VLOOKUP(NN$5,Sprints[],2,FALSE)),1,VLOOKUP(NN$5,Sprints[],4,FALSE))=$OD$12,0.5,1)*(OFFSET($A$3,0,31*($A$4)+DAY(VLOOKUP(NN$5,Sprints[],2,FALSE)),1,VLOOKUP(NN$5,Sprints[],4,FALSE)))))</f>
        <v>0</v>
      </c>
      <c r="NO46" s="53">
        <f t="array" aca="1" ref="NO46" ca="1">SUMPRODUCT((OFFSET($A46,0,31*($A$4)+DAY(VLOOKUP(NO$5,Sprints[],2,FALSE)),1,VLOOKUP(NO$5,Sprints[],4,FALSE))&lt;&gt;"")*(IF(OFFSET($A46,0,31*($A$4)+DAY(VLOOKUP(NO$5,Sprints[],2,FALSE)),1,VLOOKUP(NO$5,Sprints[],4,FALSE))=$OD$12,0.5,1)*(OFFSET($A$3,0,31*($A$4)+DAY(VLOOKUP(NO$5,Sprints[],2,FALSE)),1,VLOOKUP(NO$5,Sprints[],4,FALSE)))))</f>
        <v>0</v>
      </c>
      <c r="NP46" s="53">
        <f t="array" aca="1" ref="NP46" ca="1">SUMPRODUCT((OFFSET($A46,0,31*(VLOOKUP(NP$5,Sprints[],5,FALSE))+DAY(VLOOKUP(NP$5,Sprints[],2,FALSE)),1,VLOOKUP(NP$5,Sprints[],4,FALSE))&lt;&gt;"")*(IF(OFFSET($A46,0,31*(VLOOKUP(NP$5,Sprints[],5,FALSE))+DAY(VLOOKUP(NP$5,Sprints[],2,FALSE)),1,VLOOKUP(NP$5,Sprints[],4,FALSE))=$OD$12,0.5,1)*(OFFSET($A$3,0,31*(VLOOKUP(NP$5,Sprints[],5,FALSE))+DAY(VLOOKUP(NP$5,Sprints[],2,FALSE)),1,VLOOKUP(NP$5,Sprints[],4,FALSE)))))</f>
        <v>3</v>
      </c>
      <c r="NQ46" s="53">
        <f t="array" aca="1" ref="NQ46" ca="1">SUMPRODUCT((OFFSET($A46,0,31*(VLOOKUP(NQ$5,Sprints[],5,FALSE))+DAY(VLOOKUP(NQ$5,Sprints[],2,FALSE)),1,VLOOKUP(NQ$5,Sprints[],4,FALSE))&lt;&gt;"")*(IF(OFFSET($A46,0,31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6" s="53">
        <f t="array" aca="1" ref="NR46" ca="1">SUMPRODUCT((OFFSET($A46,0,31*(VLOOKUP(NR$5,Sprints[],5,FALSE))+DAY(VLOOKUP(NR$5,Sprints[],2,FALSE)),1,VLOOKUP(NR$5,Sprints[],4,FALSE))&lt;&gt;"")*(IF(OFFSET($A46,0,31*(VLOOKUP(NR$5,Sprints[],5,FALSE))+DAY(VLOOKUP(NR$5,Sprints[],2,FALSE)),1,VLOOKUP(NR$5,Sprints[],4,FALSE))=$OD$12,0.5,1)*(OFFSET($A$3,0,31*(VLOOKUP(NR$5,Sprints[],5,FALSE))+DAY(VLOOKUP(NR$5,Sprints[],2,FALSE)),1,VLOOKUP(NR$5,Sprints[],4,FALSE)))))</f>
        <v>1.5</v>
      </c>
      <c r="NS46" s="53">
        <f t="array" aca="1" ref="NS46" ca="1">SUMPRODUCT((OFFSET($A46,0,31*(VLOOKUP(NS$5,Sprints[],5,FALSE))+DAY(VLOOKUP(NS$5,Sprints[],2,FALSE)),1,VLOOKUP(NS$5,Sprints[],4,FALSE))&lt;&gt;"")*(IF(OFFSET($A46,0,31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6" s="53">
        <f t="array" aca="1" ref="NT46" ca="1">SUMPRODUCT((OFFSET($A46,0,31*(VLOOKUP(NT$5,Sprints[],5,FALSE))+DAY(VLOOKUP(NT$5,Sprints[],2,FALSE)),1,VLOOKUP(NT$5,Sprints[],4,FALSE))&lt;&gt;"")*(IF(OFFSET($A46,0,31*(VLOOKUP(NT$5,Sprints[],5,FALSE))+DAY(VLOOKUP(NT$5,Sprints[],2,FALSE)),1,VLOOKUP(NT$5,Sprints[],4,FALSE))=$OD$12,0.5,1)*(OFFSET($A$3,0,31*(VLOOKUP(NT$5,Sprints[],5,FALSE))+DAY(VLOOKUP(NT$5,Sprints[],2,FALSE)),1,VLOOKUP(NT$5,Sprints[],4,FALSE)))))</f>
        <v>2.5</v>
      </c>
      <c r="NU46" s="53">
        <f t="array" aca="1" ref="NU46" ca="1">SUMPRODUCT((OFFSET($A46,0,31*(VLOOKUP(NU$5,Sprints[],5,FALSE))+DAY(VLOOKUP(NU$5,Sprints[],2,FALSE)),1,VLOOKUP(NU$5,Sprints[],4,FALSE))&lt;&gt;"")*(IF(OFFSET($A46,0,31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46" s="53">
        <f t="array" aca="1" ref="NV46" ca="1">SUMPRODUCT((OFFSET($A46,0,31*(VLOOKUP(NV$5,Sprints[],5,FALSE))+DAY(VLOOKUP(NV$5,Sprints[],2,FALSE)),1,VLOOKUP(NV$5,Sprints[],4,FALSE))&lt;&gt;"")*(IF(OFFSET($A46,0,31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6" s="53">
        <f t="array" aca="1" ref="NW46" ca="1">SUMPRODUCT((OFFSET($A46,0,31*(VLOOKUP(NW$5,Sprints[],5,FALSE))+DAY(VLOOKUP(NW$5,Sprints[],2,FALSE)),1,VLOOKUP(NW$5,Sprints[],4,FALSE))&lt;&gt;"")*(IF(OFFSET($A46,0,31*(VLOOKUP(NW$5,Sprints[],5,FALSE))+DAY(VLOOKUP(NW$5,Sprints[],2,FALSE)),1,VLOOKUP(NW$5,Sprints[],4,FALSE))=$OD$12,0.5,1)*(OFFSET($A$3,0,31*(VLOOKUP(NW$5,Sprints[],5,FALSE))+DAY(VLOOKUP(NW$5,Sprints[],2,FALSE)),1,VLOOKUP(NW$5,Sprints[],4,FALSE)))))</f>
        <v>1</v>
      </c>
      <c r="NX46" s="53">
        <f t="array" aca="1" ref="NX46" ca="1">SUMPRODUCT((OFFSET($A46,0,31*(VLOOKUP(NX$5,Sprints[],5,FALSE))+DAY(VLOOKUP(NX$5,Sprints[],2,FALSE)),1,VLOOKUP(NX$5,Sprints[],4,FALSE))&lt;&gt;"")*(IF(OFFSET($A46,0,31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6" s="53">
        <f t="array" aca="1" ref="NY46" ca="1">SUMPRODUCT((OFFSET($A46,0,31*(VLOOKUP(NY$5,Sprints[],5,FALSE))+DAY(VLOOKUP(NY$5,Sprints[],2,FALSE)),1,VLOOKUP(NY$5,Sprints[],4,FALSE))&lt;&gt;"")*(IF(OFFSET($A46,0,31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6" s="53">
        <f t="array" aca="1" ref="NZ46" ca="1">SUMPRODUCT((OFFSET($A46,0,31*(VLOOKUP(NZ$5,Sprints[],5,FALSE))+DAY(VLOOKUP(NZ$5,Sprints[],2,FALSE)),1,VLOOKUP(NZ$5,Sprints[],4,FALSE))&lt;&gt;"")*(IF(OFFSET($A46,0,31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6" s="52">
        <f t="array" aca="1" ref="OA46" ca="1">SUMPRODUCT((OFFSET($A46,0,31*(VLOOKUP(OA$5,Sprints[],5,FALSE))+DAY(VLOOKUP(OA$5,Sprints[],2,FALSE)),1,VLOOKUP(OA$5,Sprints[],4,FALSE))&lt;&gt;"")*(IF(OFFSET($A46,0,31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47" spans="1:391" ht="14.65" thickTop="1" x14ac:dyDescent="0.45">
      <c r="A47" s="46" t="s">
        <v>94</v>
      </c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 t="s">
        <v>35</v>
      </c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 t="s">
        <v>35</v>
      </c>
      <c r="AH47" s="36"/>
      <c r="AI47" s="36"/>
      <c r="AJ47" s="36"/>
      <c r="AK47" s="36"/>
      <c r="AL47" s="36"/>
      <c r="AM47" s="36" t="s">
        <v>33</v>
      </c>
      <c r="AN47" s="36" t="s">
        <v>33</v>
      </c>
      <c r="AO47" s="36" t="s">
        <v>35</v>
      </c>
      <c r="AP47" s="36" t="s">
        <v>33</v>
      </c>
      <c r="AQ47" s="36" t="s">
        <v>33</v>
      </c>
      <c r="AR47" s="36"/>
      <c r="AS47" s="36"/>
      <c r="AT47" s="36" t="s">
        <v>33</v>
      </c>
      <c r="AU47" s="36" t="s">
        <v>33</v>
      </c>
      <c r="AV47" s="36" t="s">
        <v>33</v>
      </c>
      <c r="AW47" s="36" t="s">
        <v>33</v>
      </c>
      <c r="AX47" s="36" t="s">
        <v>33</v>
      </c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  <c r="BK47" s="36"/>
      <c r="BL47" s="36"/>
      <c r="BM47" s="36"/>
      <c r="BN47" s="36"/>
      <c r="BO47" s="36"/>
      <c r="BP47" s="36"/>
      <c r="BQ47" s="36"/>
      <c r="BR47" s="36"/>
      <c r="BS47" s="36"/>
      <c r="BT47" s="36"/>
      <c r="BU47" s="36"/>
      <c r="BV47" s="36"/>
      <c r="BW47" s="36"/>
      <c r="BX47" s="36"/>
      <c r="BY47" s="36"/>
      <c r="BZ47" s="36"/>
      <c r="CA47" s="36"/>
      <c r="CB47" s="36"/>
      <c r="CC47" s="36"/>
      <c r="CD47" s="36"/>
      <c r="CE47" s="36"/>
      <c r="CF47" s="36"/>
      <c r="CG47" s="36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2" t="s">
        <v>35</v>
      </c>
      <c r="CT47" s="36"/>
      <c r="CU47" s="36"/>
      <c r="CV47" s="36"/>
      <c r="CW47" s="36"/>
      <c r="CX47" s="36"/>
      <c r="CY47" s="36"/>
      <c r="CZ47" s="36"/>
      <c r="DA47" s="36"/>
      <c r="DB47" s="36"/>
      <c r="DC47" s="36"/>
      <c r="DD47" s="36"/>
      <c r="DE47" s="36"/>
      <c r="DF47" s="36"/>
      <c r="DG47" s="36"/>
      <c r="DH47" s="36"/>
      <c r="DI47" s="36"/>
      <c r="DJ47" s="36"/>
      <c r="DK47" s="36"/>
      <c r="DL47" s="36"/>
      <c r="DM47" s="36"/>
      <c r="DN47" s="36"/>
      <c r="DO47" s="36"/>
      <c r="DP47" s="36"/>
      <c r="DQ47" s="36"/>
      <c r="DR47" s="36"/>
      <c r="DS47" s="36"/>
      <c r="DT47" s="36"/>
      <c r="DU47" s="36"/>
      <c r="DV47" s="36"/>
      <c r="DW47" s="36"/>
      <c r="DX47" s="36"/>
      <c r="DY47" s="36"/>
      <c r="DZ47" s="36"/>
      <c r="EA47" s="36"/>
      <c r="EB47" s="36"/>
      <c r="EC47" s="36"/>
      <c r="ED47" s="36"/>
      <c r="EE47" s="36"/>
      <c r="EF47" s="36"/>
      <c r="EG47" s="36"/>
      <c r="EH47" s="36"/>
      <c r="EI47" s="36"/>
      <c r="EJ47" s="36"/>
      <c r="EK47" s="36"/>
      <c r="EL47" s="36"/>
      <c r="EM47" s="36"/>
      <c r="EN47" s="36"/>
      <c r="EO47" s="36"/>
      <c r="EP47" s="36"/>
      <c r="EQ47" s="36"/>
      <c r="ER47" s="36"/>
      <c r="ES47" s="36"/>
      <c r="ET47" s="36"/>
      <c r="EU47" s="36"/>
      <c r="EV47" s="36"/>
      <c r="EW47" s="36"/>
      <c r="EX47" s="36"/>
      <c r="EY47" s="36"/>
      <c r="EZ47" s="36"/>
      <c r="FA47" s="36"/>
      <c r="FB47" s="36"/>
      <c r="FC47" s="36"/>
      <c r="FD47" s="36"/>
      <c r="FE47" s="36"/>
      <c r="FF47" s="36"/>
      <c r="FG47" s="36"/>
      <c r="FH47" s="36"/>
      <c r="FI47" s="36"/>
      <c r="FJ47" s="36"/>
      <c r="FK47" s="36"/>
      <c r="FL47" s="36"/>
      <c r="FM47" s="36"/>
      <c r="FN47" s="36"/>
      <c r="FO47" s="36"/>
      <c r="FP47" s="36"/>
      <c r="FQ47" s="36"/>
      <c r="FR47" s="36"/>
      <c r="FS47" s="36"/>
      <c r="FT47" s="36"/>
      <c r="FU47" s="36"/>
      <c r="FV47" s="36"/>
      <c r="FW47" s="36"/>
      <c r="FX47" s="36"/>
      <c r="FY47" s="36"/>
      <c r="FZ47" s="36"/>
      <c r="GA47" s="36"/>
      <c r="GB47" s="36"/>
      <c r="GC47" s="36"/>
      <c r="GD47" s="36"/>
      <c r="GE47" s="36"/>
      <c r="GF47" s="36"/>
      <c r="GG47" s="36"/>
      <c r="GH47" s="36"/>
      <c r="GI47" s="36"/>
      <c r="GJ47" s="36"/>
      <c r="GK47" s="36"/>
      <c r="GL47" s="36"/>
      <c r="GM47" s="36"/>
      <c r="GN47" s="36"/>
      <c r="GO47" s="36"/>
      <c r="GP47" s="36"/>
      <c r="GQ47" s="36"/>
      <c r="GR47" s="36"/>
      <c r="GS47" s="36"/>
      <c r="GT47" s="36"/>
      <c r="GU47" s="36"/>
      <c r="GV47" s="36"/>
      <c r="GW47" s="36"/>
      <c r="GX47" s="36"/>
      <c r="GY47" s="36"/>
      <c r="GZ47" s="36"/>
      <c r="HA47" s="36"/>
      <c r="HB47" s="36"/>
      <c r="HC47" s="36"/>
      <c r="HD47" s="36"/>
      <c r="HE47" s="36"/>
      <c r="HF47" s="36"/>
      <c r="HG47" s="36"/>
      <c r="HH47" s="36"/>
      <c r="HI47" s="36"/>
      <c r="HJ47" s="36"/>
      <c r="HK47" s="36"/>
      <c r="HL47" s="36"/>
      <c r="HM47" s="36"/>
      <c r="HN47" s="36"/>
      <c r="HO47" s="36"/>
      <c r="HP47" s="36"/>
      <c r="HQ47" s="2" t="s">
        <v>35</v>
      </c>
      <c r="HR47" s="36"/>
      <c r="HS47" s="36"/>
      <c r="HT47" s="36"/>
      <c r="HU47" s="36"/>
      <c r="HV47" s="36"/>
      <c r="HW47" s="36"/>
      <c r="HX47" s="36"/>
      <c r="HY47" s="36"/>
      <c r="HZ47" s="36"/>
      <c r="IA47" s="36"/>
      <c r="IB47" s="36"/>
      <c r="IC47" s="36"/>
      <c r="ID47" s="36"/>
      <c r="IE47" s="36"/>
      <c r="IF47" s="36"/>
      <c r="IG47" s="36"/>
      <c r="IH47" s="36"/>
      <c r="II47" s="36"/>
      <c r="IJ47" s="36"/>
      <c r="IK47" s="36"/>
      <c r="IL47" s="36"/>
      <c r="IM47" s="36"/>
      <c r="IN47" s="36"/>
      <c r="IO47" s="36"/>
      <c r="IP47" s="36"/>
      <c r="IQ47" s="36"/>
      <c r="IR47" s="36"/>
      <c r="IS47" s="36"/>
      <c r="IT47" s="36"/>
      <c r="IU47" s="36"/>
      <c r="IV47" s="36"/>
      <c r="IW47" s="36"/>
      <c r="IX47" s="36"/>
      <c r="IY47" s="36"/>
      <c r="IZ47" s="36"/>
      <c r="JA47" s="36"/>
      <c r="JB47" s="36"/>
      <c r="JC47" s="36"/>
      <c r="JD47" s="36"/>
      <c r="JE47" s="36"/>
      <c r="JF47" s="36"/>
      <c r="JG47" s="36"/>
      <c r="JH47" s="36"/>
      <c r="JI47" s="36"/>
      <c r="JJ47" s="36"/>
      <c r="JK47" s="36"/>
      <c r="JL47" s="36"/>
      <c r="JM47" s="36"/>
      <c r="JN47" s="2" t="s">
        <v>35</v>
      </c>
      <c r="JO47" s="36"/>
      <c r="JP47" s="36"/>
      <c r="JQ47" s="36"/>
      <c r="JR47" s="36"/>
      <c r="JS47" s="36"/>
      <c r="JT47" s="36"/>
      <c r="JU47" s="2" t="s">
        <v>35</v>
      </c>
      <c r="JV47" s="36"/>
      <c r="JW47" s="36"/>
      <c r="JX47" s="36"/>
      <c r="JY47" s="36"/>
      <c r="JZ47" s="36"/>
      <c r="KA47" s="2" t="s">
        <v>35</v>
      </c>
      <c r="KB47" s="36"/>
      <c r="KC47" s="36"/>
      <c r="KD47" s="36"/>
      <c r="KE47" s="36"/>
      <c r="KF47" s="36"/>
      <c r="KG47" s="36"/>
      <c r="KH47" s="36"/>
      <c r="KI47" s="36"/>
      <c r="KJ47" s="36"/>
      <c r="KK47" s="36"/>
      <c r="KL47" s="36"/>
      <c r="KM47" s="36"/>
      <c r="KN47" s="36"/>
      <c r="KO47" s="36"/>
      <c r="KP47" s="36"/>
      <c r="KQ47" s="36"/>
      <c r="KR47" s="36"/>
      <c r="KS47" s="36"/>
      <c r="KT47" s="36"/>
      <c r="KU47" s="36"/>
      <c r="KV47" s="36"/>
      <c r="KW47" s="36"/>
      <c r="KX47" s="36"/>
      <c r="KY47" s="36"/>
      <c r="KZ47" s="36"/>
      <c r="LA47" s="36"/>
      <c r="LB47" s="36"/>
      <c r="LC47" s="36"/>
      <c r="LD47" s="36"/>
      <c r="LE47" s="36"/>
      <c r="LF47" s="36"/>
      <c r="LG47" s="36"/>
      <c r="LH47" s="36"/>
      <c r="LI47" s="36"/>
      <c r="LJ47" s="36"/>
      <c r="LK47" s="36"/>
      <c r="LL47" s="36"/>
      <c r="LM47" s="36"/>
      <c r="LN47" s="36"/>
      <c r="LO47" s="36"/>
      <c r="LP47" s="36"/>
      <c r="LQ47" s="36"/>
      <c r="LR47" s="36"/>
      <c r="LS47" s="36"/>
      <c r="LT47" s="36"/>
      <c r="LU47" s="36"/>
      <c r="LV47" s="36"/>
      <c r="LW47" s="36"/>
      <c r="LX47" s="36"/>
      <c r="LY47" s="36"/>
      <c r="LZ47" s="36"/>
      <c r="MA47" s="36"/>
      <c r="MB47" s="36"/>
      <c r="MC47" s="36"/>
      <c r="MD47" s="36"/>
      <c r="ME47" s="36"/>
      <c r="MF47" s="36"/>
      <c r="MG47" s="36"/>
      <c r="MH47" s="36"/>
      <c r="MI47" s="36"/>
      <c r="MJ47" s="36"/>
      <c r="MK47" s="36"/>
      <c r="ML47" s="2" t="s">
        <v>35</v>
      </c>
      <c r="MM47" s="36"/>
      <c r="MN47" s="36"/>
      <c r="MO47" s="36"/>
      <c r="MP47" s="36"/>
      <c r="MQ47" s="36"/>
      <c r="MR47" s="36"/>
      <c r="MS47" s="36"/>
      <c r="MT47" s="36"/>
      <c r="MU47" s="36"/>
      <c r="MV47" s="36"/>
      <c r="MW47" s="36"/>
      <c r="MX47" s="36"/>
      <c r="MY47" s="36"/>
      <c r="MZ47" s="36"/>
      <c r="NA47" s="36"/>
      <c r="NB47" s="36"/>
      <c r="NC47" s="36"/>
      <c r="ND47" s="36"/>
      <c r="NE47" s="36"/>
      <c r="NF47" s="36"/>
      <c r="NG47" s="36"/>
      <c r="NH47" s="36"/>
      <c r="NI47" s="36"/>
      <c r="NJ47" s="58">
        <f t="array" aca="1" ref="NJ47" ca="1">SUMPRODUCT((OFFSET($A47,0,31*($A$3-1)+1,1,31)&lt;&gt;"")*(IF(OFFSET($A47,0,31*($A$3-1)+1,1,31)=$OD$12,0.5,1)*(OFFSET($A$4,0,31*($A$3-1)+1,1,31))))</f>
        <v>0</v>
      </c>
      <c r="NK47" s="56">
        <f t="array" aca="1" ref="NK47" ca="1">SUMPRODUCT((OFFSET($A47,0,1,1,372)&lt;&gt;"")*(IF(OFFSET($A47,0,1,1,372)=$OD$12,0.5,1)*(OFFSET($A$3,0,1,1,372))))</f>
        <v>18</v>
      </c>
      <c r="NL47" s="42">
        <f t="array" aca="1" ref="NL47" ca="1">SUMPRODUCT((OFFSET($A47,0,31*($A$4)+DAY(Holidays!$E$2),1,Holidays!$G$2)&lt;&gt;"")*(IF(OFFSET($A47,0,31*($A$4)+DAY(Holidays!$E$2),1,Holidays!$G$2)=$OD$12,0.5,1)*(OFFSET($A$3,0,31*($A$4)+DAY(Holidays!$E$2),1,Holidays!$G$2))))</f>
        <v>13</v>
      </c>
      <c r="NM47" s="54">
        <f t="array" aca="1" ref="NM47" ca="1">SUMPRODUCT((OFFSET($A47,0,31*($A$4)+DAY(VLOOKUP(NM$5,Sprints[],2,FALSE)),1,VLOOKUP(NM$5,Sprints[],4,FALSE))&lt;&gt;"")*(IF(OFFSET($A47,0,31*($A$4)+DAY(VLOOKUP(NM$5,Sprints[],2,FALSE)),1,VLOOKUP(NM$5,Sprints[],4,FALSE))=$OD$12,0.5,1)*(OFFSET($A$3,0,31*($A$4)+DAY(VLOOKUP(NM$5,Sprints[],2,FALSE)),1,VLOOKUP(NM$5,Sprints[],4,FALSE)))))</f>
        <v>1</v>
      </c>
      <c r="NN47" s="54">
        <f t="array" aca="1" ref="NN47" ca="1">SUMPRODUCT((OFFSET($A47,0,31*($A$4)+DAY(VLOOKUP(NN$5,Sprints[],2,FALSE)),1,VLOOKUP(NN$5,Sprints[],4,FALSE))&lt;&gt;"")*(IF(OFFSET($A47,0,31*($A$4)+DAY(VLOOKUP(NN$5,Sprints[],2,FALSE)),1,VLOOKUP(NN$5,Sprints[],4,FALSE))=$OD$12,0.5,1)*(OFFSET($A$3,0,31*($A$4)+DAY(VLOOKUP(NN$5,Sprints[],2,FALSE)),1,VLOOKUP(NN$5,Sprints[],4,FALSE)))))</f>
        <v>1</v>
      </c>
      <c r="NO47" s="54">
        <f t="array" aca="1" ref="NO47" ca="1">SUMPRODUCT((OFFSET($A47,0,31*($A$4)+DAY(VLOOKUP(NO$5,Sprints[],2,FALSE)),1,VLOOKUP(NO$5,Sprints[],4,FALSE))&lt;&gt;"")*(IF(OFFSET($A47,0,31*($A$4)+DAY(VLOOKUP(NO$5,Sprints[],2,FALSE)),1,VLOOKUP(NO$5,Sprints[],4,FALSE))=$OD$12,0.5,1)*(OFFSET($A$3,0,31*($A$4)+DAY(VLOOKUP(NO$5,Sprints[],2,FALSE)),1,VLOOKUP(NO$5,Sprints[],4,FALSE)))))</f>
        <v>0</v>
      </c>
      <c r="NP47" s="54">
        <f t="array" aca="1" ref="NP47" ca="1">SUMPRODUCT((OFFSET($A47,0,31*(VLOOKUP(NP$5,Sprints[],5,FALSE))+DAY(VLOOKUP(NP$5,Sprints[],2,FALSE)),1,VLOOKUP(NP$5,Sprints[],4,FALSE))&lt;&gt;"")*(IF(OFFSET($A47,0,31*(VLOOKUP(NP$5,Sprints[],5,FALSE))+DAY(VLOOKUP(NP$5,Sprints[],2,FALSE)),1,VLOOKUP(NP$5,Sprints[],4,FALSE))=$OD$12,0.5,1)*(OFFSET($A$3,0,31*(VLOOKUP(NP$5,Sprints[],5,FALSE))+DAY(VLOOKUP(NP$5,Sprints[],2,FALSE)),1,VLOOKUP(NP$5,Sprints[],4,FALSE)))))</f>
        <v>3</v>
      </c>
      <c r="NQ47" s="54">
        <f t="array" aca="1" ref="NQ47" ca="1">SUMPRODUCT((OFFSET($A47,0,31*(VLOOKUP(NQ$5,Sprints[],5,FALSE))+DAY(VLOOKUP(NQ$5,Sprints[],2,FALSE)),1,VLOOKUP(NQ$5,Sprints[],4,FALSE))&lt;&gt;"")*(IF(OFFSET($A47,0,31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7" s="54">
        <f t="array" aca="1" ref="NR47" ca="1">SUMPRODUCT((OFFSET($A47,0,31*(VLOOKUP(NR$5,Sprints[],5,FALSE))+DAY(VLOOKUP(NR$5,Sprints[],2,FALSE)),1,VLOOKUP(NR$5,Sprints[],4,FALSE))&lt;&gt;"")*(IF(OFFSET($A47,0,31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7" s="54">
        <f t="array" aca="1" ref="NS47" ca="1">SUMPRODUCT((OFFSET($A47,0,31*(VLOOKUP(NS$5,Sprints[],5,FALSE))+DAY(VLOOKUP(NS$5,Sprints[],2,FALSE)),1,VLOOKUP(NS$5,Sprints[],4,FALSE))&lt;&gt;"")*(IF(OFFSET($A47,0,31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7" s="54">
        <f t="array" aca="1" ref="NT47" ca="1">SUMPRODUCT((OFFSET($A47,0,31*(VLOOKUP(NT$5,Sprints[],5,FALSE))+DAY(VLOOKUP(NT$5,Sprints[],2,FALSE)),1,VLOOKUP(NT$5,Sprints[],4,FALSE))&lt;&gt;"")*(IF(OFFSET($A47,0,31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7" s="54">
        <f t="array" aca="1" ref="NU47" ca="1">SUMPRODUCT((OFFSET($A47,0,31*(VLOOKUP(NU$5,Sprints[],5,FALSE))+DAY(VLOOKUP(NU$5,Sprints[],2,FALSE)),1,VLOOKUP(NU$5,Sprints[],4,FALSE))&lt;&gt;"")*(IF(OFFSET($A47,0,31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47" s="54">
        <f t="array" aca="1" ref="NV47" ca="1">SUMPRODUCT((OFFSET($A47,0,31*(VLOOKUP(NV$5,Sprints[],5,FALSE))+DAY(VLOOKUP(NV$5,Sprints[],2,FALSE)),1,VLOOKUP(NV$5,Sprints[],4,FALSE))&lt;&gt;"")*(IF(OFFSET($A47,0,31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47" s="54">
        <f t="array" aca="1" ref="NW47" ca="1">SUMPRODUCT((OFFSET($A47,0,31*(VLOOKUP(NW$5,Sprints[],5,FALSE))+DAY(VLOOKUP(NW$5,Sprints[],2,FALSE)),1,VLOOKUP(NW$5,Sprints[],4,FALSE))&lt;&gt;"")*(IF(OFFSET($A47,0,31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7" s="54">
        <f t="array" aca="1" ref="NX47" ca="1">SUMPRODUCT((OFFSET($A47,0,31*(VLOOKUP(NX$5,Sprints[],5,FALSE))+DAY(VLOOKUP(NX$5,Sprints[],2,FALSE)),1,VLOOKUP(NX$5,Sprints[],4,FALSE))&lt;&gt;"")*(IF(OFFSET($A47,0,31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47" s="54">
        <f t="array" aca="1" ref="NY47" ca="1">SUMPRODUCT((OFFSET($A47,0,31*(VLOOKUP(NY$5,Sprints[],5,FALSE))+DAY(VLOOKUP(NY$5,Sprints[],2,FALSE)),1,VLOOKUP(NY$5,Sprints[],4,FALSE))&lt;&gt;"")*(IF(OFFSET($A47,0,31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7" s="54">
        <f t="array" aca="1" ref="NZ47" ca="1">SUMPRODUCT((OFFSET($A47,0,31*(VLOOKUP(NZ$5,Sprints[],5,FALSE))+DAY(VLOOKUP(NZ$5,Sprints[],2,FALSE)),1,VLOOKUP(NZ$5,Sprints[],4,FALSE))&lt;&gt;"")*(IF(OFFSET($A47,0,31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7" s="52">
        <f t="array" aca="1" ref="OA47" ca="1">SUMPRODUCT((OFFSET($A47,0,31*(VLOOKUP(OA$5,Sprints[],5,FALSE))+DAY(VLOOKUP(OA$5,Sprints[],2,FALSE)),1,VLOOKUP(OA$5,Sprints[],4,FALSE))&lt;&gt;"")*(IF(OFFSET($A47,0,31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48" spans="1:391" x14ac:dyDescent="0.45">
      <c r="A48" s="44" t="s">
        <v>95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36"/>
      <c r="R48" s="36" t="s">
        <v>35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36"/>
      <c r="AF48" s="2"/>
      <c r="AG48" s="36" t="s">
        <v>35</v>
      </c>
      <c r="AH48" s="2"/>
      <c r="AI48" s="2"/>
      <c r="AJ48" s="2"/>
      <c r="AK48" s="2"/>
      <c r="AL48" s="2"/>
      <c r="AM48" s="2"/>
      <c r="AN48" s="2"/>
      <c r="AO48" s="36" t="s">
        <v>35</v>
      </c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 t="s">
        <v>33</v>
      </c>
      <c r="BB48" s="2" t="s">
        <v>33</v>
      </c>
      <c r="BC48" s="2" t="s">
        <v>33</v>
      </c>
      <c r="BD48" s="2" t="s">
        <v>33</v>
      </c>
      <c r="BE48" s="2" t="s">
        <v>33</v>
      </c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 t="s">
        <v>49</v>
      </c>
      <c r="BY48" s="2" t="s">
        <v>49</v>
      </c>
      <c r="BZ48" s="2" t="s">
        <v>49</v>
      </c>
      <c r="CA48" s="2"/>
      <c r="CB48" s="2"/>
      <c r="CC48" s="2" t="s">
        <v>49</v>
      </c>
      <c r="CD48" s="2" t="s">
        <v>49</v>
      </c>
      <c r="CE48" s="2" t="s">
        <v>49</v>
      </c>
      <c r="CF48" s="2" t="s">
        <v>49</v>
      </c>
      <c r="CG48" s="2" t="s">
        <v>49</v>
      </c>
      <c r="CH48" s="2"/>
      <c r="CI48" s="2"/>
      <c r="CJ48" s="2" t="s">
        <v>49</v>
      </c>
      <c r="CK48" s="2" t="s">
        <v>49</v>
      </c>
      <c r="CL48" s="2" t="s">
        <v>49</v>
      </c>
      <c r="CM48" s="2" t="s">
        <v>49</v>
      </c>
      <c r="CN48" s="2" t="s">
        <v>49</v>
      </c>
      <c r="CO48" s="2"/>
      <c r="CP48" s="2"/>
      <c r="CQ48" s="2"/>
      <c r="CR48" s="2" t="s">
        <v>49</v>
      </c>
      <c r="CS48" s="2" t="s">
        <v>35</v>
      </c>
      <c r="CT48" s="2" t="s">
        <v>49</v>
      </c>
      <c r="CU48" s="2" t="s">
        <v>49</v>
      </c>
      <c r="CV48" s="2" t="s">
        <v>49</v>
      </c>
      <c r="CW48" s="2"/>
      <c r="CX48" s="2"/>
      <c r="CY48" s="2" t="s">
        <v>49</v>
      </c>
      <c r="CZ48" s="2" t="s">
        <v>49</v>
      </c>
      <c r="DA48" s="2" t="s">
        <v>49</v>
      </c>
      <c r="DB48" s="2" t="s">
        <v>49</v>
      </c>
      <c r="DC48" s="2" t="s">
        <v>49</v>
      </c>
      <c r="DD48" s="2"/>
      <c r="DE48" s="2"/>
      <c r="DF48" s="2" t="s">
        <v>49</v>
      </c>
      <c r="DG48" s="2" t="s">
        <v>49</v>
      </c>
      <c r="DH48" s="2" t="s">
        <v>49</v>
      </c>
      <c r="DI48" s="2" t="s">
        <v>49</v>
      </c>
      <c r="DJ48" s="2" t="s">
        <v>49</v>
      </c>
      <c r="DK48" s="2"/>
      <c r="DL48" s="2"/>
      <c r="DM48" s="2" t="s">
        <v>49</v>
      </c>
      <c r="DN48" s="2" t="s">
        <v>49</v>
      </c>
      <c r="DO48" s="2" t="s">
        <v>49</v>
      </c>
      <c r="DP48" s="2" t="s">
        <v>49</v>
      </c>
      <c r="DQ48" s="2" t="s">
        <v>49</v>
      </c>
      <c r="DR48" s="2"/>
      <c r="DS48" s="2"/>
      <c r="DT48" s="2" t="s">
        <v>49</v>
      </c>
      <c r="DU48" s="2" t="s">
        <v>49</v>
      </c>
      <c r="DV48" s="2" t="s">
        <v>49</v>
      </c>
      <c r="DW48" s="2" t="s">
        <v>49</v>
      </c>
      <c r="DX48" s="2" t="s">
        <v>49</v>
      </c>
      <c r="DY48" s="2"/>
      <c r="DZ48" s="2"/>
      <c r="EA48" s="2" t="s">
        <v>49</v>
      </c>
      <c r="EB48" s="2" t="s">
        <v>49</v>
      </c>
      <c r="EC48" s="2" t="s">
        <v>49</v>
      </c>
      <c r="ED48" s="2" t="s">
        <v>49</v>
      </c>
      <c r="EE48" s="2" t="s">
        <v>49</v>
      </c>
      <c r="EF48" s="2"/>
      <c r="EG48" s="2"/>
      <c r="EH48" s="2" t="s">
        <v>49</v>
      </c>
      <c r="EI48" s="2" t="s">
        <v>49</v>
      </c>
      <c r="EJ48" s="2" t="s">
        <v>49</v>
      </c>
      <c r="EK48" s="2" t="s">
        <v>49</v>
      </c>
      <c r="EL48" s="2" t="s">
        <v>49</v>
      </c>
      <c r="EM48" s="2"/>
      <c r="EN48" s="2"/>
      <c r="EO48" s="2" t="s">
        <v>49</v>
      </c>
      <c r="EP48" s="2" t="s">
        <v>49</v>
      </c>
      <c r="EQ48" s="2" t="s">
        <v>49</v>
      </c>
      <c r="ER48" s="2" t="s">
        <v>49</v>
      </c>
      <c r="ES48" s="2" t="s">
        <v>49</v>
      </c>
      <c r="ET48" s="2"/>
      <c r="EU48" s="2"/>
      <c r="EV48" s="2" t="s">
        <v>49</v>
      </c>
      <c r="EW48" s="2" t="s">
        <v>49</v>
      </c>
      <c r="EX48" s="2" t="s">
        <v>49</v>
      </c>
      <c r="EY48" s="2" t="s">
        <v>49</v>
      </c>
      <c r="EZ48" s="2" t="s">
        <v>49</v>
      </c>
      <c r="FA48" s="2"/>
      <c r="FB48" s="2"/>
      <c r="FC48" s="2" t="s">
        <v>49</v>
      </c>
      <c r="FD48" s="2" t="s">
        <v>49</v>
      </c>
      <c r="FE48" s="2" t="s">
        <v>49</v>
      </c>
      <c r="FF48" s="2" t="s">
        <v>49</v>
      </c>
      <c r="FG48" s="2" t="s">
        <v>49</v>
      </c>
      <c r="FH48" s="2"/>
      <c r="FI48" s="2"/>
      <c r="FJ48" s="2" t="s">
        <v>49</v>
      </c>
      <c r="FK48" s="2" t="s">
        <v>49</v>
      </c>
      <c r="FL48" s="2" t="s">
        <v>49</v>
      </c>
      <c r="FM48" s="2" t="s">
        <v>49</v>
      </c>
      <c r="FN48" s="2" t="s">
        <v>49</v>
      </c>
      <c r="FO48" s="2"/>
      <c r="FP48" s="2"/>
      <c r="FQ48" s="2" t="s">
        <v>49</v>
      </c>
      <c r="FR48" s="2" t="s">
        <v>49</v>
      </c>
      <c r="FS48" s="2" t="s">
        <v>49</v>
      </c>
      <c r="FT48" s="2" t="s">
        <v>49</v>
      </c>
      <c r="FU48" s="2" t="s">
        <v>49</v>
      </c>
      <c r="FV48" s="2"/>
      <c r="FW48" s="2"/>
      <c r="FX48" s="2" t="s">
        <v>49</v>
      </c>
      <c r="FY48" s="2" t="s">
        <v>49</v>
      </c>
      <c r="FZ48" s="2" t="s">
        <v>49</v>
      </c>
      <c r="GA48" s="2" t="s">
        <v>49</v>
      </c>
      <c r="GB48" s="2" t="s">
        <v>49</v>
      </c>
      <c r="GC48" s="2"/>
      <c r="GD48" s="2"/>
      <c r="GE48" s="2"/>
      <c r="GF48" s="2" t="s">
        <v>49</v>
      </c>
      <c r="GG48" s="2" t="s">
        <v>49</v>
      </c>
      <c r="GH48" s="2" t="s">
        <v>49</v>
      </c>
      <c r="GI48" s="2" t="s">
        <v>49</v>
      </c>
      <c r="GJ48" s="2" t="s">
        <v>49</v>
      </c>
      <c r="GK48" s="2"/>
      <c r="GL48" s="2"/>
      <c r="GM48" s="2" t="s">
        <v>49</v>
      </c>
      <c r="GN48" s="2" t="s">
        <v>49</v>
      </c>
      <c r="GO48" s="2" t="s">
        <v>49</v>
      </c>
      <c r="GP48" s="2" t="s">
        <v>49</v>
      </c>
      <c r="GQ48" s="2" t="s">
        <v>49</v>
      </c>
      <c r="GR48" s="2"/>
      <c r="GS48" s="2"/>
      <c r="GT48" s="2" t="s">
        <v>49</v>
      </c>
      <c r="GU48" s="2" t="s">
        <v>49</v>
      </c>
      <c r="GV48" s="2" t="s">
        <v>49</v>
      </c>
      <c r="GW48" s="2" t="s">
        <v>49</v>
      </c>
      <c r="GX48" s="2" t="s">
        <v>49</v>
      </c>
      <c r="GY48" s="2"/>
      <c r="GZ48" s="2"/>
      <c r="HA48" s="2" t="s">
        <v>49</v>
      </c>
      <c r="HB48" s="2" t="s">
        <v>49</v>
      </c>
      <c r="HC48" s="2" t="s">
        <v>49</v>
      </c>
      <c r="HD48" s="2" t="s">
        <v>49</v>
      </c>
      <c r="HE48" s="2" t="s">
        <v>49</v>
      </c>
      <c r="HF48" s="2"/>
      <c r="HG48" s="2"/>
      <c r="HH48" s="2" t="s">
        <v>49</v>
      </c>
      <c r="HI48" s="2" t="s">
        <v>49</v>
      </c>
      <c r="HJ48" s="2" t="s">
        <v>49</v>
      </c>
      <c r="HK48" s="2"/>
      <c r="HL48" s="2"/>
      <c r="HM48" s="2"/>
      <c r="HN48" s="2"/>
      <c r="HO48" s="2"/>
      <c r="HP48" s="2"/>
      <c r="HQ48" s="2" t="s">
        <v>35</v>
      </c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 t="s">
        <v>35</v>
      </c>
      <c r="JO48" s="2"/>
      <c r="JP48" s="2"/>
      <c r="JQ48" s="2"/>
      <c r="JR48" s="2"/>
      <c r="JS48" s="2"/>
      <c r="JT48" s="2"/>
      <c r="JU48" s="2" t="s">
        <v>35</v>
      </c>
      <c r="JV48" s="2"/>
      <c r="JW48" s="2"/>
      <c r="JX48" s="2"/>
      <c r="JY48" s="2"/>
      <c r="JZ48" s="2"/>
      <c r="KA48" s="2" t="s">
        <v>35</v>
      </c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 t="s">
        <v>35</v>
      </c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14">
        <f t="array" aca="1" ref="NJ48" ca="1">SUMPRODUCT((OFFSET($A48,0,31*($A$3-1)+1,1,31)&lt;&gt;"")*(IF(OFFSET($A48,0,31*($A$3-1)+1,1,31)=$OD$12,0.5,1)*(OFFSET($A$4,0,31*($A$3-1)+1,1,31))))</f>
        <v>20</v>
      </c>
      <c r="NK48" s="20">
        <f t="array" aca="1" ref="NK48" ca="1">SUMPRODUCT((OFFSET($A48,0,1,1,372)&lt;&gt;"")*(IF(OFFSET($A48,0,1,1,372)=$OD$12,0.5,1)*(OFFSET($A$3,0,1,1,372))))</f>
        <v>114</v>
      </c>
      <c r="NL48" s="28">
        <f t="array" aca="1" ref="NL48" ca="1">SUMPRODUCT((OFFSET($A48,0,31*($A$4)+DAY(Holidays!$E$2),1,Holidays!$G$2)&lt;&gt;"")*(IF(OFFSET($A48,0,31*($A$4)+DAY(Holidays!$E$2),1,Holidays!$G$2)=$OD$12,0.5,1)*(OFFSET($A$3,0,31*($A$4)+DAY(Holidays!$E$2),1,Holidays!$G$2))))</f>
        <v>88</v>
      </c>
      <c r="NM48" s="52">
        <f t="array" aca="1" ref="NM48" ca="1">SUMPRODUCT((OFFSET($A48,0,31*($A$4)+DAY(VLOOKUP(NM$5,Sprints[],2,FALSE)),1,VLOOKUP(NM$5,Sprints[],4,FALSE))&lt;&gt;"")*(IF(OFFSET($A48,0,31*($A$4)+DAY(VLOOKUP(NM$5,Sprints[],2,FALSE)),1,VLOOKUP(NM$5,Sprints[],4,FALSE))=$OD$12,0.5,1)*(OFFSET($A$3,0,31*($A$4)+DAY(VLOOKUP(NM$5,Sprints[],2,FALSE)),1,VLOOKUP(NM$5,Sprints[],4,FALSE)))))</f>
        <v>1</v>
      </c>
      <c r="NN48" s="52">
        <f t="array" aca="1" ref="NN48" ca="1">SUMPRODUCT((OFFSET($A48,0,31*($A$4)+DAY(VLOOKUP(NN$5,Sprints[],2,FALSE)),1,VLOOKUP(NN$5,Sprints[],4,FALSE))&lt;&gt;"")*(IF(OFFSET($A48,0,31*($A$4)+DAY(VLOOKUP(NN$5,Sprints[],2,FALSE)),1,VLOOKUP(NN$5,Sprints[],4,FALSE))=$OD$12,0.5,1)*(OFFSET($A$3,0,31*($A$4)+DAY(VLOOKUP(NN$5,Sprints[],2,FALSE)),1,VLOOKUP(NN$5,Sprints[],4,FALSE)))))</f>
        <v>1</v>
      </c>
      <c r="NO48" s="52">
        <f t="array" aca="1" ref="NO48" ca="1">SUMPRODUCT((OFFSET($A48,0,31*($A$4)+DAY(VLOOKUP(NO$5,Sprints[],2,FALSE)),1,VLOOKUP(NO$5,Sprints[],4,FALSE))&lt;&gt;"")*(IF(OFFSET($A48,0,31*($A$4)+DAY(VLOOKUP(NO$5,Sprints[],2,FALSE)),1,VLOOKUP(NO$5,Sprints[],4,FALSE))=$OD$12,0.5,1)*(OFFSET($A$3,0,31*($A$4)+DAY(VLOOKUP(NO$5,Sprints[],2,FALSE)),1,VLOOKUP(NO$5,Sprints[],4,FALSE)))))</f>
        <v>0</v>
      </c>
      <c r="NP48" s="52">
        <f t="array" aca="1" ref="NP48" ca="1">SUMPRODUCT((OFFSET($A48,0,31*(VLOOKUP(NP$5,Sprints[],5,FALSE))+DAY(VLOOKUP(NP$5,Sprints[],2,FALSE)),1,VLOOKUP(NP$5,Sprints[],4,FALSE))&lt;&gt;"")*(IF(OFFSET($A48,0,31*(VLOOKUP(NP$5,Sprints[],5,FALSE))+DAY(VLOOKUP(NP$5,Sprints[],2,FALSE)),1,VLOOKUP(NP$5,Sprints[],4,FALSE))=$OD$12,0.5,1)*(OFFSET($A$3,0,31*(VLOOKUP(NP$5,Sprints[],5,FALSE))+DAY(VLOOKUP(NP$5,Sprints[],2,FALSE)),1,VLOOKUP(NP$5,Sprints[],4,FALSE)))))</f>
        <v>5</v>
      </c>
      <c r="NQ48" s="52">
        <f t="array" aca="1" ref="NQ48" ca="1">SUMPRODUCT((OFFSET($A48,0,31*(VLOOKUP(NQ$5,Sprints[],5,FALSE))+DAY(VLOOKUP(NQ$5,Sprints[],2,FALSE)),1,VLOOKUP(NQ$5,Sprints[],4,FALSE))&lt;&gt;"")*(IF(OFFSET($A48,0,31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8" s="52">
        <f t="array" aca="1" ref="NR48" ca="1">SUMPRODUCT((OFFSET($A48,0,31*(VLOOKUP(NR$5,Sprints[],5,FALSE))+DAY(VLOOKUP(NR$5,Sprints[],2,FALSE)),1,VLOOKUP(NR$5,Sprints[],4,FALSE))&lt;&gt;"")*(IF(OFFSET($A48,0,31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48" s="52">
        <f t="array" aca="1" ref="NS48" ca="1">SUMPRODUCT((OFFSET($A48,0,31*(VLOOKUP(NS$5,Sprints[],5,FALSE))+DAY(VLOOKUP(NS$5,Sprints[],2,FALSE)),1,VLOOKUP(NS$5,Sprints[],4,FALSE))&lt;&gt;"")*(IF(OFFSET($A48,0,31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48" s="52">
        <f t="array" aca="1" ref="NT48" ca="1">SUMPRODUCT((OFFSET($A48,0,31*(VLOOKUP(NT$5,Sprints[],5,FALSE))+DAY(VLOOKUP(NT$5,Sprints[],2,FALSE)),1,VLOOKUP(NT$5,Sprints[],4,FALSE))&lt;&gt;"")*(IF(OFFSET($A48,0,31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48" s="52">
        <f t="array" aca="1" ref="NU48" ca="1">SUMPRODUCT((OFFSET($A48,0,31*(VLOOKUP(NU$5,Sprints[],5,FALSE))+DAY(VLOOKUP(NU$5,Sprints[],2,FALSE)),1,VLOOKUP(NU$5,Sprints[],4,FALSE))&lt;&gt;"")*(IF(OFFSET($A48,0,31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48" s="52">
        <f t="array" aca="1" ref="NV48" ca="1">SUMPRODUCT((OFFSET($A48,0,31*(VLOOKUP(NV$5,Sprints[],5,FALSE))+DAY(VLOOKUP(NV$5,Sprints[],2,FALSE)),1,VLOOKUP(NV$5,Sprints[],4,FALSE))&lt;&gt;"")*(IF(OFFSET($A48,0,31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48" s="52">
        <f t="array" aca="1" ref="NW48" ca="1">SUMPRODUCT((OFFSET($A48,0,31*(VLOOKUP(NW$5,Sprints[],5,FALSE))+DAY(VLOOKUP(NW$5,Sprints[],2,FALSE)),1,VLOOKUP(NW$5,Sprints[],4,FALSE))&lt;&gt;"")*(IF(OFFSET($A48,0,31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48" s="52">
        <f t="array" aca="1" ref="NX48" ca="1">SUMPRODUCT((OFFSET($A48,0,31*(VLOOKUP(NX$5,Sprints[],5,FALSE))+DAY(VLOOKUP(NX$5,Sprints[],2,FALSE)),1,VLOOKUP(NX$5,Sprints[],4,FALSE))&lt;&gt;"")*(IF(OFFSET($A48,0,31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48" s="52">
        <f t="array" aca="1" ref="NY48" ca="1">SUMPRODUCT((OFFSET($A48,0,31*(VLOOKUP(NY$5,Sprints[],5,FALSE))+DAY(VLOOKUP(NY$5,Sprints[],2,FALSE)),1,VLOOKUP(NY$5,Sprints[],4,FALSE))&lt;&gt;"")*(IF(OFFSET($A48,0,31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48" s="52">
        <f t="array" aca="1" ref="NZ48" ca="1">SUMPRODUCT((OFFSET($A48,0,31*(VLOOKUP(NZ$5,Sprints[],5,FALSE))+DAY(VLOOKUP(NZ$5,Sprints[],2,FALSE)),1,VLOOKUP(NZ$5,Sprints[],4,FALSE))&lt;&gt;"")*(IF(OFFSET($A48,0,31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48" s="52">
        <f t="array" aca="1" ref="OA48" ca="1">SUMPRODUCT((OFFSET($A48,0,31*(VLOOKUP(OA$5,Sprints[],5,FALSE))+DAY(VLOOKUP(OA$5,Sprints[],2,FALSE)),1,VLOOKUP(OA$5,Sprints[],4,FALSE))&lt;&gt;"")*(IF(OFFSET($A48,0,31*(VLOOKUP(OA$5,Sprints[],5,FALSE))+DAY(VLOOKUP(OA$5,Sprints[],2,FALSE)),1,VLOOKUP(OA$5,Sprints[],4,FALSE))=$OD$12,0.5,1)*(OFFSET($A$3,0,31*(VLOOKUP(OA$5,Sprints[],5,FALSE))+DAY(VLOOKUP(OA$5,Sprints[],2,FALSE)),1,VLOOKUP(OA$5,Sprints[],4,FALSE)))))</f>
        <v>19</v>
      </c>
    </row>
    <row r="49" spans="1:391" x14ac:dyDescent="0.45">
      <c r="A49" s="44" t="s">
        <v>96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36"/>
      <c r="R49" s="36" t="s">
        <v>35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36"/>
      <c r="AF49" s="2"/>
      <c r="AG49" s="36" t="s">
        <v>35</v>
      </c>
      <c r="AH49" s="2"/>
      <c r="AI49" s="2"/>
      <c r="AJ49" s="2"/>
      <c r="AK49" s="2"/>
      <c r="AL49" s="2"/>
      <c r="AM49" s="2"/>
      <c r="AN49" s="2"/>
      <c r="AO49" s="36" t="s">
        <v>35</v>
      </c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 t="s">
        <v>35</v>
      </c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 t="s">
        <v>33</v>
      </c>
      <c r="FD49" s="2" t="s">
        <v>33</v>
      </c>
      <c r="FE49" s="2" t="s">
        <v>33</v>
      </c>
      <c r="FF49" s="2" t="s">
        <v>33</v>
      </c>
      <c r="FG49" s="2" t="s">
        <v>33</v>
      </c>
      <c r="FH49" s="2"/>
      <c r="FI49" s="2"/>
      <c r="FJ49" s="2" t="s">
        <v>33</v>
      </c>
      <c r="FK49" s="2" t="s">
        <v>33</v>
      </c>
      <c r="FL49" s="2" t="s">
        <v>33</v>
      </c>
      <c r="FM49" s="2" t="s">
        <v>33</v>
      </c>
      <c r="FN49" s="2" t="s">
        <v>33</v>
      </c>
      <c r="FO49" s="2"/>
      <c r="FP49" s="2"/>
      <c r="FQ49" s="2" t="s">
        <v>33</v>
      </c>
      <c r="FR49" s="2" t="s">
        <v>33</v>
      </c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 t="s">
        <v>35</v>
      </c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 t="s">
        <v>35</v>
      </c>
      <c r="JO49" s="2"/>
      <c r="JP49" s="2"/>
      <c r="JQ49" s="2"/>
      <c r="JR49" s="2"/>
      <c r="JS49" s="2"/>
      <c r="JT49" s="2"/>
      <c r="JU49" s="2" t="s">
        <v>35</v>
      </c>
      <c r="JV49" s="2"/>
      <c r="JW49" s="2"/>
      <c r="JX49" s="2"/>
      <c r="JY49" s="2"/>
      <c r="JZ49" s="2"/>
      <c r="KA49" s="2" t="s">
        <v>35</v>
      </c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 t="s">
        <v>35</v>
      </c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14">
        <f t="array" aca="1" ref="NJ49" ca="1">SUMPRODUCT((OFFSET($A49,0,31*($A$3-1)+1,1,31)&lt;&gt;"")*(IF(OFFSET($A49,0,31*($A$3-1)+1,1,31)=$OD$12,0.5,1)*(OFFSET($A$4,0,31*($A$3-1)+1,1,31))))</f>
        <v>12</v>
      </c>
      <c r="NK49" s="20">
        <f t="array" aca="1" ref="NK49" ca="1">SUMPRODUCT((OFFSET($A49,0,1,1,372)&lt;&gt;"")*(IF(OFFSET($A49,0,1,1,372)=$OD$12,0.5,1)*(OFFSET($A$3,0,1,1,372))))</f>
        <v>21</v>
      </c>
      <c r="NL49" s="28">
        <f t="array" aca="1" ref="NL49" ca="1">SUMPRODUCT((OFFSET($A49,0,31*($A$4)+DAY(Holidays!$E$2),1,Holidays!$G$2)&lt;&gt;"")*(IF(OFFSET($A49,0,31*($A$4)+DAY(Holidays!$E$2),1,Holidays!$G$2)=$OD$12,0.5,1)*(OFFSET($A$3,0,31*($A$4)+DAY(Holidays!$E$2),1,Holidays!$G$2))))</f>
        <v>16</v>
      </c>
      <c r="NM49" s="52">
        <f t="array" aca="1" ref="NM49" ca="1">SUMPRODUCT((OFFSET($A49,0,31*($A$4)+DAY(VLOOKUP(NM$5,Sprints[],2,FALSE)),1,VLOOKUP(NM$5,Sprints[],4,FALSE))&lt;&gt;"")*(IF(OFFSET($A49,0,31*($A$4)+DAY(VLOOKUP(NM$5,Sprints[],2,FALSE)),1,VLOOKUP(NM$5,Sprints[],4,FALSE))=$OD$12,0.5,1)*(OFFSET($A$3,0,31*($A$4)+DAY(VLOOKUP(NM$5,Sprints[],2,FALSE)),1,VLOOKUP(NM$5,Sprints[],4,FALSE)))))</f>
        <v>1</v>
      </c>
      <c r="NN49" s="52">
        <f t="array" aca="1" ref="NN49" ca="1">SUMPRODUCT((OFFSET($A49,0,31*($A$4)+DAY(VLOOKUP(NN$5,Sprints[],2,FALSE)),1,VLOOKUP(NN$5,Sprints[],4,FALSE))&lt;&gt;"")*(IF(OFFSET($A49,0,31*($A$4)+DAY(VLOOKUP(NN$5,Sprints[],2,FALSE)),1,VLOOKUP(NN$5,Sprints[],4,FALSE))=$OD$12,0.5,1)*(OFFSET($A$3,0,31*($A$4)+DAY(VLOOKUP(NN$5,Sprints[],2,FALSE)),1,VLOOKUP(NN$5,Sprints[],4,FALSE)))))</f>
        <v>1</v>
      </c>
      <c r="NO49" s="52">
        <f t="array" aca="1" ref="NO49" ca="1">SUMPRODUCT((OFFSET($A49,0,31*($A$4)+DAY(VLOOKUP(NO$5,Sprints[],2,FALSE)),1,VLOOKUP(NO$5,Sprints[],4,FALSE))&lt;&gt;"")*(IF(OFFSET($A49,0,31*($A$4)+DAY(VLOOKUP(NO$5,Sprints[],2,FALSE)),1,VLOOKUP(NO$5,Sprints[],4,FALSE))=$OD$12,0.5,1)*(OFFSET($A$3,0,31*($A$4)+DAY(VLOOKUP(NO$5,Sprints[],2,FALSE)),1,VLOOKUP(NO$5,Sprints[],4,FALSE)))))</f>
        <v>0</v>
      </c>
      <c r="NP49" s="52">
        <f t="array" aca="1" ref="NP49" ca="1">SUMPRODUCT((OFFSET($A49,0,31*(VLOOKUP(NP$5,Sprints[],5,FALSE))+DAY(VLOOKUP(NP$5,Sprints[],2,FALSE)),1,VLOOKUP(NP$5,Sprints[],4,FALSE))&lt;&gt;"")*(IF(OFFSET($A49,0,31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49" s="52">
        <f t="array" aca="1" ref="NQ49" ca="1">SUMPRODUCT((OFFSET($A49,0,31*(VLOOKUP(NQ$5,Sprints[],5,FALSE))+DAY(VLOOKUP(NQ$5,Sprints[],2,FALSE)),1,VLOOKUP(NQ$5,Sprints[],4,FALSE))&lt;&gt;"")*(IF(OFFSET($A49,0,31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9" s="52">
        <f t="array" aca="1" ref="NR49" ca="1">SUMPRODUCT((OFFSET($A49,0,31*(VLOOKUP(NR$5,Sprints[],5,FALSE))+DAY(VLOOKUP(NR$5,Sprints[],2,FALSE)),1,VLOOKUP(NR$5,Sprints[],4,FALSE))&lt;&gt;"")*(IF(OFFSET($A49,0,31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9" s="52">
        <f t="array" aca="1" ref="NS49" ca="1">SUMPRODUCT((OFFSET($A49,0,31*(VLOOKUP(NS$5,Sprints[],5,FALSE))+DAY(VLOOKUP(NS$5,Sprints[],2,FALSE)),1,VLOOKUP(NS$5,Sprints[],4,FALSE))&lt;&gt;"")*(IF(OFFSET($A49,0,31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9" s="52">
        <f t="array" aca="1" ref="NT49" ca="1">SUMPRODUCT((OFFSET($A49,0,31*(VLOOKUP(NT$5,Sprints[],5,FALSE))+DAY(VLOOKUP(NT$5,Sprints[],2,FALSE)),1,VLOOKUP(NT$5,Sprints[],4,FALSE))&lt;&gt;"")*(IF(OFFSET($A49,0,31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9" s="52">
        <f t="array" aca="1" ref="NU49" ca="1">SUMPRODUCT((OFFSET($A49,0,31*(VLOOKUP(NU$5,Sprints[],5,FALSE))+DAY(VLOOKUP(NU$5,Sprints[],2,FALSE)),1,VLOOKUP(NU$5,Sprints[],4,FALSE))&lt;&gt;"")*(IF(OFFSET($A49,0,31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49" s="52">
        <f t="array" aca="1" ref="NV49" ca="1">SUMPRODUCT((OFFSET($A49,0,31*(VLOOKUP(NV$5,Sprints[],5,FALSE))+DAY(VLOOKUP(NV$5,Sprints[],2,FALSE)),1,VLOOKUP(NV$5,Sprints[],4,FALSE))&lt;&gt;"")*(IF(OFFSET($A49,0,31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49" s="52">
        <f t="array" aca="1" ref="NW49" ca="1">SUMPRODUCT((OFFSET($A49,0,31*(VLOOKUP(NW$5,Sprints[],5,FALSE))+DAY(VLOOKUP(NW$5,Sprints[],2,FALSE)),1,VLOOKUP(NW$5,Sprints[],4,FALSE))&lt;&gt;"")*(IF(OFFSET($A49,0,31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9" s="52">
        <f t="array" aca="1" ref="NX49" ca="1">SUMPRODUCT((OFFSET($A49,0,31*(VLOOKUP(NX$5,Sprints[],5,FALSE))+DAY(VLOOKUP(NX$5,Sprints[],2,FALSE)),1,VLOOKUP(NX$5,Sprints[],4,FALSE))&lt;&gt;"")*(IF(OFFSET($A49,0,31*(VLOOKUP(NX$5,Sprints[],5,FALSE))+DAY(VLOOKUP(NX$5,Sprints[],2,FALSE)),1,VLOOKUP(NX$5,Sprints[],4,FALSE))=$OD$12,0.5,1)*(OFFSET($A$3,0,31*(VLOOKUP(NX$5,Sprints[],5,FALSE))+DAY(VLOOKUP(NX$5,Sprints[],2,FALSE)),1,VLOOKUP(NX$5,Sprints[],4,FALSE)))))</f>
        <v>7</v>
      </c>
      <c r="NY49" s="52">
        <f t="array" aca="1" ref="NY49" ca="1">SUMPRODUCT((OFFSET($A49,0,31*(VLOOKUP(NY$5,Sprints[],5,FALSE))+DAY(VLOOKUP(NY$5,Sprints[],2,FALSE)),1,VLOOKUP(NY$5,Sprints[],4,FALSE))&lt;&gt;"")*(IF(OFFSET($A49,0,31*(VLOOKUP(NY$5,Sprints[],5,FALSE))+DAY(VLOOKUP(NY$5,Sprints[],2,FALSE)),1,VLOOKUP(NY$5,Sprints[],4,FALSE))=$OD$12,0.5,1)*(OFFSET($A$3,0,31*(VLOOKUP(NY$5,Sprints[],5,FALSE))+DAY(VLOOKUP(NY$5,Sprints[],2,FALSE)),1,VLOOKUP(NY$5,Sprints[],4,FALSE)))))</f>
        <v>5</v>
      </c>
      <c r="NZ49" s="52">
        <f t="array" aca="1" ref="NZ49" ca="1">SUMPRODUCT((OFFSET($A49,0,31*(VLOOKUP(NZ$5,Sprints[],5,FALSE))+DAY(VLOOKUP(NZ$5,Sprints[],2,FALSE)),1,VLOOKUP(NZ$5,Sprints[],4,FALSE))&lt;&gt;"")*(IF(OFFSET($A49,0,31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9" s="52">
        <f t="array" aca="1" ref="OA49" ca="1">SUMPRODUCT((OFFSET($A49,0,31*(VLOOKUP(OA$5,Sprints[],5,FALSE))+DAY(VLOOKUP(OA$5,Sprints[],2,FALSE)),1,VLOOKUP(OA$5,Sprints[],4,FALSE))&lt;&gt;"")*(IF(OFFSET($A49,0,31*(VLOOKUP(OA$5,Sprints[],5,FALSE))+DAY(VLOOKUP(OA$5,Sprints[],2,FALSE)),1,VLOOKUP(OA$5,Sprints[],4,FALSE))=$OD$12,0.5,1)*(OFFSET($A$3,0,31*(VLOOKUP(OA$5,Sprints[],5,FALSE))+DAY(VLOOKUP(OA$5,Sprints[],2,FALSE)),1,VLOOKUP(OA$5,Sprints[],4,FALSE)))))</f>
        <v>9</v>
      </c>
    </row>
    <row r="50" spans="1:391" x14ac:dyDescent="0.45">
      <c r="A50" s="44" t="s">
        <v>97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36"/>
      <c r="R50" s="36" t="s">
        <v>35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36"/>
      <c r="AF50" s="2"/>
      <c r="AG50" s="36" t="s">
        <v>35</v>
      </c>
      <c r="AH50" s="2"/>
      <c r="AI50" s="2"/>
      <c r="AJ50" s="2"/>
      <c r="AK50" s="2"/>
      <c r="AL50" s="2"/>
      <c r="AM50" s="2"/>
      <c r="AN50" s="2"/>
      <c r="AO50" s="36" t="s">
        <v>35</v>
      </c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 t="s">
        <v>35</v>
      </c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 t="s">
        <v>33</v>
      </c>
      <c r="EI50" s="2" t="s">
        <v>33</v>
      </c>
      <c r="EJ50" s="2" t="s">
        <v>33</v>
      </c>
      <c r="EK50" s="2" t="s">
        <v>33</v>
      </c>
      <c r="EL50" s="2" t="s">
        <v>33</v>
      </c>
      <c r="EM50" s="2"/>
      <c r="EN50" s="2"/>
      <c r="EO50" s="2" t="s">
        <v>33</v>
      </c>
      <c r="EP50" s="2" t="s">
        <v>33</v>
      </c>
      <c r="EQ50" s="2" t="s">
        <v>33</v>
      </c>
      <c r="ER50" s="2" t="s">
        <v>33</v>
      </c>
      <c r="ES50" s="2" t="s">
        <v>33</v>
      </c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 t="s">
        <v>35</v>
      </c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 t="s">
        <v>35</v>
      </c>
      <c r="JO50" s="2"/>
      <c r="JP50" s="2"/>
      <c r="JQ50" s="2"/>
      <c r="JR50" s="2"/>
      <c r="JS50" s="2"/>
      <c r="JT50" s="2"/>
      <c r="JU50" s="2" t="s">
        <v>35</v>
      </c>
      <c r="JV50" s="2"/>
      <c r="JW50" s="2"/>
      <c r="JX50" s="2"/>
      <c r="JY50" s="2"/>
      <c r="JZ50" s="2"/>
      <c r="KA50" s="2" t="s">
        <v>35</v>
      </c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 t="s">
        <v>35</v>
      </c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14">
        <f t="array" aca="1" ref="NJ50" ca="1">SUMPRODUCT((OFFSET($A50,0,31*($A$3-1)+1,1,31)&lt;&gt;"")*(IF(OFFSET($A50,0,31*($A$3-1)+1,1,31)=$OD$12,0.5,1)*(OFFSET($A$4,0,31*($A$3-1)+1,1,31))))</f>
        <v>0</v>
      </c>
      <c r="NK50" s="20">
        <f t="array" aca="1" ref="NK50" ca="1">SUMPRODUCT((OFFSET($A50,0,1,1,372)&lt;&gt;"")*(IF(OFFSET($A50,0,1,1,372)=$OD$12,0.5,1)*(OFFSET($A$3,0,1,1,372))))</f>
        <v>19</v>
      </c>
      <c r="NL50" s="28">
        <f t="array" aca="1" ref="NL50" ca="1">SUMPRODUCT((OFFSET($A50,0,31*($A$4)+DAY(Holidays!$E$2),1,Holidays!$G$2)&lt;&gt;"")*(IF(OFFSET($A50,0,31*($A$4)+DAY(Holidays!$E$2),1,Holidays!$G$2)=$OD$12,0.5,1)*(OFFSET($A$3,0,31*($A$4)+DAY(Holidays!$E$2),1,Holidays!$G$2))))</f>
        <v>14</v>
      </c>
      <c r="NM50" s="52">
        <f t="array" aca="1" ref="NM50" ca="1">SUMPRODUCT((OFFSET($A50,0,31*($A$4)+DAY(VLOOKUP(NM$5,Sprints[],2,FALSE)),1,VLOOKUP(NM$5,Sprints[],4,FALSE))&lt;&gt;"")*(IF(OFFSET($A50,0,31*($A$4)+DAY(VLOOKUP(NM$5,Sprints[],2,FALSE)),1,VLOOKUP(NM$5,Sprints[],4,FALSE))=$OD$12,0.5,1)*(OFFSET($A$3,0,31*($A$4)+DAY(VLOOKUP(NM$5,Sprints[],2,FALSE)),1,VLOOKUP(NM$5,Sprints[],4,FALSE)))))</f>
        <v>1</v>
      </c>
      <c r="NN50" s="52">
        <f t="array" aca="1" ref="NN50" ca="1">SUMPRODUCT((OFFSET($A50,0,31*($A$4)+DAY(VLOOKUP(NN$5,Sprints[],2,FALSE)),1,VLOOKUP(NN$5,Sprints[],4,FALSE))&lt;&gt;"")*(IF(OFFSET($A50,0,31*($A$4)+DAY(VLOOKUP(NN$5,Sprints[],2,FALSE)),1,VLOOKUP(NN$5,Sprints[],4,FALSE))=$OD$12,0.5,1)*(OFFSET($A$3,0,31*($A$4)+DAY(VLOOKUP(NN$5,Sprints[],2,FALSE)),1,VLOOKUP(NN$5,Sprints[],4,FALSE)))))</f>
        <v>1</v>
      </c>
      <c r="NO50" s="52">
        <f t="array" aca="1" ref="NO50" ca="1">SUMPRODUCT((OFFSET($A50,0,31*($A$4)+DAY(VLOOKUP(NO$5,Sprints[],2,FALSE)),1,VLOOKUP(NO$5,Sprints[],4,FALSE))&lt;&gt;"")*(IF(OFFSET($A50,0,31*($A$4)+DAY(VLOOKUP(NO$5,Sprints[],2,FALSE)),1,VLOOKUP(NO$5,Sprints[],4,FALSE))=$OD$12,0.5,1)*(OFFSET($A$3,0,31*($A$4)+DAY(VLOOKUP(NO$5,Sprints[],2,FALSE)),1,VLOOKUP(NO$5,Sprints[],4,FALSE)))))</f>
        <v>0</v>
      </c>
      <c r="NP50" s="52">
        <f t="array" aca="1" ref="NP50" ca="1">SUMPRODUCT((OFFSET($A50,0,31*(VLOOKUP(NP$5,Sprints[],5,FALSE))+DAY(VLOOKUP(NP$5,Sprints[],2,FALSE)),1,VLOOKUP(NP$5,Sprints[],4,FALSE))&lt;&gt;"")*(IF(OFFSET($A50,0,31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0" s="52">
        <f t="array" aca="1" ref="NQ50" ca="1">SUMPRODUCT((OFFSET($A50,0,31*(VLOOKUP(NQ$5,Sprints[],5,FALSE))+DAY(VLOOKUP(NQ$5,Sprints[],2,FALSE)),1,VLOOKUP(NQ$5,Sprints[],4,FALSE))&lt;&gt;"")*(IF(OFFSET($A50,0,31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0" s="52">
        <f t="array" aca="1" ref="NR50" ca="1">SUMPRODUCT((OFFSET($A50,0,31*(VLOOKUP(NR$5,Sprints[],5,FALSE))+DAY(VLOOKUP(NR$5,Sprints[],2,FALSE)),1,VLOOKUP(NR$5,Sprints[],4,FALSE))&lt;&gt;"")*(IF(OFFSET($A50,0,31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0" s="52">
        <f t="array" aca="1" ref="NS50" ca="1">SUMPRODUCT((OFFSET($A50,0,31*(VLOOKUP(NS$5,Sprints[],5,FALSE))+DAY(VLOOKUP(NS$5,Sprints[],2,FALSE)),1,VLOOKUP(NS$5,Sprints[],4,FALSE))&lt;&gt;"")*(IF(OFFSET($A50,0,31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0" s="52">
        <f t="array" aca="1" ref="NT50" ca="1">SUMPRODUCT((OFFSET($A50,0,31*(VLOOKUP(NT$5,Sprints[],5,FALSE))+DAY(VLOOKUP(NT$5,Sprints[],2,FALSE)),1,VLOOKUP(NT$5,Sprints[],4,FALSE))&lt;&gt;"")*(IF(OFFSET($A50,0,31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0" s="52">
        <f t="array" aca="1" ref="NU50" ca="1">SUMPRODUCT((OFFSET($A50,0,31*(VLOOKUP(NU$5,Sprints[],5,FALSE))+DAY(VLOOKUP(NU$5,Sprints[],2,FALSE)),1,VLOOKUP(NU$5,Sprints[],4,FALSE))&lt;&gt;"")*(IF(OFFSET($A50,0,31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0" s="52">
        <f t="array" aca="1" ref="NV50" ca="1">SUMPRODUCT((OFFSET($A50,0,31*(VLOOKUP(NV$5,Sprints[],5,FALSE))+DAY(VLOOKUP(NV$5,Sprints[],2,FALSE)),1,VLOOKUP(NV$5,Sprints[],4,FALSE))&lt;&gt;"")*(IF(OFFSET($A50,0,31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50" s="52">
        <f t="array" aca="1" ref="NW50" ca="1">SUMPRODUCT((OFFSET($A50,0,31*(VLOOKUP(NW$5,Sprints[],5,FALSE))+DAY(VLOOKUP(NW$5,Sprints[],2,FALSE)),1,VLOOKUP(NW$5,Sprints[],4,FALSE))&lt;&gt;"")*(IF(OFFSET($A50,0,31*(VLOOKUP(NW$5,Sprints[],5,FALSE))+DAY(VLOOKUP(NW$5,Sprints[],2,FALSE)),1,VLOOKUP(NW$5,Sprints[],4,FALSE))=$OD$12,0.5,1)*(OFFSET($A$3,0,31*(VLOOKUP(NW$5,Sprints[],5,FALSE))+DAY(VLOOKUP(NW$5,Sprints[],2,FALSE)),1,VLOOKUP(NW$5,Sprints[],4,FALSE)))))</f>
        <v>8</v>
      </c>
      <c r="NX50" s="52">
        <f t="array" aca="1" ref="NX50" ca="1">SUMPRODUCT((OFFSET($A50,0,31*(VLOOKUP(NX$5,Sprints[],5,FALSE))+DAY(VLOOKUP(NX$5,Sprints[],2,FALSE)),1,VLOOKUP(NX$5,Sprints[],4,FALSE))&lt;&gt;"")*(IF(OFFSET($A50,0,31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0" s="52">
        <f t="array" aca="1" ref="NY50" ca="1">SUMPRODUCT((OFFSET($A50,0,31*(VLOOKUP(NY$5,Sprints[],5,FALSE))+DAY(VLOOKUP(NY$5,Sprints[],2,FALSE)),1,VLOOKUP(NY$5,Sprints[],4,FALSE))&lt;&gt;"")*(IF(OFFSET($A50,0,31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0" s="52">
        <f t="array" aca="1" ref="NZ50" ca="1">SUMPRODUCT((OFFSET($A50,0,31*(VLOOKUP(NZ$5,Sprints[],5,FALSE))+DAY(VLOOKUP(NZ$5,Sprints[],2,FALSE)),1,VLOOKUP(NZ$5,Sprints[],4,FALSE))&lt;&gt;"")*(IF(OFFSET($A50,0,31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0" s="52">
        <f t="array" aca="1" ref="OA50" ca="1">SUMPRODUCT((OFFSET($A50,0,31*(VLOOKUP(OA$5,Sprints[],5,FALSE))+DAY(VLOOKUP(OA$5,Sprints[],2,FALSE)),1,VLOOKUP(OA$5,Sprints[],4,FALSE))&lt;&gt;"")*(IF(OFFSET($A50,0,31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1" spans="1:391" x14ac:dyDescent="0.45">
      <c r="A51" s="44" t="s">
        <v>98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36"/>
      <c r="R51" s="36" t="s">
        <v>35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36"/>
      <c r="AF51" s="2"/>
      <c r="AG51" s="36" t="s">
        <v>35</v>
      </c>
      <c r="AH51" s="2"/>
      <c r="AI51" s="2"/>
      <c r="AJ51" s="2"/>
      <c r="AK51" s="2"/>
      <c r="AL51" s="2"/>
      <c r="AM51" s="2"/>
      <c r="AN51" s="2"/>
      <c r="AO51" s="36" t="s">
        <v>35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 t="s">
        <v>35</v>
      </c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 t="s">
        <v>33</v>
      </c>
      <c r="DU51" s="2" t="s">
        <v>33</v>
      </c>
      <c r="DV51" s="2" t="s">
        <v>33</v>
      </c>
      <c r="DW51" s="2" t="s">
        <v>33</v>
      </c>
      <c r="DX51" s="2" t="s">
        <v>33</v>
      </c>
      <c r="DY51" s="2"/>
      <c r="DZ51" s="2"/>
      <c r="EA51" s="2" t="s">
        <v>33</v>
      </c>
      <c r="EB51" s="2" t="s">
        <v>33</v>
      </c>
      <c r="EC51" s="2" t="s">
        <v>33</v>
      </c>
      <c r="ED51" s="2" t="s">
        <v>33</v>
      </c>
      <c r="EE51" s="2" t="s">
        <v>33</v>
      </c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 t="s">
        <v>35</v>
      </c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 t="s">
        <v>35</v>
      </c>
      <c r="JO51" s="2"/>
      <c r="JP51" s="2"/>
      <c r="JQ51" s="2"/>
      <c r="JR51" s="2"/>
      <c r="JS51" s="2"/>
      <c r="JT51" s="2"/>
      <c r="JU51" s="2" t="s">
        <v>35</v>
      </c>
      <c r="JV51" s="2"/>
      <c r="JW51" s="2"/>
      <c r="JX51" s="2"/>
      <c r="JY51" s="2"/>
      <c r="JZ51" s="2"/>
      <c r="KA51" s="2" t="s">
        <v>35</v>
      </c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 t="s">
        <v>35</v>
      </c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  <c r="NC51" s="2"/>
      <c r="ND51" s="2"/>
      <c r="NE51" s="2"/>
      <c r="NF51" s="2"/>
      <c r="NG51" s="2"/>
      <c r="NH51" s="2"/>
      <c r="NI51" s="2"/>
      <c r="NJ51" s="14">
        <f t="array" aca="1" ref="NJ51" ca="1">SUMPRODUCT((OFFSET($A51,0,31*($A$3-1)+1,1,31)&lt;&gt;"")*(IF(OFFSET($A51,0,31*($A$3-1)+1,1,31)=$OD$12,0.5,1)*(OFFSET($A$4,0,31*($A$3-1)+1,1,31))))</f>
        <v>0</v>
      </c>
      <c r="NK51" s="20">
        <f t="array" aca="1" ref="NK51" ca="1">SUMPRODUCT((OFFSET($A51,0,1,1,372)&lt;&gt;"")*(IF(OFFSET($A51,0,1,1,372)=$OD$12,0.5,1)*(OFFSET($A$3,0,1,1,372))))</f>
        <v>19</v>
      </c>
      <c r="NL51" s="28">
        <f t="array" aca="1" ref="NL51" ca="1">SUMPRODUCT((OFFSET($A51,0,31*($A$4)+DAY(Holidays!$E$2),1,Holidays!$G$2)&lt;&gt;"")*(IF(OFFSET($A51,0,31*($A$4)+DAY(Holidays!$E$2),1,Holidays!$G$2)=$OD$12,0.5,1)*(OFFSET($A$3,0,31*($A$4)+DAY(Holidays!$E$2),1,Holidays!$G$2))))</f>
        <v>14</v>
      </c>
      <c r="NM51" s="52">
        <f t="array" aca="1" ref="NM51" ca="1">SUMPRODUCT((OFFSET($A51,0,31*($A$4)+DAY(VLOOKUP(NM$5,Sprints[],2,FALSE)),1,VLOOKUP(NM$5,Sprints[],4,FALSE))&lt;&gt;"")*(IF(OFFSET($A51,0,31*($A$4)+DAY(VLOOKUP(NM$5,Sprints[],2,FALSE)),1,VLOOKUP(NM$5,Sprints[],4,FALSE))=$OD$12,0.5,1)*(OFFSET($A$3,0,31*($A$4)+DAY(VLOOKUP(NM$5,Sprints[],2,FALSE)),1,VLOOKUP(NM$5,Sprints[],4,FALSE)))))</f>
        <v>1</v>
      </c>
      <c r="NN51" s="52">
        <f t="array" aca="1" ref="NN51" ca="1">SUMPRODUCT((OFFSET($A51,0,31*($A$4)+DAY(VLOOKUP(NN$5,Sprints[],2,FALSE)),1,VLOOKUP(NN$5,Sprints[],4,FALSE))&lt;&gt;"")*(IF(OFFSET($A51,0,31*($A$4)+DAY(VLOOKUP(NN$5,Sprints[],2,FALSE)),1,VLOOKUP(NN$5,Sprints[],4,FALSE))=$OD$12,0.5,1)*(OFFSET($A$3,0,31*($A$4)+DAY(VLOOKUP(NN$5,Sprints[],2,FALSE)),1,VLOOKUP(NN$5,Sprints[],4,FALSE)))))</f>
        <v>1</v>
      </c>
      <c r="NO51" s="52">
        <f t="array" aca="1" ref="NO51" ca="1">SUMPRODUCT((OFFSET($A51,0,31*($A$4)+DAY(VLOOKUP(NO$5,Sprints[],2,FALSE)),1,VLOOKUP(NO$5,Sprints[],4,FALSE))&lt;&gt;"")*(IF(OFFSET($A51,0,31*($A$4)+DAY(VLOOKUP(NO$5,Sprints[],2,FALSE)),1,VLOOKUP(NO$5,Sprints[],4,FALSE))=$OD$12,0.5,1)*(OFFSET($A$3,0,31*($A$4)+DAY(VLOOKUP(NO$5,Sprints[],2,FALSE)),1,VLOOKUP(NO$5,Sprints[],4,FALSE)))))</f>
        <v>0</v>
      </c>
      <c r="NP51" s="52">
        <f t="array" aca="1" ref="NP51" ca="1">SUMPRODUCT((OFFSET($A51,0,31*(VLOOKUP(NP$5,Sprints[],5,FALSE))+DAY(VLOOKUP(NP$5,Sprints[],2,FALSE)),1,VLOOKUP(NP$5,Sprints[],4,FALSE))&lt;&gt;"")*(IF(OFFSET($A51,0,31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1" s="52">
        <f t="array" aca="1" ref="NQ51" ca="1">SUMPRODUCT((OFFSET($A51,0,31*(VLOOKUP(NQ$5,Sprints[],5,FALSE))+DAY(VLOOKUP(NQ$5,Sprints[],2,FALSE)),1,VLOOKUP(NQ$5,Sprints[],4,FALSE))&lt;&gt;"")*(IF(OFFSET($A51,0,31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1" s="52">
        <f t="array" aca="1" ref="NR51" ca="1">SUMPRODUCT((OFFSET($A51,0,31*(VLOOKUP(NR$5,Sprints[],5,FALSE))+DAY(VLOOKUP(NR$5,Sprints[],2,FALSE)),1,VLOOKUP(NR$5,Sprints[],4,FALSE))&lt;&gt;"")*(IF(OFFSET($A51,0,31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1" s="52">
        <f t="array" aca="1" ref="NS51" ca="1">SUMPRODUCT((OFFSET($A51,0,31*(VLOOKUP(NS$5,Sprints[],5,FALSE))+DAY(VLOOKUP(NS$5,Sprints[],2,FALSE)),1,VLOOKUP(NS$5,Sprints[],4,FALSE))&lt;&gt;"")*(IF(OFFSET($A51,0,31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1" s="52">
        <f t="array" aca="1" ref="NT51" ca="1">SUMPRODUCT((OFFSET($A51,0,31*(VLOOKUP(NT$5,Sprints[],5,FALSE))+DAY(VLOOKUP(NT$5,Sprints[],2,FALSE)),1,VLOOKUP(NT$5,Sprints[],4,FALSE))&lt;&gt;"")*(IF(OFFSET($A51,0,31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1" s="52">
        <f t="array" aca="1" ref="NU51" ca="1">SUMPRODUCT((OFFSET($A51,0,31*(VLOOKUP(NU$5,Sprints[],5,FALSE))+DAY(VLOOKUP(NU$5,Sprints[],2,FALSE)),1,VLOOKUP(NU$5,Sprints[],4,FALSE))&lt;&gt;"")*(IF(OFFSET($A51,0,31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51" s="52">
        <f t="array" aca="1" ref="NV51" ca="1">SUMPRODUCT((OFFSET($A51,0,31*(VLOOKUP(NV$5,Sprints[],5,FALSE))+DAY(VLOOKUP(NV$5,Sprints[],2,FALSE)),1,VLOOKUP(NV$5,Sprints[],4,FALSE))&lt;&gt;"")*(IF(OFFSET($A51,0,31*(VLOOKUP(NV$5,Sprints[],5,FALSE))+DAY(VLOOKUP(NV$5,Sprints[],2,FALSE)),1,VLOOKUP(NV$5,Sprints[],4,FALSE))=$OD$12,0.5,1)*(OFFSET($A$3,0,31*(VLOOKUP(NV$5,Sprints[],5,FALSE))+DAY(VLOOKUP(NV$5,Sprints[],2,FALSE)),1,VLOOKUP(NV$5,Sprints[],4,FALSE)))))</f>
        <v>8</v>
      </c>
      <c r="NW51" s="52">
        <f t="array" aca="1" ref="NW51" ca="1">SUMPRODUCT((OFFSET($A51,0,31*(VLOOKUP(NW$5,Sprints[],5,FALSE))+DAY(VLOOKUP(NW$5,Sprints[],2,FALSE)),1,VLOOKUP(NW$5,Sprints[],4,FALSE))&lt;&gt;"")*(IF(OFFSET($A51,0,31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1" s="52">
        <f t="array" aca="1" ref="NX51" ca="1">SUMPRODUCT((OFFSET($A51,0,31*(VLOOKUP(NX$5,Sprints[],5,FALSE))+DAY(VLOOKUP(NX$5,Sprints[],2,FALSE)),1,VLOOKUP(NX$5,Sprints[],4,FALSE))&lt;&gt;"")*(IF(OFFSET($A51,0,31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1" s="52">
        <f t="array" aca="1" ref="NY51" ca="1">SUMPRODUCT((OFFSET($A51,0,31*(VLOOKUP(NY$5,Sprints[],5,FALSE))+DAY(VLOOKUP(NY$5,Sprints[],2,FALSE)),1,VLOOKUP(NY$5,Sprints[],4,FALSE))&lt;&gt;"")*(IF(OFFSET($A51,0,31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1" s="52">
        <f t="array" aca="1" ref="NZ51" ca="1">SUMPRODUCT((OFFSET($A51,0,31*(VLOOKUP(NZ$5,Sprints[],5,FALSE))+DAY(VLOOKUP(NZ$5,Sprints[],2,FALSE)),1,VLOOKUP(NZ$5,Sprints[],4,FALSE))&lt;&gt;"")*(IF(OFFSET($A51,0,31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1" s="52">
        <f t="array" aca="1" ref="OA51" ca="1">SUMPRODUCT((OFFSET($A51,0,31*(VLOOKUP(OA$5,Sprints[],5,FALSE))+DAY(VLOOKUP(OA$5,Sprints[],2,FALSE)),1,VLOOKUP(OA$5,Sprints[],4,FALSE))&lt;&gt;"")*(IF(OFFSET($A51,0,31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2" spans="1:391" x14ac:dyDescent="0.45">
      <c r="A52" s="44" t="s">
        <v>99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36"/>
      <c r="R52" s="36" t="s">
        <v>35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36"/>
      <c r="AF52" s="2"/>
      <c r="AG52" s="36" t="s">
        <v>35</v>
      </c>
      <c r="AH52" s="2"/>
      <c r="AI52" s="2"/>
      <c r="AJ52" s="2"/>
      <c r="AK52" s="2"/>
      <c r="AL52" s="2"/>
      <c r="AM52" s="2" t="s">
        <v>33</v>
      </c>
      <c r="AN52" s="2" t="s">
        <v>33</v>
      </c>
      <c r="AO52" s="36" t="s">
        <v>35</v>
      </c>
      <c r="AP52" s="2" t="s">
        <v>33</v>
      </c>
      <c r="AQ52" s="2" t="s">
        <v>33</v>
      </c>
      <c r="AR52" s="2"/>
      <c r="AS52" s="2"/>
      <c r="AT52" s="2" t="s">
        <v>33</v>
      </c>
      <c r="AU52" s="2" t="s">
        <v>33</v>
      </c>
      <c r="AV52" s="2" t="s">
        <v>33</v>
      </c>
      <c r="AW52" s="2" t="s">
        <v>33</v>
      </c>
      <c r="AX52" s="2" t="s">
        <v>33</v>
      </c>
      <c r="AY52" s="2"/>
      <c r="AZ52" s="2"/>
      <c r="BA52" s="2" t="s">
        <v>33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 t="s">
        <v>35</v>
      </c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 t="s">
        <v>33</v>
      </c>
      <c r="EB52" s="2" t="s">
        <v>33</v>
      </c>
      <c r="EC52" s="2" t="s">
        <v>33</v>
      </c>
      <c r="ED52" s="2" t="s">
        <v>33</v>
      </c>
      <c r="EE52" s="2" t="s">
        <v>33</v>
      </c>
      <c r="EF52" s="2"/>
      <c r="EG52" s="2"/>
      <c r="EH52" s="2" t="s">
        <v>33</v>
      </c>
      <c r="EI52" s="2" t="s">
        <v>33</v>
      </c>
      <c r="EJ52" s="2" t="s">
        <v>33</v>
      </c>
      <c r="EK52" s="2" t="s">
        <v>33</v>
      </c>
      <c r="EL52" s="2" t="s">
        <v>33</v>
      </c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 t="s">
        <v>35</v>
      </c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 t="s">
        <v>35</v>
      </c>
      <c r="JO52" s="2"/>
      <c r="JP52" s="2"/>
      <c r="JQ52" s="2"/>
      <c r="JR52" s="2"/>
      <c r="JS52" s="2"/>
      <c r="JT52" s="2"/>
      <c r="JU52" s="2" t="s">
        <v>35</v>
      </c>
      <c r="JV52" s="2"/>
      <c r="JW52" s="2"/>
      <c r="JX52" s="2"/>
      <c r="JY52" s="2"/>
      <c r="JZ52" s="2"/>
      <c r="KA52" s="2" t="s">
        <v>35</v>
      </c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 t="s">
        <v>35</v>
      </c>
      <c r="MM52" s="2"/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  <c r="NC52" s="2"/>
      <c r="ND52" s="2"/>
      <c r="NE52" s="2"/>
      <c r="NF52" s="2"/>
      <c r="NG52" s="2"/>
      <c r="NH52" s="2"/>
      <c r="NI52" s="2"/>
      <c r="NJ52" s="14">
        <f t="array" aca="1" ref="NJ52" ca="1">SUMPRODUCT((OFFSET($A52,0,31*($A$3-1)+1,1,31)&lt;&gt;"")*(IF(OFFSET($A52,0,31*($A$3-1)+1,1,31)=$OD$12,0.5,1)*(OFFSET($A$4,0,31*($A$3-1)+1,1,31))))</f>
        <v>0</v>
      </c>
      <c r="NK52" s="20">
        <f t="array" aca="1" ref="NK52" ca="1">SUMPRODUCT((OFFSET($A52,0,1,1,372)&lt;&gt;"")*(IF(OFFSET($A52,0,1,1,372)=$OD$12,0.5,1)*(OFFSET($A$3,0,1,1,372))))</f>
        <v>29</v>
      </c>
      <c r="NL52" s="28">
        <f t="array" aca="1" ref="NL52" ca="1">SUMPRODUCT((OFFSET($A52,0,31*($A$4)+DAY(Holidays!$E$2),1,Holidays!$G$2)&lt;&gt;"")*(IF(OFFSET($A52,0,31*($A$4)+DAY(Holidays!$E$2),1,Holidays!$G$2)=$OD$12,0.5,1)*(OFFSET($A$3,0,31*($A$4)+DAY(Holidays!$E$2),1,Holidays!$G$2))))</f>
        <v>24</v>
      </c>
      <c r="NM52" s="52">
        <f t="array" aca="1" ref="NM52" ca="1">SUMPRODUCT((OFFSET($A52,0,31*($A$4)+DAY(VLOOKUP(NM$5,Sprints[],2,FALSE)),1,VLOOKUP(NM$5,Sprints[],4,FALSE))&lt;&gt;"")*(IF(OFFSET($A52,0,31*($A$4)+DAY(VLOOKUP(NM$5,Sprints[],2,FALSE)),1,VLOOKUP(NM$5,Sprints[],4,FALSE))=$OD$12,0.5,1)*(OFFSET($A$3,0,31*($A$4)+DAY(VLOOKUP(NM$5,Sprints[],2,FALSE)),1,VLOOKUP(NM$5,Sprints[],4,FALSE)))))</f>
        <v>1</v>
      </c>
      <c r="NN52" s="52">
        <f t="array" aca="1" ref="NN52" ca="1">SUMPRODUCT((OFFSET($A52,0,31*($A$4)+DAY(VLOOKUP(NN$5,Sprints[],2,FALSE)),1,VLOOKUP(NN$5,Sprints[],4,FALSE))&lt;&gt;"")*(IF(OFFSET($A52,0,31*($A$4)+DAY(VLOOKUP(NN$5,Sprints[],2,FALSE)),1,VLOOKUP(NN$5,Sprints[],4,FALSE))=$OD$12,0.5,1)*(OFFSET($A$3,0,31*($A$4)+DAY(VLOOKUP(NN$5,Sprints[],2,FALSE)),1,VLOOKUP(NN$5,Sprints[],4,FALSE)))))</f>
        <v>1</v>
      </c>
      <c r="NO52" s="52">
        <f t="array" aca="1" ref="NO52" ca="1">SUMPRODUCT((OFFSET($A52,0,31*($A$4)+DAY(VLOOKUP(NO$5,Sprints[],2,FALSE)),1,VLOOKUP(NO$5,Sprints[],4,FALSE))&lt;&gt;"")*(IF(OFFSET($A52,0,31*($A$4)+DAY(VLOOKUP(NO$5,Sprints[],2,FALSE)),1,VLOOKUP(NO$5,Sprints[],4,FALSE))=$OD$12,0.5,1)*(OFFSET($A$3,0,31*($A$4)+DAY(VLOOKUP(NO$5,Sprints[],2,FALSE)),1,VLOOKUP(NO$5,Sprints[],4,FALSE)))))</f>
        <v>0</v>
      </c>
      <c r="NP52" s="52">
        <f t="array" aca="1" ref="NP52" ca="1">SUMPRODUCT((OFFSET($A52,0,31*(VLOOKUP(NP$5,Sprints[],5,FALSE))+DAY(VLOOKUP(NP$5,Sprints[],2,FALSE)),1,VLOOKUP(NP$5,Sprints[],4,FALSE))&lt;&gt;"")*(IF(OFFSET($A52,0,31*(VLOOKUP(NP$5,Sprints[],5,FALSE))+DAY(VLOOKUP(NP$5,Sprints[],2,FALSE)),1,VLOOKUP(NP$5,Sprints[],4,FALSE))=$OD$12,0.5,1)*(OFFSET($A$3,0,31*(VLOOKUP(NP$5,Sprints[],5,FALSE))+DAY(VLOOKUP(NP$5,Sprints[],2,FALSE)),1,VLOOKUP(NP$5,Sprints[],4,FALSE)))))</f>
        <v>4</v>
      </c>
      <c r="NQ52" s="52">
        <f t="array" aca="1" ref="NQ52" ca="1">SUMPRODUCT((OFFSET($A52,0,31*(VLOOKUP(NQ$5,Sprints[],5,FALSE))+DAY(VLOOKUP(NQ$5,Sprints[],2,FALSE)),1,VLOOKUP(NQ$5,Sprints[],4,FALSE))&lt;&gt;"")*(IF(OFFSET($A52,0,31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2" s="52">
        <f t="array" aca="1" ref="NR52" ca="1">SUMPRODUCT((OFFSET($A52,0,31*(VLOOKUP(NR$5,Sprints[],5,FALSE))+DAY(VLOOKUP(NR$5,Sprints[],2,FALSE)),1,VLOOKUP(NR$5,Sprints[],4,FALSE))&lt;&gt;"")*(IF(OFFSET($A52,0,31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2" s="52">
        <f t="array" aca="1" ref="NS52" ca="1">SUMPRODUCT((OFFSET($A52,0,31*(VLOOKUP(NS$5,Sprints[],5,FALSE))+DAY(VLOOKUP(NS$5,Sprints[],2,FALSE)),1,VLOOKUP(NS$5,Sprints[],4,FALSE))&lt;&gt;"")*(IF(OFFSET($A52,0,31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2" s="52">
        <f t="array" aca="1" ref="NT52" ca="1">SUMPRODUCT((OFFSET($A52,0,31*(VLOOKUP(NT$5,Sprints[],5,FALSE))+DAY(VLOOKUP(NT$5,Sprints[],2,FALSE)),1,VLOOKUP(NT$5,Sprints[],4,FALSE))&lt;&gt;"")*(IF(OFFSET($A52,0,31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2" s="52">
        <f t="array" aca="1" ref="NU52" ca="1">SUMPRODUCT((OFFSET($A52,0,31*(VLOOKUP(NU$5,Sprints[],5,FALSE))+DAY(VLOOKUP(NU$5,Sprints[],2,FALSE)),1,VLOOKUP(NU$5,Sprints[],4,FALSE))&lt;&gt;"")*(IF(OFFSET($A52,0,31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2" s="52">
        <f t="array" aca="1" ref="NV52" ca="1">SUMPRODUCT((OFFSET($A52,0,31*(VLOOKUP(NV$5,Sprints[],5,FALSE))+DAY(VLOOKUP(NV$5,Sprints[],2,FALSE)),1,VLOOKUP(NV$5,Sprints[],4,FALSE))&lt;&gt;"")*(IF(OFFSET($A52,0,31*(VLOOKUP(NV$5,Sprints[],5,FALSE))+DAY(VLOOKUP(NV$5,Sprints[],2,FALSE)),1,VLOOKUP(NV$5,Sprints[],4,FALSE))=$OD$12,0.5,1)*(OFFSET($A$3,0,31*(VLOOKUP(NV$5,Sprints[],5,FALSE))+DAY(VLOOKUP(NV$5,Sprints[],2,FALSE)),1,VLOOKUP(NV$5,Sprints[],4,FALSE)))))</f>
        <v>7</v>
      </c>
      <c r="NW52" s="52">
        <f t="array" aca="1" ref="NW52" ca="1">SUMPRODUCT((OFFSET($A52,0,31*(VLOOKUP(NW$5,Sprints[],5,FALSE))+DAY(VLOOKUP(NW$5,Sprints[],2,FALSE)),1,VLOOKUP(NW$5,Sprints[],4,FALSE))&lt;&gt;"")*(IF(OFFSET($A52,0,31*(VLOOKUP(NW$5,Sprints[],5,FALSE))+DAY(VLOOKUP(NW$5,Sprints[],2,FALSE)),1,VLOOKUP(NW$5,Sprints[],4,FALSE))=$OD$12,0.5,1)*(OFFSET($A$3,0,31*(VLOOKUP(NW$5,Sprints[],5,FALSE))+DAY(VLOOKUP(NW$5,Sprints[],2,FALSE)),1,VLOOKUP(NW$5,Sprints[],4,FALSE)))))</f>
        <v>3</v>
      </c>
      <c r="NX52" s="52">
        <f t="array" aca="1" ref="NX52" ca="1">SUMPRODUCT((OFFSET($A52,0,31*(VLOOKUP(NX$5,Sprints[],5,FALSE))+DAY(VLOOKUP(NX$5,Sprints[],2,FALSE)),1,VLOOKUP(NX$5,Sprints[],4,FALSE))&lt;&gt;"")*(IF(OFFSET($A52,0,31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2" s="52">
        <f t="array" aca="1" ref="NY52" ca="1">SUMPRODUCT((OFFSET($A52,0,31*(VLOOKUP(NY$5,Sprints[],5,FALSE))+DAY(VLOOKUP(NY$5,Sprints[],2,FALSE)),1,VLOOKUP(NY$5,Sprints[],4,FALSE))&lt;&gt;"")*(IF(OFFSET($A52,0,31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2" s="52">
        <f t="array" aca="1" ref="NZ52" ca="1">SUMPRODUCT((OFFSET($A52,0,31*(VLOOKUP(NZ$5,Sprints[],5,FALSE))+DAY(VLOOKUP(NZ$5,Sprints[],2,FALSE)),1,VLOOKUP(NZ$5,Sprints[],4,FALSE))&lt;&gt;"")*(IF(OFFSET($A52,0,31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2" s="52">
        <f t="array" aca="1" ref="OA52" ca="1">SUMPRODUCT((OFFSET($A52,0,31*(VLOOKUP(OA$5,Sprints[],5,FALSE))+DAY(VLOOKUP(OA$5,Sprints[],2,FALSE)),1,VLOOKUP(OA$5,Sprints[],4,FALSE))&lt;&gt;"")*(IF(OFFSET($A52,0,31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3" spans="1:391" x14ac:dyDescent="0.45">
      <c r="A53" s="44" t="s">
        <v>100</v>
      </c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36"/>
      <c r="R53" s="36" t="s">
        <v>35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36"/>
      <c r="AF53" s="2"/>
      <c r="AG53" s="36" t="s">
        <v>35</v>
      </c>
      <c r="AH53" s="2"/>
      <c r="AI53" s="2"/>
      <c r="AJ53" s="2"/>
      <c r="AK53" s="2"/>
      <c r="AL53" s="2"/>
      <c r="AM53" s="2"/>
      <c r="AN53" s="2"/>
      <c r="AO53" s="36" t="s">
        <v>35</v>
      </c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 t="s">
        <v>35</v>
      </c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 t="s">
        <v>33</v>
      </c>
      <c r="EI53" s="2" t="s">
        <v>33</v>
      </c>
      <c r="EJ53" s="2" t="s">
        <v>33</v>
      </c>
      <c r="EK53" s="2" t="s">
        <v>33</v>
      </c>
      <c r="EL53" s="2" t="s">
        <v>33</v>
      </c>
      <c r="EM53" s="2"/>
      <c r="EN53" s="2"/>
      <c r="EO53" s="2" t="s">
        <v>33</v>
      </c>
      <c r="EP53" s="2" t="s">
        <v>33</v>
      </c>
      <c r="EQ53" s="2" t="s">
        <v>33</v>
      </c>
      <c r="ER53" s="2" t="s">
        <v>33</v>
      </c>
      <c r="ES53" s="2" t="s">
        <v>33</v>
      </c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 t="s">
        <v>35</v>
      </c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 t="s">
        <v>35</v>
      </c>
      <c r="JO53" s="2"/>
      <c r="JP53" s="2"/>
      <c r="JQ53" s="2"/>
      <c r="JR53" s="2"/>
      <c r="JS53" s="2"/>
      <c r="JT53" s="2"/>
      <c r="JU53" s="2" t="s">
        <v>35</v>
      </c>
      <c r="JV53" s="2"/>
      <c r="JW53" s="2"/>
      <c r="JX53" s="2"/>
      <c r="JY53" s="2"/>
      <c r="JZ53" s="2"/>
      <c r="KA53" s="2" t="s">
        <v>35</v>
      </c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 t="s">
        <v>35</v>
      </c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  <c r="NC53" s="2"/>
      <c r="ND53" s="2"/>
      <c r="NE53" s="2"/>
      <c r="NF53" s="2"/>
      <c r="NG53" s="2"/>
      <c r="NH53" s="2"/>
      <c r="NI53" s="2"/>
      <c r="NJ53" s="14">
        <f t="array" aca="1" ref="NJ53" ca="1">SUMPRODUCT((OFFSET($A53,0,31*($A$3-1)+1,1,31)&lt;&gt;"")*(IF(OFFSET($A53,0,31*($A$3-1)+1,1,31)=$OD$12,0.5,1)*(OFFSET($A$4,0,31*($A$3-1)+1,1,31))))</f>
        <v>0</v>
      </c>
      <c r="NK53" s="20">
        <f t="array" aca="1" ref="NK53" ca="1">SUMPRODUCT((OFFSET($A53,0,1,1,372)&lt;&gt;"")*(IF(OFFSET($A53,0,1,1,372)=$OD$12,0.5,1)*(OFFSET($A$3,0,1,1,372))))</f>
        <v>19</v>
      </c>
      <c r="NL53" s="28">
        <f t="array" aca="1" ref="NL53" ca="1">SUMPRODUCT((OFFSET($A53,0,31*($A$4)+DAY(Holidays!$E$2),1,Holidays!$G$2)&lt;&gt;"")*(IF(OFFSET($A53,0,31*($A$4)+DAY(Holidays!$E$2),1,Holidays!$G$2)=$OD$12,0.5,1)*(OFFSET($A$3,0,31*($A$4)+DAY(Holidays!$E$2),1,Holidays!$G$2))))</f>
        <v>14</v>
      </c>
      <c r="NM53" s="52">
        <f t="array" aca="1" ref="NM53" ca="1">SUMPRODUCT((OFFSET($A53,0,31*($A$4)+DAY(VLOOKUP(NM$5,Sprints[],2,FALSE)),1,VLOOKUP(NM$5,Sprints[],4,FALSE))&lt;&gt;"")*(IF(OFFSET($A53,0,31*($A$4)+DAY(VLOOKUP(NM$5,Sprints[],2,FALSE)),1,VLOOKUP(NM$5,Sprints[],4,FALSE))=$OD$12,0.5,1)*(OFFSET($A$3,0,31*($A$4)+DAY(VLOOKUP(NM$5,Sprints[],2,FALSE)),1,VLOOKUP(NM$5,Sprints[],4,FALSE)))))</f>
        <v>1</v>
      </c>
      <c r="NN53" s="52">
        <f t="array" aca="1" ref="NN53" ca="1">SUMPRODUCT((OFFSET($A53,0,31*($A$4)+DAY(VLOOKUP(NN$5,Sprints[],2,FALSE)),1,VLOOKUP(NN$5,Sprints[],4,FALSE))&lt;&gt;"")*(IF(OFFSET($A53,0,31*($A$4)+DAY(VLOOKUP(NN$5,Sprints[],2,FALSE)),1,VLOOKUP(NN$5,Sprints[],4,FALSE))=$OD$12,0.5,1)*(OFFSET($A$3,0,31*($A$4)+DAY(VLOOKUP(NN$5,Sprints[],2,FALSE)),1,VLOOKUP(NN$5,Sprints[],4,FALSE)))))</f>
        <v>1</v>
      </c>
      <c r="NO53" s="52">
        <f t="array" aca="1" ref="NO53" ca="1">SUMPRODUCT((OFFSET($A53,0,31*($A$4)+DAY(VLOOKUP(NO$5,Sprints[],2,FALSE)),1,VLOOKUP(NO$5,Sprints[],4,FALSE))&lt;&gt;"")*(IF(OFFSET($A53,0,31*($A$4)+DAY(VLOOKUP(NO$5,Sprints[],2,FALSE)),1,VLOOKUP(NO$5,Sprints[],4,FALSE))=$OD$12,0.5,1)*(OFFSET($A$3,0,31*($A$4)+DAY(VLOOKUP(NO$5,Sprints[],2,FALSE)),1,VLOOKUP(NO$5,Sprints[],4,FALSE)))))</f>
        <v>0</v>
      </c>
      <c r="NP53" s="52">
        <f t="array" aca="1" ref="NP53" ca="1">SUMPRODUCT((OFFSET($A53,0,31*(VLOOKUP(NP$5,Sprints[],5,FALSE))+DAY(VLOOKUP(NP$5,Sprints[],2,FALSE)),1,VLOOKUP(NP$5,Sprints[],4,FALSE))&lt;&gt;"")*(IF(OFFSET($A53,0,31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3" s="52">
        <f t="array" aca="1" ref="NQ53" ca="1">SUMPRODUCT((OFFSET($A53,0,31*(VLOOKUP(NQ$5,Sprints[],5,FALSE))+DAY(VLOOKUP(NQ$5,Sprints[],2,FALSE)),1,VLOOKUP(NQ$5,Sprints[],4,FALSE))&lt;&gt;"")*(IF(OFFSET($A53,0,31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3" s="52">
        <f t="array" aca="1" ref="NR53" ca="1">SUMPRODUCT((OFFSET($A53,0,31*(VLOOKUP(NR$5,Sprints[],5,FALSE))+DAY(VLOOKUP(NR$5,Sprints[],2,FALSE)),1,VLOOKUP(NR$5,Sprints[],4,FALSE))&lt;&gt;"")*(IF(OFFSET($A53,0,31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3" s="52">
        <f t="array" aca="1" ref="NS53" ca="1">SUMPRODUCT((OFFSET($A53,0,31*(VLOOKUP(NS$5,Sprints[],5,FALSE))+DAY(VLOOKUP(NS$5,Sprints[],2,FALSE)),1,VLOOKUP(NS$5,Sprints[],4,FALSE))&lt;&gt;"")*(IF(OFFSET($A53,0,31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3" s="52">
        <f t="array" aca="1" ref="NT53" ca="1">SUMPRODUCT((OFFSET($A53,0,31*(VLOOKUP(NT$5,Sprints[],5,FALSE))+DAY(VLOOKUP(NT$5,Sprints[],2,FALSE)),1,VLOOKUP(NT$5,Sprints[],4,FALSE))&lt;&gt;"")*(IF(OFFSET($A53,0,31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3" s="52">
        <f t="array" aca="1" ref="NU53" ca="1">SUMPRODUCT((OFFSET($A53,0,31*(VLOOKUP(NU$5,Sprints[],5,FALSE))+DAY(VLOOKUP(NU$5,Sprints[],2,FALSE)),1,VLOOKUP(NU$5,Sprints[],4,FALSE))&lt;&gt;"")*(IF(OFFSET($A53,0,31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3" s="52">
        <f t="array" aca="1" ref="NV53" ca="1">SUMPRODUCT((OFFSET($A53,0,31*(VLOOKUP(NV$5,Sprints[],5,FALSE))+DAY(VLOOKUP(NV$5,Sprints[],2,FALSE)),1,VLOOKUP(NV$5,Sprints[],4,FALSE))&lt;&gt;"")*(IF(OFFSET($A53,0,31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53" s="52">
        <f t="array" aca="1" ref="NW53" ca="1">SUMPRODUCT((OFFSET($A53,0,31*(VLOOKUP(NW$5,Sprints[],5,FALSE))+DAY(VLOOKUP(NW$5,Sprints[],2,FALSE)),1,VLOOKUP(NW$5,Sprints[],4,FALSE))&lt;&gt;"")*(IF(OFFSET($A53,0,31*(VLOOKUP(NW$5,Sprints[],5,FALSE))+DAY(VLOOKUP(NW$5,Sprints[],2,FALSE)),1,VLOOKUP(NW$5,Sprints[],4,FALSE))=$OD$12,0.5,1)*(OFFSET($A$3,0,31*(VLOOKUP(NW$5,Sprints[],5,FALSE))+DAY(VLOOKUP(NW$5,Sprints[],2,FALSE)),1,VLOOKUP(NW$5,Sprints[],4,FALSE)))))</f>
        <v>8</v>
      </c>
      <c r="NX53" s="52">
        <f t="array" aca="1" ref="NX53" ca="1">SUMPRODUCT((OFFSET($A53,0,31*(VLOOKUP(NX$5,Sprints[],5,FALSE))+DAY(VLOOKUP(NX$5,Sprints[],2,FALSE)),1,VLOOKUP(NX$5,Sprints[],4,FALSE))&lt;&gt;"")*(IF(OFFSET($A53,0,31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3" s="52">
        <f t="array" aca="1" ref="NY53" ca="1">SUMPRODUCT((OFFSET($A53,0,31*(VLOOKUP(NY$5,Sprints[],5,FALSE))+DAY(VLOOKUP(NY$5,Sprints[],2,FALSE)),1,VLOOKUP(NY$5,Sprints[],4,FALSE))&lt;&gt;"")*(IF(OFFSET($A53,0,31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3" s="52">
        <f t="array" aca="1" ref="NZ53" ca="1">SUMPRODUCT((OFFSET($A53,0,31*(VLOOKUP(NZ$5,Sprints[],5,FALSE))+DAY(VLOOKUP(NZ$5,Sprints[],2,FALSE)),1,VLOOKUP(NZ$5,Sprints[],4,FALSE))&lt;&gt;"")*(IF(OFFSET($A53,0,31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3" s="52">
        <f t="array" aca="1" ref="OA53" ca="1">SUMPRODUCT((OFFSET($A53,0,31*(VLOOKUP(OA$5,Sprints[],5,FALSE))+DAY(VLOOKUP(OA$5,Sprints[],2,FALSE)),1,VLOOKUP(OA$5,Sprints[],4,FALSE))&lt;&gt;"")*(IF(OFFSET($A53,0,31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4" spans="1:391" x14ac:dyDescent="0.45">
      <c r="A54" s="44" t="s">
        <v>101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36"/>
      <c r="R54" s="36" t="s">
        <v>35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36"/>
      <c r="AF54" s="2"/>
      <c r="AG54" s="36" t="s">
        <v>35</v>
      </c>
      <c r="AH54" s="2"/>
      <c r="AI54" s="2"/>
      <c r="AJ54" s="2"/>
      <c r="AK54" s="2"/>
      <c r="AL54" s="2"/>
      <c r="AM54" s="2"/>
      <c r="AN54" s="2"/>
      <c r="AO54" s="36" t="s">
        <v>35</v>
      </c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 t="s">
        <v>49</v>
      </c>
      <c r="BY54" s="2" t="s">
        <v>49</v>
      </c>
      <c r="BZ54" s="2" t="s">
        <v>49</v>
      </c>
      <c r="CA54" s="2"/>
      <c r="CB54" s="2"/>
      <c r="CC54" s="2" t="s">
        <v>49</v>
      </c>
      <c r="CD54" s="2" t="s">
        <v>49</v>
      </c>
      <c r="CE54" s="2" t="s">
        <v>49</v>
      </c>
      <c r="CF54" s="2" t="s">
        <v>49</v>
      </c>
      <c r="CG54" s="2" t="s">
        <v>49</v>
      </c>
      <c r="CH54" s="2"/>
      <c r="CI54" s="2"/>
      <c r="CJ54" s="2" t="s">
        <v>49</v>
      </c>
      <c r="CK54" s="2" t="s">
        <v>49</v>
      </c>
      <c r="CL54" s="2" t="s">
        <v>49</v>
      </c>
      <c r="CM54" s="2" t="s">
        <v>49</v>
      </c>
      <c r="CN54" s="2" t="s">
        <v>49</v>
      </c>
      <c r="CO54" s="2"/>
      <c r="CP54" s="2"/>
      <c r="CQ54" s="2"/>
      <c r="CR54" s="2" t="s">
        <v>49</v>
      </c>
      <c r="CS54" s="2" t="s">
        <v>35</v>
      </c>
      <c r="CT54" s="2" t="s">
        <v>49</v>
      </c>
      <c r="CU54" s="2" t="s">
        <v>49</v>
      </c>
      <c r="CV54" s="2" t="s">
        <v>49</v>
      </c>
      <c r="CW54" s="2"/>
      <c r="CX54" s="2"/>
      <c r="CY54" s="2" t="s">
        <v>49</v>
      </c>
      <c r="CZ54" s="2" t="s">
        <v>49</v>
      </c>
      <c r="DA54" s="2" t="s">
        <v>49</v>
      </c>
      <c r="DB54" s="2" t="s">
        <v>49</v>
      </c>
      <c r="DC54" s="2" t="s">
        <v>49</v>
      </c>
      <c r="DD54" s="2"/>
      <c r="DE54" s="2"/>
      <c r="DF54" s="2" t="s">
        <v>49</v>
      </c>
      <c r="DG54" s="2" t="s">
        <v>49</v>
      </c>
      <c r="DH54" s="2" t="s">
        <v>49</v>
      </c>
      <c r="DI54" s="2" t="s">
        <v>49</v>
      </c>
      <c r="DJ54" s="2" t="s">
        <v>49</v>
      </c>
      <c r="DK54" s="2"/>
      <c r="DL54" s="2"/>
      <c r="DM54" s="2" t="s">
        <v>49</v>
      </c>
      <c r="DN54" s="2" t="s">
        <v>49</v>
      </c>
      <c r="DO54" s="2" t="s">
        <v>49</v>
      </c>
      <c r="DP54" s="2" t="s">
        <v>49</v>
      </c>
      <c r="DQ54" s="2" t="s">
        <v>49</v>
      </c>
      <c r="DR54" s="2"/>
      <c r="DS54" s="2"/>
      <c r="DT54" s="2" t="s">
        <v>49</v>
      </c>
      <c r="DU54" s="2" t="s">
        <v>49</v>
      </c>
      <c r="DV54" s="2" t="s">
        <v>49</v>
      </c>
      <c r="DW54" s="2" t="s">
        <v>49</v>
      </c>
      <c r="DX54" s="2" t="s">
        <v>49</v>
      </c>
      <c r="DY54" s="2"/>
      <c r="DZ54" s="2"/>
      <c r="EA54" s="2" t="s">
        <v>49</v>
      </c>
      <c r="EB54" s="2" t="s">
        <v>49</v>
      </c>
      <c r="EC54" s="2" t="s">
        <v>49</v>
      </c>
      <c r="ED54" s="2" t="s">
        <v>49</v>
      </c>
      <c r="EE54" s="2" t="s">
        <v>49</v>
      </c>
      <c r="EF54" s="2"/>
      <c r="EG54" s="2"/>
      <c r="EH54" s="2" t="s">
        <v>49</v>
      </c>
      <c r="EI54" s="2" t="s">
        <v>49</v>
      </c>
      <c r="EJ54" s="2" t="s">
        <v>49</v>
      </c>
      <c r="EK54" s="2" t="s">
        <v>49</v>
      </c>
      <c r="EL54" s="2" t="s">
        <v>49</v>
      </c>
      <c r="EM54" s="2"/>
      <c r="EN54" s="2"/>
      <c r="EO54" s="2" t="s">
        <v>49</v>
      </c>
      <c r="EP54" s="2" t="s">
        <v>49</v>
      </c>
      <c r="EQ54" s="2" t="s">
        <v>49</v>
      </c>
      <c r="ER54" s="2" t="s">
        <v>49</v>
      </c>
      <c r="ES54" s="2" t="s">
        <v>49</v>
      </c>
      <c r="ET54" s="2"/>
      <c r="EU54" s="2"/>
      <c r="EV54" s="2" t="s">
        <v>49</v>
      </c>
      <c r="EW54" s="2" t="s">
        <v>49</v>
      </c>
      <c r="EX54" s="2" t="s">
        <v>49</v>
      </c>
      <c r="EY54" s="2" t="s">
        <v>49</v>
      </c>
      <c r="EZ54" s="2" t="s">
        <v>49</v>
      </c>
      <c r="FA54" s="2"/>
      <c r="FB54" s="2"/>
      <c r="FC54" s="2" t="s">
        <v>49</v>
      </c>
      <c r="FD54" s="2" t="s">
        <v>49</v>
      </c>
      <c r="FE54" s="2" t="s">
        <v>49</v>
      </c>
      <c r="FF54" s="2" t="s">
        <v>49</v>
      </c>
      <c r="FG54" s="2" t="s">
        <v>49</v>
      </c>
      <c r="FH54" s="2"/>
      <c r="FI54" s="2"/>
      <c r="FJ54" s="2" t="s">
        <v>49</v>
      </c>
      <c r="FK54" s="2" t="s">
        <v>49</v>
      </c>
      <c r="FL54" s="2" t="s">
        <v>49</v>
      </c>
      <c r="FM54" s="2" t="s">
        <v>49</v>
      </c>
      <c r="FN54" s="2" t="s">
        <v>49</v>
      </c>
      <c r="FO54" s="2"/>
      <c r="FP54" s="2"/>
      <c r="FQ54" s="2" t="s">
        <v>49</v>
      </c>
      <c r="FR54" s="2" t="s">
        <v>49</v>
      </c>
      <c r="FS54" s="2" t="s">
        <v>49</v>
      </c>
      <c r="FT54" s="2" t="s">
        <v>49</v>
      </c>
      <c r="FU54" s="2" t="s">
        <v>49</v>
      </c>
      <c r="FV54" s="2"/>
      <c r="FW54" s="2"/>
      <c r="FX54" s="2" t="s">
        <v>49</v>
      </c>
      <c r="FY54" s="2" t="s">
        <v>49</v>
      </c>
      <c r="FZ54" s="2" t="s">
        <v>49</v>
      </c>
      <c r="GA54" s="2" t="s">
        <v>49</v>
      </c>
      <c r="GB54" s="2" t="s">
        <v>49</v>
      </c>
      <c r="GC54" s="2"/>
      <c r="GD54" s="2"/>
      <c r="GE54" s="2"/>
      <c r="GF54" s="2" t="s">
        <v>49</v>
      </c>
      <c r="GG54" s="2" t="s">
        <v>49</v>
      </c>
      <c r="GH54" s="2" t="s">
        <v>49</v>
      </c>
      <c r="GI54" s="2" t="s">
        <v>49</v>
      </c>
      <c r="GJ54" s="2" t="s">
        <v>49</v>
      </c>
      <c r="GK54" s="2"/>
      <c r="GL54" s="2"/>
      <c r="GM54" s="2" t="s">
        <v>49</v>
      </c>
      <c r="GN54" s="2" t="s">
        <v>49</v>
      </c>
      <c r="GO54" s="2" t="s">
        <v>49</v>
      </c>
      <c r="GP54" s="2" t="s">
        <v>49</v>
      </c>
      <c r="GQ54" s="2" t="s">
        <v>49</v>
      </c>
      <c r="GR54" s="2"/>
      <c r="GS54" s="2"/>
      <c r="GT54" s="2" t="s">
        <v>49</v>
      </c>
      <c r="GU54" s="2" t="s">
        <v>49</v>
      </c>
      <c r="GV54" s="2" t="s">
        <v>49</v>
      </c>
      <c r="GW54" s="2" t="s">
        <v>49</v>
      </c>
      <c r="GX54" s="2" t="s">
        <v>49</v>
      </c>
      <c r="GY54" s="2"/>
      <c r="GZ54" s="2"/>
      <c r="HA54" s="2" t="s">
        <v>49</v>
      </c>
      <c r="HB54" s="2" t="s">
        <v>49</v>
      </c>
      <c r="HC54" s="2" t="s">
        <v>49</v>
      </c>
      <c r="HD54" s="2" t="s">
        <v>49</v>
      </c>
      <c r="HE54" s="2" t="s">
        <v>49</v>
      </c>
      <c r="HF54" s="2"/>
      <c r="HG54" s="2"/>
      <c r="HH54" s="2" t="s">
        <v>49</v>
      </c>
      <c r="HI54" s="2" t="s">
        <v>49</v>
      </c>
      <c r="HJ54" s="2" t="s">
        <v>49</v>
      </c>
      <c r="HK54" s="2"/>
      <c r="HL54" s="2"/>
      <c r="HM54" s="2"/>
      <c r="HN54" s="2"/>
      <c r="HO54" s="2"/>
      <c r="HP54" s="2"/>
      <c r="HQ54" s="2" t="s">
        <v>35</v>
      </c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 t="s">
        <v>35</v>
      </c>
      <c r="JO54" s="2"/>
      <c r="JP54" s="2"/>
      <c r="JQ54" s="2"/>
      <c r="JR54" s="2"/>
      <c r="JS54" s="2"/>
      <c r="JT54" s="2"/>
      <c r="JU54" s="2" t="s">
        <v>35</v>
      </c>
      <c r="JV54" s="2"/>
      <c r="JW54" s="2"/>
      <c r="JX54" s="2"/>
      <c r="JY54" s="2"/>
      <c r="JZ54" s="2"/>
      <c r="KA54" s="2" t="s">
        <v>35</v>
      </c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 t="s">
        <v>35</v>
      </c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  <c r="NC54" s="2"/>
      <c r="ND54" s="2"/>
      <c r="NE54" s="2"/>
      <c r="NF54" s="2"/>
      <c r="NG54" s="2"/>
      <c r="NH54" s="2"/>
      <c r="NI54" s="2"/>
      <c r="NJ54" s="14">
        <f t="array" aca="1" ref="NJ54" ca="1">SUMPRODUCT((OFFSET($A54,0,31*($A$3-1)+1,1,31)&lt;&gt;"")*(IF(OFFSET($A54,0,31*($A$3-1)+1,1,31)=$OD$12,0.5,1)*(OFFSET($A$4,0,31*($A$3-1)+1,1,31))))</f>
        <v>20</v>
      </c>
      <c r="NK54" s="20">
        <f t="array" aca="1" ref="NK54" ca="1">SUMPRODUCT((OFFSET($A54,0,1,1,372)&lt;&gt;"")*(IF(OFFSET($A54,0,1,1,372)=$OD$12,0.5,1)*(OFFSET($A$3,0,1,1,372))))</f>
        <v>109</v>
      </c>
      <c r="NL54" s="28">
        <f t="array" aca="1" ref="NL54" ca="1">SUMPRODUCT((OFFSET($A54,0,31*($A$4)+DAY(Holidays!$E$2),1,Holidays!$G$2)&lt;&gt;"")*(IF(OFFSET($A54,0,31*($A$4)+DAY(Holidays!$E$2),1,Holidays!$G$2)=$OD$12,0.5,1)*(OFFSET($A$3,0,31*($A$4)+DAY(Holidays!$E$2),1,Holidays!$G$2))))</f>
        <v>83</v>
      </c>
      <c r="NM54" s="52">
        <f t="array" aca="1" ref="NM54" ca="1">SUMPRODUCT((OFFSET($A54,0,31*($A$4)+DAY(VLOOKUP(NM$5,Sprints[],2,FALSE)),1,VLOOKUP(NM$5,Sprints[],4,FALSE))&lt;&gt;"")*(IF(OFFSET($A54,0,31*($A$4)+DAY(VLOOKUP(NM$5,Sprints[],2,FALSE)),1,VLOOKUP(NM$5,Sprints[],4,FALSE))=$OD$12,0.5,1)*(OFFSET($A$3,0,31*($A$4)+DAY(VLOOKUP(NM$5,Sprints[],2,FALSE)),1,VLOOKUP(NM$5,Sprints[],4,FALSE)))))</f>
        <v>1</v>
      </c>
      <c r="NN54" s="52">
        <f t="array" aca="1" ref="NN54" ca="1">SUMPRODUCT((OFFSET($A54,0,31*($A$4)+DAY(VLOOKUP(NN$5,Sprints[],2,FALSE)),1,VLOOKUP(NN$5,Sprints[],4,FALSE))&lt;&gt;"")*(IF(OFFSET($A54,0,31*($A$4)+DAY(VLOOKUP(NN$5,Sprints[],2,FALSE)),1,VLOOKUP(NN$5,Sprints[],4,FALSE))=$OD$12,0.5,1)*(OFFSET($A$3,0,31*($A$4)+DAY(VLOOKUP(NN$5,Sprints[],2,FALSE)),1,VLOOKUP(NN$5,Sprints[],4,FALSE)))))</f>
        <v>1</v>
      </c>
      <c r="NO54" s="52">
        <f t="array" aca="1" ref="NO54" ca="1">SUMPRODUCT((OFFSET($A54,0,31*($A$4)+DAY(VLOOKUP(NO$5,Sprints[],2,FALSE)),1,VLOOKUP(NO$5,Sprints[],4,FALSE))&lt;&gt;"")*(IF(OFFSET($A54,0,31*($A$4)+DAY(VLOOKUP(NO$5,Sprints[],2,FALSE)),1,VLOOKUP(NO$5,Sprints[],4,FALSE))=$OD$12,0.5,1)*(OFFSET($A$3,0,31*($A$4)+DAY(VLOOKUP(NO$5,Sprints[],2,FALSE)),1,VLOOKUP(NO$5,Sprints[],4,FALSE)))))</f>
        <v>0</v>
      </c>
      <c r="NP54" s="52">
        <f t="array" aca="1" ref="NP54" ca="1">SUMPRODUCT((OFFSET($A54,0,31*(VLOOKUP(NP$5,Sprints[],5,FALSE))+DAY(VLOOKUP(NP$5,Sprints[],2,FALSE)),1,VLOOKUP(NP$5,Sprints[],4,FALSE))&lt;&gt;"")*(IF(OFFSET($A54,0,31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4" s="52">
        <f t="array" aca="1" ref="NQ54" ca="1">SUMPRODUCT((OFFSET($A54,0,31*(VLOOKUP(NQ$5,Sprints[],5,FALSE))+DAY(VLOOKUP(NQ$5,Sprints[],2,FALSE)),1,VLOOKUP(NQ$5,Sprints[],4,FALSE))&lt;&gt;"")*(IF(OFFSET($A54,0,31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4" s="52">
        <f t="array" aca="1" ref="NR54" ca="1">SUMPRODUCT((OFFSET($A54,0,31*(VLOOKUP(NR$5,Sprints[],5,FALSE))+DAY(VLOOKUP(NR$5,Sprints[],2,FALSE)),1,VLOOKUP(NR$5,Sprints[],4,FALSE))&lt;&gt;"")*(IF(OFFSET($A54,0,31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54" s="52">
        <f t="array" aca="1" ref="NS54" ca="1">SUMPRODUCT((OFFSET($A54,0,31*(VLOOKUP(NS$5,Sprints[],5,FALSE))+DAY(VLOOKUP(NS$5,Sprints[],2,FALSE)),1,VLOOKUP(NS$5,Sprints[],4,FALSE))&lt;&gt;"")*(IF(OFFSET($A54,0,31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54" s="52">
        <f t="array" aca="1" ref="NT54" ca="1">SUMPRODUCT((OFFSET($A54,0,31*(VLOOKUP(NT$5,Sprints[],5,FALSE))+DAY(VLOOKUP(NT$5,Sprints[],2,FALSE)),1,VLOOKUP(NT$5,Sprints[],4,FALSE))&lt;&gt;"")*(IF(OFFSET($A54,0,31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54" s="52">
        <f t="array" aca="1" ref="NU54" ca="1">SUMPRODUCT((OFFSET($A54,0,31*(VLOOKUP(NU$5,Sprints[],5,FALSE))+DAY(VLOOKUP(NU$5,Sprints[],2,FALSE)),1,VLOOKUP(NU$5,Sprints[],4,FALSE))&lt;&gt;"")*(IF(OFFSET($A54,0,31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54" s="52">
        <f t="array" aca="1" ref="NV54" ca="1">SUMPRODUCT((OFFSET($A54,0,31*(VLOOKUP(NV$5,Sprints[],5,FALSE))+DAY(VLOOKUP(NV$5,Sprints[],2,FALSE)),1,VLOOKUP(NV$5,Sprints[],4,FALSE))&lt;&gt;"")*(IF(OFFSET($A54,0,31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54" s="52">
        <f t="array" aca="1" ref="NW54" ca="1">SUMPRODUCT((OFFSET($A54,0,31*(VLOOKUP(NW$5,Sprints[],5,FALSE))+DAY(VLOOKUP(NW$5,Sprints[],2,FALSE)),1,VLOOKUP(NW$5,Sprints[],4,FALSE))&lt;&gt;"")*(IF(OFFSET($A54,0,31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54" s="52">
        <f t="array" aca="1" ref="NX54" ca="1">SUMPRODUCT((OFFSET($A54,0,31*(VLOOKUP(NX$5,Sprints[],5,FALSE))+DAY(VLOOKUP(NX$5,Sprints[],2,FALSE)),1,VLOOKUP(NX$5,Sprints[],4,FALSE))&lt;&gt;"")*(IF(OFFSET($A54,0,31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54" s="52">
        <f t="array" aca="1" ref="NY54" ca="1">SUMPRODUCT((OFFSET($A54,0,31*(VLOOKUP(NY$5,Sprints[],5,FALSE))+DAY(VLOOKUP(NY$5,Sprints[],2,FALSE)),1,VLOOKUP(NY$5,Sprints[],4,FALSE))&lt;&gt;"")*(IF(OFFSET($A54,0,31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54" s="52">
        <f t="array" aca="1" ref="NZ54" ca="1">SUMPRODUCT((OFFSET($A54,0,31*(VLOOKUP(NZ$5,Sprints[],5,FALSE))+DAY(VLOOKUP(NZ$5,Sprints[],2,FALSE)),1,VLOOKUP(NZ$5,Sprints[],4,FALSE))&lt;&gt;"")*(IF(OFFSET($A54,0,31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54" s="52">
        <f t="array" aca="1" ref="OA54" ca="1">SUMPRODUCT((OFFSET($A54,0,31*(VLOOKUP(OA$5,Sprints[],5,FALSE))+DAY(VLOOKUP(OA$5,Sprints[],2,FALSE)),1,VLOOKUP(OA$5,Sprints[],4,FALSE))&lt;&gt;"")*(IF(OFFSET($A54,0,31*(VLOOKUP(OA$5,Sprints[],5,FALSE))+DAY(VLOOKUP(OA$5,Sprints[],2,FALSE)),1,VLOOKUP(OA$5,Sprints[],4,FALSE))=$OD$12,0.5,1)*(OFFSET($A$3,0,31*(VLOOKUP(OA$5,Sprints[],5,FALSE))+DAY(VLOOKUP(OA$5,Sprints[],2,FALSE)),1,VLOOKUP(OA$5,Sprints[],4,FALSE)))))</f>
        <v>19</v>
      </c>
    </row>
    <row r="55" spans="1:391" x14ac:dyDescent="0.45">
      <c r="A55" s="1" t="s">
        <v>102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36"/>
      <c r="R55" s="36" t="s">
        <v>35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36"/>
      <c r="AF55" s="2"/>
      <c r="AG55" s="36" t="s">
        <v>35</v>
      </c>
      <c r="AH55" s="2"/>
      <c r="AI55" s="2"/>
      <c r="AJ55" s="2"/>
      <c r="AK55" s="2"/>
      <c r="AL55" s="2"/>
      <c r="AM55" s="2"/>
      <c r="AN55" s="2"/>
      <c r="AO55" s="36" t="s">
        <v>35</v>
      </c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 t="s">
        <v>35</v>
      </c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 t="s">
        <v>33</v>
      </c>
      <c r="DR55" s="2"/>
      <c r="DS55" s="2"/>
      <c r="DT55" s="2" t="s">
        <v>33</v>
      </c>
      <c r="DU55" s="2" t="s">
        <v>33</v>
      </c>
      <c r="DV55" s="2" t="s">
        <v>33</v>
      </c>
      <c r="DW55" s="2" t="s">
        <v>33</v>
      </c>
      <c r="DX55" s="2" t="s">
        <v>33</v>
      </c>
      <c r="DY55" s="2"/>
      <c r="DZ55" s="2"/>
      <c r="EA55" s="2" t="s">
        <v>33</v>
      </c>
      <c r="EB55" s="2" t="s">
        <v>33</v>
      </c>
      <c r="EC55" s="2" t="s">
        <v>33</v>
      </c>
      <c r="ED55" s="2" t="s">
        <v>33</v>
      </c>
      <c r="EE55" s="2" t="s">
        <v>33</v>
      </c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 t="s">
        <v>35</v>
      </c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 t="s">
        <v>35</v>
      </c>
      <c r="JO55" s="2"/>
      <c r="JP55" s="2"/>
      <c r="JQ55" s="2"/>
      <c r="JR55" s="2"/>
      <c r="JS55" s="2"/>
      <c r="JT55" s="2"/>
      <c r="JU55" s="2" t="s">
        <v>35</v>
      </c>
      <c r="JV55" s="2"/>
      <c r="JW55" s="2"/>
      <c r="JX55" s="2"/>
      <c r="JY55" s="2"/>
      <c r="JZ55" s="2"/>
      <c r="KA55" s="2" t="s">
        <v>35</v>
      </c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 t="s">
        <v>35</v>
      </c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  <c r="NC55" s="2"/>
      <c r="ND55" s="2"/>
      <c r="NE55" s="2"/>
      <c r="NF55" s="2"/>
      <c r="NG55" s="2"/>
      <c r="NH55" s="2"/>
      <c r="NI55" s="2"/>
      <c r="NJ55" s="14">
        <f t="array" aca="1" ref="NJ55" ca="1">SUMPRODUCT((OFFSET($A55,0,31*($A$3-1)+1,1,31)&lt;&gt;"")*(IF(OFFSET($A55,0,31*($A$3-1)+1,1,31)=$OD$12,0.5,1)*(OFFSET($A$4,0,31*($A$3-1)+1,1,31))))</f>
        <v>0</v>
      </c>
      <c r="NK55" s="20">
        <f t="array" aca="1" ref="NK55" ca="1">SUMPRODUCT((OFFSET($A55,0,1,1,372)&lt;&gt;"")*(IF(OFFSET($A55,0,1,1,372)=$OD$12,0.5,1)*(OFFSET($A$3,0,1,1,372))))</f>
        <v>20</v>
      </c>
      <c r="NL55" s="28">
        <f t="array" aca="1" ref="NL55" ca="1">SUMPRODUCT((OFFSET($A55,0,31*($A$4)+DAY(Holidays!$E$2),1,Holidays!$G$2)&lt;&gt;"")*(IF(OFFSET($A55,0,31*($A$4)+DAY(Holidays!$E$2),1,Holidays!$G$2)=$OD$12,0.5,1)*(OFFSET($A$3,0,31*($A$4)+DAY(Holidays!$E$2),1,Holidays!$G$2))))</f>
        <v>15</v>
      </c>
      <c r="NM55" s="52">
        <f t="array" aca="1" ref="NM55" ca="1">SUMPRODUCT((OFFSET($A55,0,31*($A$4)+DAY(VLOOKUP(NM$5,Sprints[],2,FALSE)),1,VLOOKUP(NM$5,Sprints[],4,FALSE))&lt;&gt;"")*(IF(OFFSET($A55,0,31*($A$4)+DAY(VLOOKUP(NM$5,Sprints[],2,FALSE)),1,VLOOKUP(NM$5,Sprints[],4,FALSE))=$OD$12,0.5,1)*(OFFSET($A$3,0,31*($A$4)+DAY(VLOOKUP(NM$5,Sprints[],2,FALSE)),1,VLOOKUP(NM$5,Sprints[],4,FALSE)))))</f>
        <v>1</v>
      </c>
      <c r="NN55" s="52">
        <f t="array" aca="1" ref="NN55" ca="1">SUMPRODUCT((OFFSET($A55,0,31*($A$4)+DAY(VLOOKUP(NN$5,Sprints[],2,FALSE)),1,VLOOKUP(NN$5,Sprints[],4,FALSE))&lt;&gt;"")*(IF(OFFSET($A55,0,31*($A$4)+DAY(VLOOKUP(NN$5,Sprints[],2,FALSE)),1,VLOOKUP(NN$5,Sprints[],4,FALSE))=$OD$12,0.5,1)*(OFFSET($A$3,0,31*($A$4)+DAY(VLOOKUP(NN$5,Sprints[],2,FALSE)),1,VLOOKUP(NN$5,Sprints[],4,FALSE)))))</f>
        <v>1</v>
      </c>
      <c r="NO55" s="52">
        <f t="array" aca="1" ref="NO55" ca="1">SUMPRODUCT((OFFSET($A55,0,31*($A$4)+DAY(VLOOKUP(NO$5,Sprints[],2,FALSE)),1,VLOOKUP(NO$5,Sprints[],4,FALSE))&lt;&gt;"")*(IF(OFFSET($A55,0,31*($A$4)+DAY(VLOOKUP(NO$5,Sprints[],2,FALSE)),1,VLOOKUP(NO$5,Sprints[],4,FALSE))=$OD$12,0.5,1)*(OFFSET($A$3,0,31*($A$4)+DAY(VLOOKUP(NO$5,Sprints[],2,FALSE)),1,VLOOKUP(NO$5,Sprints[],4,FALSE)))))</f>
        <v>0</v>
      </c>
      <c r="NP55" s="52">
        <f t="array" aca="1" ref="NP55" ca="1">SUMPRODUCT((OFFSET($A55,0,31*(VLOOKUP(NP$5,Sprints[],5,FALSE))+DAY(VLOOKUP(NP$5,Sprints[],2,FALSE)),1,VLOOKUP(NP$5,Sprints[],4,FALSE))&lt;&gt;"")*(IF(OFFSET($A55,0,31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5" s="52">
        <f t="array" aca="1" ref="NQ55" ca="1">SUMPRODUCT((OFFSET($A55,0,31*(VLOOKUP(NQ$5,Sprints[],5,FALSE))+DAY(VLOOKUP(NQ$5,Sprints[],2,FALSE)),1,VLOOKUP(NQ$5,Sprints[],4,FALSE))&lt;&gt;"")*(IF(OFFSET($A55,0,31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5" s="52">
        <f t="array" aca="1" ref="NR55" ca="1">SUMPRODUCT((OFFSET($A55,0,31*(VLOOKUP(NR$5,Sprints[],5,FALSE))+DAY(VLOOKUP(NR$5,Sprints[],2,FALSE)),1,VLOOKUP(NR$5,Sprints[],4,FALSE))&lt;&gt;"")*(IF(OFFSET($A55,0,31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5" s="52">
        <f t="array" aca="1" ref="NS55" ca="1">SUMPRODUCT((OFFSET($A55,0,31*(VLOOKUP(NS$5,Sprints[],5,FALSE))+DAY(VLOOKUP(NS$5,Sprints[],2,FALSE)),1,VLOOKUP(NS$5,Sprints[],4,FALSE))&lt;&gt;"")*(IF(OFFSET($A55,0,31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5" s="52">
        <f t="array" aca="1" ref="NT55" ca="1">SUMPRODUCT((OFFSET($A55,0,31*(VLOOKUP(NT$5,Sprints[],5,FALSE))+DAY(VLOOKUP(NT$5,Sprints[],2,FALSE)),1,VLOOKUP(NT$5,Sprints[],4,FALSE))&lt;&gt;"")*(IF(OFFSET($A55,0,31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5" s="52">
        <f t="array" aca="1" ref="NU55" ca="1">SUMPRODUCT((OFFSET($A55,0,31*(VLOOKUP(NU$5,Sprints[],5,FALSE))+DAY(VLOOKUP(NU$5,Sprints[],2,FALSE)),1,VLOOKUP(NU$5,Sprints[],4,FALSE))&lt;&gt;"")*(IF(OFFSET($A55,0,31*(VLOOKUP(NU$5,Sprints[],5,FALSE))+DAY(VLOOKUP(NU$5,Sprints[],2,FALSE)),1,VLOOKUP(NU$5,Sprints[],4,FALSE))=$OD$12,0.5,1)*(OFFSET($A$3,0,31*(VLOOKUP(NU$5,Sprints[],5,FALSE))+DAY(VLOOKUP(NU$5,Sprints[],2,FALSE)),1,VLOOKUP(NU$5,Sprints[],4,FALSE)))))</f>
        <v>3</v>
      </c>
      <c r="NV55" s="52">
        <f t="array" aca="1" ref="NV55" ca="1">SUMPRODUCT((OFFSET($A55,0,31*(VLOOKUP(NV$5,Sprints[],5,FALSE))+DAY(VLOOKUP(NV$5,Sprints[],2,FALSE)),1,VLOOKUP(NV$5,Sprints[],4,FALSE))&lt;&gt;"")*(IF(OFFSET($A55,0,31*(VLOOKUP(NV$5,Sprints[],5,FALSE))+DAY(VLOOKUP(NV$5,Sprints[],2,FALSE)),1,VLOOKUP(NV$5,Sprints[],4,FALSE))=$OD$12,0.5,1)*(OFFSET($A$3,0,31*(VLOOKUP(NV$5,Sprints[],5,FALSE))+DAY(VLOOKUP(NV$5,Sprints[],2,FALSE)),1,VLOOKUP(NV$5,Sprints[],4,FALSE)))))</f>
        <v>8</v>
      </c>
      <c r="NW55" s="52">
        <f t="array" aca="1" ref="NW55" ca="1">SUMPRODUCT((OFFSET($A55,0,31*(VLOOKUP(NW$5,Sprints[],5,FALSE))+DAY(VLOOKUP(NW$5,Sprints[],2,FALSE)),1,VLOOKUP(NW$5,Sprints[],4,FALSE))&lt;&gt;"")*(IF(OFFSET($A55,0,31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5" s="52">
        <f t="array" aca="1" ref="NX55" ca="1">SUMPRODUCT((OFFSET($A55,0,31*(VLOOKUP(NX$5,Sprints[],5,FALSE))+DAY(VLOOKUP(NX$5,Sprints[],2,FALSE)),1,VLOOKUP(NX$5,Sprints[],4,FALSE))&lt;&gt;"")*(IF(OFFSET($A55,0,31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5" s="52">
        <f t="array" aca="1" ref="NY55" ca="1">SUMPRODUCT((OFFSET($A55,0,31*(VLOOKUP(NY$5,Sprints[],5,FALSE))+DAY(VLOOKUP(NY$5,Sprints[],2,FALSE)),1,VLOOKUP(NY$5,Sprints[],4,FALSE))&lt;&gt;"")*(IF(OFFSET($A55,0,31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5" s="52">
        <f t="array" aca="1" ref="NZ55" ca="1">SUMPRODUCT((OFFSET($A55,0,31*(VLOOKUP(NZ$5,Sprints[],5,FALSE))+DAY(VLOOKUP(NZ$5,Sprints[],2,FALSE)),1,VLOOKUP(NZ$5,Sprints[],4,FALSE))&lt;&gt;"")*(IF(OFFSET($A55,0,31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5" s="52">
        <f t="array" aca="1" ref="OA55" ca="1">SUMPRODUCT((OFFSET($A55,0,31*(VLOOKUP(OA$5,Sprints[],5,FALSE))+DAY(VLOOKUP(OA$5,Sprints[],2,FALSE)),1,VLOOKUP(OA$5,Sprints[],4,FALSE))&lt;&gt;"")*(IF(OFFSET($A55,0,31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6" spans="1:391" x14ac:dyDescent="0.45">
      <c r="A56" s="44" t="s">
        <v>103</v>
      </c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36"/>
      <c r="R56" s="36" t="s">
        <v>35</v>
      </c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36"/>
      <c r="AF56" s="2"/>
      <c r="AG56" s="36" t="s">
        <v>35</v>
      </c>
      <c r="AH56" s="2"/>
      <c r="AI56" s="2"/>
      <c r="AJ56" s="2"/>
      <c r="AK56" s="2"/>
      <c r="AL56" s="2"/>
      <c r="AM56" s="2"/>
      <c r="AN56" s="2"/>
      <c r="AO56" s="36" t="s">
        <v>35</v>
      </c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 t="s">
        <v>33</v>
      </c>
      <c r="BI56" s="2" t="s">
        <v>33</v>
      </c>
      <c r="BJ56" s="2" t="s">
        <v>33</v>
      </c>
      <c r="BK56" s="2" t="s">
        <v>33</v>
      </c>
      <c r="BL56" s="2" t="s">
        <v>33</v>
      </c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 t="s">
        <v>35</v>
      </c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 t="s">
        <v>35</v>
      </c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 t="s">
        <v>35</v>
      </c>
      <c r="JO56" s="2"/>
      <c r="JP56" s="2"/>
      <c r="JQ56" s="2"/>
      <c r="JR56" s="2"/>
      <c r="JS56" s="2"/>
      <c r="JT56" s="2"/>
      <c r="JU56" s="2" t="s">
        <v>35</v>
      </c>
      <c r="JV56" s="2"/>
      <c r="JW56" s="2"/>
      <c r="JX56" s="2"/>
      <c r="JY56" s="2"/>
      <c r="JZ56" s="2"/>
      <c r="KA56" s="2" t="s">
        <v>35</v>
      </c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 t="s">
        <v>35</v>
      </c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2"/>
      <c r="NI56" s="2"/>
      <c r="NJ56" s="14">
        <f t="array" aca="1" ref="NJ56" ca="1">SUMPRODUCT((OFFSET($A56,0,31*($A$3-1)+1,1,31)&lt;&gt;"")*(IF(OFFSET($A56,0,31*($A$3-1)+1,1,31)=$OD$12,0.5,1)*(OFFSET($A$4,0,31*($A$3-1)+1,1,31))))</f>
        <v>0</v>
      </c>
      <c r="NK56" s="20">
        <f t="array" aca="1" ref="NK56" ca="1">SUMPRODUCT((OFFSET($A56,0,1,1,372)&lt;&gt;"")*(IF(OFFSET($A56,0,1,1,372)=$OD$12,0.5,1)*(OFFSET($A$3,0,1,1,372))))</f>
        <v>14</v>
      </c>
      <c r="NL56" s="28">
        <f t="array" aca="1" ref="NL56" ca="1">SUMPRODUCT((OFFSET($A56,0,31*($A$4)+DAY(Holidays!$E$2),1,Holidays!$G$2)&lt;&gt;"")*(IF(OFFSET($A56,0,31*($A$4)+DAY(Holidays!$E$2),1,Holidays!$G$2)=$OD$12,0.5,1)*(OFFSET($A$3,0,31*($A$4)+DAY(Holidays!$E$2),1,Holidays!$G$2))))</f>
        <v>9</v>
      </c>
      <c r="NM56" s="52">
        <f t="array" aca="1" ref="NM56" ca="1">SUMPRODUCT((OFFSET($A56,0,31*($A$4)+DAY(VLOOKUP(NM$5,Sprints[],2,FALSE)),1,VLOOKUP(NM$5,Sprints[],4,FALSE))&lt;&gt;"")*(IF(OFFSET($A56,0,31*($A$4)+DAY(VLOOKUP(NM$5,Sprints[],2,FALSE)),1,VLOOKUP(NM$5,Sprints[],4,FALSE))=$OD$12,0.5,1)*(OFFSET($A$3,0,31*($A$4)+DAY(VLOOKUP(NM$5,Sprints[],2,FALSE)),1,VLOOKUP(NM$5,Sprints[],4,FALSE)))))</f>
        <v>1</v>
      </c>
      <c r="NN56" s="52">
        <f t="array" aca="1" ref="NN56" ca="1">SUMPRODUCT((OFFSET($A56,0,31*($A$4)+DAY(VLOOKUP(NN$5,Sprints[],2,FALSE)),1,VLOOKUP(NN$5,Sprints[],4,FALSE))&lt;&gt;"")*(IF(OFFSET($A56,0,31*($A$4)+DAY(VLOOKUP(NN$5,Sprints[],2,FALSE)),1,VLOOKUP(NN$5,Sprints[],4,FALSE))=$OD$12,0.5,1)*(OFFSET($A$3,0,31*($A$4)+DAY(VLOOKUP(NN$5,Sprints[],2,FALSE)),1,VLOOKUP(NN$5,Sprints[],4,FALSE)))))</f>
        <v>1</v>
      </c>
      <c r="NO56" s="52">
        <f t="array" aca="1" ref="NO56" ca="1">SUMPRODUCT((OFFSET($A56,0,31*($A$4)+DAY(VLOOKUP(NO$5,Sprints[],2,FALSE)),1,VLOOKUP(NO$5,Sprints[],4,FALSE))&lt;&gt;"")*(IF(OFFSET($A56,0,31*($A$4)+DAY(VLOOKUP(NO$5,Sprints[],2,FALSE)),1,VLOOKUP(NO$5,Sprints[],4,FALSE))=$OD$12,0.5,1)*(OFFSET($A$3,0,31*($A$4)+DAY(VLOOKUP(NO$5,Sprints[],2,FALSE)),1,VLOOKUP(NO$5,Sprints[],4,FALSE)))))</f>
        <v>0</v>
      </c>
      <c r="NP56" s="52">
        <f t="array" aca="1" ref="NP56" ca="1">SUMPRODUCT((OFFSET($A56,0,31*(VLOOKUP(NP$5,Sprints[],5,FALSE))+DAY(VLOOKUP(NP$5,Sprints[],2,FALSE)),1,VLOOKUP(NP$5,Sprints[],4,FALSE))&lt;&gt;"")*(IF(OFFSET($A56,0,31*(VLOOKUP(NP$5,Sprints[],5,FALSE))+DAY(VLOOKUP(NP$5,Sprints[],2,FALSE)),1,VLOOKUP(NP$5,Sprints[],4,FALSE))=$OD$12,0.5,1)*(OFFSET($A$3,0,31*(VLOOKUP(NP$5,Sprints[],5,FALSE))+DAY(VLOOKUP(NP$5,Sprints[],2,FALSE)),1,VLOOKUP(NP$5,Sprints[],4,FALSE)))))</f>
        <v>2</v>
      </c>
      <c r="NQ56" s="52">
        <f t="array" aca="1" ref="NQ56" ca="1">SUMPRODUCT((OFFSET($A56,0,31*(VLOOKUP(NQ$5,Sprints[],5,FALSE))+DAY(VLOOKUP(NQ$5,Sprints[],2,FALSE)),1,VLOOKUP(NQ$5,Sprints[],4,FALSE))&lt;&gt;"")*(IF(OFFSET($A56,0,31*(VLOOKUP(NQ$5,Sprints[],5,FALSE))+DAY(VLOOKUP(NQ$5,Sprints[],2,FALSE)),1,VLOOKUP(NQ$5,Sprints[],4,FALSE))=$OD$12,0.5,1)*(OFFSET($A$3,0,31*(VLOOKUP(NQ$5,Sprints[],5,FALSE))+DAY(VLOOKUP(NQ$5,Sprints[],2,FALSE)),1,VLOOKUP(NQ$5,Sprints[],4,FALSE)))))</f>
        <v>3</v>
      </c>
      <c r="NR56" s="52">
        <f t="array" aca="1" ref="NR56" ca="1">SUMPRODUCT((OFFSET($A56,0,31*(VLOOKUP(NR$5,Sprints[],5,FALSE))+DAY(VLOOKUP(NR$5,Sprints[],2,FALSE)),1,VLOOKUP(NR$5,Sprints[],4,FALSE))&lt;&gt;"")*(IF(OFFSET($A56,0,31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6" s="52">
        <f t="array" aca="1" ref="NS56" ca="1">SUMPRODUCT((OFFSET($A56,0,31*(VLOOKUP(NS$5,Sprints[],5,FALSE))+DAY(VLOOKUP(NS$5,Sprints[],2,FALSE)),1,VLOOKUP(NS$5,Sprints[],4,FALSE))&lt;&gt;"")*(IF(OFFSET($A56,0,31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6" s="52">
        <f t="array" aca="1" ref="NT56" ca="1">SUMPRODUCT((OFFSET($A56,0,31*(VLOOKUP(NT$5,Sprints[],5,FALSE))+DAY(VLOOKUP(NT$5,Sprints[],2,FALSE)),1,VLOOKUP(NT$5,Sprints[],4,FALSE))&lt;&gt;"")*(IF(OFFSET($A56,0,31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6" s="52">
        <f t="array" aca="1" ref="NU56" ca="1">SUMPRODUCT((OFFSET($A56,0,31*(VLOOKUP(NU$5,Sprints[],5,FALSE))+DAY(VLOOKUP(NU$5,Sprints[],2,FALSE)),1,VLOOKUP(NU$5,Sprints[],4,FALSE))&lt;&gt;"")*(IF(OFFSET($A56,0,31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6" s="52">
        <f t="array" aca="1" ref="NV56" ca="1">SUMPRODUCT((OFFSET($A56,0,31*(VLOOKUP(NV$5,Sprints[],5,FALSE))+DAY(VLOOKUP(NV$5,Sprints[],2,FALSE)),1,VLOOKUP(NV$5,Sprints[],4,FALSE))&lt;&gt;"")*(IF(OFFSET($A56,0,31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6" s="52">
        <f t="array" aca="1" ref="NW56" ca="1">SUMPRODUCT((OFFSET($A56,0,31*(VLOOKUP(NW$5,Sprints[],5,FALSE))+DAY(VLOOKUP(NW$5,Sprints[],2,FALSE)),1,VLOOKUP(NW$5,Sprints[],4,FALSE))&lt;&gt;"")*(IF(OFFSET($A56,0,31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6" s="52">
        <f t="array" aca="1" ref="NX56" ca="1">SUMPRODUCT((OFFSET($A56,0,31*(VLOOKUP(NX$5,Sprints[],5,FALSE))+DAY(VLOOKUP(NX$5,Sprints[],2,FALSE)),1,VLOOKUP(NX$5,Sprints[],4,FALSE))&lt;&gt;"")*(IF(OFFSET($A56,0,31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6" s="52">
        <f t="array" aca="1" ref="NY56" ca="1">SUMPRODUCT((OFFSET($A56,0,31*(VLOOKUP(NY$5,Sprints[],5,FALSE))+DAY(VLOOKUP(NY$5,Sprints[],2,FALSE)),1,VLOOKUP(NY$5,Sprints[],4,FALSE))&lt;&gt;"")*(IF(OFFSET($A56,0,31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6" s="52">
        <f t="array" aca="1" ref="NZ56" ca="1">SUMPRODUCT((OFFSET($A56,0,31*(VLOOKUP(NZ$5,Sprints[],5,FALSE))+DAY(VLOOKUP(NZ$5,Sprints[],2,FALSE)),1,VLOOKUP(NZ$5,Sprints[],4,FALSE))&lt;&gt;"")*(IF(OFFSET($A56,0,31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6" s="52">
        <f t="array" aca="1" ref="OA56" ca="1">SUMPRODUCT((OFFSET($A56,0,31*(VLOOKUP(OA$5,Sprints[],5,FALSE))+DAY(VLOOKUP(OA$5,Sprints[],2,FALSE)),1,VLOOKUP(OA$5,Sprints[],4,FALSE))&lt;&gt;"")*(IF(OFFSET($A56,0,31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7" spans="1:391" x14ac:dyDescent="0.45">
      <c r="A57" s="44" t="s">
        <v>104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36"/>
      <c r="R57" s="36" t="s">
        <v>35</v>
      </c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36"/>
      <c r="AF57" s="2"/>
      <c r="AG57" s="36" t="s">
        <v>35</v>
      </c>
      <c r="AH57" s="2"/>
      <c r="AI57" s="2"/>
      <c r="AJ57" s="2"/>
      <c r="AK57" s="2"/>
      <c r="AL57" s="2"/>
      <c r="AM57" s="2"/>
      <c r="AN57" s="2"/>
      <c r="AO57" s="36" t="s">
        <v>35</v>
      </c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 t="s">
        <v>35</v>
      </c>
      <c r="CT57" s="2"/>
      <c r="CU57" s="2" t="s">
        <v>33</v>
      </c>
      <c r="CV57" s="2" t="s">
        <v>33</v>
      </c>
      <c r="CW57" s="2"/>
      <c r="CX57" s="2"/>
      <c r="CY57" s="2" t="s">
        <v>33</v>
      </c>
      <c r="CZ57" s="2" t="s">
        <v>33</v>
      </c>
      <c r="DA57" s="2" t="s">
        <v>33</v>
      </c>
      <c r="DB57" s="2" t="s">
        <v>33</v>
      </c>
      <c r="DC57" s="2" t="s">
        <v>33</v>
      </c>
      <c r="DD57" s="2"/>
      <c r="DE57" s="2"/>
      <c r="DF57" s="2" t="s">
        <v>33</v>
      </c>
      <c r="DG57" s="2" t="s">
        <v>33</v>
      </c>
      <c r="DH57" s="2" t="s">
        <v>33</v>
      </c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 t="s">
        <v>35</v>
      </c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 t="s">
        <v>35</v>
      </c>
      <c r="JO57" s="2"/>
      <c r="JP57" s="2"/>
      <c r="JQ57" s="2"/>
      <c r="JR57" s="2"/>
      <c r="JS57" s="2"/>
      <c r="JT57" s="2"/>
      <c r="JU57" s="2" t="s">
        <v>35</v>
      </c>
      <c r="JV57" s="2"/>
      <c r="JW57" s="2"/>
      <c r="JX57" s="2"/>
      <c r="JY57" s="2"/>
      <c r="JZ57" s="2"/>
      <c r="KA57" s="2" t="s">
        <v>35</v>
      </c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 t="s">
        <v>35</v>
      </c>
      <c r="MM57" s="2"/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/>
      <c r="NA57" s="2"/>
      <c r="NB57" s="2"/>
      <c r="NC57" s="2"/>
      <c r="ND57" s="2"/>
      <c r="NE57" s="2"/>
      <c r="NF57" s="2"/>
      <c r="NG57" s="2"/>
      <c r="NH57" s="2"/>
      <c r="NI57" s="2"/>
      <c r="NJ57" s="14">
        <f t="array" aca="1" ref="NJ57" ca="1">SUMPRODUCT((OFFSET($A57,0,31*($A$3-1)+1,1,31)&lt;&gt;"")*(IF(OFFSET($A57,0,31*($A$3-1)+1,1,31)=$OD$12,0.5,1)*(OFFSET($A$4,0,31*($A$3-1)+1,1,31))))</f>
        <v>0</v>
      </c>
      <c r="NK57" s="20">
        <f t="array" aca="1" ref="NK57" ca="1">SUMPRODUCT((OFFSET($A57,0,1,1,372)&lt;&gt;"")*(IF(OFFSET($A57,0,1,1,372)=$OD$12,0.5,1)*(OFFSET($A$3,0,1,1,372))))</f>
        <v>19</v>
      </c>
      <c r="NL57" s="28">
        <f t="array" aca="1" ref="NL57" ca="1">SUMPRODUCT((OFFSET($A57,0,31*($A$4)+DAY(Holidays!$E$2),1,Holidays!$G$2)&lt;&gt;"")*(IF(OFFSET($A57,0,31*($A$4)+DAY(Holidays!$E$2),1,Holidays!$G$2)=$OD$12,0.5,1)*(OFFSET($A$3,0,31*($A$4)+DAY(Holidays!$E$2),1,Holidays!$G$2))))</f>
        <v>14</v>
      </c>
      <c r="NM57" s="52">
        <f t="array" aca="1" ref="NM57" ca="1">SUMPRODUCT((OFFSET($A57,0,31*($A$4)+DAY(VLOOKUP(NM$5,Sprints[],2,FALSE)),1,VLOOKUP(NM$5,Sprints[],4,FALSE))&lt;&gt;"")*(IF(OFFSET($A57,0,31*($A$4)+DAY(VLOOKUP(NM$5,Sprints[],2,FALSE)),1,VLOOKUP(NM$5,Sprints[],4,FALSE))=$OD$12,0.5,1)*(OFFSET($A$3,0,31*($A$4)+DAY(VLOOKUP(NM$5,Sprints[],2,FALSE)),1,VLOOKUP(NM$5,Sprints[],4,FALSE)))))</f>
        <v>1</v>
      </c>
      <c r="NN57" s="52">
        <f t="array" aca="1" ref="NN57" ca="1">SUMPRODUCT((OFFSET($A57,0,31*($A$4)+DAY(VLOOKUP(NN$5,Sprints[],2,FALSE)),1,VLOOKUP(NN$5,Sprints[],4,FALSE))&lt;&gt;"")*(IF(OFFSET($A57,0,31*($A$4)+DAY(VLOOKUP(NN$5,Sprints[],2,FALSE)),1,VLOOKUP(NN$5,Sprints[],4,FALSE))=$OD$12,0.5,1)*(OFFSET($A$3,0,31*($A$4)+DAY(VLOOKUP(NN$5,Sprints[],2,FALSE)),1,VLOOKUP(NN$5,Sprints[],4,FALSE)))))</f>
        <v>1</v>
      </c>
      <c r="NO57" s="52">
        <f t="array" aca="1" ref="NO57" ca="1">SUMPRODUCT((OFFSET($A57,0,31*($A$4)+DAY(VLOOKUP(NO$5,Sprints[],2,FALSE)),1,VLOOKUP(NO$5,Sprints[],4,FALSE))&lt;&gt;"")*(IF(OFFSET($A57,0,31*($A$4)+DAY(VLOOKUP(NO$5,Sprints[],2,FALSE)),1,VLOOKUP(NO$5,Sprints[],4,FALSE))=$OD$12,0.5,1)*(OFFSET($A$3,0,31*($A$4)+DAY(VLOOKUP(NO$5,Sprints[],2,FALSE)),1,VLOOKUP(NO$5,Sprints[],4,FALSE)))))</f>
        <v>0</v>
      </c>
      <c r="NP57" s="52">
        <f t="array" aca="1" ref="NP57" ca="1">SUMPRODUCT((OFFSET($A57,0,31*(VLOOKUP(NP$5,Sprints[],5,FALSE))+DAY(VLOOKUP(NP$5,Sprints[],2,FALSE)),1,VLOOKUP(NP$5,Sprints[],4,FALSE))&lt;&gt;"")*(IF(OFFSET($A57,0,31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7" s="52">
        <f t="array" aca="1" ref="NQ57" ca="1">SUMPRODUCT((OFFSET($A57,0,31*(VLOOKUP(NQ$5,Sprints[],5,FALSE))+DAY(VLOOKUP(NQ$5,Sprints[],2,FALSE)),1,VLOOKUP(NQ$5,Sprints[],4,FALSE))&lt;&gt;"")*(IF(OFFSET($A57,0,31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7" s="52">
        <f t="array" aca="1" ref="NR57" ca="1">SUMPRODUCT((OFFSET($A57,0,31*(VLOOKUP(NR$5,Sprints[],5,FALSE))+DAY(VLOOKUP(NR$5,Sprints[],2,FALSE)),1,VLOOKUP(NR$5,Sprints[],4,FALSE))&lt;&gt;"")*(IF(OFFSET($A57,0,31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7" s="52">
        <f t="array" aca="1" ref="NS57" ca="1">SUMPRODUCT((OFFSET($A57,0,31*(VLOOKUP(NS$5,Sprints[],5,FALSE))+DAY(VLOOKUP(NS$5,Sprints[],2,FALSE)),1,VLOOKUP(NS$5,Sprints[],4,FALSE))&lt;&gt;"")*(IF(OFFSET($A57,0,31*(VLOOKUP(NS$5,Sprints[],5,FALSE))+DAY(VLOOKUP(NS$5,Sprints[],2,FALSE)),1,VLOOKUP(NS$5,Sprints[],4,FALSE))=$OD$12,0.5,1)*(OFFSET($A$3,0,31*(VLOOKUP(NS$5,Sprints[],5,FALSE))+DAY(VLOOKUP(NS$5,Sprints[],2,FALSE)),1,VLOOKUP(NS$5,Sprints[],4,FALSE)))))</f>
        <v>5</v>
      </c>
      <c r="NT57" s="52">
        <f t="array" aca="1" ref="NT57" ca="1">SUMPRODUCT((OFFSET($A57,0,31*(VLOOKUP(NT$5,Sprints[],5,FALSE))+DAY(VLOOKUP(NT$5,Sprints[],2,FALSE)),1,VLOOKUP(NT$5,Sprints[],4,FALSE))&lt;&gt;"")*(IF(OFFSET($A57,0,31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57" s="52">
        <f t="array" aca="1" ref="NU57" ca="1">SUMPRODUCT((OFFSET($A57,0,31*(VLOOKUP(NU$5,Sprints[],5,FALSE))+DAY(VLOOKUP(NU$5,Sprints[],2,FALSE)),1,VLOOKUP(NU$5,Sprints[],4,FALSE))&lt;&gt;"")*(IF(OFFSET($A57,0,31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57" s="52">
        <f t="array" aca="1" ref="NV57" ca="1">SUMPRODUCT((OFFSET($A57,0,31*(VLOOKUP(NV$5,Sprints[],5,FALSE))+DAY(VLOOKUP(NV$5,Sprints[],2,FALSE)),1,VLOOKUP(NV$5,Sprints[],4,FALSE))&lt;&gt;"")*(IF(OFFSET($A57,0,31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7" s="52">
        <f t="array" aca="1" ref="NW57" ca="1">SUMPRODUCT((OFFSET($A57,0,31*(VLOOKUP(NW$5,Sprints[],5,FALSE))+DAY(VLOOKUP(NW$5,Sprints[],2,FALSE)),1,VLOOKUP(NW$5,Sprints[],4,FALSE))&lt;&gt;"")*(IF(OFFSET($A57,0,31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7" s="52">
        <f t="array" aca="1" ref="NX57" ca="1">SUMPRODUCT((OFFSET($A57,0,31*(VLOOKUP(NX$5,Sprints[],5,FALSE))+DAY(VLOOKUP(NX$5,Sprints[],2,FALSE)),1,VLOOKUP(NX$5,Sprints[],4,FALSE))&lt;&gt;"")*(IF(OFFSET($A57,0,31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7" s="52">
        <f t="array" aca="1" ref="NY57" ca="1">SUMPRODUCT((OFFSET($A57,0,31*(VLOOKUP(NY$5,Sprints[],5,FALSE))+DAY(VLOOKUP(NY$5,Sprints[],2,FALSE)),1,VLOOKUP(NY$5,Sprints[],4,FALSE))&lt;&gt;"")*(IF(OFFSET($A57,0,31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7" s="52">
        <f t="array" aca="1" ref="NZ57" ca="1">SUMPRODUCT((OFFSET($A57,0,31*(VLOOKUP(NZ$5,Sprints[],5,FALSE))+DAY(VLOOKUP(NZ$5,Sprints[],2,FALSE)),1,VLOOKUP(NZ$5,Sprints[],4,FALSE))&lt;&gt;"")*(IF(OFFSET($A57,0,31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7" s="52">
        <f t="array" aca="1" ref="OA57" ca="1">SUMPRODUCT((OFFSET($A57,0,31*(VLOOKUP(OA$5,Sprints[],5,FALSE))+DAY(VLOOKUP(OA$5,Sprints[],2,FALSE)),1,VLOOKUP(OA$5,Sprints[],4,FALSE))&lt;&gt;"")*(IF(OFFSET($A57,0,31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8" spans="1:391" x14ac:dyDescent="0.45">
      <c r="A58" s="44" t="s">
        <v>105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36"/>
      <c r="R58" s="36" t="s">
        <v>35</v>
      </c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36"/>
      <c r="AF58" s="2"/>
      <c r="AG58" s="36" t="s">
        <v>35</v>
      </c>
      <c r="AH58" s="2"/>
      <c r="AI58" s="2"/>
      <c r="AJ58" s="2"/>
      <c r="AK58" s="2"/>
      <c r="AL58" s="2"/>
      <c r="AM58" s="2"/>
      <c r="AN58" s="2"/>
      <c r="AO58" s="36" t="s">
        <v>35</v>
      </c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 t="s">
        <v>35</v>
      </c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 t="s">
        <v>35</v>
      </c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 t="s">
        <v>35</v>
      </c>
      <c r="JO58" s="2"/>
      <c r="JP58" s="2"/>
      <c r="JQ58" s="2"/>
      <c r="JR58" s="2"/>
      <c r="JS58" s="2"/>
      <c r="JT58" s="2"/>
      <c r="JU58" s="2" t="s">
        <v>35</v>
      </c>
      <c r="JV58" s="2"/>
      <c r="JW58" s="2"/>
      <c r="JX58" s="2"/>
      <c r="JY58" s="2"/>
      <c r="JZ58" s="2"/>
      <c r="KA58" s="2" t="s">
        <v>35</v>
      </c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 t="s">
        <v>35</v>
      </c>
      <c r="MM58" s="2"/>
      <c r="MN58" s="2"/>
      <c r="MO58" s="2"/>
      <c r="MP58" s="2"/>
      <c r="MQ58" s="2"/>
      <c r="MR58" s="2"/>
      <c r="MS58" s="2"/>
      <c r="MT58" s="2"/>
      <c r="MU58" s="2"/>
      <c r="MV58" s="2"/>
      <c r="MW58" s="2"/>
      <c r="MX58" s="2"/>
      <c r="MY58" s="2"/>
      <c r="MZ58" s="2"/>
      <c r="NA58" s="2"/>
      <c r="NB58" s="2"/>
      <c r="NC58" s="2"/>
      <c r="ND58" s="2"/>
      <c r="NE58" s="2"/>
      <c r="NF58" s="2"/>
      <c r="NG58" s="2"/>
      <c r="NH58" s="2"/>
      <c r="NI58" s="2"/>
      <c r="NJ58" s="14">
        <f t="array" aca="1" ref="NJ58" ca="1">SUMPRODUCT((OFFSET($A58,0,31*($A$3-1)+1,1,31)&lt;&gt;"")*(IF(OFFSET($A58,0,31*($A$3-1)+1,1,31)=$OD$12,0.5,1)*(OFFSET($A$4,0,31*($A$3-1)+1,1,31))))</f>
        <v>0</v>
      </c>
      <c r="NK58" s="20">
        <f t="array" aca="1" ref="NK58" ca="1">SUMPRODUCT((OFFSET($A58,0,1,1,372)&lt;&gt;"")*(IF(OFFSET($A58,0,1,1,372)=$OD$12,0.5,1)*(OFFSET($A$3,0,1,1,372))))</f>
        <v>9</v>
      </c>
      <c r="NL58" s="28">
        <f t="array" aca="1" ref="NL58" ca="1">SUMPRODUCT((OFFSET($A58,0,31*($A$4)+DAY(Holidays!$E$2),1,Holidays!$G$2)&lt;&gt;"")*(IF(OFFSET($A58,0,31*($A$4)+DAY(Holidays!$E$2),1,Holidays!$G$2)=$OD$12,0.5,1)*(OFFSET($A$3,0,31*($A$4)+DAY(Holidays!$E$2),1,Holidays!$G$2))))</f>
        <v>4</v>
      </c>
      <c r="NM58" s="52">
        <f t="array" aca="1" ref="NM58" ca="1">SUMPRODUCT((OFFSET($A58,0,31*($A$4)+DAY(VLOOKUP(NM$5,Sprints[],2,FALSE)),1,VLOOKUP(NM$5,Sprints[],4,FALSE))&lt;&gt;"")*(IF(OFFSET($A58,0,31*($A$4)+DAY(VLOOKUP(NM$5,Sprints[],2,FALSE)),1,VLOOKUP(NM$5,Sprints[],4,FALSE))=$OD$12,0.5,1)*(OFFSET($A$3,0,31*($A$4)+DAY(VLOOKUP(NM$5,Sprints[],2,FALSE)),1,VLOOKUP(NM$5,Sprints[],4,FALSE)))))</f>
        <v>1</v>
      </c>
      <c r="NN58" s="52">
        <f t="array" aca="1" ref="NN58" ca="1">SUMPRODUCT((OFFSET($A58,0,31*($A$4)+DAY(VLOOKUP(NN$5,Sprints[],2,FALSE)),1,VLOOKUP(NN$5,Sprints[],4,FALSE))&lt;&gt;"")*(IF(OFFSET($A58,0,31*($A$4)+DAY(VLOOKUP(NN$5,Sprints[],2,FALSE)),1,VLOOKUP(NN$5,Sprints[],4,FALSE))=$OD$12,0.5,1)*(OFFSET($A$3,0,31*($A$4)+DAY(VLOOKUP(NN$5,Sprints[],2,FALSE)),1,VLOOKUP(NN$5,Sprints[],4,FALSE)))))</f>
        <v>1</v>
      </c>
      <c r="NO58" s="52">
        <f t="array" aca="1" ref="NO58" ca="1">SUMPRODUCT((OFFSET($A58,0,31*($A$4)+DAY(VLOOKUP(NO$5,Sprints[],2,FALSE)),1,VLOOKUP(NO$5,Sprints[],4,FALSE))&lt;&gt;"")*(IF(OFFSET($A58,0,31*($A$4)+DAY(VLOOKUP(NO$5,Sprints[],2,FALSE)),1,VLOOKUP(NO$5,Sprints[],4,FALSE))=$OD$12,0.5,1)*(OFFSET($A$3,0,31*($A$4)+DAY(VLOOKUP(NO$5,Sprints[],2,FALSE)),1,VLOOKUP(NO$5,Sprints[],4,FALSE)))))</f>
        <v>0</v>
      </c>
      <c r="NP58" s="52">
        <f t="array" aca="1" ref="NP58" ca="1">SUMPRODUCT((OFFSET($A58,0,31*(VLOOKUP(NP$5,Sprints[],5,FALSE))+DAY(VLOOKUP(NP$5,Sprints[],2,FALSE)),1,VLOOKUP(NP$5,Sprints[],4,FALSE))&lt;&gt;"")*(IF(OFFSET($A58,0,31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8" s="52">
        <f t="array" aca="1" ref="NQ58" ca="1">SUMPRODUCT((OFFSET($A58,0,31*(VLOOKUP(NQ$5,Sprints[],5,FALSE))+DAY(VLOOKUP(NQ$5,Sprints[],2,FALSE)),1,VLOOKUP(NQ$5,Sprints[],4,FALSE))&lt;&gt;"")*(IF(OFFSET($A58,0,31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8" s="52">
        <f t="array" aca="1" ref="NR58" ca="1">SUMPRODUCT((OFFSET($A58,0,31*(VLOOKUP(NR$5,Sprints[],5,FALSE))+DAY(VLOOKUP(NR$5,Sprints[],2,FALSE)),1,VLOOKUP(NR$5,Sprints[],4,FALSE))&lt;&gt;"")*(IF(OFFSET($A58,0,31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8" s="52">
        <f t="array" aca="1" ref="NS58" ca="1">SUMPRODUCT((OFFSET($A58,0,31*(VLOOKUP(NS$5,Sprints[],5,FALSE))+DAY(VLOOKUP(NS$5,Sprints[],2,FALSE)),1,VLOOKUP(NS$5,Sprints[],4,FALSE))&lt;&gt;"")*(IF(OFFSET($A58,0,31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8" s="52">
        <f t="array" aca="1" ref="NT58" ca="1">SUMPRODUCT((OFFSET($A58,0,31*(VLOOKUP(NT$5,Sprints[],5,FALSE))+DAY(VLOOKUP(NT$5,Sprints[],2,FALSE)),1,VLOOKUP(NT$5,Sprints[],4,FALSE))&lt;&gt;"")*(IF(OFFSET($A58,0,31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8" s="52">
        <f t="array" aca="1" ref="NU58" ca="1">SUMPRODUCT((OFFSET($A58,0,31*(VLOOKUP(NU$5,Sprints[],5,FALSE))+DAY(VLOOKUP(NU$5,Sprints[],2,FALSE)),1,VLOOKUP(NU$5,Sprints[],4,FALSE))&lt;&gt;"")*(IF(OFFSET($A58,0,31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8" s="52">
        <f t="array" aca="1" ref="NV58" ca="1">SUMPRODUCT((OFFSET($A58,0,31*(VLOOKUP(NV$5,Sprints[],5,FALSE))+DAY(VLOOKUP(NV$5,Sprints[],2,FALSE)),1,VLOOKUP(NV$5,Sprints[],4,FALSE))&lt;&gt;"")*(IF(OFFSET($A58,0,31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8" s="52">
        <f t="array" aca="1" ref="NW58" ca="1">SUMPRODUCT((OFFSET($A58,0,31*(VLOOKUP(NW$5,Sprints[],5,FALSE))+DAY(VLOOKUP(NW$5,Sprints[],2,FALSE)),1,VLOOKUP(NW$5,Sprints[],4,FALSE))&lt;&gt;"")*(IF(OFFSET($A58,0,31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8" s="52">
        <f t="array" aca="1" ref="NX58" ca="1">SUMPRODUCT((OFFSET($A58,0,31*(VLOOKUP(NX$5,Sprints[],5,FALSE))+DAY(VLOOKUP(NX$5,Sprints[],2,FALSE)),1,VLOOKUP(NX$5,Sprints[],4,FALSE))&lt;&gt;"")*(IF(OFFSET($A58,0,31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8" s="52">
        <f t="array" aca="1" ref="NY58" ca="1">SUMPRODUCT((OFFSET($A58,0,31*(VLOOKUP(NY$5,Sprints[],5,FALSE))+DAY(VLOOKUP(NY$5,Sprints[],2,FALSE)),1,VLOOKUP(NY$5,Sprints[],4,FALSE))&lt;&gt;"")*(IF(OFFSET($A58,0,31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8" s="52">
        <f t="array" aca="1" ref="NZ58" ca="1">SUMPRODUCT((OFFSET($A58,0,31*(VLOOKUP(NZ$5,Sprints[],5,FALSE))+DAY(VLOOKUP(NZ$5,Sprints[],2,FALSE)),1,VLOOKUP(NZ$5,Sprints[],4,FALSE))&lt;&gt;"")*(IF(OFFSET($A58,0,31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8" s="52">
        <f t="array" aca="1" ref="OA58" ca="1">SUMPRODUCT((OFFSET($A58,0,31*(VLOOKUP(OA$5,Sprints[],5,FALSE))+DAY(VLOOKUP(OA$5,Sprints[],2,FALSE)),1,VLOOKUP(OA$5,Sprints[],4,FALSE))&lt;&gt;"")*(IF(OFFSET($A58,0,31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9" spans="1:391" x14ac:dyDescent="0.45">
      <c r="A59" s="44" t="s">
        <v>106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36"/>
      <c r="R59" s="36" t="s">
        <v>35</v>
      </c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36"/>
      <c r="AF59" s="2"/>
      <c r="AG59" s="36" t="s">
        <v>35</v>
      </c>
      <c r="AH59" s="2"/>
      <c r="AI59" s="2"/>
      <c r="AJ59" s="2"/>
      <c r="AK59" s="2"/>
      <c r="AL59" s="2"/>
      <c r="AM59" s="2"/>
      <c r="AN59" s="2"/>
      <c r="AO59" s="36" t="s">
        <v>35</v>
      </c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 t="s">
        <v>35</v>
      </c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 t="s">
        <v>33</v>
      </c>
      <c r="FH59" s="2"/>
      <c r="FI59" s="2"/>
      <c r="FJ59" s="2" t="s">
        <v>33</v>
      </c>
      <c r="FK59" s="2" t="s">
        <v>33</v>
      </c>
      <c r="FL59" s="2" t="s">
        <v>33</v>
      </c>
      <c r="FM59" s="2" t="s">
        <v>33</v>
      </c>
      <c r="FN59" s="2" t="s">
        <v>33</v>
      </c>
      <c r="FO59" s="2"/>
      <c r="FP59" s="2"/>
      <c r="FQ59" s="2" t="s">
        <v>33</v>
      </c>
      <c r="FR59" s="2" t="s">
        <v>33</v>
      </c>
      <c r="FS59" s="2" t="s">
        <v>33</v>
      </c>
      <c r="FT59" s="2" t="s">
        <v>33</v>
      </c>
      <c r="FU59" s="2" t="s">
        <v>33</v>
      </c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 t="s">
        <v>35</v>
      </c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 t="s">
        <v>35</v>
      </c>
      <c r="JO59" s="2"/>
      <c r="JP59" s="2"/>
      <c r="JQ59" s="2"/>
      <c r="JR59" s="2"/>
      <c r="JS59" s="2"/>
      <c r="JT59" s="2"/>
      <c r="JU59" s="2" t="s">
        <v>35</v>
      </c>
      <c r="JV59" s="2"/>
      <c r="JW59" s="2"/>
      <c r="JX59" s="2"/>
      <c r="JY59" s="2"/>
      <c r="JZ59" s="2"/>
      <c r="KA59" s="2" t="s">
        <v>35</v>
      </c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 t="s">
        <v>35</v>
      </c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/>
      <c r="NG59" s="2"/>
      <c r="NH59" s="2"/>
      <c r="NI59" s="2"/>
      <c r="NJ59" s="14">
        <f t="array" aca="1" ref="NJ59" ca="1">SUMPRODUCT((OFFSET($A59,0,31*($A$3-1)+1,1,31)&lt;&gt;"")*(IF(OFFSET($A59,0,31*($A$3-1)+1,1,31)=$OD$12,0.5,1)*(OFFSET($A$4,0,31*($A$3-1)+1,1,31))))</f>
        <v>11</v>
      </c>
      <c r="NK59" s="20">
        <f t="array" aca="1" ref="NK59" ca="1">SUMPRODUCT((OFFSET($A59,0,1,1,372)&lt;&gt;"")*(IF(OFFSET($A59,0,1,1,372)=$OD$12,0.5,1)*(OFFSET($A$3,0,1,1,372))))</f>
        <v>20</v>
      </c>
      <c r="NL59" s="28">
        <f t="array" aca="1" ref="NL59" ca="1">SUMPRODUCT((OFFSET($A59,0,31*($A$4)+DAY(Holidays!$E$2),1,Holidays!$G$2)&lt;&gt;"")*(IF(OFFSET($A59,0,31*($A$4)+DAY(Holidays!$E$2),1,Holidays!$G$2)=$OD$12,0.5,1)*(OFFSET($A$3,0,31*($A$4)+DAY(Holidays!$E$2),1,Holidays!$G$2))))</f>
        <v>15</v>
      </c>
      <c r="NM59" s="52">
        <f t="array" aca="1" ref="NM59" ca="1">SUMPRODUCT((OFFSET($A59,0,31*($A$4)+DAY(VLOOKUP(NM$5,Sprints[],2,FALSE)),1,VLOOKUP(NM$5,Sprints[],4,FALSE))&lt;&gt;"")*(IF(OFFSET($A59,0,31*($A$4)+DAY(VLOOKUP(NM$5,Sprints[],2,FALSE)),1,VLOOKUP(NM$5,Sprints[],4,FALSE))=$OD$12,0.5,1)*(OFFSET($A$3,0,31*($A$4)+DAY(VLOOKUP(NM$5,Sprints[],2,FALSE)),1,VLOOKUP(NM$5,Sprints[],4,FALSE)))))</f>
        <v>1</v>
      </c>
      <c r="NN59" s="52">
        <f t="array" aca="1" ref="NN59" ca="1">SUMPRODUCT((OFFSET($A59,0,31*($A$4)+DAY(VLOOKUP(NN$5,Sprints[],2,FALSE)),1,VLOOKUP(NN$5,Sprints[],4,FALSE))&lt;&gt;"")*(IF(OFFSET($A59,0,31*($A$4)+DAY(VLOOKUP(NN$5,Sprints[],2,FALSE)),1,VLOOKUP(NN$5,Sprints[],4,FALSE))=$OD$12,0.5,1)*(OFFSET($A$3,0,31*($A$4)+DAY(VLOOKUP(NN$5,Sprints[],2,FALSE)),1,VLOOKUP(NN$5,Sprints[],4,FALSE)))))</f>
        <v>1</v>
      </c>
      <c r="NO59" s="52">
        <f t="array" aca="1" ref="NO59" ca="1">SUMPRODUCT((OFFSET($A59,0,31*($A$4)+DAY(VLOOKUP(NO$5,Sprints[],2,FALSE)),1,VLOOKUP(NO$5,Sprints[],4,FALSE))&lt;&gt;"")*(IF(OFFSET($A59,0,31*($A$4)+DAY(VLOOKUP(NO$5,Sprints[],2,FALSE)),1,VLOOKUP(NO$5,Sprints[],4,FALSE))=$OD$12,0.5,1)*(OFFSET($A$3,0,31*($A$4)+DAY(VLOOKUP(NO$5,Sprints[],2,FALSE)),1,VLOOKUP(NO$5,Sprints[],4,FALSE)))))</f>
        <v>0</v>
      </c>
      <c r="NP59" s="52">
        <f t="array" aca="1" ref="NP59" ca="1">SUMPRODUCT((OFFSET($A59,0,31*(VLOOKUP(NP$5,Sprints[],5,FALSE))+DAY(VLOOKUP(NP$5,Sprints[],2,FALSE)),1,VLOOKUP(NP$5,Sprints[],4,FALSE))&lt;&gt;"")*(IF(OFFSET($A59,0,31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9" s="52">
        <f t="array" aca="1" ref="NQ59" ca="1">SUMPRODUCT((OFFSET($A59,0,31*(VLOOKUP(NQ$5,Sprints[],5,FALSE))+DAY(VLOOKUP(NQ$5,Sprints[],2,FALSE)),1,VLOOKUP(NQ$5,Sprints[],4,FALSE))&lt;&gt;"")*(IF(OFFSET($A59,0,31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9" s="52">
        <f t="array" aca="1" ref="NR59" ca="1">SUMPRODUCT((OFFSET($A59,0,31*(VLOOKUP(NR$5,Sprints[],5,FALSE))+DAY(VLOOKUP(NR$5,Sprints[],2,FALSE)),1,VLOOKUP(NR$5,Sprints[],4,FALSE))&lt;&gt;"")*(IF(OFFSET($A59,0,31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9" s="52">
        <f t="array" aca="1" ref="NS59" ca="1">SUMPRODUCT((OFFSET($A59,0,31*(VLOOKUP(NS$5,Sprints[],5,FALSE))+DAY(VLOOKUP(NS$5,Sprints[],2,FALSE)),1,VLOOKUP(NS$5,Sprints[],4,FALSE))&lt;&gt;"")*(IF(OFFSET($A59,0,31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9" s="52">
        <f t="array" aca="1" ref="NT59" ca="1">SUMPRODUCT((OFFSET($A59,0,31*(VLOOKUP(NT$5,Sprints[],5,FALSE))+DAY(VLOOKUP(NT$5,Sprints[],2,FALSE)),1,VLOOKUP(NT$5,Sprints[],4,FALSE))&lt;&gt;"")*(IF(OFFSET($A59,0,31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9" s="52">
        <f t="array" aca="1" ref="NU59" ca="1">SUMPRODUCT((OFFSET($A59,0,31*(VLOOKUP(NU$5,Sprints[],5,FALSE))+DAY(VLOOKUP(NU$5,Sprints[],2,FALSE)),1,VLOOKUP(NU$5,Sprints[],4,FALSE))&lt;&gt;"")*(IF(OFFSET($A59,0,31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9" s="52">
        <f t="array" aca="1" ref="NV59" ca="1">SUMPRODUCT((OFFSET($A59,0,31*(VLOOKUP(NV$5,Sprints[],5,FALSE))+DAY(VLOOKUP(NV$5,Sprints[],2,FALSE)),1,VLOOKUP(NV$5,Sprints[],4,FALSE))&lt;&gt;"")*(IF(OFFSET($A59,0,31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9" s="52">
        <f t="array" aca="1" ref="NW59" ca="1">SUMPRODUCT((OFFSET($A59,0,31*(VLOOKUP(NW$5,Sprints[],5,FALSE))+DAY(VLOOKUP(NW$5,Sprints[],2,FALSE)),1,VLOOKUP(NW$5,Sprints[],4,FALSE))&lt;&gt;"")*(IF(OFFSET($A59,0,31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9" s="52">
        <f t="array" aca="1" ref="NX59" ca="1">SUMPRODUCT((OFFSET($A59,0,31*(VLOOKUP(NX$5,Sprints[],5,FALSE))+DAY(VLOOKUP(NX$5,Sprints[],2,FALSE)),1,VLOOKUP(NX$5,Sprints[],4,FALSE))&lt;&gt;"")*(IF(OFFSET($A59,0,31*(VLOOKUP(NX$5,Sprints[],5,FALSE))+DAY(VLOOKUP(NX$5,Sprints[],2,FALSE)),1,VLOOKUP(NX$5,Sprints[],4,FALSE))=$OD$12,0.5,1)*(OFFSET($A$3,0,31*(VLOOKUP(NX$5,Sprints[],5,FALSE))+DAY(VLOOKUP(NX$5,Sprints[],2,FALSE)),1,VLOOKUP(NX$5,Sprints[],4,FALSE)))))</f>
        <v>3</v>
      </c>
      <c r="NY59" s="52">
        <f t="array" aca="1" ref="NY59" ca="1">SUMPRODUCT((OFFSET($A59,0,31*(VLOOKUP(NY$5,Sprints[],5,FALSE))+DAY(VLOOKUP(NY$5,Sprints[],2,FALSE)),1,VLOOKUP(NY$5,Sprints[],4,FALSE))&lt;&gt;"")*(IF(OFFSET($A59,0,31*(VLOOKUP(NY$5,Sprints[],5,FALSE))+DAY(VLOOKUP(NY$5,Sprints[],2,FALSE)),1,VLOOKUP(NY$5,Sprints[],4,FALSE))=$OD$12,0.5,1)*(OFFSET($A$3,0,31*(VLOOKUP(NY$5,Sprints[],5,FALSE))+DAY(VLOOKUP(NY$5,Sprints[],2,FALSE)),1,VLOOKUP(NY$5,Sprints[],4,FALSE)))))</f>
        <v>8</v>
      </c>
      <c r="NZ59" s="52">
        <f t="array" aca="1" ref="NZ59" ca="1">SUMPRODUCT((OFFSET($A59,0,31*(VLOOKUP(NZ$5,Sprints[],5,FALSE))+DAY(VLOOKUP(NZ$5,Sprints[],2,FALSE)),1,VLOOKUP(NZ$5,Sprints[],4,FALSE))&lt;&gt;"")*(IF(OFFSET($A59,0,31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9" s="52">
        <f t="array" aca="1" ref="OA59" ca="1">SUMPRODUCT((OFFSET($A59,0,31*(VLOOKUP(OA$5,Sprints[],5,FALSE))+DAY(VLOOKUP(OA$5,Sprints[],2,FALSE)),1,VLOOKUP(OA$5,Sprints[],4,FALSE))&lt;&gt;"")*(IF(OFFSET($A59,0,31*(VLOOKUP(OA$5,Sprints[],5,FALSE))+DAY(VLOOKUP(OA$5,Sprints[],2,FALSE)),1,VLOOKUP(OA$5,Sprints[],4,FALSE))=$OD$12,0.5,1)*(OFFSET($A$3,0,31*(VLOOKUP(OA$5,Sprints[],5,FALSE))+DAY(VLOOKUP(OA$5,Sprints[],2,FALSE)),1,VLOOKUP(OA$5,Sprints[],4,FALSE)))))</f>
        <v>11</v>
      </c>
    </row>
    <row r="60" spans="1:391" x14ac:dyDescent="0.45">
      <c r="A60" s="44" t="s">
        <v>107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36"/>
      <c r="R60" s="36" t="s">
        <v>35</v>
      </c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36"/>
      <c r="AF60" s="2"/>
      <c r="AG60" s="36" t="s">
        <v>35</v>
      </c>
      <c r="AH60" s="2"/>
      <c r="AI60" s="2"/>
      <c r="AJ60" s="2"/>
      <c r="AK60" s="2"/>
      <c r="AL60" s="2"/>
      <c r="AM60" s="2"/>
      <c r="AN60" s="2"/>
      <c r="AO60" s="36" t="s">
        <v>35</v>
      </c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 t="s">
        <v>35</v>
      </c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 t="s">
        <v>33</v>
      </c>
      <c r="DG60" s="2" t="s">
        <v>33</v>
      </c>
      <c r="DH60" s="2" t="s">
        <v>33</v>
      </c>
      <c r="DI60" s="2" t="s">
        <v>33</v>
      </c>
      <c r="DJ60" s="2" t="s">
        <v>33</v>
      </c>
      <c r="DK60" s="2"/>
      <c r="DL60" s="2"/>
      <c r="DM60" s="2" t="s">
        <v>33</v>
      </c>
      <c r="DN60" s="2" t="s">
        <v>33</v>
      </c>
      <c r="DO60" s="2" t="s">
        <v>33</v>
      </c>
      <c r="DP60" s="2" t="s">
        <v>33</v>
      </c>
      <c r="DQ60" s="2" t="s">
        <v>33</v>
      </c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 t="s">
        <v>35</v>
      </c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 t="s">
        <v>35</v>
      </c>
      <c r="JO60" s="2"/>
      <c r="JP60" s="2"/>
      <c r="JQ60" s="2"/>
      <c r="JR60" s="2"/>
      <c r="JS60" s="2"/>
      <c r="JT60" s="2"/>
      <c r="JU60" s="2" t="s">
        <v>35</v>
      </c>
      <c r="JV60" s="2"/>
      <c r="JW60" s="2"/>
      <c r="JX60" s="2"/>
      <c r="JY60" s="2"/>
      <c r="JZ60" s="2"/>
      <c r="KA60" s="2" t="s">
        <v>35</v>
      </c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 t="s">
        <v>35</v>
      </c>
      <c r="MM60" s="2"/>
      <c r="MN60" s="2"/>
      <c r="MO60" s="2"/>
      <c r="MP60" s="2"/>
      <c r="MQ60" s="2"/>
      <c r="MR60" s="2"/>
      <c r="MS60" s="2"/>
      <c r="MT60" s="2"/>
      <c r="MU60" s="2"/>
      <c r="MV60" s="2"/>
      <c r="MW60" s="2"/>
      <c r="MX60" s="2"/>
      <c r="MY60" s="2"/>
      <c r="MZ60" s="2"/>
      <c r="NA60" s="2"/>
      <c r="NB60" s="2"/>
      <c r="NC60" s="2"/>
      <c r="ND60" s="2"/>
      <c r="NE60" s="2"/>
      <c r="NF60" s="2"/>
      <c r="NG60" s="2"/>
      <c r="NH60" s="2"/>
      <c r="NI60" s="2"/>
      <c r="NJ60" s="14">
        <f t="array" aca="1" ref="NJ60" ca="1">SUMPRODUCT((OFFSET($A60,0,31*($A$3-1)+1,1,31)&lt;&gt;"")*(IF(OFFSET($A60,0,31*($A$3-1)+1,1,31)=$OD$12,0.5,1)*(OFFSET($A$4,0,31*($A$3-1)+1,1,31))))</f>
        <v>0</v>
      </c>
      <c r="NK60" s="20">
        <f t="array" aca="1" ref="NK60" ca="1">SUMPRODUCT((OFFSET($A60,0,1,1,372)&lt;&gt;"")*(IF(OFFSET($A60,0,1,1,372)=$OD$12,0.5,1)*(OFFSET($A$3,0,1,1,372))))</f>
        <v>19</v>
      </c>
      <c r="NL60" s="28">
        <f t="array" aca="1" ref="NL60" ca="1">SUMPRODUCT((OFFSET($A60,0,31*($A$4)+DAY(Holidays!$E$2),1,Holidays!$G$2)&lt;&gt;"")*(IF(OFFSET($A60,0,31*($A$4)+DAY(Holidays!$E$2),1,Holidays!$G$2)=$OD$12,0.5,1)*(OFFSET($A$3,0,31*($A$4)+DAY(Holidays!$E$2),1,Holidays!$G$2))))</f>
        <v>14</v>
      </c>
      <c r="NM60" s="52">
        <f t="array" aca="1" ref="NM60" ca="1">SUMPRODUCT((OFFSET($A60,0,31*($A$4)+DAY(VLOOKUP(NM$5,Sprints[],2,FALSE)),1,VLOOKUP(NM$5,Sprints[],4,FALSE))&lt;&gt;"")*(IF(OFFSET($A60,0,31*($A$4)+DAY(VLOOKUP(NM$5,Sprints[],2,FALSE)),1,VLOOKUP(NM$5,Sprints[],4,FALSE))=$OD$12,0.5,1)*(OFFSET($A$3,0,31*($A$4)+DAY(VLOOKUP(NM$5,Sprints[],2,FALSE)),1,VLOOKUP(NM$5,Sprints[],4,FALSE)))))</f>
        <v>1</v>
      </c>
      <c r="NN60" s="52">
        <f t="array" aca="1" ref="NN60" ca="1">SUMPRODUCT((OFFSET($A60,0,31*($A$4)+DAY(VLOOKUP(NN$5,Sprints[],2,FALSE)),1,VLOOKUP(NN$5,Sprints[],4,FALSE))&lt;&gt;"")*(IF(OFFSET($A60,0,31*($A$4)+DAY(VLOOKUP(NN$5,Sprints[],2,FALSE)),1,VLOOKUP(NN$5,Sprints[],4,FALSE))=$OD$12,0.5,1)*(OFFSET($A$3,0,31*($A$4)+DAY(VLOOKUP(NN$5,Sprints[],2,FALSE)),1,VLOOKUP(NN$5,Sprints[],4,FALSE)))))</f>
        <v>1</v>
      </c>
      <c r="NO60" s="52">
        <f t="array" aca="1" ref="NO60" ca="1">SUMPRODUCT((OFFSET($A60,0,31*($A$4)+DAY(VLOOKUP(NO$5,Sprints[],2,FALSE)),1,VLOOKUP(NO$5,Sprints[],4,FALSE))&lt;&gt;"")*(IF(OFFSET($A60,0,31*($A$4)+DAY(VLOOKUP(NO$5,Sprints[],2,FALSE)),1,VLOOKUP(NO$5,Sprints[],4,FALSE))=$OD$12,0.5,1)*(OFFSET($A$3,0,31*($A$4)+DAY(VLOOKUP(NO$5,Sprints[],2,FALSE)),1,VLOOKUP(NO$5,Sprints[],4,FALSE)))))</f>
        <v>0</v>
      </c>
      <c r="NP60" s="52">
        <f t="array" aca="1" ref="NP60" ca="1">SUMPRODUCT((OFFSET($A60,0,31*(VLOOKUP(NP$5,Sprints[],5,FALSE))+DAY(VLOOKUP(NP$5,Sprints[],2,FALSE)),1,VLOOKUP(NP$5,Sprints[],4,FALSE))&lt;&gt;"")*(IF(OFFSET($A60,0,31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60" s="52">
        <f t="array" aca="1" ref="NQ60" ca="1">SUMPRODUCT((OFFSET($A60,0,31*(VLOOKUP(NQ$5,Sprints[],5,FALSE))+DAY(VLOOKUP(NQ$5,Sprints[],2,FALSE)),1,VLOOKUP(NQ$5,Sprints[],4,FALSE))&lt;&gt;"")*(IF(OFFSET($A60,0,31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60" s="52">
        <f t="array" aca="1" ref="NR60" ca="1">SUMPRODUCT((OFFSET($A60,0,31*(VLOOKUP(NR$5,Sprints[],5,FALSE))+DAY(VLOOKUP(NR$5,Sprints[],2,FALSE)),1,VLOOKUP(NR$5,Sprints[],4,FALSE))&lt;&gt;"")*(IF(OFFSET($A60,0,31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0" s="52">
        <f t="array" aca="1" ref="NS60" ca="1">SUMPRODUCT((OFFSET($A60,0,31*(VLOOKUP(NS$5,Sprints[],5,FALSE))+DAY(VLOOKUP(NS$5,Sprints[],2,FALSE)),1,VLOOKUP(NS$5,Sprints[],4,FALSE))&lt;&gt;"")*(IF(OFFSET($A60,0,31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0" s="52">
        <f t="array" aca="1" ref="NT60" ca="1">SUMPRODUCT((OFFSET($A60,0,31*(VLOOKUP(NT$5,Sprints[],5,FALSE))+DAY(VLOOKUP(NT$5,Sprints[],2,FALSE)),1,VLOOKUP(NT$5,Sprints[],4,FALSE))&lt;&gt;"")*(IF(OFFSET($A60,0,31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60" s="52">
        <f t="array" aca="1" ref="NU60" ca="1">SUMPRODUCT((OFFSET($A60,0,31*(VLOOKUP(NU$5,Sprints[],5,FALSE))+DAY(VLOOKUP(NU$5,Sprints[],2,FALSE)),1,VLOOKUP(NU$5,Sprints[],4,FALSE))&lt;&gt;"")*(IF(OFFSET($A60,0,31*(VLOOKUP(NU$5,Sprints[],5,FALSE))+DAY(VLOOKUP(NU$5,Sprints[],2,FALSE)),1,VLOOKUP(NU$5,Sprints[],4,FALSE))=$OD$12,0.5,1)*(OFFSET($A$3,0,31*(VLOOKUP(NU$5,Sprints[],5,FALSE))+DAY(VLOOKUP(NU$5,Sprints[],2,FALSE)),1,VLOOKUP(NU$5,Sprints[],4,FALSE)))))</f>
        <v>8</v>
      </c>
      <c r="NV60" s="52">
        <f t="array" aca="1" ref="NV60" ca="1">SUMPRODUCT((OFFSET($A60,0,31*(VLOOKUP(NV$5,Sprints[],5,FALSE))+DAY(VLOOKUP(NV$5,Sprints[],2,FALSE)),1,VLOOKUP(NV$5,Sprints[],4,FALSE))&lt;&gt;"")*(IF(OFFSET($A60,0,31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0" s="52">
        <f t="array" aca="1" ref="NW60" ca="1">SUMPRODUCT((OFFSET($A60,0,31*(VLOOKUP(NW$5,Sprints[],5,FALSE))+DAY(VLOOKUP(NW$5,Sprints[],2,FALSE)),1,VLOOKUP(NW$5,Sprints[],4,FALSE))&lt;&gt;"")*(IF(OFFSET($A60,0,31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0" s="52">
        <f t="array" aca="1" ref="NX60" ca="1">SUMPRODUCT((OFFSET($A60,0,31*(VLOOKUP(NX$5,Sprints[],5,FALSE))+DAY(VLOOKUP(NX$5,Sprints[],2,FALSE)),1,VLOOKUP(NX$5,Sprints[],4,FALSE))&lt;&gt;"")*(IF(OFFSET($A60,0,31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0" s="52">
        <f t="array" aca="1" ref="NY60" ca="1">SUMPRODUCT((OFFSET($A60,0,31*(VLOOKUP(NY$5,Sprints[],5,FALSE))+DAY(VLOOKUP(NY$5,Sprints[],2,FALSE)),1,VLOOKUP(NY$5,Sprints[],4,FALSE))&lt;&gt;"")*(IF(OFFSET($A60,0,31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0" s="52">
        <f t="array" aca="1" ref="NZ60" ca="1">SUMPRODUCT((OFFSET($A60,0,31*(VLOOKUP(NZ$5,Sprints[],5,FALSE))+DAY(VLOOKUP(NZ$5,Sprints[],2,FALSE)),1,VLOOKUP(NZ$5,Sprints[],4,FALSE))&lt;&gt;"")*(IF(OFFSET($A60,0,31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0" s="52">
        <f t="array" aca="1" ref="OA60" ca="1">SUMPRODUCT((OFFSET($A60,0,31*(VLOOKUP(OA$5,Sprints[],5,FALSE))+DAY(VLOOKUP(OA$5,Sprints[],2,FALSE)),1,VLOOKUP(OA$5,Sprints[],4,FALSE))&lt;&gt;"")*(IF(OFFSET($A60,0,31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1" spans="1:391" x14ac:dyDescent="0.45">
      <c r="A61" s="44" t="s">
        <v>108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36"/>
      <c r="R61" s="36" t="s">
        <v>35</v>
      </c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36"/>
      <c r="AF61" s="2"/>
      <c r="AG61" s="36" t="s">
        <v>35</v>
      </c>
      <c r="AH61" s="2"/>
      <c r="AI61" s="2"/>
      <c r="AJ61" s="2"/>
      <c r="AK61" s="2"/>
      <c r="AL61" s="2"/>
      <c r="AM61" s="2"/>
      <c r="AN61" s="2"/>
      <c r="AO61" s="36" t="s">
        <v>35</v>
      </c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 t="s">
        <v>35</v>
      </c>
      <c r="CT61" s="2"/>
      <c r="CU61" s="2"/>
      <c r="CV61" s="2"/>
      <c r="CW61" s="2"/>
      <c r="CX61" s="2"/>
      <c r="CY61" s="2"/>
      <c r="CZ61" s="2"/>
      <c r="DA61" s="2" t="s">
        <v>33</v>
      </c>
      <c r="DB61" s="2" t="s">
        <v>33</v>
      </c>
      <c r="DC61" s="2" t="s">
        <v>33</v>
      </c>
      <c r="DD61" s="2"/>
      <c r="DE61" s="2"/>
      <c r="DF61" s="2" t="s">
        <v>33</v>
      </c>
      <c r="DG61" s="2" t="s">
        <v>33</v>
      </c>
      <c r="DH61" s="2" t="s">
        <v>33</v>
      </c>
      <c r="DI61" s="2" t="s">
        <v>33</v>
      </c>
      <c r="DJ61" s="2" t="s">
        <v>33</v>
      </c>
      <c r="DK61" s="2"/>
      <c r="DL61" s="2"/>
      <c r="DM61" s="2" t="s">
        <v>33</v>
      </c>
      <c r="DN61" s="2" t="s">
        <v>33</v>
      </c>
      <c r="DO61" s="2" t="s">
        <v>33</v>
      </c>
      <c r="DP61" s="2" t="s">
        <v>33</v>
      </c>
      <c r="DQ61" s="2" t="s">
        <v>33</v>
      </c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 t="s">
        <v>35</v>
      </c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 t="s">
        <v>35</v>
      </c>
      <c r="JO61" s="2"/>
      <c r="JP61" s="2"/>
      <c r="JQ61" s="2"/>
      <c r="JR61" s="2"/>
      <c r="JS61" s="2"/>
      <c r="JT61" s="2"/>
      <c r="JU61" s="2" t="s">
        <v>35</v>
      </c>
      <c r="JV61" s="2"/>
      <c r="JW61" s="2"/>
      <c r="JX61" s="2"/>
      <c r="JY61" s="2"/>
      <c r="JZ61" s="2"/>
      <c r="KA61" s="2" t="s">
        <v>35</v>
      </c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 t="s">
        <v>35</v>
      </c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14">
        <f t="array" aca="1" ref="NJ61" ca="1">SUMPRODUCT((OFFSET($A61,0,31*($A$3-1)+1,1,31)&lt;&gt;"")*(IF(OFFSET($A61,0,31*($A$3-1)+1,1,31)=$OD$12,0.5,1)*(OFFSET($A$4,0,31*($A$3-1)+1,1,31))))</f>
        <v>0</v>
      </c>
      <c r="NK61" s="20">
        <f t="array" aca="1" ref="NK61" ca="1">SUMPRODUCT((OFFSET($A61,0,1,1,372)&lt;&gt;"")*(IF(OFFSET($A61,0,1,1,372)=$OD$12,0.5,1)*(OFFSET($A$3,0,1,1,372))))</f>
        <v>22</v>
      </c>
      <c r="NL61" s="28">
        <f t="array" aca="1" ref="NL61" ca="1">SUMPRODUCT((OFFSET($A61,0,31*($A$4)+DAY(Holidays!$E$2),1,Holidays!$G$2)&lt;&gt;"")*(IF(OFFSET($A61,0,31*($A$4)+DAY(Holidays!$E$2),1,Holidays!$G$2)=$OD$12,0.5,1)*(OFFSET($A$3,0,31*($A$4)+DAY(Holidays!$E$2),1,Holidays!$G$2))))</f>
        <v>17</v>
      </c>
      <c r="NM61" s="52">
        <f t="array" aca="1" ref="NM61" ca="1">SUMPRODUCT((OFFSET($A61,0,31*($A$4)+DAY(VLOOKUP(NM$5,Sprints[],2,FALSE)),1,VLOOKUP(NM$5,Sprints[],4,FALSE))&lt;&gt;"")*(IF(OFFSET($A61,0,31*($A$4)+DAY(VLOOKUP(NM$5,Sprints[],2,FALSE)),1,VLOOKUP(NM$5,Sprints[],4,FALSE))=$OD$12,0.5,1)*(OFFSET($A$3,0,31*($A$4)+DAY(VLOOKUP(NM$5,Sprints[],2,FALSE)),1,VLOOKUP(NM$5,Sprints[],4,FALSE)))))</f>
        <v>1</v>
      </c>
      <c r="NN61" s="52">
        <f t="array" aca="1" ref="NN61" ca="1">SUMPRODUCT((OFFSET($A61,0,31*($A$4)+DAY(VLOOKUP(NN$5,Sprints[],2,FALSE)),1,VLOOKUP(NN$5,Sprints[],4,FALSE))&lt;&gt;"")*(IF(OFFSET($A61,0,31*($A$4)+DAY(VLOOKUP(NN$5,Sprints[],2,FALSE)),1,VLOOKUP(NN$5,Sprints[],4,FALSE))=$OD$12,0.5,1)*(OFFSET($A$3,0,31*($A$4)+DAY(VLOOKUP(NN$5,Sprints[],2,FALSE)),1,VLOOKUP(NN$5,Sprints[],4,FALSE)))))</f>
        <v>1</v>
      </c>
      <c r="NO61" s="52">
        <f t="array" aca="1" ref="NO61" ca="1">SUMPRODUCT((OFFSET($A61,0,31*($A$4)+DAY(VLOOKUP(NO$5,Sprints[],2,FALSE)),1,VLOOKUP(NO$5,Sprints[],4,FALSE))&lt;&gt;"")*(IF(OFFSET($A61,0,31*($A$4)+DAY(VLOOKUP(NO$5,Sprints[],2,FALSE)),1,VLOOKUP(NO$5,Sprints[],4,FALSE))=$OD$12,0.5,1)*(OFFSET($A$3,0,31*($A$4)+DAY(VLOOKUP(NO$5,Sprints[],2,FALSE)),1,VLOOKUP(NO$5,Sprints[],4,FALSE)))))</f>
        <v>0</v>
      </c>
      <c r="NP61" s="52">
        <f t="array" aca="1" ref="NP61" ca="1">SUMPRODUCT((OFFSET($A61,0,31*(VLOOKUP(NP$5,Sprints[],5,FALSE))+DAY(VLOOKUP(NP$5,Sprints[],2,FALSE)),1,VLOOKUP(NP$5,Sprints[],4,FALSE))&lt;&gt;"")*(IF(OFFSET($A61,0,31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61" s="52">
        <f t="array" aca="1" ref="NQ61" ca="1">SUMPRODUCT((OFFSET($A61,0,31*(VLOOKUP(NQ$5,Sprints[],5,FALSE))+DAY(VLOOKUP(NQ$5,Sprints[],2,FALSE)),1,VLOOKUP(NQ$5,Sprints[],4,FALSE))&lt;&gt;"")*(IF(OFFSET($A61,0,31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61" s="52">
        <f t="array" aca="1" ref="NR61" ca="1">SUMPRODUCT((OFFSET($A61,0,31*(VLOOKUP(NR$5,Sprints[],5,FALSE))+DAY(VLOOKUP(NR$5,Sprints[],2,FALSE)),1,VLOOKUP(NR$5,Sprints[],4,FALSE))&lt;&gt;"")*(IF(OFFSET($A61,0,31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1" s="52">
        <f t="array" aca="1" ref="NS61" ca="1">SUMPRODUCT((OFFSET($A61,0,31*(VLOOKUP(NS$5,Sprints[],5,FALSE))+DAY(VLOOKUP(NS$5,Sprints[],2,FALSE)),1,VLOOKUP(NS$5,Sprints[],4,FALSE))&lt;&gt;"")*(IF(OFFSET($A61,0,31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1" s="52">
        <f t="array" aca="1" ref="NT61" ca="1">SUMPRODUCT((OFFSET($A61,0,31*(VLOOKUP(NT$5,Sprints[],5,FALSE))+DAY(VLOOKUP(NT$5,Sprints[],2,FALSE)),1,VLOOKUP(NT$5,Sprints[],4,FALSE))&lt;&gt;"")*(IF(OFFSET($A61,0,31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61" s="52">
        <f t="array" aca="1" ref="NU61" ca="1">SUMPRODUCT((OFFSET($A61,0,31*(VLOOKUP(NU$5,Sprints[],5,FALSE))+DAY(VLOOKUP(NU$5,Sprints[],2,FALSE)),1,VLOOKUP(NU$5,Sprints[],4,FALSE))&lt;&gt;"")*(IF(OFFSET($A61,0,31*(VLOOKUP(NU$5,Sprints[],5,FALSE))+DAY(VLOOKUP(NU$5,Sprints[],2,FALSE)),1,VLOOKUP(NU$5,Sprints[],4,FALSE))=$OD$12,0.5,1)*(OFFSET($A$3,0,31*(VLOOKUP(NU$5,Sprints[],5,FALSE))+DAY(VLOOKUP(NU$5,Sprints[],2,FALSE)),1,VLOOKUP(NU$5,Sprints[],4,FALSE)))))</f>
        <v>8</v>
      </c>
      <c r="NV61" s="52">
        <f t="array" aca="1" ref="NV61" ca="1">SUMPRODUCT((OFFSET($A61,0,31*(VLOOKUP(NV$5,Sprints[],5,FALSE))+DAY(VLOOKUP(NV$5,Sprints[],2,FALSE)),1,VLOOKUP(NV$5,Sprints[],4,FALSE))&lt;&gt;"")*(IF(OFFSET($A61,0,31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1" s="52">
        <f t="array" aca="1" ref="NW61" ca="1">SUMPRODUCT((OFFSET($A61,0,31*(VLOOKUP(NW$5,Sprints[],5,FALSE))+DAY(VLOOKUP(NW$5,Sprints[],2,FALSE)),1,VLOOKUP(NW$5,Sprints[],4,FALSE))&lt;&gt;"")*(IF(OFFSET($A61,0,31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1" s="52">
        <f t="array" aca="1" ref="NX61" ca="1">SUMPRODUCT((OFFSET($A61,0,31*(VLOOKUP(NX$5,Sprints[],5,FALSE))+DAY(VLOOKUP(NX$5,Sprints[],2,FALSE)),1,VLOOKUP(NX$5,Sprints[],4,FALSE))&lt;&gt;"")*(IF(OFFSET($A61,0,31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1" s="52">
        <f t="array" aca="1" ref="NY61" ca="1">SUMPRODUCT((OFFSET($A61,0,31*(VLOOKUP(NY$5,Sprints[],5,FALSE))+DAY(VLOOKUP(NY$5,Sprints[],2,FALSE)),1,VLOOKUP(NY$5,Sprints[],4,FALSE))&lt;&gt;"")*(IF(OFFSET($A61,0,31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1" s="52">
        <f t="array" aca="1" ref="NZ61" ca="1">SUMPRODUCT((OFFSET($A61,0,31*(VLOOKUP(NZ$5,Sprints[],5,FALSE))+DAY(VLOOKUP(NZ$5,Sprints[],2,FALSE)),1,VLOOKUP(NZ$5,Sprints[],4,FALSE))&lt;&gt;"")*(IF(OFFSET($A61,0,31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1" s="52">
        <f t="array" aca="1" ref="OA61" ca="1">SUMPRODUCT((OFFSET($A61,0,31*(VLOOKUP(OA$5,Sprints[],5,FALSE))+DAY(VLOOKUP(OA$5,Sprints[],2,FALSE)),1,VLOOKUP(OA$5,Sprints[],4,FALSE))&lt;&gt;"")*(IF(OFFSET($A61,0,31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2" spans="1:391" x14ac:dyDescent="0.45">
      <c r="A62" s="44" t="s">
        <v>109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36"/>
      <c r="R62" s="36" t="s">
        <v>35</v>
      </c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36"/>
      <c r="AF62" s="2"/>
      <c r="AG62" s="36" t="s">
        <v>35</v>
      </c>
      <c r="AH62" s="2"/>
      <c r="AI62" s="2"/>
      <c r="AJ62" s="2"/>
      <c r="AK62" s="2"/>
      <c r="AL62" s="2"/>
      <c r="AM62" s="2"/>
      <c r="AN62" s="2"/>
      <c r="AO62" s="36" t="s">
        <v>35</v>
      </c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 t="s">
        <v>35</v>
      </c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 t="s">
        <v>35</v>
      </c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 t="s">
        <v>35</v>
      </c>
      <c r="JO62" s="2"/>
      <c r="JP62" s="2"/>
      <c r="JQ62" s="2"/>
      <c r="JR62" s="2"/>
      <c r="JS62" s="2"/>
      <c r="JT62" s="2"/>
      <c r="JU62" s="2" t="s">
        <v>35</v>
      </c>
      <c r="JV62" s="2"/>
      <c r="JW62" s="2"/>
      <c r="JX62" s="2"/>
      <c r="JY62" s="2"/>
      <c r="JZ62" s="2"/>
      <c r="KA62" s="2" t="s">
        <v>35</v>
      </c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 t="s">
        <v>35</v>
      </c>
      <c r="MM62" s="2"/>
      <c r="MN62" s="2"/>
      <c r="MO62" s="2"/>
      <c r="MP62" s="2"/>
      <c r="MQ62" s="2"/>
      <c r="MR62" s="2"/>
      <c r="MS62" s="2"/>
      <c r="MT62" s="2"/>
      <c r="MU62" s="2"/>
      <c r="MV62" s="2"/>
      <c r="MW62" s="2"/>
      <c r="MX62" s="2"/>
      <c r="MY62" s="2"/>
      <c r="MZ62" s="2"/>
      <c r="NA62" s="2"/>
      <c r="NB62" s="2"/>
      <c r="NC62" s="2"/>
      <c r="ND62" s="2"/>
      <c r="NE62" s="2"/>
      <c r="NF62" s="2"/>
      <c r="NG62" s="2"/>
      <c r="NH62" s="2"/>
      <c r="NI62" s="2"/>
      <c r="NJ62" s="14">
        <f t="array" aca="1" ref="NJ62" ca="1">SUMPRODUCT((OFFSET($A62,0,31*($A$3-1)+1,1,31)&lt;&gt;"")*(IF(OFFSET($A62,0,31*($A$3-1)+1,1,31)=$OD$12,0.5,1)*(OFFSET($A$4,0,31*($A$3-1)+1,1,31))))</f>
        <v>0</v>
      </c>
      <c r="NK62" s="20">
        <f t="array" aca="1" ref="NK62" ca="1">SUMPRODUCT((OFFSET($A62,0,1,1,372)&lt;&gt;"")*(IF(OFFSET($A62,0,1,1,372)=$OD$12,0.5,1)*(OFFSET($A$3,0,1,1,372))))</f>
        <v>9</v>
      </c>
      <c r="NL62" s="28">
        <f t="array" aca="1" ref="NL62" ca="1">SUMPRODUCT((OFFSET($A62,0,31*($A$4)+DAY(Holidays!$E$2),1,Holidays!$G$2)&lt;&gt;"")*(IF(OFFSET($A62,0,31*($A$4)+DAY(Holidays!$E$2),1,Holidays!$G$2)=$OD$12,0.5,1)*(OFFSET($A$3,0,31*($A$4)+DAY(Holidays!$E$2),1,Holidays!$G$2))))</f>
        <v>4</v>
      </c>
      <c r="NM62" s="52">
        <f t="array" aca="1" ref="NM62" ca="1">SUMPRODUCT((OFFSET($A62,0,31*($A$4)+DAY(VLOOKUP(NM$5,Sprints[],2,FALSE)),1,VLOOKUP(NM$5,Sprints[],4,FALSE))&lt;&gt;"")*(IF(OFFSET($A62,0,31*($A$4)+DAY(VLOOKUP(NM$5,Sprints[],2,FALSE)),1,VLOOKUP(NM$5,Sprints[],4,FALSE))=$OD$12,0.5,1)*(OFFSET($A$3,0,31*($A$4)+DAY(VLOOKUP(NM$5,Sprints[],2,FALSE)),1,VLOOKUP(NM$5,Sprints[],4,FALSE)))))</f>
        <v>1</v>
      </c>
      <c r="NN62" s="52">
        <f t="array" aca="1" ref="NN62" ca="1">SUMPRODUCT((OFFSET($A62,0,31*($A$4)+DAY(VLOOKUP(NN$5,Sprints[],2,FALSE)),1,VLOOKUP(NN$5,Sprints[],4,FALSE))&lt;&gt;"")*(IF(OFFSET($A62,0,31*($A$4)+DAY(VLOOKUP(NN$5,Sprints[],2,FALSE)),1,VLOOKUP(NN$5,Sprints[],4,FALSE))=$OD$12,0.5,1)*(OFFSET($A$3,0,31*($A$4)+DAY(VLOOKUP(NN$5,Sprints[],2,FALSE)),1,VLOOKUP(NN$5,Sprints[],4,FALSE)))))</f>
        <v>1</v>
      </c>
      <c r="NO62" s="52">
        <f t="array" aca="1" ref="NO62" ca="1">SUMPRODUCT((OFFSET($A62,0,31*($A$4)+DAY(VLOOKUP(NO$5,Sprints[],2,FALSE)),1,VLOOKUP(NO$5,Sprints[],4,FALSE))&lt;&gt;"")*(IF(OFFSET($A62,0,31*($A$4)+DAY(VLOOKUP(NO$5,Sprints[],2,FALSE)),1,VLOOKUP(NO$5,Sprints[],4,FALSE))=$OD$12,0.5,1)*(OFFSET($A$3,0,31*($A$4)+DAY(VLOOKUP(NO$5,Sprints[],2,FALSE)),1,VLOOKUP(NO$5,Sprints[],4,FALSE)))))</f>
        <v>0</v>
      </c>
      <c r="NP62" s="52">
        <f t="array" aca="1" ref="NP62" ca="1">SUMPRODUCT((OFFSET($A62,0,31*(VLOOKUP(NP$5,Sprints[],5,FALSE))+DAY(VLOOKUP(NP$5,Sprints[],2,FALSE)),1,VLOOKUP(NP$5,Sprints[],4,FALSE))&lt;&gt;"")*(IF(OFFSET($A62,0,31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62" s="52">
        <f t="array" aca="1" ref="NQ62" ca="1">SUMPRODUCT((OFFSET($A62,0,31*(VLOOKUP(NQ$5,Sprints[],5,FALSE))+DAY(VLOOKUP(NQ$5,Sprints[],2,FALSE)),1,VLOOKUP(NQ$5,Sprints[],4,FALSE))&lt;&gt;"")*(IF(OFFSET($A62,0,31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62" s="52">
        <f t="array" aca="1" ref="NR62" ca="1">SUMPRODUCT((OFFSET($A62,0,31*(VLOOKUP(NR$5,Sprints[],5,FALSE))+DAY(VLOOKUP(NR$5,Sprints[],2,FALSE)),1,VLOOKUP(NR$5,Sprints[],4,FALSE))&lt;&gt;"")*(IF(OFFSET($A62,0,31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2" s="52">
        <f t="array" aca="1" ref="NS62" ca="1">SUMPRODUCT((OFFSET($A62,0,31*(VLOOKUP(NS$5,Sprints[],5,FALSE))+DAY(VLOOKUP(NS$5,Sprints[],2,FALSE)),1,VLOOKUP(NS$5,Sprints[],4,FALSE))&lt;&gt;"")*(IF(OFFSET($A62,0,31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2" s="52">
        <f t="array" aca="1" ref="NT62" ca="1">SUMPRODUCT((OFFSET($A62,0,31*(VLOOKUP(NT$5,Sprints[],5,FALSE))+DAY(VLOOKUP(NT$5,Sprints[],2,FALSE)),1,VLOOKUP(NT$5,Sprints[],4,FALSE))&lt;&gt;"")*(IF(OFFSET($A62,0,31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2" s="52">
        <f t="array" aca="1" ref="NU62" ca="1">SUMPRODUCT((OFFSET($A62,0,31*(VLOOKUP(NU$5,Sprints[],5,FALSE))+DAY(VLOOKUP(NU$5,Sprints[],2,FALSE)),1,VLOOKUP(NU$5,Sprints[],4,FALSE))&lt;&gt;"")*(IF(OFFSET($A62,0,31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62" s="52">
        <f t="array" aca="1" ref="NV62" ca="1">SUMPRODUCT((OFFSET($A62,0,31*(VLOOKUP(NV$5,Sprints[],5,FALSE))+DAY(VLOOKUP(NV$5,Sprints[],2,FALSE)),1,VLOOKUP(NV$5,Sprints[],4,FALSE))&lt;&gt;"")*(IF(OFFSET($A62,0,31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2" s="52">
        <f t="array" aca="1" ref="NW62" ca="1">SUMPRODUCT((OFFSET($A62,0,31*(VLOOKUP(NW$5,Sprints[],5,FALSE))+DAY(VLOOKUP(NW$5,Sprints[],2,FALSE)),1,VLOOKUP(NW$5,Sprints[],4,FALSE))&lt;&gt;"")*(IF(OFFSET($A62,0,31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2" s="52">
        <f t="array" aca="1" ref="NX62" ca="1">SUMPRODUCT((OFFSET($A62,0,31*(VLOOKUP(NX$5,Sprints[],5,FALSE))+DAY(VLOOKUP(NX$5,Sprints[],2,FALSE)),1,VLOOKUP(NX$5,Sprints[],4,FALSE))&lt;&gt;"")*(IF(OFFSET($A62,0,31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2" s="52">
        <f t="array" aca="1" ref="NY62" ca="1">SUMPRODUCT((OFFSET($A62,0,31*(VLOOKUP(NY$5,Sprints[],5,FALSE))+DAY(VLOOKUP(NY$5,Sprints[],2,FALSE)),1,VLOOKUP(NY$5,Sprints[],4,FALSE))&lt;&gt;"")*(IF(OFFSET($A62,0,31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2" s="52">
        <f t="array" aca="1" ref="NZ62" ca="1">SUMPRODUCT((OFFSET($A62,0,31*(VLOOKUP(NZ$5,Sprints[],5,FALSE))+DAY(VLOOKUP(NZ$5,Sprints[],2,FALSE)),1,VLOOKUP(NZ$5,Sprints[],4,FALSE))&lt;&gt;"")*(IF(OFFSET($A62,0,31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2" s="52">
        <f t="array" aca="1" ref="OA62" ca="1">SUMPRODUCT((OFFSET($A62,0,31*(VLOOKUP(OA$5,Sprints[],5,FALSE))+DAY(VLOOKUP(OA$5,Sprints[],2,FALSE)),1,VLOOKUP(OA$5,Sprints[],4,FALSE))&lt;&gt;"")*(IF(OFFSET($A62,0,31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3" spans="1:391" s="45" customFormat="1" x14ac:dyDescent="0.45">
      <c r="A63" s="44" t="s">
        <v>179</v>
      </c>
      <c r="B63" s="2"/>
      <c r="C63" s="2" t="s">
        <v>49</v>
      </c>
      <c r="D63" s="2" t="s">
        <v>49</v>
      </c>
      <c r="E63" s="2" t="s">
        <v>49</v>
      </c>
      <c r="F63" s="2" t="s">
        <v>49</v>
      </c>
      <c r="G63" s="2" t="s">
        <v>49</v>
      </c>
      <c r="H63" s="2"/>
      <c r="I63" s="2"/>
      <c r="J63" s="2" t="s">
        <v>49</v>
      </c>
      <c r="K63" s="2" t="s">
        <v>49</v>
      </c>
      <c r="L63" s="2" t="s">
        <v>49</v>
      </c>
      <c r="M63" s="2" t="s">
        <v>49</v>
      </c>
      <c r="N63" s="2" t="s">
        <v>49</v>
      </c>
      <c r="O63" s="2"/>
      <c r="P63" s="2"/>
      <c r="Q63" s="2" t="s">
        <v>49</v>
      </c>
      <c r="R63" s="36" t="s">
        <v>35</v>
      </c>
      <c r="S63" s="2" t="s">
        <v>49</v>
      </c>
      <c r="T63" s="2" t="s">
        <v>49</v>
      </c>
      <c r="U63" s="2" t="s">
        <v>49</v>
      </c>
      <c r="V63" s="2"/>
      <c r="W63" s="2"/>
      <c r="X63" s="2" t="s">
        <v>49</v>
      </c>
      <c r="Y63" s="2" t="s">
        <v>49</v>
      </c>
      <c r="Z63" s="2" t="s">
        <v>49</v>
      </c>
      <c r="AA63" s="2" t="s">
        <v>49</v>
      </c>
      <c r="AB63" s="2" t="s">
        <v>49</v>
      </c>
      <c r="AC63" s="2"/>
      <c r="AD63" s="2"/>
      <c r="AE63" s="2" t="s">
        <v>49</v>
      </c>
      <c r="AF63" s="2"/>
      <c r="AG63" s="36" t="s">
        <v>35</v>
      </c>
      <c r="AH63" s="2" t="s">
        <v>49</v>
      </c>
      <c r="AI63" s="2" t="s">
        <v>49</v>
      </c>
      <c r="AJ63" s="2" t="s">
        <v>49</v>
      </c>
      <c r="AK63" s="2"/>
      <c r="AL63" s="2"/>
      <c r="AM63" s="2" t="s">
        <v>49</v>
      </c>
      <c r="AN63" s="2" t="s">
        <v>49</v>
      </c>
      <c r="AO63" s="36" t="s">
        <v>35</v>
      </c>
      <c r="AP63" s="2" t="s">
        <v>49</v>
      </c>
      <c r="AQ63" s="2" t="s">
        <v>49</v>
      </c>
      <c r="AR63" s="2"/>
      <c r="AS63" s="2"/>
      <c r="AT63" s="2" t="s">
        <v>49</v>
      </c>
      <c r="AU63" s="2" t="s">
        <v>49</v>
      </c>
      <c r="AV63" s="2" t="s">
        <v>49</v>
      </c>
      <c r="AW63" s="2" t="s">
        <v>49</v>
      </c>
      <c r="AX63" s="2" t="s">
        <v>49</v>
      </c>
      <c r="AY63" s="2"/>
      <c r="AZ63" s="2"/>
      <c r="BA63" s="2" t="s">
        <v>49</v>
      </c>
      <c r="BB63" s="2" t="s">
        <v>49</v>
      </c>
      <c r="BC63" s="2" t="s">
        <v>49</v>
      </c>
      <c r="BD63" s="2" t="s">
        <v>49</v>
      </c>
      <c r="BE63" s="2" t="s">
        <v>49</v>
      </c>
      <c r="BF63" s="2"/>
      <c r="BG63" s="2"/>
      <c r="BH63" s="2" t="s">
        <v>49</v>
      </c>
      <c r="BI63" s="2" t="s">
        <v>49</v>
      </c>
      <c r="BJ63" s="2" t="s">
        <v>49</v>
      </c>
      <c r="BK63" s="2" t="s">
        <v>49</v>
      </c>
      <c r="BL63" s="2" t="s">
        <v>49</v>
      </c>
      <c r="BM63" s="2"/>
      <c r="BN63" s="2"/>
      <c r="BO63" s="2" t="s">
        <v>49</v>
      </c>
      <c r="BP63" s="2" t="s">
        <v>49</v>
      </c>
      <c r="BQ63" s="2" t="s">
        <v>49</v>
      </c>
      <c r="BR63" s="2" t="s">
        <v>49</v>
      </c>
      <c r="BS63" s="2" t="s">
        <v>49</v>
      </c>
      <c r="BT63" s="2"/>
      <c r="BU63" s="2"/>
      <c r="BV63" s="2" t="s">
        <v>49</v>
      </c>
      <c r="BW63" s="2" t="s">
        <v>49</v>
      </c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 t="s">
        <v>35</v>
      </c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 t="s">
        <v>33</v>
      </c>
      <c r="DN63" s="2" t="s">
        <v>33</v>
      </c>
      <c r="DO63" s="2" t="s">
        <v>33</v>
      </c>
      <c r="DP63" s="2" t="s">
        <v>33</v>
      </c>
      <c r="DQ63" s="2" t="s">
        <v>33</v>
      </c>
      <c r="DR63" s="2"/>
      <c r="DS63" s="2"/>
      <c r="DT63" s="2" t="s">
        <v>33</v>
      </c>
      <c r="DU63" s="2" t="s">
        <v>33</v>
      </c>
      <c r="DV63" s="2" t="s">
        <v>33</v>
      </c>
      <c r="DW63" s="2" t="s">
        <v>33</v>
      </c>
      <c r="DX63" s="2" t="s">
        <v>33</v>
      </c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 t="s">
        <v>35</v>
      </c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 t="s">
        <v>35</v>
      </c>
      <c r="JO63" s="2"/>
      <c r="JP63" s="2"/>
      <c r="JQ63" s="2"/>
      <c r="JR63" s="2"/>
      <c r="JS63" s="2"/>
      <c r="JT63" s="2"/>
      <c r="JU63" s="2" t="s">
        <v>35</v>
      </c>
      <c r="JV63" s="2"/>
      <c r="JW63" s="2"/>
      <c r="JX63" s="2"/>
      <c r="JY63" s="2"/>
      <c r="JZ63" s="2"/>
      <c r="KA63" s="2" t="s">
        <v>35</v>
      </c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 t="s">
        <v>35</v>
      </c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2"/>
      <c r="NI63" s="2"/>
      <c r="NJ63" s="14">
        <f t="array" aca="1" ref="NJ63" ca="1">SUMPRODUCT((OFFSET($A63,0,31*($A$3-1)+1,1,31)&lt;&gt;"")*(IF(OFFSET($A63,0,31*($A$3-1)+1,1,31)=$OD$12,0.5,1)*(OFFSET($A$4,0,31*($A$3-1)+1,1,31))))</f>
        <v>0</v>
      </c>
      <c r="NK63" s="20">
        <f t="array" aca="1" ref="NK63" ca="1">SUMPRODUCT((OFFSET($A63,0,1,1,372)&lt;&gt;"")*(IF(OFFSET($A63,0,1,1,372)=$OD$12,0.5,1)*(OFFSET($A$3,0,1,1,372))))</f>
        <v>68</v>
      </c>
      <c r="NL63" s="28">
        <f t="array" aca="1" ref="NL63" ca="1">SUMPRODUCT((OFFSET($A63,0,31*($A$4)+DAY(Holidays!$E$2),1,Holidays!$G$2)&lt;&gt;"")*(IF(OFFSET($A63,0,31*($A$4)+DAY(Holidays!$E$2),1,Holidays!$G$2)=$OD$12,0.5,1)*(OFFSET($A$3,0,31*($A$4)+DAY(Holidays!$E$2),1,Holidays!$G$2))))</f>
        <v>56</v>
      </c>
      <c r="NM63" s="52">
        <f t="array" aca="1" ref="NM63" ca="1">SUMPRODUCT((OFFSET($A63,0,31*($A$4)+DAY(VLOOKUP(NM$5,Sprints[],2,FALSE)),1,VLOOKUP(NM$5,Sprints[],4,FALSE))&lt;&gt;"")*(IF(OFFSET($A63,0,31*($A$4)+DAY(VLOOKUP(NM$5,Sprints[],2,FALSE)),1,VLOOKUP(NM$5,Sprints[],4,FALSE))=$OD$12,0.5,1)*(OFFSET($A$3,0,31*($A$4)+DAY(VLOOKUP(NM$5,Sprints[],2,FALSE)),1,VLOOKUP(NM$5,Sprints[],4,FALSE)))))</f>
        <v>5</v>
      </c>
      <c r="NN63" s="52">
        <f t="array" aca="1" ref="NN63" ca="1">SUMPRODUCT((OFFSET($A63,0,31*($A$4)+DAY(VLOOKUP(NN$5,Sprints[],2,FALSE)),1,VLOOKUP(NN$5,Sprints[],4,FALSE))&lt;&gt;"")*(IF(OFFSET($A63,0,31*($A$4)+DAY(VLOOKUP(NN$5,Sprints[],2,FALSE)),1,VLOOKUP(NN$5,Sprints[],4,FALSE))=$OD$12,0.5,1)*(OFFSET($A$3,0,31*($A$4)+DAY(VLOOKUP(NN$5,Sprints[],2,FALSE)),1,VLOOKUP(NN$5,Sprints[],4,FALSE)))))</f>
        <v>10</v>
      </c>
      <c r="NO63" s="52">
        <f t="array" aca="1" ref="NO63" ca="1">SUMPRODUCT((OFFSET($A63,0,31*($A$4)+DAY(VLOOKUP(NO$5,Sprints[],2,FALSE)),1,VLOOKUP(NO$5,Sprints[],4,FALSE))&lt;&gt;"")*(IF(OFFSET($A63,0,31*($A$4)+DAY(VLOOKUP(NO$5,Sprints[],2,FALSE)),1,VLOOKUP(NO$5,Sprints[],4,FALSE))=$OD$12,0.5,1)*(OFFSET($A$3,0,31*($A$4)+DAY(VLOOKUP(NO$5,Sprints[],2,FALSE)),1,VLOOKUP(NO$5,Sprints[],4,FALSE)))))</f>
        <v>10</v>
      </c>
      <c r="NP63" s="52">
        <f t="array" aca="1" ref="NP63" ca="1">SUMPRODUCT((OFFSET($A63,0,31*(VLOOKUP(NP$5,Sprints[],5,FALSE))+DAY(VLOOKUP(NP$5,Sprints[],2,FALSE)),1,VLOOKUP(NP$5,Sprints[],4,FALSE))&lt;&gt;"")*(IF(OFFSET($A63,0,31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63" s="52">
        <f t="array" aca="1" ref="NQ63" ca="1">SUMPRODUCT((OFFSET($A63,0,31*(VLOOKUP(NQ$5,Sprints[],5,FALSE))+DAY(VLOOKUP(NQ$5,Sprints[],2,FALSE)),1,VLOOKUP(NQ$5,Sprints[],4,FALSE))&lt;&gt;"")*(IF(OFFSET($A63,0,31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63" s="52">
        <f t="array" aca="1" ref="NR63" ca="1">SUMPRODUCT((OFFSET($A63,0,31*(VLOOKUP(NR$5,Sprints[],5,FALSE))+DAY(VLOOKUP(NR$5,Sprints[],2,FALSE)),1,VLOOKUP(NR$5,Sprints[],4,FALSE))&lt;&gt;"")*(IF(OFFSET($A63,0,31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3" s="52">
        <f t="array" aca="1" ref="NS63" ca="1">SUMPRODUCT((OFFSET($A63,0,31*(VLOOKUP(NS$5,Sprints[],5,FALSE))+DAY(VLOOKUP(NS$5,Sprints[],2,FALSE)),1,VLOOKUP(NS$5,Sprints[],4,FALSE))&lt;&gt;"")*(IF(OFFSET($A63,0,31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3" s="52">
        <f t="array" aca="1" ref="NT63" ca="1">SUMPRODUCT((OFFSET($A63,0,31*(VLOOKUP(NT$5,Sprints[],5,FALSE))+DAY(VLOOKUP(NT$5,Sprints[],2,FALSE)),1,VLOOKUP(NT$5,Sprints[],4,FALSE))&lt;&gt;"")*(IF(OFFSET($A63,0,31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3" s="52">
        <f t="array" aca="1" ref="NU63" ca="1">SUMPRODUCT((OFFSET($A63,0,31*(VLOOKUP(NU$5,Sprints[],5,FALSE))+DAY(VLOOKUP(NU$5,Sprints[],2,FALSE)),1,VLOOKUP(NU$5,Sprints[],4,FALSE))&lt;&gt;"")*(IF(OFFSET($A63,0,31*(VLOOKUP(NU$5,Sprints[],5,FALSE))+DAY(VLOOKUP(NU$5,Sprints[],2,FALSE)),1,VLOOKUP(NU$5,Sprints[],4,FALSE))=$OD$12,0.5,1)*(OFFSET($A$3,0,31*(VLOOKUP(NU$5,Sprints[],5,FALSE))+DAY(VLOOKUP(NU$5,Sprints[],2,FALSE)),1,VLOOKUP(NU$5,Sprints[],4,FALSE)))))</f>
        <v>7</v>
      </c>
      <c r="NV63" s="52">
        <f t="array" aca="1" ref="NV63" ca="1">SUMPRODUCT((OFFSET($A63,0,31*(VLOOKUP(NV$5,Sprints[],5,FALSE))+DAY(VLOOKUP(NV$5,Sprints[],2,FALSE)),1,VLOOKUP(NV$5,Sprints[],4,FALSE))&lt;&gt;"")*(IF(OFFSET($A63,0,31*(VLOOKUP(NV$5,Sprints[],5,FALSE))+DAY(VLOOKUP(NV$5,Sprints[],2,FALSE)),1,VLOOKUP(NV$5,Sprints[],4,FALSE))=$OD$12,0.5,1)*(OFFSET($A$3,0,31*(VLOOKUP(NV$5,Sprints[],5,FALSE))+DAY(VLOOKUP(NV$5,Sprints[],2,FALSE)),1,VLOOKUP(NV$5,Sprints[],4,FALSE)))))</f>
        <v>3</v>
      </c>
      <c r="NW63" s="52">
        <f t="array" aca="1" ref="NW63" ca="1">SUMPRODUCT((OFFSET($A63,0,31*(VLOOKUP(NW$5,Sprints[],5,FALSE))+DAY(VLOOKUP(NW$5,Sprints[],2,FALSE)),1,VLOOKUP(NW$5,Sprints[],4,FALSE))&lt;&gt;"")*(IF(OFFSET($A63,0,31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3" s="52">
        <f t="array" aca="1" ref="NX63" ca="1">SUMPRODUCT((OFFSET($A63,0,31*(VLOOKUP(NX$5,Sprints[],5,FALSE))+DAY(VLOOKUP(NX$5,Sprints[],2,FALSE)),1,VLOOKUP(NX$5,Sprints[],4,FALSE))&lt;&gt;"")*(IF(OFFSET($A63,0,31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3" s="52">
        <f t="array" aca="1" ref="NY63" ca="1">SUMPRODUCT((OFFSET($A63,0,31*(VLOOKUP(NY$5,Sprints[],5,FALSE))+DAY(VLOOKUP(NY$5,Sprints[],2,FALSE)),1,VLOOKUP(NY$5,Sprints[],4,FALSE))&lt;&gt;"")*(IF(OFFSET($A63,0,31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3" s="52">
        <f t="array" aca="1" ref="NZ63" ca="1">SUMPRODUCT((OFFSET($A63,0,31*(VLOOKUP(NZ$5,Sprints[],5,FALSE))+DAY(VLOOKUP(NZ$5,Sprints[],2,FALSE)),1,VLOOKUP(NZ$5,Sprints[],4,FALSE))&lt;&gt;"")*(IF(OFFSET($A63,0,31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3" s="52">
        <f t="array" aca="1" ref="OA63" ca="1">SUMPRODUCT((OFFSET($A63,0,31*(VLOOKUP(OA$5,Sprints[],5,FALSE))+DAY(VLOOKUP(OA$5,Sprints[],2,FALSE)),1,VLOOKUP(OA$5,Sprints[],4,FALSE))&lt;&gt;"")*(IF(OFFSET($A63,0,31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4" spans="1:391" s="45" customFormat="1" x14ac:dyDescent="0.45">
      <c r="A64" s="44" t="s">
        <v>180</v>
      </c>
      <c r="B64" s="2"/>
      <c r="C64" s="2" t="s">
        <v>49</v>
      </c>
      <c r="D64" s="2" t="s">
        <v>49</v>
      </c>
      <c r="E64" s="2" t="s">
        <v>49</v>
      </c>
      <c r="F64" s="2" t="s">
        <v>49</v>
      </c>
      <c r="G64" s="2" t="s">
        <v>49</v>
      </c>
      <c r="H64" s="2"/>
      <c r="I64" s="2"/>
      <c r="J64" s="2" t="s">
        <v>49</v>
      </c>
      <c r="K64" s="2" t="s">
        <v>49</v>
      </c>
      <c r="L64" s="2" t="s">
        <v>49</v>
      </c>
      <c r="M64" s="2" t="s">
        <v>49</v>
      </c>
      <c r="N64" s="2" t="s">
        <v>49</v>
      </c>
      <c r="O64" s="2"/>
      <c r="P64" s="2"/>
      <c r="Q64" s="2" t="s">
        <v>49</v>
      </c>
      <c r="R64" s="36" t="s">
        <v>35</v>
      </c>
      <c r="S64" s="2" t="s">
        <v>49</v>
      </c>
      <c r="T64" s="2" t="s">
        <v>49</v>
      </c>
      <c r="U64" s="2" t="s">
        <v>49</v>
      </c>
      <c r="V64" s="2"/>
      <c r="W64" s="2"/>
      <c r="X64" s="2" t="s">
        <v>49</v>
      </c>
      <c r="Y64" s="2" t="s">
        <v>49</v>
      </c>
      <c r="Z64" s="2" t="s">
        <v>49</v>
      </c>
      <c r="AA64" s="2" t="s">
        <v>49</v>
      </c>
      <c r="AB64" s="2" t="s">
        <v>49</v>
      </c>
      <c r="AC64" s="2"/>
      <c r="AD64" s="2"/>
      <c r="AE64" s="2" t="s">
        <v>49</v>
      </c>
      <c r="AF64" s="2"/>
      <c r="AG64" s="36" t="s">
        <v>35</v>
      </c>
      <c r="AH64" s="2" t="s">
        <v>49</v>
      </c>
      <c r="AI64" s="2" t="s">
        <v>49</v>
      </c>
      <c r="AJ64" s="2" t="s">
        <v>49</v>
      </c>
      <c r="AK64" s="2"/>
      <c r="AL64" s="2"/>
      <c r="AM64" s="2" t="s">
        <v>49</v>
      </c>
      <c r="AN64" s="2" t="s">
        <v>49</v>
      </c>
      <c r="AO64" s="36" t="s">
        <v>35</v>
      </c>
      <c r="AP64" s="2" t="s">
        <v>49</v>
      </c>
      <c r="AQ64" s="2" t="s">
        <v>49</v>
      </c>
      <c r="AR64" s="2"/>
      <c r="AS64" s="2"/>
      <c r="AT64" s="2" t="s">
        <v>49</v>
      </c>
      <c r="AU64" s="2" t="s">
        <v>49</v>
      </c>
      <c r="AV64" s="2" t="s">
        <v>49</v>
      </c>
      <c r="AW64" s="2" t="s">
        <v>49</v>
      </c>
      <c r="AX64" s="2" t="s">
        <v>49</v>
      </c>
      <c r="AY64" s="2"/>
      <c r="AZ64" s="2"/>
      <c r="BA64" s="2" t="s">
        <v>49</v>
      </c>
      <c r="BB64" s="2" t="s">
        <v>49</v>
      </c>
      <c r="BC64" s="2" t="s">
        <v>49</v>
      </c>
      <c r="BD64" s="2" t="s">
        <v>49</v>
      </c>
      <c r="BE64" s="2" t="s">
        <v>49</v>
      </c>
      <c r="BF64" s="2"/>
      <c r="BG64" s="2"/>
      <c r="BH64" s="2" t="s">
        <v>49</v>
      </c>
      <c r="BI64" s="2" t="s">
        <v>49</v>
      </c>
      <c r="BJ64" s="2" t="s">
        <v>49</v>
      </c>
      <c r="BK64" s="2" t="s">
        <v>49</v>
      </c>
      <c r="BL64" s="2" t="s">
        <v>49</v>
      </c>
      <c r="BM64" s="2"/>
      <c r="BN64" s="2"/>
      <c r="BO64" s="2" t="s">
        <v>49</v>
      </c>
      <c r="BP64" s="2" t="s">
        <v>49</v>
      </c>
      <c r="BQ64" s="2" t="s">
        <v>49</v>
      </c>
      <c r="BR64" s="2" t="s">
        <v>49</v>
      </c>
      <c r="BS64" s="2" t="s">
        <v>49</v>
      </c>
      <c r="BT64" s="2"/>
      <c r="BU64" s="2"/>
      <c r="BV64" s="2" t="s">
        <v>49</v>
      </c>
      <c r="BW64" s="2" t="s">
        <v>49</v>
      </c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 t="s">
        <v>35</v>
      </c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 t="s">
        <v>35</v>
      </c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 t="s">
        <v>35</v>
      </c>
      <c r="JO64" s="2"/>
      <c r="JP64" s="2"/>
      <c r="JQ64" s="2"/>
      <c r="JR64" s="2"/>
      <c r="JS64" s="2"/>
      <c r="JT64" s="2"/>
      <c r="JU64" s="2" t="s">
        <v>35</v>
      </c>
      <c r="JV64" s="2"/>
      <c r="JW64" s="2"/>
      <c r="JX64" s="2"/>
      <c r="JY64" s="2"/>
      <c r="JZ64" s="2"/>
      <c r="KA64" s="2" t="s">
        <v>35</v>
      </c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/>
      <c r="LD64" s="2"/>
      <c r="LE64" s="2"/>
      <c r="LF64" s="2"/>
      <c r="LG64" s="2"/>
      <c r="LH64" s="2"/>
      <c r="LI64" s="2"/>
      <c r="LJ64" s="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  <c r="MJ64" s="2"/>
      <c r="MK64" s="2"/>
      <c r="ML64" s="2" t="s">
        <v>35</v>
      </c>
      <c r="MM64" s="2"/>
      <c r="MN64" s="2"/>
      <c r="MO64" s="2"/>
      <c r="MP64" s="2"/>
      <c r="MQ64" s="2"/>
      <c r="MR64" s="2"/>
      <c r="MS64" s="2"/>
      <c r="MT64" s="2"/>
      <c r="MU64" s="2"/>
      <c r="MV64" s="2"/>
      <c r="MW64" s="2"/>
      <c r="MX64" s="2"/>
      <c r="MY64" s="2"/>
      <c r="MZ64" s="2"/>
      <c r="NA64" s="2"/>
      <c r="NB64" s="2"/>
      <c r="NC64" s="2"/>
      <c r="ND64" s="2"/>
      <c r="NE64" s="2"/>
      <c r="NF64" s="2"/>
      <c r="NG64" s="2"/>
      <c r="NH64" s="2"/>
      <c r="NI64" s="2"/>
      <c r="NJ64" s="14">
        <f t="array" aca="1" ref="NJ64" ca="1">SUMPRODUCT((OFFSET($A64,0,31*($A$3-1)+1,1,31)&lt;&gt;"")*(IF(OFFSET($A64,0,31*($A$3-1)+1,1,31)=$OD$12,0.5,1)*(OFFSET($A$4,0,31*($A$3-1)+1,1,31))))</f>
        <v>0</v>
      </c>
      <c r="NK64" s="20">
        <f t="array" aca="1" ref="NK64" ca="1">SUMPRODUCT((OFFSET($A64,0,1,1,372)&lt;&gt;"")*(IF(OFFSET($A64,0,1,1,372)=$OD$12,0.5,1)*(OFFSET($A$3,0,1,1,372))))</f>
        <v>58</v>
      </c>
      <c r="NL64" s="28">
        <f t="array" aca="1" ref="NL64" ca="1">SUMPRODUCT((OFFSET($A64,0,31*($A$4)+DAY(Holidays!$E$2),1,Holidays!$G$2)&lt;&gt;"")*(IF(OFFSET($A64,0,31*($A$4)+DAY(Holidays!$E$2),1,Holidays!$G$2)=$OD$12,0.5,1)*(OFFSET($A$3,0,31*($A$4)+DAY(Holidays!$E$2),1,Holidays!$G$2))))</f>
        <v>46</v>
      </c>
      <c r="NM64" s="52">
        <f t="array" aca="1" ref="NM64" ca="1">SUMPRODUCT((OFFSET($A64,0,31*($A$4)+DAY(VLOOKUP(NM$5,Sprints[],2,FALSE)),1,VLOOKUP(NM$5,Sprints[],4,FALSE))&lt;&gt;"")*(IF(OFFSET($A64,0,31*($A$4)+DAY(VLOOKUP(NM$5,Sprints[],2,FALSE)),1,VLOOKUP(NM$5,Sprints[],4,FALSE))=$OD$12,0.5,1)*(OFFSET($A$3,0,31*($A$4)+DAY(VLOOKUP(NM$5,Sprints[],2,FALSE)),1,VLOOKUP(NM$5,Sprints[],4,FALSE)))))</f>
        <v>5</v>
      </c>
      <c r="NN64" s="52">
        <f t="array" aca="1" ref="NN64" ca="1">SUMPRODUCT((OFFSET($A64,0,31*($A$4)+DAY(VLOOKUP(NN$5,Sprints[],2,FALSE)),1,VLOOKUP(NN$5,Sprints[],4,FALSE))&lt;&gt;"")*(IF(OFFSET($A64,0,31*($A$4)+DAY(VLOOKUP(NN$5,Sprints[],2,FALSE)),1,VLOOKUP(NN$5,Sprints[],4,FALSE))=$OD$12,0.5,1)*(OFFSET($A$3,0,31*($A$4)+DAY(VLOOKUP(NN$5,Sprints[],2,FALSE)),1,VLOOKUP(NN$5,Sprints[],4,FALSE)))))</f>
        <v>10</v>
      </c>
      <c r="NO64" s="52">
        <f t="array" aca="1" ref="NO64" ca="1">SUMPRODUCT((OFFSET($A64,0,31*($A$4)+DAY(VLOOKUP(NO$5,Sprints[],2,FALSE)),1,VLOOKUP(NO$5,Sprints[],4,FALSE))&lt;&gt;"")*(IF(OFFSET($A64,0,31*($A$4)+DAY(VLOOKUP(NO$5,Sprints[],2,FALSE)),1,VLOOKUP(NO$5,Sprints[],4,FALSE))=$OD$12,0.5,1)*(OFFSET($A$3,0,31*($A$4)+DAY(VLOOKUP(NO$5,Sprints[],2,FALSE)),1,VLOOKUP(NO$5,Sprints[],4,FALSE)))))</f>
        <v>10</v>
      </c>
      <c r="NP64" s="52">
        <f t="array" aca="1" ref="NP64" ca="1">SUMPRODUCT((OFFSET($A64,0,31*(VLOOKUP(NP$5,Sprints[],5,FALSE))+DAY(VLOOKUP(NP$5,Sprints[],2,FALSE)),1,VLOOKUP(NP$5,Sprints[],4,FALSE))&lt;&gt;"")*(IF(OFFSET($A64,0,31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64" s="52">
        <f t="array" aca="1" ref="NQ64" ca="1">SUMPRODUCT((OFFSET($A64,0,31*(VLOOKUP(NQ$5,Sprints[],5,FALSE))+DAY(VLOOKUP(NQ$5,Sprints[],2,FALSE)),1,VLOOKUP(NQ$5,Sprints[],4,FALSE))&lt;&gt;"")*(IF(OFFSET($A64,0,31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64" s="52">
        <f t="array" aca="1" ref="NR64" ca="1">SUMPRODUCT((OFFSET($A64,0,31*(VLOOKUP(NR$5,Sprints[],5,FALSE))+DAY(VLOOKUP(NR$5,Sprints[],2,FALSE)),1,VLOOKUP(NR$5,Sprints[],4,FALSE))&lt;&gt;"")*(IF(OFFSET($A64,0,31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4" s="52">
        <f t="array" aca="1" ref="NS64" ca="1">SUMPRODUCT((OFFSET($A64,0,31*(VLOOKUP(NS$5,Sprints[],5,FALSE))+DAY(VLOOKUP(NS$5,Sprints[],2,FALSE)),1,VLOOKUP(NS$5,Sprints[],4,FALSE))&lt;&gt;"")*(IF(OFFSET($A64,0,31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4" s="52">
        <f t="array" aca="1" ref="NT64" ca="1">SUMPRODUCT((OFFSET($A64,0,31*(VLOOKUP(NT$5,Sprints[],5,FALSE))+DAY(VLOOKUP(NT$5,Sprints[],2,FALSE)),1,VLOOKUP(NT$5,Sprints[],4,FALSE))&lt;&gt;"")*(IF(OFFSET($A64,0,31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4" s="52">
        <f t="array" aca="1" ref="NU64" ca="1">SUMPRODUCT((OFFSET($A64,0,31*(VLOOKUP(NU$5,Sprints[],5,FALSE))+DAY(VLOOKUP(NU$5,Sprints[],2,FALSE)),1,VLOOKUP(NU$5,Sprints[],4,FALSE))&lt;&gt;"")*(IF(OFFSET($A64,0,31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64" s="52">
        <f t="array" aca="1" ref="NV64" ca="1">SUMPRODUCT((OFFSET($A64,0,31*(VLOOKUP(NV$5,Sprints[],5,FALSE))+DAY(VLOOKUP(NV$5,Sprints[],2,FALSE)),1,VLOOKUP(NV$5,Sprints[],4,FALSE))&lt;&gt;"")*(IF(OFFSET($A64,0,31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4" s="52">
        <f t="array" aca="1" ref="NW64" ca="1">SUMPRODUCT((OFFSET($A64,0,31*(VLOOKUP(NW$5,Sprints[],5,FALSE))+DAY(VLOOKUP(NW$5,Sprints[],2,FALSE)),1,VLOOKUP(NW$5,Sprints[],4,FALSE))&lt;&gt;"")*(IF(OFFSET($A64,0,31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4" s="52">
        <f t="array" aca="1" ref="NX64" ca="1">SUMPRODUCT((OFFSET($A64,0,31*(VLOOKUP(NX$5,Sprints[],5,FALSE))+DAY(VLOOKUP(NX$5,Sprints[],2,FALSE)),1,VLOOKUP(NX$5,Sprints[],4,FALSE))&lt;&gt;"")*(IF(OFFSET($A64,0,31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4" s="52">
        <f t="array" aca="1" ref="NY64" ca="1">SUMPRODUCT((OFFSET($A64,0,31*(VLOOKUP(NY$5,Sprints[],5,FALSE))+DAY(VLOOKUP(NY$5,Sprints[],2,FALSE)),1,VLOOKUP(NY$5,Sprints[],4,FALSE))&lt;&gt;"")*(IF(OFFSET($A64,0,31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4" s="52">
        <f t="array" aca="1" ref="NZ64" ca="1">SUMPRODUCT((OFFSET($A64,0,31*(VLOOKUP(NZ$5,Sprints[],5,FALSE))+DAY(VLOOKUP(NZ$5,Sprints[],2,FALSE)),1,VLOOKUP(NZ$5,Sprints[],4,FALSE))&lt;&gt;"")*(IF(OFFSET($A64,0,31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4" s="52">
        <f t="array" aca="1" ref="OA64" ca="1">SUMPRODUCT((OFFSET($A64,0,31*(VLOOKUP(OA$5,Sprints[],5,FALSE))+DAY(VLOOKUP(OA$5,Sprints[],2,FALSE)),1,VLOOKUP(OA$5,Sprints[],4,FALSE))&lt;&gt;"")*(IF(OFFSET($A64,0,31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5" spans="1:391" s="45" customFormat="1" x14ac:dyDescent="0.45">
      <c r="A65" s="44" t="s">
        <v>181</v>
      </c>
      <c r="B65" s="2"/>
      <c r="C65" s="2" t="s">
        <v>49</v>
      </c>
      <c r="D65" s="2" t="s">
        <v>49</v>
      </c>
      <c r="E65" s="2" t="s">
        <v>49</v>
      </c>
      <c r="F65" s="2" t="s">
        <v>49</v>
      </c>
      <c r="G65" s="2" t="s">
        <v>49</v>
      </c>
      <c r="H65" s="2"/>
      <c r="I65" s="2"/>
      <c r="J65" s="2" t="s">
        <v>49</v>
      </c>
      <c r="K65" s="2" t="s">
        <v>49</v>
      </c>
      <c r="L65" s="2" t="s">
        <v>49</v>
      </c>
      <c r="M65" s="2" t="s">
        <v>49</v>
      </c>
      <c r="N65" s="2" t="s">
        <v>49</v>
      </c>
      <c r="O65" s="2"/>
      <c r="P65" s="2"/>
      <c r="Q65" s="2" t="s">
        <v>49</v>
      </c>
      <c r="R65" s="36" t="s">
        <v>35</v>
      </c>
      <c r="S65" s="2" t="s">
        <v>49</v>
      </c>
      <c r="T65" s="2" t="s">
        <v>49</v>
      </c>
      <c r="U65" s="2" t="s">
        <v>49</v>
      </c>
      <c r="V65" s="2"/>
      <c r="W65" s="2"/>
      <c r="X65" s="2" t="s">
        <v>49</v>
      </c>
      <c r="Y65" s="2" t="s">
        <v>49</v>
      </c>
      <c r="Z65" s="2" t="s">
        <v>49</v>
      </c>
      <c r="AA65" s="2" t="s">
        <v>49</v>
      </c>
      <c r="AB65" s="2" t="s">
        <v>49</v>
      </c>
      <c r="AC65" s="2"/>
      <c r="AD65" s="2"/>
      <c r="AE65" s="2" t="s">
        <v>49</v>
      </c>
      <c r="AF65" s="2"/>
      <c r="AG65" s="36" t="s">
        <v>35</v>
      </c>
      <c r="AH65" s="2" t="s">
        <v>49</v>
      </c>
      <c r="AI65" s="2" t="s">
        <v>49</v>
      </c>
      <c r="AJ65" s="2" t="s">
        <v>49</v>
      </c>
      <c r="AK65" s="2"/>
      <c r="AL65" s="2"/>
      <c r="AM65" s="2" t="s">
        <v>49</v>
      </c>
      <c r="AN65" s="2" t="s">
        <v>49</v>
      </c>
      <c r="AO65" s="36" t="s">
        <v>35</v>
      </c>
      <c r="AP65" s="2" t="s">
        <v>49</v>
      </c>
      <c r="AQ65" s="2" t="s">
        <v>49</v>
      </c>
      <c r="AR65" s="2"/>
      <c r="AS65" s="2"/>
      <c r="AT65" s="2" t="s">
        <v>49</v>
      </c>
      <c r="AU65" s="2" t="s">
        <v>49</v>
      </c>
      <c r="AV65" s="2" t="s">
        <v>49</v>
      </c>
      <c r="AW65" s="2" t="s">
        <v>49</v>
      </c>
      <c r="AX65" s="2" t="s">
        <v>49</v>
      </c>
      <c r="AY65" s="2"/>
      <c r="AZ65" s="2"/>
      <c r="BA65" s="2" t="s">
        <v>49</v>
      </c>
      <c r="BB65" s="2" t="s">
        <v>49</v>
      </c>
      <c r="BC65" s="2" t="s">
        <v>49</v>
      </c>
      <c r="BD65" s="2" t="s">
        <v>49</v>
      </c>
      <c r="BE65" s="2" t="s">
        <v>49</v>
      </c>
      <c r="BF65" s="2"/>
      <c r="BG65" s="2"/>
      <c r="BH65" s="2" t="s">
        <v>49</v>
      </c>
      <c r="BI65" s="2" t="s">
        <v>49</v>
      </c>
      <c r="BJ65" s="2" t="s">
        <v>49</v>
      </c>
      <c r="BK65" s="2" t="s">
        <v>49</v>
      </c>
      <c r="BL65" s="2" t="s">
        <v>49</v>
      </c>
      <c r="BM65" s="2"/>
      <c r="BN65" s="2"/>
      <c r="BO65" s="2" t="s">
        <v>49</v>
      </c>
      <c r="BP65" s="2" t="s">
        <v>49</v>
      </c>
      <c r="BQ65" s="2" t="s">
        <v>49</v>
      </c>
      <c r="BR65" s="2" t="s">
        <v>49</v>
      </c>
      <c r="BS65" s="2" t="s">
        <v>49</v>
      </c>
      <c r="BT65" s="2"/>
      <c r="BU65" s="2"/>
      <c r="BV65" s="2" t="s">
        <v>49</v>
      </c>
      <c r="BW65" s="2" t="s">
        <v>49</v>
      </c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 t="s">
        <v>35</v>
      </c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 t="s">
        <v>35</v>
      </c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  <c r="IV65" s="2"/>
      <c r="IW65" s="2"/>
      <c r="IX65" s="2"/>
      <c r="IY65" s="2"/>
      <c r="IZ65" s="2"/>
      <c r="JA65" s="2"/>
      <c r="JB65" s="2"/>
      <c r="JC65" s="2"/>
      <c r="JD65" s="2"/>
      <c r="JE65" s="2"/>
      <c r="JF65" s="2"/>
      <c r="JG65" s="2"/>
      <c r="JH65" s="2"/>
      <c r="JI65" s="2"/>
      <c r="JJ65" s="2"/>
      <c r="JK65" s="2"/>
      <c r="JL65" s="2"/>
      <c r="JM65" s="2"/>
      <c r="JN65" s="2" t="s">
        <v>35</v>
      </c>
      <c r="JO65" s="2"/>
      <c r="JP65" s="2"/>
      <c r="JQ65" s="2"/>
      <c r="JR65" s="2"/>
      <c r="JS65" s="2"/>
      <c r="JT65" s="2"/>
      <c r="JU65" s="2" t="s">
        <v>35</v>
      </c>
      <c r="JV65" s="2"/>
      <c r="JW65" s="2"/>
      <c r="JX65" s="2"/>
      <c r="JY65" s="2"/>
      <c r="JZ65" s="2"/>
      <c r="KA65" s="2" t="s">
        <v>35</v>
      </c>
      <c r="KB65" s="2"/>
      <c r="KC65" s="2"/>
      <c r="KD65" s="2"/>
      <c r="KE65" s="2"/>
      <c r="KF65" s="2"/>
      <c r="KG65" s="2"/>
      <c r="KH65" s="2"/>
      <c r="KI65" s="2"/>
      <c r="KJ65" s="2"/>
      <c r="KK65" s="2"/>
      <c r="KL65" s="2"/>
      <c r="KM65" s="2"/>
      <c r="KN65" s="2"/>
      <c r="KO65" s="2"/>
      <c r="KP65" s="2"/>
      <c r="KQ65" s="2"/>
      <c r="KR65" s="2"/>
      <c r="KS65" s="2"/>
      <c r="KT65" s="2"/>
      <c r="KU65" s="2"/>
      <c r="KV65" s="2"/>
      <c r="KW65" s="2"/>
      <c r="KX65" s="2"/>
      <c r="KY65" s="2"/>
      <c r="KZ65" s="2"/>
      <c r="LA65" s="2"/>
      <c r="LB65" s="2"/>
      <c r="LC65" s="2"/>
      <c r="LD65" s="2"/>
      <c r="LE65" s="2"/>
      <c r="LF65" s="2"/>
      <c r="LG65" s="2"/>
      <c r="LH65" s="2"/>
      <c r="LI65" s="2"/>
      <c r="LJ65" s="2"/>
      <c r="LK65" s="2"/>
      <c r="LL65" s="2"/>
      <c r="LM65" s="2"/>
      <c r="LN65" s="2"/>
      <c r="LO65" s="2"/>
      <c r="LP65" s="2"/>
      <c r="LQ65" s="2"/>
      <c r="LR65" s="2"/>
      <c r="LS65" s="2"/>
      <c r="LT65" s="2"/>
      <c r="LU65" s="2"/>
      <c r="LV65" s="2"/>
      <c r="LW65" s="2"/>
      <c r="LX65" s="2"/>
      <c r="LY65" s="2"/>
      <c r="LZ65" s="2"/>
      <c r="MA65" s="2"/>
      <c r="MB65" s="2"/>
      <c r="MC65" s="2"/>
      <c r="MD65" s="2"/>
      <c r="ME65" s="2"/>
      <c r="MF65" s="2"/>
      <c r="MG65" s="2"/>
      <c r="MH65" s="2"/>
      <c r="MI65" s="2"/>
      <c r="MJ65" s="2"/>
      <c r="MK65" s="2"/>
      <c r="ML65" s="2" t="s">
        <v>35</v>
      </c>
      <c r="MM65" s="2"/>
      <c r="MN65" s="2"/>
      <c r="MO65" s="2"/>
      <c r="MP65" s="2"/>
      <c r="MQ65" s="2"/>
      <c r="MR65" s="2"/>
      <c r="MS65" s="2"/>
      <c r="MT65" s="2"/>
      <c r="MU65" s="2"/>
      <c r="MV65" s="2"/>
      <c r="MW65" s="2"/>
      <c r="MX65" s="2"/>
      <c r="MY65" s="2"/>
      <c r="MZ65" s="2"/>
      <c r="NA65" s="2"/>
      <c r="NB65" s="2"/>
      <c r="NC65" s="2"/>
      <c r="ND65" s="2"/>
      <c r="NE65" s="2"/>
      <c r="NF65" s="2"/>
      <c r="NG65" s="2"/>
      <c r="NH65" s="2"/>
      <c r="NI65" s="2"/>
      <c r="NJ65" s="14">
        <f t="array" aca="1" ref="NJ65" ca="1">SUMPRODUCT((OFFSET($A65,0,31*($A$3-1)+1,1,31)&lt;&gt;"")*(IF(OFFSET($A65,0,31*($A$3-1)+1,1,31)=$OD$12,0.5,1)*(OFFSET($A$4,0,31*($A$3-1)+1,1,31))))</f>
        <v>0</v>
      </c>
      <c r="NK65" s="20">
        <f t="array" aca="1" ref="NK65" ca="1">SUMPRODUCT((OFFSET($A65,0,1,1,372)&lt;&gt;"")*(IF(OFFSET($A65,0,1,1,372)=$OD$12,0.5,1)*(OFFSET($A$3,0,1,1,372))))</f>
        <v>58</v>
      </c>
      <c r="NL65" s="28">
        <f t="array" aca="1" ref="NL65" ca="1">SUMPRODUCT((OFFSET($A65,0,31*($A$4)+DAY(Holidays!$E$2),1,Holidays!$G$2)&lt;&gt;"")*(IF(OFFSET($A65,0,31*($A$4)+DAY(Holidays!$E$2),1,Holidays!$G$2)=$OD$12,0.5,1)*(OFFSET($A$3,0,31*($A$4)+DAY(Holidays!$E$2),1,Holidays!$G$2))))</f>
        <v>46</v>
      </c>
      <c r="NM65" s="52">
        <f t="array" aca="1" ref="NM65" ca="1">SUMPRODUCT((OFFSET($A65,0,31*($A$4)+DAY(VLOOKUP(NM$5,Sprints[],2,FALSE)),1,VLOOKUP(NM$5,Sprints[],4,FALSE))&lt;&gt;"")*(IF(OFFSET($A65,0,31*($A$4)+DAY(VLOOKUP(NM$5,Sprints[],2,FALSE)),1,VLOOKUP(NM$5,Sprints[],4,FALSE))=$OD$12,0.5,1)*(OFFSET($A$3,0,31*($A$4)+DAY(VLOOKUP(NM$5,Sprints[],2,FALSE)),1,VLOOKUP(NM$5,Sprints[],4,FALSE)))))</f>
        <v>5</v>
      </c>
      <c r="NN65" s="52">
        <f t="array" aca="1" ref="NN65" ca="1">SUMPRODUCT((OFFSET($A65,0,31*($A$4)+DAY(VLOOKUP(NN$5,Sprints[],2,FALSE)),1,VLOOKUP(NN$5,Sprints[],4,FALSE))&lt;&gt;"")*(IF(OFFSET($A65,0,31*($A$4)+DAY(VLOOKUP(NN$5,Sprints[],2,FALSE)),1,VLOOKUP(NN$5,Sprints[],4,FALSE))=$OD$12,0.5,1)*(OFFSET($A$3,0,31*($A$4)+DAY(VLOOKUP(NN$5,Sprints[],2,FALSE)),1,VLOOKUP(NN$5,Sprints[],4,FALSE)))))</f>
        <v>10</v>
      </c>
      <c r="NO65" s="52">
        <f t="array" aca="1" ref="NO65" ca="1">SUMPRODUCT((OFFSET($A65,0,31*($A$4)+DAY(VLOOKUP(NO$5,Sprints[],2,FALSE)),1,VLOOKUP(NO$5,Sprints[],4,FALSE))&lt;&gt;"")*(IF(OFFSET($A65,0,31*($A$4)+DAY(VLOOKUP(NO$5,Sprints[],2,FALSE)),1,VLOOKUP(NO$5,Sprints[],4,FALSE))=$OD$12,0.5,1)*(OFFSET($A$3,0,31*($A$4)+DAY(VLOOKUP(NO$5,Sprints[],2,FALSE)),1,VLOOKUP(NO$5,Sprints[],4,FALSE)))))</f>
        <v>10</v>
      </c>
      <c r="NP65" s="52">
        <f t="array" aca="1" ref="NP65" ca="1">SUMPRODUCT((OFFSET($A65,0,31*(VLOOKUP(NP$5,Sprints[],5,FALSE))+DAY(VLOOKUP(NP$5,Sprints[],2,FALSE)),1,VLOOKUP(NP$5,Sprints[],4,FALSE))&lt;&gt;"")*(IF(OFFSET($A65,0,31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65" s="52">
        <f t="array" aca="1" ref="NQ65" ca="1">SUMPRODUCT((OFFSET($A65,0,31*(VLOOKUP(NQ$5,Sprints[],5,FALSE))+DAY(VLOOKUP(NQ$5,Sprints[],2,FALSE)),1,VLOOKUP(NQ$5,Sprints[],4,FALSE))&lt;&gt;"")*(IF(OFFSET($A65,0,31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65" s="52">
        <f t="array" aca="1" ref="NR65" ca="1">SUMPRODUCT((OFFSET($A65,0,31*(VLOOKUP(NR$5,Sprints[],5,FALSE))+DAY(VLOOKUP(NR$5,Sprints[],2,FALSE)),1,VLOOKUP(NR$5,Sprints[],4,FALSE))&lt;&gt;"")*(IF(OFFSET($A65,0,31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5" s="52">
        <f t="array" aca="1" ref="NS65" ca="1">SUMPRODUCT((OFFSET($A65,0,31*(VLOOKUP(NS$5,Sprints[],5,FALSE))+DAY(VLOOKUP(NS$5,Sprints[],2,FALSE)),1,VLOOKUP(NS$5,Sprints[],4,FALSE))&lt;&gt;"")*(IF(OFFSET($A65,0,31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5" s="52">
        <f t="array" aca="1" ref="NT65" ca="1">SUMPRODUCT((OFFSET($A65,0,31*(VLOOKUP(NT$5,Sprints[],5,FALSE))+DAY(VLOOKUP(NT$5,Sprints[],2,FALSE)),1,VLOOKUP(NT$5,Sprints[],4,FALSE))&lt;&gt;"")*(IF(OFFSET($A65,0,31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5" s="52">
        <f t="array" aca="1" ref="NU65" ca="1">SUMPRODUCT((OFFSET($A65,0,31*(VLOOKUP(NU$5,Sprints[],5,FALSE))+DAY(VLOOKUP(NU$5,Sprints[],2,FALSE)),1,VLOOKUP(NU$5,Sprints[],4,FALSE))&lt;&gt;"")*(IF(OFFSET($A65,0,31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65" s="52">
        <f t="array" aca="1" ref="NV65" ca="1">SUMPRODUCT((OFFSET($A65,0,31*(VLOOKUP(NV$5,Sprints[],5,FALSE))+DAY(VLOOKUP(NV$5,Sprints[],2,FALSE)),1,VLOOKUP(NV$5,Sprints[],4,FALSE))&lt;&gt;"")*(IF(OFFSET($A65,0,31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5" s="52">
        <f t="array" aca="1" ref="NW65" ca="1">SUMPRODUCT((OFFSET($A65,0,31*(VLOOKUP(NW$5,Sprints[],5,FALSE))+DAY(VLOOKUP(NW$5,Sprints[],2,FALSE)),1,VLOOKUP(NW$5,Sprints[],4,FALSE))&lt;&gt;"")*(IF(OFFSET($A65,0,31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5" s="52">
        <f t="array" aca="1" ref="NX65" ca="1">SUMPRODUCT((OFFSET($A65,0,31*(VLOOKUP(NX$5,Sprints[],5,FALSE))+DAY(VLOOKUP(NX$5,Sprints[],2,FALSE)),1,VLOOKUP(NX$5,Sprints[],4,FALSE))&lt;&gt;"")*(IF(OFFSET($A65,0,31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5" s="52">
        <f t="array" aca="1" ref="NY65" ca="1">SUMPRODUCT((OFFSET($A65,0,31*(VLOOKUP(NY$5,Sprints[],5,FALSE))+DAY(VLOOKUP(NY$5,Sprints[],2,FALSE)),1,VLOOKUP(NY$5,Sprints[],4,FALSE))&lt;&gt;"")*(IF(OFFSET($A65,0,31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5" s="52">
        <f t="array" aca="1" ref="NZ65" ca="1">SUMPRODUCT((OFFSET($A65,0,31*(VLOOKUP(NZ$5,Sprints[],5,FALSE))+DAY(VLOOKUP(NZ$5,Sprints[],2,FALSE)),1,VLOOKUP(NZ$5,Sprints[],4,FALSE))&lt;&gt;"")*(IF(OFFSET($A65,0,31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5" s="52">
        <f t="array" aca="1" ref="OA65" ca="1">SUMPRODUCT((OFFSET($A65,0,31*(VLOOKUP(OA$5,Sprints[],5,FALSE))+DAY(VLOOKUP(OA$5,Sprints[],2,FALSE)),1,VLOOKUP(OA$5,Sprints[],4,FALSE))&lt;&gt;"")*(IF(OFFSET($A65,0,31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7" spans="1:391" x14ac:dyDescent="0.45">
      <c r="MT67">
        <f>COUNTBLANK(CQ5:JU5)</f>
        <v>157</v>
      </c>
    </row>
  </sheetData>
  <mergeCells count="18">
    <mergeCell ref="NV5:NV6"/>
    <mergeCell ref="NW5:NW6"/>
    <mergeCell ref="NX5:NX6"/>
    <mergeCell ref="NY5:NY6"/>
    <mergeCell ref="OA5:OA6"/>
    <mergeCell ref="NZ5:NZ6"/>
    <mergeCell ref="NJ5:NJ6"/>
    <mergeCell ref="NK5:NK6"/>
    <mergeCell ref="NL5:NL6"/>
    <mergeCell ref="NM5:NM6"/>
    <mergeCell ref="NN5:NN6"/>
    <mergeCell ref="NT5:NT6"/>
    <mergeCell ref="NU5:NU6"/>
    <mergeCell ref="NO5:NO6"/>
    <mergeCell ref="NP5:NP6"/>
    <mergeCell ref="NQ5:NQ6"/>
    <mergeCell ref="NR5:NR6"/>
    <mergeCell ref="NS5:NS6"/>
  </mergeCells>
  <conditionalFormatting sqref="OD17:OD23">
    <cfRule type="expression" dxfId="135" priority="1311">
      <formula>OD17="No"</formula>
    </cfRule>
  </conditionalFormatting>
  <conditionalFormatting sqref="B6:NI6">
    <cfRule type="expression" dxfId="134" priority="1355">
      <formula>IF(VLOOKUP(B6,$OC$17:$OD$23,2,0)="No",TRUE,FALSE)</formula>
    </cfRule>
  </conditionalFormatting>
  <conditionalFormatting sqref="CH8:CL8 B8:AW8 AY19:CC19 CH19:CJ19 AW14:DL14 FA14:JM14 CO13:DL13 CH13:CM13 AW13:CF13 JN8:NI14 AX23:DL24 CH28:CK28 AX33:CB33 CO33:DL33 CH33:CI33 AX35:CB35 AX27:DL27 CH25:CI26 AW9:AW12 AX8:AX12 B9:AV14 B33:AW35 B23:AW27 B28:L28 O28:P28 V28:W28 AC28:AD28 CH32:DE32 AF28:CD28 AX25:CB26 CH29:CI31 CO29:NI29 CO30:DU30 AY8:CE8 AY9:JM10 CO25:DL26 AX34:DL34 AY22:NI22 CF35:DL35 B15:AX22 B29:CG32 CJ29:CN30 DM32:NI32 CC25:CG25 CJ31:DE31 DF31:DL32 DM31:DU31 DV30:NI31 CC26 CN19:DL19 CO8:JM8 DO14:EU14 AY18:DL18 AY20:DL21 DO18:NI21 CO28:DL28 AY11:DM11 AY12:DL12 AY15:NI17 DO33:NI35 DO11:JM13 DO23:NI28 B36:NI43 B46:NI65 FD45:NI45 B45:FB45">
    <cfRule type="expression" dxfId="133" priority="1356" stopIfTrue="1">
      <formula>AND(B$5&lt;&gt;"",VLOOKUP(B$6,$OC$17:$OD$23,2,0)&lt;&gt;"Yes")</formula>
    </cfRule>
    <cfRule type="expression" dxfId="132" priority="1357" stopIfTrue="1">
      <formula>ISNUMBER(MATCH(DATE($A$2,$A$1+$A$3-1,B$5),HolidayListNamedRange,0))</formula>
    </cfRule>
    <cfRule type="expression" dxfId="131" priority="1358">
      <formula>OR(B8=$OD$11)</formula>
    </cfRule>
    <cfRule type="expression" dxfId="130" priority="1359">
      <formula>OR(B8=$OD$8,B8=$OD$9,B8=$OD$10)</formula>
    </cfRule>
    <cfRule type="expression" dxfId="129" priority="1360">
      <formula>OR(B8=$OD$12)</formula>
    </cfRule>
  </conditionalFormatting>
  <conditionalFormatting sqref="CG13 CD19:CG19 CF8:CG8 CE28:CG28 CC33:CG33">
    <cfRule type="expression" dxfId="128" priority="1586" stopIfTrue="1">
      <formula>AND(CJ$5&lt;&gt;"",VLOOKUP(CJ$6,$OC$17:$OD$23,2,0)&lt;&gt;"Yes")</formula>
    </cfRule>
    <cfRule type="expression" dxfId="127" priority="1587" stopIfTrue="1">
      <formula>ISNUMBER(MATCH(DATE($A$2,$A$1+$A$3-1,CJ$5),HolidayListNamedRange,0))</formula>
    </cfRule>
    <cfRule type="expression" dxfId="126" priority="1588">
      <formula>OR(CC8=$OD$11)</formula>
    </cfRule>
    <cfRule type="expression" dxfId="125" priority="1589">
      <formula>OR(CC8=$OD$8,CC8=$OD$9,CC8=$OD$10)</formula>
    </cfRule>
    <cfRule type="expression" dxfId="124" priority="1590">
      <formula>OR(CC8=$OD$12)</formula>
    </cfRule>
  </conditionalFormatting>
  <conditionalFormatting sqref="CJ26:CN26 CJ25">
    <cfRule type="expression" dxfId="123" priority="2151" stopIfTrue="1">
      <formula>AND(CC$5&lt;&gt;"",VLOOKUP(CC$6,$OC$17:$OD$23,2,0)&lt;&gt;"Yes")</formula>
    </cfRule>
    <cfRule type="expression" dxfId="122" priority="2152" stopIfTrue="1">
      <formula>ISNUMBER(MATCH(DATE($A$2,$A$1+$A$3-1,CC$5),HolidayListNamedRange,0))</formula>
    </cfRule>
    <cfRule type="expression" dxfId="121" priority="2153">
      <formula>OR(CJ25=$OD$11)</formula>
    </cfRule>
    <cfRule type="expression" dxfId="120" priority="2154">
      <formula>OR(CJ25=$OD$8,CJ25=$OD$9,CJ25=$OD$10)</formula>
    </cfRule>
    <cfRule type="expression" dxfId="119" priority="2155">
      <formula>OR(CJ25=$OD$12)</formula>
    </cfRule>
  </conditionalFormatting>
  <conditionalFormatting sqref="BV25:BZ25 CC25:CG25 CC26">
    <cfRule type="expression" dxfId="118" priority="2156" stopIfTrue="1">
      <formula>AND(CJ$5&lt;&gt;"",VLOOKUP(CJ$6,$OC$17:$OD$23,2,0)&lt;&gt;"Yes")</formula>
    </cfRule>
    <cfRule type="expression" dxfId="117" priority="2157" stopIfTrue="1">
      <formula>ISNUMBER(MATCH(DATE($A$2,$A$1+$A$3-1,CJ$5),HolidayListNamedRange,0))</formula>
    </cfRule>
    <cfRule type="expression" dxfId="116" priority="2158">
      <formula>OR(BV25=$OD$11)</formula>
    </cfRule>
    <cfRule type="expression" dxfId="115" priority="2159">
      <formula>OR(BV25=$OD$8,BV25=$OD$9,BV25=$OD$10)</formula>
    </cfRule>
    <cfRule type="expression" dxfId="114" priority="2160">
      <formula>OR(BV25=$OD$12)</formula>
    </cfRule>
  </conditionalFormatting>
  <conditionalFormatting sqref="EV14:EZ14">
    <cfRule type="expression" dxfId="113" priority="51" stopIfTrue="1">
      <formula>AND(EV$5&lt;&gt;"",VLOOKUP(EV$6,$OC$17:$OD$23,2,0)&lt;&gt;"Yes")</formula>
    </cfRule>
    <cfRule type="expression" dxfId="112" priority="52" stopIfTrue="1">
      <formula>ISNUMBER(MATCH(DATE($A$2,$A$1+$A$3-1,EV$5),HolidayListNamedRange,0))</formula>
    </cfRule>
    <cfRule type="expression" dxfId="111" priority="53">
      <formula>OR(EV14=$OD$11)</formula>
    </cfRule>
    <cfRule type="expression" dxfId="110" priority="54">
      <formula>OR(EV14=$OD$8,EV14=$OD$9,EV14=$OD$10)</formula>
    </cfRule>
    <cfRule type="expression" dxfId="109" priority="55">
      <formula>OR(EV14=$OD$12)</formula>
    </cfRule>
  </conditionalFormatting>
  <conditionalFormatting sqref="DN11:DN14">
    <cfRule type="expression" dxfId="108" priority="46" stopIfTrue="1">
      <formula>AND(DN$5&lt;&gt;"",VLOOKUP(DN$6,$OC$17:$OD$23,2,0)&lt;&gt;"Yes")</formula>
    </cfRule>
    <cfRule type="expression" dxfId="107" priority="47" stopIfTrue="1">
      <formula>ISNUMBER(MATCH(DATE($A$2,$A$1+$A$3-1,DN$5),HolidayListNamedRange,0))</formula>
    </cfRule>
    <cfRule type="expression" dxfId="106" priority="48">
      <formula>OR(DN11=$OD$11)</formula>
    </cfRule>
    <cfRule type="expression" dxfId="105" priority="49">
      <formula>OR(DN11=$OD$8,DN11=$OD$9,DN11=$OD$10)</formula>
    </cfRule>
    <cfRule type="expression" dxfId="104" priority="50">
      <formula>OR(DN11=$OD$12)</formula>
    </cfRule>
  </conditionalFormatting>
  <conditionalFormatting sqref="DN18:DN21">
    <cfRule type="expression" dxfId="103" priority="41" stopIfTrue="1">
      <formula>AND(DN$5&lt;&gt;"",VLOOKUP(DN$6,$OC$17:$OD$23,2,0)&lt;&gt;"Yes")</formula>
    </cfRule>
    <cfRule type="expression" dxfId="102" priority="42" stopIfTrue="1">
      <formula>ISNUMBER(MATCH(DATE($A$2,$A$1+$A$3-1,DN$5),HolidayListNamedRange,0))</formula>
    </cfRule>
    <cfRule type="expression" dxfId="101" priority="43">
      <formula>OR(DN18=$OD$11)</formula>
    </cfRule>
    <cfRule type="expression" dxfId="100" priority="44">
      <formula>OR(DN18=$OD$8,DN18=$OD$9,DN18=$OD$10)</formula>
    </cfRule>
    <cfRule type="expression" dxfId="99" priority="45">
      <formula>OR(DN18=$OD$12)</formula>
    </cfRule>
  </conditionalFormatting>
  <conditionalFormatting sqref="DN23:DN28">
    <cfRule type="expression" dxfId="98" priority="36" stopIfTrue="1">
      <formula>AND(DN$5&lt;&gt;"",VLOOKUP(DN$6,$OC$17:$OD$23,2,0)&lt;&gt;"Yes")</formula>
    </cfRule>
    <cfRule type="expression" dxfId="97" priority="37" stopIfTrue="1">
      <formula>ISNUMBER(MATCH(DATE($A$2,$A$1+$A$3-1,DN$5),HolidayListNamedRange,0))</formula>
    </cfRule>
    <cfRule type="expression" dxfId="96" priority="38">
      <formula>OR(DN23=$OD$11)</formula>
    </cfRule>
    <cfRule type="expression" dxfId="95" priority="39">
      <formula>OR(DN23=$OD$8,DN23=$OD$9,DN23=$OD$10)</formula>
    </cfRule>
    <cfRule type="expression" dxfId="94" priority="40">
      <formula>OR(DN23=$OD$12)</formula>
    </cfRule>
  </conditionalFormatting>
  <conditionalFormatting sqref="DN33:DN35">
    <cfRule type="expression" dxfId="93" priority="31" stopIfTrue="1">
      <formula>AND(DN$5&lt;&gt;"",VLOOKUP(DN$6,$OC$17:$OD$23,2,0)&lt;&gt;"Yes")</formula>
    </cfRule>
    <cfRule type="expression" dxfId="92" priority="32" stopIfTrue="1">
      <formula>ISNUMBER(MATCH(DATE($A$2,$A$1+$A$3-1,DN$5),HolidayListNamedRange,0))</formula>
    </cfRule>
    <cfRule type="expression" dxfId="91" priority="33">
      <formula>OR(DN33=$OD$11)</formula>
    </cfRule>
    <cfRule type="expression" dxfId="90" priority="34">
      <formula>OR(DN33=$OD$8,DN33=$OD$9,DN33=$OD$10)</formula>
    </cfRule>
    <cfRule type="expression" dxfId="89" priority="35">
      <formula>OR(DN33=$OD$12)</formula>
    </cfRule>
  </conditionalFormatting>
  <conditionalFormatting sqref="DM12:DM14">
    <cfRule type="expression" dxfId="88" priority="26" stopIfTrue="1">
      <formula>AND(DM$5&lt;&gt;"",VLOOKUP(DM$6,$OC$17:$OD$23,2,0)&lt;&gt;"Yes")</formula>
    </cfRule>
    <cfRule type="expression" dxfId="87" priority="27" stopIfTrue="1">
      <formula>ISNUMBER(MATCH(DATE($A$2,$A$1+$A$3-1,DM$5),HolidayListNamedRange,0))</formula>
    </cfRule>
    <cfRule type="expression" dxfId="86" priority="28">
      <formula>OR(DM12=$OD$11)</formula>
    </cfRule>
    <cfRule type="expression" dxfId="85" priority="29">
      <formula>OR(DM12=$OD$8,DM12=$OD$9,DM12=$OD$10)</formula>
    </cfRule>
    <cfRule type="expression" dxfId="84" priority="30">
      <formula>OR(DM12=$OD$12)</formula>
    </cfRule>
  </conditionalFormatting>
  <conditionalFormatting sqref="DM18:DM21">
    <cfRule type="expression" dxfId="83" priority="21" stopIfTrue="1">
      <formula>AND(DM$5&lt;&gt;"",VLOOKUP(DM$6,$OC$17:$OD$23,2,0)&lt;&gt;"Yes")</formula>
    </cfRule>
    <cfRule type="expression" dxfId="82" priority="22" stopIfTrue="1">
      <formula>ISNUMBER(MATCH(DATE($A$2,$A$1+$A$3-1,DM$5),HolidayListNamedRange,0))</formula>
    </cfRule>
    <cfRule type="expression" dxfId="81" priority="23">
      <formula>OR(DM18=$OD$11)</formula>
    </cfRule>
    <cfRule type="expression" dxfId="80" priority="24">
      <formula>OR(DM18=$OD$8,DM18=$OD$9,DM18=$OD$10)</formula>
    </cfRule>
    <cfRule type="expression" dxfId="79" priority="25">
      <formula>OR(DM18=$OD$12)</formula>
    </cfRule>
  </conditionalFormatting>
  <conditionalFormatting sqref="DM23:DM28">
    <cfRule type="expression" dxfId="78" priority="16" stopIfTrue="1">
      <formula>AND(DM$5&lt;&gt;"",VLOOKUP(DM$6,$OC$17:$OD$23,2,0)&lt;&gt;"Yes")</formula>
    </cfRule>
    <cfRule type="expression" dxfId="77" priority="17" stopIfTrue="1">
      <formula>ISNUMBER(MATCH(DATE($A$2,$A$1+$A$3-1,DM$5),HolidayListNamedRange,0))</formula>
    </cfRule>
    <cfRule type="expression" dxfId="76" priority="18">
      <formula>OR(DM23=$OD$11)</formula>
    </cfRule>
    <cfRule type="expression" dxfId="75" priority="19">
      <formula>OR(DM23=$OD$8,DM23=$OD$9,DM23=$OD$10)</formula>
    </cfRule>
    <cfRule type="expression" dxfId="74" priority="20">
      <formula>OR(DM23=$OD$12)</formula>
    </cfRule>
  </conditionalFormatting>
  <conditionalFormatting sqref="DM33:DM35">
    <cfRule type="expression" dxfId="73" priority="11" stopIfTrue="1">
      <formula>AND(DM$5&lt;&gt;"",VLOOKUP(DM$6,$OC$17:$OD$23,2,0)&lt;&gt;"Yes")</formula>
    </cfRule>
    <cfRule type="expression" dxfId="72" priority="12" stopIfTrue="1">
      <formula>ISNUMBER(MATCH(DATE($A$2,$A$1+$A$3-1,DM$5),HolidayListNamedRange,0))</formula>
    </cfRule>
    <cfRule type="expression" dxfId="71" priority="13">
      <formula>OR(DM33=$OD$11)</formula>
    </cfRule>
    <cfRule type="expression" dxfId="70" priority="14">
      <formula>OR(DM33=$OD$8,DM33=$OD$9,DM33=$OD$10)</formula>
    </cfRule>
    <cfRule type="expression" dxfId="69" priority="15">
      <formula>OR(DM33=$OD$12)</formula>
    </cfRule>
  </conditionalFormatting>
  <conditionalFormatting sqref="B44:FB44 FD44:NI44">
    <cfRule type="expression" dxfId="68" priority="6" stopIfTrue="1">
      <formula>AND(B$5&lt;&gt;"",VLOOKUP(B$6,$OC$17:$OD$23,2,0)&lt;&gt;"Yes")</formula>
    </cfRule>
    <cfRule type="expression" dxfId="67" priority="7" stopIfTrue="1">
      <formula>ISNUMBER(MATCH(DATE($A$2,$A$1+$A$3-1,B$5),HolidayListNamedRange,0))</formula>
    </cfRule>
    <cfRule type="expression" dxfId="66" priority="8">
      <formula>OR(B44=$OD$11)</formula>
    </cfRule>
    <cfRule type="expression" dxfId="65" priority="9">
      <formula>OR(B44=$OD$8,B44=$OD$9,B44=$OD$10)</formula>
    </cfRule>
    <cfRule type="expression" dxfId="64" priority="10">
      <formula>OR(B44=$OD$12)</formula>
    </cfRule>
  </conditionalFormatting>
  <conditionalFormatting sqref="FC44:FC45">
    <cfRule type="expression" dxfId="63" priority="1" stopIfTrue="1">
      <formula>AND(FC$5&lt;&gt;"",VLOOKUP(FC$6,$OC$17:$OD$23,2,0)&lt;&gt;"Yes")</formula>
    </cfRule>
    <cfRule type="expression" dxfId="62" priority="2" stopIfTrue="1">
      <formula>ISNUMBER(MATCH(DATE($A$2,$A$1+$A$3-1,FC$5),HolidayListNamedRange,0))</formula>
    </cfRule>
    <cfRule type="expression" dxfId="61" priority="3">
      <formula>OR(FC44=$OD$11)</formula>
    </cfRule>
    <cfRule type="expression" dxfId="60" priority="4">
      <formula>OR(FC44=$OD$8,FC44=$OD$9,FC44=$OD$10)</formula>
    </cfRule>
    <cfRule type="expression" dxfId="59" priority="5">
      <formula>OR(FC44=$OD$12)</formula>
    </cfRule>
  </conditionalFormatting>
  <dataValidations count="6">
    <dataValidation type="list" allowBlank="1" showInputMessage="1" showErrorMessage="1" sqref="OD17:OD23" xr:uid="{00000000-0002-0000-0000-000000000000}">
      <formula1>"Yes, No"</formula1>
    </dataValidation>
    <dataValidation type="list" allowBlank="1" showInputMessage="1" showErrorMessage="1" sqref="A1" xr:uid="{00000000-0002-0000-0000-000001000000}">
      <formula1>"1,2,3,4,5,6,7,8,9,10,11,12"</formula1>
    </dataValidation>
    <dataValidation type="custom" allowBlank="1" showErrorMessage="1" errorTitle="Not a Valid Date" error="This isn't a valid Date" sqref="B8:CE8 CH8:CL8 B13:CF13 CH13:CM13 B19:CC19 CH19:CJ19 CH28:CK28 CH33:CI33 B35:CB35 CC25:CG25 CO8:NI8 B25:CB26 CC32:NI32 AF28:CD28 CH25:CI26 CC26 B28:L28 O28:P28 V28:W28 B30:CR31 AC28:AD28 B29:CN29 B32:CB33 CO28:CR29 CO33:NI33 CO25:DL26 CN19:DL19 CF35:NI35 B9:DL12 CO13:DL13 B14:DL18 B20:DL24 B27:DL27 CS28:DL31 B34:NI34 DM9:NI31 B36:NI65" xr:uid="{00000000-0002-0000-0000-000002000000}">
      <formula1>B$6&lt;&gt;""</formula1>
    </dataValidation>
    <dataValidation type="custom" allowBlank="1" showErrorMessage="1" errorTitle="Not a Valid Date" error="This isn't a valid Date" sqref="CF8:CG8 CG13 CD19:CG19 CE28:CG28 CC33:CG33" xr:uid="{00000000-0002-0000-0000-000003000000}">
      <formula1>CJ$6&lt;&gt;""</formula1>
    </dataValidation>
    <dataValidation type="custom" allowBlank="1" showErrorMessage="1" errorTitle="Not a Valid Date" error="This isn't a valid Date" sqref="CJ26:CN26 CJ25" xr:uid="{00000000-0002-0000-0000-000004000000}">
      <formula1>CC$6&lt;&gt;""</formula1>
    </dataValidation>
    <dataValidation type="custom" allowBlank="1" showErrorMessage="1" errorTitle="Not a Valid Date" error="This isn't a valid Date" sqref="BV25:BZ25 CC25:CG25 CC26" xr:uid="{00000000-0002-0000-0000-000005000000}">
      <formula1>CJ$6&lt;&gt;""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26"/>
  <sheetViews>
    <sheetView showGridLines="0" zoomScale="115" zoomScaleNormal="115" workbookViewId="0"/>
  </sheetViews>
  <sheetFormatPr defaultColWidth="8.796875" defaultRowHeight="14.25" x14ac:dyDescent="0.45"/>
  <cols>
    <col min="1" max="1" width="21.33203125" customWidth="1"/>
    <col min="2" max="2" width="12.06640625" customWidth="1"/>
    <col min="4" max="4" width="10.46484375" bestFit="1" customWidth="1"/>
    <col min="5" max="5" width="12.33203125" customWidth="1"/>
    <col min="6" max="6" width="11.46484375" customWidth="1"/>
    <col min="7" max="7" width="25.59765625" customWidth="1"/>
  </cols>
  <sheetData>
    <row r="1" spans="1:7" x14ac:dyDescent="0.45">
      <c r="A1" s="10" t="s">
        <v>66</v>
      </c>
      <c r="B1" s="11" t="s">
        <v>20</v>
      </c>
      <c r="E1" s="33" t="s">
        <v>36</v>
      </c>
      <c r="F1" s="34" t="s">
        <v>37</v>
      </c>
      <c r="G1" s="35" t="s">
        <v>38</v>
      </c>
    </row>
    <row r="2" spans="1:7" x14ac:dyDescent="0.45">
      <c r="A2" s="40"/>
      <c r="B2" s="19"/>
      <c r="D2" s="6"/>
      <c r="E2" s="29">
        <v>43201</v>
      </c>
      <c r="F2" s="29">
        <v>43375</v>
      </c>
      <c r="G2" s="30">
        <f>DATEDIF(E2,F2,"d") + 1 + (DATEDIF(DATE(YEAR(E2),MONTH(E2),1),DATE(YEAR(F2),MONTH(F2),1),"m")*31 - DATEDIF(DATE(YEAR(E2),MONTH(E2),1),DATE(YEAR(F2),MONTH(F2),1),"d"))</f>
        <v>178</v>
      </c>
    </row>
    <row r="3" spans="1:7" x14ac:dyDescent="0.45">
      <c r="E3" s="31"/>
      <c r="F3" s="31"/>
      <c r="G3" s="31"/>
    </row>
    <row r="4" spans="1:7" x14ac:dyDescent="0.45">
      <c r="E4" s="31"/>
      <c r="F4" s="31"/>
      <c r="G4" s="31"/>
    </row>
    <row r="5" spans="1:7" x14ac:dyDescent="0.45">
      <c r="A5" s="38" t="s">
        <v>39</v>
      </c>
      <c r="B5" s="39" t="s">
        <v>20</v>
      </c>
      <c r="E5" s="31"/>
      <c r="F5" s="31"/>
      <c r="G5" s="31"/>
    </row>
    <row r="6" spans="1:7" x14ac:dyDescent="0.45">
      <c r="A6" s="40" t="s">
        <v>52</v>
      </c>
      <c r="B6" s="19">
        <v>43241</v>
      </c>
      <c r="E6" s="31"/>
      <c r="F6" s="31"/>
      <c r="G6" s="31"/>
    </row>
    <row r="7" spans="1:7" x14ac:dyDescent="0.45">
      <c r="A7" s="40" t="s">
        <v>53</v>
      </c>
      <c r="B7" s="19">
        <v>43283</v>
      </c>
      <c r="E7" s="31"/>
      <c r="F7" s="31"/>
      <c r="G7" s="31"/>
    </row>
    <row r="8" spans="1:7" x14ac:dyDescent="0.45">
      <c r="A8" s="40" t="s">
        <v>54</v>
      </c>
      <c r="B8" s="19">
        <v>43318</v>
      </c>
      <c r="E8" s="31"/>
      <c r="F8" s="31"/>
      <c r="G8" s="31"/>
    </row>
    <row r="9" spans="1:7" x14ac:dyDescent="0.45">
      <c r="A9" s="40" t="s">
        <v>55</v>
      </c>
      <c r="B9" s="19">
        <v>43346</v>
      </c>
      <c r="E9" s="31"/>
      <c r="F9" s="31"/>
      <c r="G9" s="31"/>
    </row>
    <row r="10" spans="1:7" x14ac:dyDescent="0.45">
      <c r="A10" s="40" t="s">
        <v>56</v>
      </c>
      <c r="B10" s="19">
        <v>43381</v>
      </c>
      <c r="E10" s="31"/>
      <c r="F10" s="31"/>
      <c r="G10" s="31"/>
    </row>
    <row r="11" spans="1:7" x14ac:dyDescent="0.45">
      <c r="A11" s="18" t="s">
        <v>57</v>
      </c>
      <c r="B11" s="19">
        <v>43459</v>
      </c>
      <c r="E11" s="31"/>
      <c r="F11" s="31"/>
      <c r="G11" s="31"/>
    </row>
    <row r="12" spans="1:7" x14ac:dyDescent="0.45">
      <c r="A12" s="40" t="s">
        <v>58</v>
      </c>
      <c r="B12" s="19">
        <v>43460</v>
      </c>
      <c r="E12" s="31"/>
      <c r="F12" s="31"/>
      <c r="G12" s="31"/>
    </row>
    <row r="13" spans="1:7" x14ac:dyDescent="0.45">
      <c r="A13" s="40" t="s">
        <v>21</v>
      </c>
      <c r="B13" s="19">
        <v>43466</v>
      </c>
    </row>
    <row r="14" spans="1:7" x14ac:dyDescent="0.45">
      <c r="A14" s="40" t="s">
        <v>59</v>
      </c>
      <c r="B14" s="19">
        <v>43514</v>
      </c>
    </row>
    <row r="15" spans="1:7" x14ac:dyDescent="0.45">
      <c r="E15" s="6"/>
      <c r="F15" s="6"/>
    </row>
    <row r="17" spans="1:2" x14ac:dyDescent="0.45">
      <c r="A17" s="38" t="s">
        <v>40</v>
      </c>
      <c r="B17" s="39" t="s">
        <v>20</v>
      </c>
    </row>
    <row r="18" spans="1:2" x14ac:dyDescent="0.45">
      <c r="A18" s="40" t="s">
        <v>60</v>
      </c>
      <c r="B18" s="19">
        <v>43207</v>
      </c>
    </row>
    <row r="19" spans="1:2" x14ac:dyDescent="0.45">
      <c r="A19" s="40" t="s">
        <v>55</v>
      </c>
      <c r="B19" s="19">
        <v>43221</v>
      </c>
    </row>
    <row r="20" spans="1:2" x14ac:dyDescent="0.45">
      <c r="A20" s="40" t="s">
        <v>61</v>
      </c>
      <c r="B20" s="19">
        <v>43229</v>
      </c>
    </row>
    <row r="21" spans="1:2" x14ac:dyDescent="0.45">
      <c r="A21" s="40" t="s">
        <v>62</v>
      </c>
      <c r="B21" s="19">
        <v>43284</v>
      </c>
    </row>
    <row r="22" spans="1:2" x14ac:dyDescent="0.45">
      <c r="A22" s="40" t="s">
        <v>63</v>
      </c>
      <c r="B22" s="19">
        <v>43411</v>
      </c>
    </row>
    <row r="23" spans="1:2" x14ac:dyDescent="0.45">
      <c r="A23" s="18" t="s">
        <v>57</v>
      </c>
      <c r="B23" s="19">
        <v>43459</v>
      </c>
    </row>
    <row r="24" spans="1:2" x14ac:dyDescent="0.45">
      <c r="A24" s="40" t="s">
        <v>21</v>
      </c>
      <c r="B24" s="19">
        <v>43466</v>
      </c>
    </row>
    <row r="25" spans="1:2" x14ac:dyDescent="0.45">
      <c r="A25" s="40" t="s">
        <v>64</v>
      </c>
      <c r="B25" s="19">
        <v>43472</v>
      </c>
    </row>
    <row r="26" spans="1:2" x14ac:dyDescent="0.45">
      <c r="A26" s="40" t="s">
        <v>65</v>
      </c>
      <c r="B26" s="19">
        <v>43532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U73"/>
  <sheetViews>
    <sheetView showGridLines="0" zoomScale="80" zoomScaleNormal="80" workbookViewId="0">
      <selection activeCell="F41" sqref="F41"/>
    </sheetView>
  </sheetViews>
  <sheetFormatPr defaultColWidth="8.796875" defaultRowHeight="14.25" x14ac:dyDescent="0.45"/>
  <cols>
    <col min="1" max="1" width="25.73046875" customWidth="1"/>
    <col min="2" max="2" width="9.06640625" customWidth="1"/>
    <col min="3" max="4" width="9.796875" customWidth="1"/>
    <col min="5" max="5" width="13.33203125" style="45" customWidth="1"/>
    <col min="6" max="6" width="10.46484375" customWidth="1"/>
    <col min="7" max="10" width="9.796875" customWidth="1"/>
    <col min="11" max="11" width="10.796875" customWidth="1"/>
    <col min="15" max="16" width="9.06640625" bestFit="1" customWidth="1"/>
    <col min="17" max="17" width="9.33203125" customWidth="1"/>
    <col min="21" max="21" width="10.73046875" style="45" customWidth="1"/>
  </cols>
  <sheetData>
    <row r="1" spans="1:21" x14ac:dyDescent="0.45">
      <c r="A1" s="45" t="s">
        <v>22</v>
      </c>
      <c r="B1" s="45" t="s">
        <v>110</v>
      </c>
      <c r="C1" s="45" t="s">
        <v>111</v>
      </c>
      <c r="D1" s="45" t="s">
        <v>120</v>
      </c>
      <c r="E1" s="45" t="s">
        <v>131</v>
      </c>
      <c r="F1" s="45" t="s">
        <v>130</v>
      </c>
      <c r="G1" s="45" t="s">
        <v>135</v>
      </c>
      <c r="H1" s="45" t="s">
        <v>136</v>
      </c>
      <c r="I1" s="45" t="s">
        <v>137</v>
      </c>
      <c r="J1" s="45" t="s">
        <v>138</v>
      </c>
      <c r="K1" s="45" t="s">
        <v>139</v>
      </c>
      <c r="L1" t="s">
        <v>140</v>
      </c>
      <c r="M1" t="s">
        <v>141</v>
      </c>
      <c r="N1" t="s">
        <v>143</v>
      </c>
      <c r="O1" s="31" t="s">
        <v>144</v>
      </c>
      <c r="P1" s="31" t="s">
        <v>145</v>
      </c>
      <c r="Q1" t="s">
        <v>146</v>
      </c>
      <c r="R1" t="s">
        <v>147</v>
      </c>
      <c r="S1" t="s">
        <v>163</v>
      </c>
      <c r="T1" t="s">
        <v>164</v>
      </c>
      <c r="U1" s="76" t="s">
        <v>176</v>
      </c>
    </row>
    <row r="2" spans="1:21" x14ac:dyDescent="0.45">
      <c r="A2" t="s">
        <v>41</v>
      </c>
      <c r="B2" t="s">
        <v>112</v>
      </c>
      <c r="C2" t="s">
        <v>117</v>
      </c>
      <c r="D2" t="s">
        <v>171</v>
      </c>
      <c r="E2" s="45" t="s">
        <v>124</v>
      </c>
      <c r="F2" s="47">
        <v>0</v>
      </c>
      <c r="G2">
        <f t="array" aca="1" ref="G2" ca="1">Sheet3!$W$2*$F2*(NETWORKDAYS(VLOOKUP(G$1,Sprints[],2,FALSE), VLOOKUP(G$1,Sprints[],3,FALSE))-SUMPRODUCT((OFFSET(INDIRECT(CELL("address",INDEX('Leave Tracker'!$A$8:$A$107,MATCH($A2,'Leave Tracker'!$A$8:$A$107,0)))),0,31*(VLOOKUP(G$1,Sprints[],5,FALSE))+DAY(VLOOKUP(G$1,Sprints[],2,FALSE)),1,VLOOKUP(G$1,Sprints[],4,FALSE))&lt;&gt;"")*(IF(OFFSET(INDIRECT(CELL("address",INDEX('Leave Tracker'!$A$8:$A$107,MATCH($A2,'Leave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2" s="45">
        <f t="array" aca="1" ref="H2" ca="1">Sheet3!$W$2*$F2*(NETWORKDAYS(VLOOKUP(H$1,Sprints[],2,FALSE), VLOOKUP(H$1,Sprints[],3,FALSE))-SUMPRODUCT((OFFSET(INDIRECT(CELL("address",INDEX('Leave Tracker'!$A$8:$A$107,MATCH($A2,'Leave Tracker'!$A$8:$A$107,0)))),0,31*(VLOOKUP(H$1,Sprints[],5,FALSE))+DAY(VLOOKUP(H$1,Sprints[],2,FALSE)),1,VLOOKUP(H$1,Sprints[],4,FALSE))&lt;&gt;"")*(IF(OFFSET(INDIRECT(CELL("address",INDEX('Leave Tracker'!$A$8:$A$107,MATCH($A2,'Leave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" s="45">
        <f t="array" aca="1" ref="I2" ca="1">Sheet3!$W$2*$F2*(NETWORKDAYS(VLOOKUP(I$1,Sprints[],2,FALSE), VLOOKUP(I$1,Sprints[],3,FALSE))-SUMPRODUCT((OFFSET(INDIRECT(CELL("address",INDEX('Leave Tracker'!$A$8:$A$107,MATCH($A2,'Leave Tracker'!$A$8:$A$107,0)))),0,31*(VLOOKUP(I$1,Sprints[],5,FALSE))+DAY(VLOOKUP(I$1,Sprints[],2,FALSE)),1,VLOOKUP(I$1,Sprints[],4,FALSE))&lt;&gt;"")*(IF(OFFSET(INDIRECT(CELL("address",INDEX('Leave Tracker'!$A$8:$A$107,MATCH($A2,'Leave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" s="45">
        <f t="array" aca="1" ref="J2" ca="1">Sheet3!$W$2*$F2*(NETWORKDAYS(VLOOKUP(J$1,Sprints[],2,FALSE), VLOOKUP(J$1,Sprints[],3,FALSE))-SUMPRODUCT((OFFSET(INDIRECT(CELL("address",INDEX('Leave Tracker'!$A$8:$A$107,MATCH($A2,'Leave Tracker'!$A$8:$A$107,0)))),0,31*(VLOOKUP(J$1,Sprints[],5,FALSE))+DAY(VLOOKUP(J$1,Sprints[],2,FALSE)),1,VLOOKUP(J$1,Sprints[],4,FALSE))&lt;&gt;"")*(IF(OFFSET(INDIRECT(CELL("address",INDEX('Leave Tracker'!$A$8:$A$107,MATCH($A2,'Leave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" s="45">
        <f t="array" aca="1" ref="K2" ca="1">Sheet3!$W$2*$F2*(NETWORKDAYS(VLOOKUP(K$1,Sprints[],2,FALSE), VLOOKUP(K$1,Sprints[],3,FALSE))-SUMPRODUCT((OFFSET(INDIRECT(CELL("address",INDEX('Leave Tracker'!$A$8:$A$107,MATCH($A2,'Leave Tracker'!$A$8:$A$107,0)))),0,31*(VLOOKUP(K$1,Sprints[],5,FALSE))+DAY(VLOOKUP(K$1,Sprints[],2,FALSE)),1,VLOOKUP(K$1,Sprints[],4,FALSE))&lt;&gt;"")*(IF(OFFSET(INDIRECT(CELL("address",INDEX('Leave Tracker'!$A$8:$A$107,MATCH($A2,'Leave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" s="45">
        <f t="array" aca="1" ref="L2" ca="1">Sheet3!$W$2*$F2*(NETWORKDAYS(VLOOKUP(L$1,Sprints[],2,FALSE), VLOOKUP(L$1,Sprints[],3,FALSE))-SUMPRODUCT((OFFSET(INDIRECT(CELL("address",INDEX('Leave Tracker'!$A$8:$A$107,MATCH($A2,'Leave Tracker'!$A$8:$A$107,0)))),0,31*(VLOOKUP(L$1,Sprints[],5,FALSE))+DAY(VLOOKUP(L$1,Sprints[],2,FALSE)),1,VLOOKUP(L$1,Sprints[],4,FALSE))&lt;&gt;"")*(IF(OFFSET(INDIRECT(CELL("address",INDEX('Leave Tracker'!$A$8:$A$107,MATCH($A2,'Leave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" s="45">
        <f t="array" aca="1" ref="M2" ca="1">Sheet3!$W$2*$F2*(NETWORKDAYS(VLOOKUP(M$1,Sprints[],2,FALSE), VLOOKUP(M$1,Sprints[],3,FALSE))-SUMPRODUCT((OFFSET(INDIRECT(CELL("address",INDEX('Leave Tracker'!$A$8:$A$107,MATCH($A2,'Leave Tracker'!$A$8:$A$107,0)))),0,31*(VLOOKUP(M$1,Sprints[],5,FALSE))+DAY(VLOOKUP(M$1,Sprints[],2,FALSE)),1,VLOOKUP(M$1,Sprints[],4,FALSE))&lt;&gt;"")*(IF(OFFSET(INDIRECT(CELL("address",INDEX('Leave Tracker'!$A$8:$A$107,MATCH($A2,'Leave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" s="45">
        <f t="array" aca="1" ref="N2" ca="1">Sheet3!$W$2*$F2*(NETWORKDAYS(VLOOKUP(N$1,Sprints[],2,FALSE), VLOOKUP(N$1,Sprints[],3,FALSE))-SUMPRODUCT((OFFSET(INDIRECT(CELL("address",INDEX('Leave Tracker'!$A$8:$A$107,MATCH($A2,'Leave Tracker'!$A$8:$A$107,0)))),0,31*(VLOOKUP(N$1,Sprints[],5,FALSE))+DAY(VLOOKUP(N$1,Sprints[],2,FALSE)),1,VLOOKUP(N$1,Sprints[],4,FALSE))&lt;&gt;"")*(IF(OFFSET(INDIRECT(CELL("address",INDEX('Leave Tracker'!$A$8:$A$107,MATCH($A2,'Leave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" s="45">
        <f t="array" aca="1" ref="O2" ca="1">Sheet3!$W$2*$F2*(NETWORKDAYS(VLOOKUP(O$1,Sprints[],2,FALSE), VLOOKUP(O$1,Sprints[],3,FALSE))-SUMPRODUCT((OFFSET(INDIRECT(CELL("address",INDEX('Leave Tracker'!$A$8:$A$107,MATCH($A2,'Leave Tracker'!$A$8:$A$107,0)))),0,31*(VLOOKUP(O$1,Sprints[],5,FALSE))+DAY(VLOOKUP(O$1,Sprints[],2,FALSE)),1,VLOOKUP(O$1,Sprints[],4,FALSE))&lt;&gt;"")*(IF(OFFSET(INDIRECT(CELL("address",INDEX('Leave Tracker'!$A$8:$A$107,MATCH($A2,'Leave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" s="45">
        <f t="array" aca="1" ref="P2" ca="1">Sheet3!$W$2*$F2*(NETWORKDAYS(VLOOKUP(P$1,Sprints[],2,FALSE), VLOOKUP(P$1,Sprints[],3,FALSE))-SUMPRODUCT((OFFSET(INDIRECT(CELL("address",INDEX('Leave Tracker'!$A$8:$A$107,MATCH($A2,'Leave Tracker'!$A$8:$A$107,0)))),0,31*(VLOOKUP(P$1,Sprints[],5,FALSE))+DAY(VLOOKUP(P$1,Sprints[],2,FALSE)),1,VLOOKUP(P$1,Sprints[],4,FALSE))&lt;&gt;"")*(IF(OFFSET(INDIRECT(CELL("address",INDEX('Leave Tracker'!$A$8:$A$107,MATCH($A2,'Leave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" s="45">
        <f t="array" aca="1" ref="Q2" ca="1">Sheet3!$W$2*$F2*(NETWORKDAYS(VLOOKUP(Q$1,Sprints[],2,FALSE), VLOOKUP(Q$1,Sprints[],3,FALSE))-SUMPRODUCT((OFFSET(INDIRECT(CELL("address",INDEX('Leave Tracker'!$A$8:$A$107,MATCH($A2,'Leave Tracker'!$A$8:$A$107,0)))),0,31*(VLOOKUP(Q$1,Sprints[],5,FALSE))+DAY(VLOOKUP(Q$1,Sprints[],2,FALSE)),1,VLOOKUP(Q$1,Sprints[],4,FALSE))&lt;&gt;"")*(IF(OFFSET(INDIRECT(CELL("address",INDEX('Leave Tracker'!$A$8:$A$107,MATCH($A2,'Leave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" s="45">
        <f t="array" aca="1" ref="R2" ca="1">Sheet3!$W$2*$F2*(NETWORKDAYS(VLOOKUP(R$1,Sprints[],2,FALSE), VLOOKUP(R$1,Sprints[],3,FALSE))-SUMPRODUCT((OFFSET(INDIRECT(CELL("address",INDEX('Leave Tracker'!$A$8:$A$107,MATCH($A2,'Leave Tracker'!$A$8:$A$107,0)))),0,31*(VLOOKUP(R$1,Sprints[],5,FALSE))+DAY(VLOOKUP(R$1,Sprints[],2,FALSE)),1,VLOOKUP(R$1,Sprints[],4,FALSE))&lt;&gt;"")*(IF(OFFSET(INDIRECT(CELL("address",INDEX('Leave Tracker'!$A$8:$A$107,MATCH($A2,'Leave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" s="45">
        <f t="array" aca="1" ref="S2" ca="1">Sheet3!$W$2*$F2*(NETWORKDAYS(VLOOKUP(S$1,Sprints[],2,FALSE), VLOOKUP(S$1,Sprints[],3,FALSE))-SUMPRODUCT((OFFSET(INDIRECT(CELL("address",INDEX('Leave Tracker'!$A$8:$A$107,MATCH($A2,'Leave Tracker'!$A$8:$A$107,0)))),0,31*(VLOOKUP(S$1,Sprints[],5,FALSE))+DAY(VLOOKUP(S$1,Sprints[],2,FALSE)),1,VLOOKUP(S$1,Sprints[],4,FALSE))&lt;&gt;"")*(IF(OFFSET(INDIRECT(CELL("address",INDEX('Leave Tracker'!$A$8:$A$107,MATCH($A2,'Leave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" s="45">
        <f t="array" aca="1" ref="T2" ca="1">Sheet3!$W$2*$F2*(NETWORKDAYS(VLOOKUP(T$1,Sprints[],2,FALSE), VLOOKUP(T$1,Sprints[],3,FALSE))-SUMPRODUCT((OFFSET(INDIRECT(CELL("address",INDEX('Leave Tracker'!$A$8:$A$107,MATCH($A2,'Leave Tracker'!$A$8:$A$107,0)))),0,31*(VLOOKUP(T$1,Sprints[],5,FALSE))+DAY(VLOOKUP(T$1,Sprints[],2,FALSE)),1,VLOOKUP(T$1,Sprints[],4,FALSE))&lt;&gt;"")*(IF(OFFSET(INDIRECT(CELL("address",INDEX('Leave Tracker'!$A$8:$A$107,MATCH($A2,'Leave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" s="78">
        <f t="array" aca="1" ref="U2" ca="1">Sheet3!$W$2*$F2*(NETWORKDAYS(VLOOKUP(U$1,Sprints[],2,FALSE), VLOOKUP(U$1,Sprints[],3,FALSE))-SUMPRODUCT((OFFSET(INDIRECT(CELL("address",INDEX('Leave Tracker'!$A$8:$A$107,MATCH($A2,'Leave Tracker'!$A$8:$A$107,0)))),0,31*(VLOOKUP(U$1,Sprints[],5,FALSE))+DAY(VLOOKUP(U$1,Sprints[],2,FALSE)),1,VLOOKUP(U$1,Sprints[],4,FALSE))&lt;&gt;"")*(IF(OFFSET(INDIRECT(CELL("address",INDEX('Leave Tracker'!$A$8:$A$107,MATCH($A2,'Leave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" spans="1:21" x14ac:dyDescent="0.45">
      <c r="A3" t="s">
        <v>42</v>
      </c>
      <c r="B3" s="45" t="s">
        <v>112</v>
      </c>
      <c r="C3" s="45" t="s">
        <v>117</v>
      </c>
      <c r="D3" s="45" t="s">
        <v>173</v>
      </c>
      <c r="E3" s="45" t="s">
        <v>126</v>
      </c>
      <c r="F3" s="47">
        <v>0.2</v>
      </c>
      <c r="G3" s="45">
        <f t="array" aca="1" ref="G3" ca="1">Sheet3!$W$2*$F3*(NETWORKDAYS(VLOOKUP(G$1,Sprints[],2,FALSE), VLOOKUP(G$1,Sprints[],3,FALSE))-SUMPRODUCT((OFFSET(INDIRECT(CELL("address",INDEX('Leave Tracker'!$A$8:$A$107,MATCH($A3,'Leave Tracker'!$A$8:$A$107,0)))),0,31*(VLOOKUP(G$1,Sprints[],5,FALSE))+DAY(VLOOKUP(G$1,Sprints[],2,FALSE)),1,VLOOKUP(G$1,Sprints[],4,FALSE))&lt;&gt;"")*(IF(OFFSET(INDIRECT(CELL("address",INDEX('Leave Tracker'!$A$8:$A$107,MATCH($A3,'Leave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0.80000000000000016</v>
      </c>
      <c r="H3">
        <f t="array" aca="1" ref="H3" ca="1">Sheet3!$W$2*$F3*(NETWORKDAYS(VLOOKUP(H$1,Sprints[],2,FALSE), VLOOKUP(H$1,Sprints[],3,FALSE))-SUMPRODUCT((OFFSET(INDIRECT(CELL("address",INDEX('Leave Tracker'!$A$8:$A$107,MATCH($A3,'Leave Tracker'!$A$8:$A$107,0)))),0,31*(VLOOKUP(H$1,Sprints[],5,FALSE))+DAY(VLOOKUP(H$1,Sprints[],2,FALSE)),1,VLOOKUP(H$1,Sprints[],4,FALSE))&lt;&gt;"")*(IF(OFFSET(INDIRECT(CELL("address",INDEX('Leave Tracker'!$A$8:$A$107,MATCH($A3,'Leave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1.4400000000000004</v>
      </c>
      <c r="I3">
        <f t="array" aca="1" ref="I3" ca="1">Sheet3!$W$2*$F3*(NETWORKDAYS(VLOOKUP(I$1,Sprints[],2,FALSE), VLOOKUP(I$1,Sprints[],3,FALSE))-SUMPRODUCT((OFFSET(INDIRECT(CELL("address",INDEX('Leave Tracker'!$A$8:$A$107,MATCH($A3,'Leave Tracker'!$A$8:$A$107,0)))),0,31*(VLOOKUP(I$1,Sprints[],5,FALSE))+DAY(VLOOKUP(I$1,Sprints[],2,FALSE)),1,VLOOKUP(I$1,Sprints[],4,FALSE))&lt;&gt;"")*(IF(OFFSET(INDIRECT(CELL("address",INDEX('Leave Tracker'!$A$8:$A$107,MATCH($A3,'Leave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1.6000000000000003</v>
      </c>
      <c r="J3">
        <f t="array" aca="1" ref="J3" ca="1">Sheet3!$W$2*$F3*(NETWORKDAYS(VLOOKUP(J$1,Sprints[],2,FALSE), VLOOKUP(J$1,Sprints[],3,FALSE))-SUMPRODUCT((OFFSET(INDIRECT(CELL("address",INDEX('Leave Tracker'!$A$8:$A$107,MATCH($A3,'Leave Tracker'!$A$8:$A$107,0)))),0,31*(VLOOKUP(J$1,Sprints[],5,FALSE))+DAY(VLOOKUP(J$1,Sprints[],2,FALSE)),1,VLOOKUP(J$1,Sprints[],4,FALSE))&lt;&gt;"")*(IF(OFFSET(INDIRECT(CELL("address",INDEX('Leave Tracker'!$A$8:$A$107,MATCH($A3,'Leave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1.0400000000000003</v>
      </c>
      <c r="K3">
        <f t="array" aca="1" ref="K3" ca="1">Sheet3!$W$2*$F3*(NETWORKDAYS(VLOOKUP(K$1,Sprints[],2,FALSE), VLOOKUP(K$1,Sprints[],3,FALSE))-SUMPRODUCT((OFFSET(INDIRECT(CELL("address",INDEX('Leave Tracker'!$A$8:$A$107,MATCH($A3,'Leave Tracker'!$A$8:$A$107,0)))),0,31*(VLOOKUP(K$1,Sprints[],5,FALSE))+DAY(VLOOKUP(K$1,Sprints[],2,FALSE)),1,VLOOKUP(K$1,Sprints[],4,FALSE))&lt;&gt;"")*(IF(OFFSET(INDIRECT(CELL("address",INDEX('Leave Tracker'!$A$8:$A$107,MATCH($A3,'Leave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1.2000000000000002</v>
      </c>
      <c r="L3">
        <f t="array" aca="1" ref="L3" ca="1">Sheet3!$W$2*$F3*(NETWORKDAYS(VLOOKUP(L$1,Sprints[],2,FALSE), VLOOKUP(L$1,Sprints[],3,FALSE))-SUMPRODUCT((OFFSET(INDIRECT(CELL("address",INDEX('Leave Tracker'!$A$8:$A$107,MATCH($A3,'Leave Tracker'!$A$8:$A$107,0)))),0,31*(VLOOKUP(L$1,Sprints[],5,FALSE))+DAY(VLOOKUP(L$1,Sprints[],2,FALSE)),1,VLOOKUP(L$1,Sprints[],4,FALSE))&lt;&gt;"")*(IF(OFFSET(INDIRECT(CELL("address",INDEX('Leave Tracker'!$A$8:$A$107,MATCH($A3,'Leave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1.4400000000000004</v>
      </c>
      <c r="M3" s="45">
        <f t="array" aca="1" ref="M3" ca="1">Sheet3!$W$2*$F3*(NETWORKDAYS(VLOOKUP(M$1,Sprints[],2,FALSE), VLOOKUP(M$1,Sprints[],3,FALSE))-SUMPRODUCT((OFFSET(INDIRECT(CELL("address",INDEX('Leave Tracker'!$A$8:$A$107,MATCH($A3,'Leave Tracker'!$A$8:$A$107,0)))),0,31*(VLOOKUP(M$1,Sprints[],5,FALSE))+DAY(VLOOKUP(M$1,Sprints[],2,FALSE)),1,VLOOKUP(M$1,Sprints[],4,FALSE))&lt;&gt;"")*(IF(OFFSET(INDIRECT(CELL("address",INDEX('Leave Tracker'!$A$8:$A$107,MATCH($A3,'Leave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1.2800000000000002</v>
      </c>
      <c r="N3">
        <f t="array" aca="1" ref="N3" ca="1">Sheet3!$W$2*$F3*(NETWORKDAYS(VLOOKUP(N$1,Sprints[],2,FALSE), VLOOKUP(N$1,Sprints[],3,FALSE))-SUMPRODUCT((OFFSET(INDIRECT(CELL("address",INDEX('Leave Tracker'!$A$8:$A$107,MATCH($A3,'Leave Tracker'!$A$8:$A$107,0)))),0,31*(VLOOKUP(N$1,Sprints[],5,FALSE))+DAY(VLOOKUP(N$1,Sprints[],2,FALSE)),1,VLOOKUP(N$1,Sprints[],4,FALSE))&lt;&gt;"")*(IF(OFFSET(INDIRECT(CELL("address",INDEX('Leave Tracker'!$A$8:$A$107,MATCH($A3,'Leave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0.48000000000000009</v>
      </c>
      <c r="O3">
        <f t="array" aca="1" ref="O3" ca="1">Sheet3!$W$2*$F3*(NETWORKDAYS(VLOOKUP(O$1,Sprints[],2,FALSE), VLOOKUP(O$1,Sprints[],3,FALSE))-SUMPRODUCT((OFFSET(INDIRECT(CELL("address",INDEX('Leave Tracker'!$A$8:$A$107,MATCH($A3,'Leave Tracker'!$A$8:$A$107,0)))),0,31*(VLOOKUP(O$1,Sprints[],5,FALSE))+DAY(VLOOKUP(O$1,Sprints[],2,FALSE)),1,VLOOKUP(O$1,Sprints[],4,FALSE))&lt;&gt;"")*(IF(OFFSET(INDIRECT(CELL("address",INDEX('Leave Tracker'!$A$8:$A$107,MATCH($A3,'Leave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">
        <f t="array" aca="1" ref="P3" ca="1">Sheet3!$W$2*$F3*(NETWORKDAYS(VLOOKUP(P$1,Sprints[],2,FALSE), VLOOKUP(P$1,Sprints[],3,FALSE))-SUMPRODUCT((OFFSET(INDIRECT(CELL("address",INDEX('Leave Tracker'!$A$8:$A$107,MATCH($A3,'Leave Tracker'!$A$8:$A$107,0)))),0,31*(VLOOKUP(P$1,Sprints[],5,FALSE))+DAY(VLOOKUP(P$1,Sprints[],2,FALSE)),1,VLOOKUP(P$1,Sprints[],4,FALSE))&lt;&gt;"")*(IF(OFFSET(INDIRECT(CELL("address",INDEX('Leave Tracker'!$A$8:$A$107,MATCH($A3,'Leave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0.96000000000000019</v>
      </c>
      <c r="Q3">
        <f t="array" aca="1" ref="Q3" ca="1">Sheet3!$W$2*$F3*(NETWORKDAYS(VLOOKUP(Q$1,Sprints[],2,FALSE), VLOOKUP(Q$1,Sprints[],3,FALSE))-SUMPRODUCT((OFFSET(INDIRECT(CELL("address",INDEX('Leave Tracker'!$A$8:$A$107,MATCH($A3,'Leave Tracker'!$A$8:$A$107,0)))),0,31*(VLOOKUP(Q$1,Sprints[],5,FALSE))+DAY(VLOOKUP(Q$1,Sprints[],2,FALSE)),1,VLOOKUP(Q$1,Sprints[],4,FALSE))&lt;&gt;"")*(IF(OFFSET(INDIRECT(CELL("address",INDEX('Leave Tracker'!$A$8:$A$107,MATCH($A3,'Leave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1.6000000000000003</v>
      </c>
      <c r="R3">
        <f t="array" aca="1" ref="R3" ca="1">Sheet3!$W$2*$F3*(NETWORKDAYS(VLOOKUP(R$1,Sprints[],2,FALSE), VLOOKUP(R$1,Sprints[],3,FALSE))-SUMPRODUCT((OFFSET(INDIRECT(CELL("address",INDEX('Leave Tracker'!$A$8:$A$107,MATCH($A3,'Leave Tracker'!$A$8:$A$107,0)))),0,31*(VLOOKUP(R$1,Sprints[],5,FALSE))+DAY(VLOOKUP(R$1,Sprints[],2,FALSE)),1,VLOOKUP(R$1,Sprints[],4,FALSE))&lt;&gt;"")*(IF(OFFSET(INDIRECT(CELL("address",INDEX('Leave Tracker'!$A$8:$A$107,MATCH($A3,'Leave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1.1200000000000001</v>
      </c>
      <c r="S3" s="31">
        <f t="array" aca="1" ref="S3" ca="1">Sheet3!$W$2*$F3*(NETWORKDAYS(VLOOKUP(S$1,Sprints[],2,FALSE), VLOOKUP(S$1,Sprints[],3,FALSE))-SUMPRODUCT((OFFSET(INDIRECT(CELL("address",INDEX('Leave Tracker'!$A$8:$A$107,MATCH($A3,'Leave Tracker'!$A$8:$A$107,0)))),0,31*(VLOOKUP(S$1,Sprints[],5,FALSE))+DAY(VLOOKUP(S$1,Sprints[],2,FALSE)),1,VLOOKUP(S$1,Sprints[],4,FALSE))&lt;&gt;"")*(IF(OFFSET(INDIRECT(CELL("address",INDEX('Leave Tracker'!$A$8:$A$107,MATCH($A3,'Leave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1.6000000000000003</v>
      </c>
      <c r="T3" s="31">
        <f t="array" aca="1" ref="T3" ca="1">Sheet3!$W$2*$F3*(NETWORKDAYS(VLOOKUP(T$1,Sprints[],2,FALSE), VLOOKUP(T$1,Sprints[],3,FALSE))-SUMPRODUCT((OFFSET(INDIRECT(CELL("address",INDEX('Leave Tracker'!$A$8:$A$107,MATCH($A3,'Leave Tracker'!$A$8:$A$107,0)))),0,31*(VLOOKUP(T$1,Sprints[],5,FALSE))+DAY(VLOOKUP(T$1,Sprints[],2,FALSE)),1,VLOOKUP(T$1,Sprints[],4,FALSE))&lt;&gt;"")*(IF(OFFSET(INDIRECT(CELL("address",INDEX('Leave Tracker'!$A$8:$A$107,MATCH($A3,'Leave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0.80000000000000016</v>
      </c>
      <c r="U3" s="78">
        <f t="array" aca="1" ref="U3" ca="1">Sheet3!$W$2*$F3*(NETWORKDAYS(VLOOKUP(U$1,Sprints[],2,FALSE), VLOOKUP(U$1,Sprints[],3,FALSE))-SUMPRODUCT((OFFSET(INDIRECT(CELL("address",INDEX('Leave Tracker'!$A$8:$A$107,MATCH($A3,'Leave Tracker'!$A$8:$A$107,0)))),0,31*(VLOOKUP(U$1,Sprints[],5,FALSE))+DAY(VLOOKUP(U$1,Sprints[],2,FALSE)),1,VLOOKUP(U$1,Sprints[],4,FALSE))&lt;&gt;"")*(IF(OFFSET(INDIRECT(CELL("address",INDEX('Leave Tracker'!$A$8:$A$107,MATCH($A3,'Leave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3.0400000000000005</v>
      </c>
    </row>
    <row r="4" spans="1:21" x14ac:dyDescent="0.45">
      <c r="A4" s="66" t="s">
        <v>43</v>
      </c>
      <c r="B4" s="66" t="s">
        <v>112</v>
      </c>
      <c r="C4" s="66" t="s">
        <v>117</v>
      </c>
      <c r="D4" s="66" t="s">
        <v>134</v>
      </c>
      <c r="E4" s="66" t="s">
        <v>125</v>
      </c>
      <c r="F4" s="67">
        <v>0.5</v>
      </c>
      <c r="G4" s="66">
        <f t="array" aca="1" ref="G4" ca="1">Sheet3!$W$2*$F4*(NETWORKDAYS(VLOOKUP(G$1,Sprints[],2,FALSE), VLOOKUP(G$1,Sprints[],3,FALSE))-SUMPRODUCT((OFFSET(INDIRECT(CELL("address",INDEX('Leave Tracker'!$A$8:$A$107,MATCH($A4,'Leave Tracker'!$A$8:$A$107,0)))),0,31*(VLOOKUP(G$1,Sprints[],5,FALSE))+DAY(VLOOKUP(G$1,Sprints[],2,FALSE)),1,VLOOKUP(G$1,Sprints[],4,FALSE))&lt;&gt;"")*(IF(OFFSET(INDIRECT(CELL("address",INDEX('Leave Tracker'!$A$8:$A$107,MATCH($A4,'Leave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</v>
      </c>
      <c r="H4" s="66">
        <f t="array" aca="1" ref="H4" ca="1">Sheet3!$W$2*$F4*(NETWORKDAYS(VLOOKUP(H$1,Sprints[],2,FALSE), VLOOKUP(H$1,Sprints[],3,FALSE))-SUMPRODUCT((OFFSET(INDIRECT(CELL("address",INDEX('Leave Tracker'!$A$8:$A$107,MATCH($A4,'Leave Tracker'!$A$8:$A$107,0)))),0,31*(VLOOKUP(H$1,Sprints[],5,FALSE))+DAY(VLOOKUP(H$1,Sprints[],2,FALSE)),1,VLOOKUP(H$1,Sprints[],4,FALSE))&lt;&gt;"")*(IF(OFFSET(INDIRECT(CELL("address",INDEX('Leave Tracker'!$A$8:$A$107,MATCH($A4,'Leave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3.2</v>
      </c>
      <c r="I4" s="66">
        <f t="array" aca="1" ref="I4" ca="1">Sheet3!$W$2*$F4*(NETWORKDAYS(VLOOKUP(I$1,Sprints[],2,FALSE), VLOOKUP(I$1,Sprints[],3,FALSE))-SUMPRODUCT((OFFSET(INDIRECT(CELL("address",INDEX('Leave Tracker'!$A$8:$A$107,MATCH($A4,'Leave Tracker'!$A$8:$A$107,0)))),0,31*(VLOOKUP(I$1,Sprints[],5,FALSE))+DAY(VLOOKUP(I$1,Sprints[],2,FALSE)),1,VLOOKUP(I$1,Sprints[],4,FALSE))&lt;&gt;"")*(IF(OFFSET(INDIRECT(CELL("address",INDEX('Leave Tracker'!$A$8:$A$107,MATCH($A4,'Leave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4" s="66">
        <f t="array" aca="1" ref="J4" ca="1">Sheet3!$W$2*$F4*(NETWORKDAYS(VLOOKUP(J$1,Sprints[],2,FALSE), VLOOKUP(J$1,Sprints[],3,FALSE))-SUMPRODUCT((OFFSET(INDIRECT(CELL("address",INDEX('Leave Tracker'!$A$8:$A$107,MATCH($A4,'Leave Tracker'!$A$8:$A$107,0)))),0,31*(VLOOKUP(J$1,Sprints[],5,FALSE))+DAY(VLOOKUP(J$1,Sprints[],2,FALSE)),1,VLOOKUP(J$1,Sprints[],4,FALSE))&lt;&gt;"")*(IF(OFFSET(INDIRECT(CELL("address",INDEX('Leave Tracker'!$A$8:$A$107,MATCH($A4,'Leave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4" s="66">
        <f t="array" aca="1" ref="K4" ca="1">Sheet3!$W$2*$F4*(NETWORKDAYS(VLOOKUP(K$1,Sprints[],2,FALSE), VLOOKUP(K$1,Sprints[],3,FALSE))-SUMPRODUCT((OFFSET(INDIRECT(CELL("address",INDEX('Leave Tracker'!$A$8:$A$107,MATCH($A4,'Leave Tracker'!$A$8:$A$107,0)))),0,31*(VLOOKUP(K$1,Sprints[],5,FALSE))+DAY(VLOOKUP(K$1,Sprints[],2,FALSE)),1,VLOOKUP(K$1,Sprints[],4,FALSE))&lt;&gt;"")*(IF(OFFSET(INDIRECT(CELL("address",INDEX('Leave Tracker'!$A$8:$A$107,MATCH($A4,'Leave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4" s="66">
        <f t="array" aca="1" ref="L4" ca="1">Sheet3!$W$2*$F4*(NETWORKDAYS(VLOOKUP(L$1,Sprints[],2,FALSE), VLOOKUP(L$1,Sprints[],3,FALSE))-SUMPRODUCT((OFFSET(INDIRECT(CELL("address",INDEX('Leave Tracker'!$A$8:$A$107,MATCH($A4,'Leave Tracker'!$A$8:$A$107,0)))),0,31*(VLOOKUP(L$1,Sprints[],5,FALSE))+DAY(VLOOKUP(L$1,Sprints[],2,FALSE)),1,VLOOKUP(L$1,Sprints[],4,FALSE))&lt;&gt;"")*(IF(OFFSET(INDIRECT(CELL("address",INDEX('Leave Tracker'!$A$8:$A$107,MATCH($A4,'Leave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4" s="66">
        <f t="array" aca="1" ref="M4" ca="1">Sheet3!$W$2*$F4*(NETWORKDAYS(VLOOKUP(M$1,Sprints[],2,FALSE), VLOOKUP(M$1,Sprints[],3,FALSE))-SUMPRODUCT((OFFSET(INDIRECT(CELL("address",INDEX('Leave Tracker'!$A$8:$A$107,MATCH($A4,'Leave Tracker'!$A$8:$A$107,0)))),0,31*(VLOOKUP(M$1,Sprints[],5,FALSE))+DAY(VLOOKUP(M$1,Sprints[],2,FALSE)),1,VLOOKUP(M$1,Sprints[],4,FALSE))&lt;&gt;"")*(IF(OFFSET(INDIRECT(CELL("address",INDEX('Leave Tracker'!$A$8:$A$107,MATCH($A4,'Leave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4" s="66">
        <f t="array" aca="1" ref="N4" ca="1">Sheet3!$W$2*$F4*(NETWORKDAYS(VLOOKUP(N$1,Sprints[],2,FALSE), VLOOKUP(N$1,Sprints[],3,FALSE))-SUMPRODUCT((OFFSET(INDIRECT(CELL("address",INDEX('Leave Tracker'!$A$8:$A$107,MATCH($A4,'Leave Tracker'!$A$8:$A$107,0)))),0,31*(VLOOKUP(N$1,Sprints[],5,FALSE))+DAY(VLOOKUP(N$1,Sprints[],2,FALSE)),1,VLOOKUP(N$1,Sprints[],4,FALSE))&lt;&gt;"")*(IF(OFFSET(INDIRECT(CELL("address",INDEX('Leave Tracker'!$A$8:$A$107,MATCH($A4,'Leave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4" s="66">
        <f t="array" aca="1" ref="O4" ca="1">Sheet3!$W$2*$F4*(NETWORKDAYS(VLOOKUP(O$1,Sprints[],2,FALSE), VLOOKUP(O$1,Sprints[],3,FALSE))-SUMPRODUCT((OFFSET(INDIRECT(CELL("address",INDEX('Leave Tracker'!$A$8:$A$107,MATCH($A4,'Leave Tracker'!$A$8:$A$107,0)))),0,31*(VLOOKUP(O$1,Sprints[],5,FALSE))+DAY(VLOOKUP(O$1,Sprints[],2,FALSE)),1,VLOOKUP(O$1,Sprints[],4,FALSE))&lt;&gt;"")*(IF(OFFSET(INDIRECT(CELL("address",INDEX('Leave Tracker'!$A$8:$A$107,MATCH($A4,'Leave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4" s="66">
        <f t="array" aca="1" ref="P4" ca="1">Sheet3!$W$2*$F4*(NETWORKDAYS(VLOOKUP(P$1,Sprints[],2,FALSE), VLOOKUP(P$1,Sprints[],3,FALSE))-SUMPRODUCT((OFFSET(INDIRECT(CELL("address",INDEX('Leave Tracker'!$A$8:$A$107,MATCH($A4,'Leave Tracker'!$A$8:$A$107,0)))),0,31*(VLOOKUP(P$1,Sprints[],5,FALSE))+DAY(VLOOKUP(P$1,Sprints[],2,FALSE)),1,VLOOKUP(P$1,Sprints[],4,FALSE))&lt;&gt;"")*(IF(OFFSET(INDIRECT(CELL("address",INDEX('Leave Tracker'!$A$8:$A$107,MATCH($A4,'Leave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4" s="66">
        <f t="array" aca="1" ref="Q4" ca="1">Sheet3!$W$2*$F4*(NETWORKDAYS(VLOOKUP(Q$1,Sprints[],2,FALSE), VLOOKUP(Q$1,Sprints[],3,FALSE))-SUMPRODUCT((OFFSET(INDIRECT(CELL("address",INDEX('Leave Tracker'!$A$8:$A$107,MATCH($A4,'Leave Tracker'!$A$8:$A$107,0)))),0,31*(VLOOKUP(Q$1,Sprints[],5,FALSE))+DAY(VLOOKUP(Q$1,Sprints[],2,FALSE)),1,VLOOKUP(Q$1,Sprints[],4,FALSE))&lt;&gt;"")*(IF(OFFSET(INDIRECT(CELL("address",INDEX('Leave Tracker'!$A$8:$A$107,MATCH($A4,'Leave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4" s="66">
        <f t="array" aca="1" ref="R4" ca="1">Sheet3!$W$2*$F4*(NETWORKDAYS(VLOOKUP(R$1,Sprints[],2,FALSE), VLOOKUP(R$1,Sprints[],3,FALSE))-SUMPRODUCT((OFFSET(INDIRECT(CELL("address",INDEX('Leave Tracker'!$A$8:$A$107,MATCH($A4,'Leave Tracker'!$A$8:$A$107,0)))),0,31*(VLOOKUP(R$1,Sprints[],5,FALSE))+DAY(VLOOKUP(R$1,Sprints[],2,FALSE)),1,VLOOKUP(R$1,Sprints[],4,FALSE))&lt;&gt;"")*(IF(OFFSET(INDIRECT(CELL("address",INDEX('Leave Tracker'!$A$8:$A$107,MATCH($A4,'Leave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4" s="68">
        <f t="array" aca="1" ref="S4" ca="1">Sheet3!$W$2*$F4*(NETWORKDAYS(VLOOKUP(S$1,Sprints[],2,FALSE), VLOOKUP(S$1,Sprints[],3,FALSE))-SUMPRODUCT((OFFSET(INDIRECT(CELL("address",INDEX('Leave Tracker'!$A$8:$A$107,MATCH($A4,'Leave Tracker'!$A$8:$A$107,0)))),0,31*(VLOOKUP(S$1,Sprints[],5,FALSE))+DAY(VLOOKUP(S$1,Sprints[],2,FALSE)),1,VLOOKUP(S$1,Sprints[],4,FALSE))&lt;&gt;"")*(IF(OFFSET(INDIRECT(CELL("address",INDEX('Leave Tracker'!$A$8:$A$107,MATCH($A4,'Leave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4" s="68">
        <f t="array" aca="1" ref="T4" ca="1">Sheet3!$W$2*$F4*(NETWORKDAYS(VLOOKUP(T$1,Sprints[],2,FALSE), VLOOKUP(T$1,Sprints[],3,FALSE))-SUMPRODUCT((OFFSET(INDIRECT(CELL("address",INDEX('Leave Tracker'!$A$8:$A$107,MATCH($A4,'Leave Tracker'!$A$8:$A$107,0)))),0,31*(VLOOKUP(T$1,Sprints[],5,FALSE))+DAY(VLOOKUP(T$1,Sprints[],2,FALSE)),1,VLOOKUP(T$1,Sprints[],4,FALSE))&lt;&gt;"")*(IF(OFFSET(INDIRECT(CELL("address",INDEX('Leave Tracker'!$A$8:$A$107,MATCH($A4,'Leave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4" s="79">
        <f t="array" aca="1" ref="U4" ca="1">Sheet3!$W$2*$F4*(NETWORKDAYS(VLOOKUP(U$1,Sprints[],2,FALSE), VLOOKUP(U$1,Sprints[],3,FALSE))-SUMPRODUCT((OFFSET(INDIRECT(CELL("address",INDEX('Leave Tracker'!$A$8:$A$107,MATCH($A4,'Leave Tracker'!$A$8:$A$107,0)))),0,31*(VLOOKUP(U$1,Sprints[],5,FALSE))+DAY(VLOOKUP(U$1,Sprints[],2,FALSE)),1,VLOOKUP(U$1,Sprints[],4,FALSE))&lt;&gt;"")*(IF(OFFSET(INDIRECT(CELL("address",INDEX('Leave Tracker'!$A$8:$A$107,MATCH($A4,'Leave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5" spans="1:21" x14ac:dyDescent="0.45">
      <c r="A5" t="s">
        <v>44</v>
      </c>
      <c r="B5" s="45" t="s">
        <v>112</v>
      </c>
      <c r="C5" s="45" t="s">
        <v>117</v>
      </c>
      <c r="D5" s="45" t="s">
        <v>132</v>
      </c>
      <c r="E5" s="45" t="s">
        <v>124</v>
      </c>
      <c r="F5" s="47">
        <v>0.5</v>
      </c>
      <c r="G5" s="45">
        <f t="array" aca="1" ref="G5" ca="1">Sheet3!$W$2*$F5*(NETWORKDAYS(VLOOKUP(G$1,Sprints[],2,FALSE), VLOOKUP(G$1,Sprints[],3,FALSE))-SUMPRODUCT((OFFSET(INDIRECT(CELL("address",INDEX('Leave Tracker'!$A$8:$A$107,MATCH($A5,'Leave Tracker'!$A$8:$A$107,0)))),0,31*(VLOOKUP(G$1,Sprints[],5,FALSE))+DAY(VLOOKUP(G$1,Sprints[],2,FALSE)),1,VLOOKUP(G$1,Sprints[],4,FALSE))&lt;&gt;"")*(IF(OFFSET(INDIRECT(CELL("address",INDEX('Leave Tracker'!$A$8:$A$107,MATCH($A5,'Leave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</v>
      </c>
      <c r="H5">
        <f t="array" aca="1" ref="H5" ca="1">Sheet3!$W$2*$F5*(NETWORKDAYS(VLOOKUP(H$1,Sprints[],2,FALSE), VLOOKUP(H$1,Sprints[],3,FALSE))-SUMPRODUCT((OFFSET(INDIRECT(CELL("address",INDEX('Leave Tracker'!$A$8:$A$107,MATCH($A5,'Leave Tracker'!$A$8:$A$107,0)))),0,31*(VLOOKUP(H$1,Sprints[],5,FALSE))+DAY(VLOOKUP(H$1,Sprints[],2,FALSE)),1,VLOOKUP(H$1,Sprints[],4,FALSE))&lt;&gt;"")*(IF(OFFSET(INDIRECT(CELL("address",INDEX('Leave Tracker'!$A$8:$A$107,MATCH($A5,'Leave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2.8000000000000003</v>
      </c>
      <c r="I5">
        <f t="array" aca="1" ref="I5" ca="1">Sheet3!$W$2*$F5*(NETWORKDAYS(VLOOKUP(I$1,Sprints[],2,FALSE), VLOOKUP(I$1,Sprints[],3,FALSE))-SUMPRODUCT((OFFSET(INDIRECT(CELL("address",INDEX('Leave Tracker'!$A$8:$A$107,MATCH($A5,'Leave Tracker'!$A$8:$A$107,0)))),0,31*(VLOOKUP(I$1,Sprints[],5,FALSE))+DAY(VLOOKUP(I$1,Sprints[],2,FALSE)),1,VLOOKUP(I$1,Sprints[],4,FALSE))&lt;&gt;"")*(IF(OFFSET(INDIRECT(CELL("address",INDEX('Leave Tracker'!$A$8:$A$107,MATCH($A5,'Leave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</v>
      </c>
      <c r="J5">
        <f t="array" aca="1" ref="J5" ca="1">Sheet3!$W$2*$F5*(NETWORKDAYS(VLOOKUP(J$1,Sprints[],2,FALSE), VLOOKUP(J$1,Sprints[],3,FALSE))-SUMPRODUCT((OFFSET(INDIRECT(CELL("address",INDEX('Leave Tracker'!$A$8:$A$107,MATCH($A5,'Leave Tracker'!$A$8:$A$107,0)))),0,31*(VLOOKUP(J$1,Sprints[],5,FALSE))+DAY(VLOOKUP(J$1,Sprints[],2,FALSE)),1,VLOOKUP(J$1,Sprints[],4,FALSE))&lt;&gt;"")*(IF(OFFSET(INDIRECT(CELL("address",INDEX('Leave Tracker'!$A$8:$A$107,MATCH($A5,'Leave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2.8000000000000003</v>
      </c>
      <c r="K5">
        <f t="array" aca="1" ref="K5" ca="1">Sheet3!$W$2*$F5*(NETWORKDAYS(VLOOKUP(K$1,Sprints[],2,FALSE), VLOOKUP(K$1,Sprints[],3,FALSE))-SUMPRODUCT((OFFSET(INDIRECT(CELL("address",INDEX('Leave Tracker'!$A$8:$A$107,MATCH($A5,'Leave Tracker'!$A$8:$A$107,0)))),0,31*(VLOOKUP(K$1,Sprints[],5,FALSE))+DAY(VLOOKUP(K$1,Sprints[],2,FALSE)),1,VLOOKUP(K$1,Sprints[],4,FALSE))&lt;&gt;"")*(IF(OFFSET(INDIRECT(CELL("address",INDEX('Leave Tracker'!$A$8:$A$107,MATCH($A5,'Leave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</v>
      </c>
      <c r="L5">
        <f t="array" aca="1" ref="L5" ca="1">Sheet3!$W$2*$F5*(NETWORKDAYS(VLOOKUP(L$1,Sprints[],2,FALSE), VLOOKUP(L$1,Sprints[],3,FALSE))-SUMPRODUCT((OFFSET(INDIRECT(CELL("address",INDEX('Leave Tracker'!$A$8:$A$107,MATCH($A5,'Leave Tracker'!$A$8:$A$107,0)))),0,31*(VLOOKUP(L$1,Sprints[],5,FALSE))+DAY(VLOOKUP(L$1,Sprints[],2,FALSE)),1,VLOOKUP(L$1,Sprints[],4,FALSE))&lt;&gt;"")*(IF(OFFSET(INDIRECT(CELL("address",INDEX('Leave Tracker'!$A$8:$A$107,MATCH($A5,'Leave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</v>
      </c>
      <c r="M5" s="45">
        <f t="array" aca="1" ref="M5" ca="1">Sheet3!$W$2*$F5*(NETWORKDAYS(VLOOKUP(M$1,Sprints[],2,FALSE), VLOOKUP(M$1,Sprints[],3,FALSE))-SUMPRODUCT((OFFSET(INDIRECT(CELL("address",INDEX('Leave Tracker'!$A$8:$A$107,MATCH($A5,'Leave Tracker'!$A$8:$A$107,0)))),0,31*(VLOOKUP(M$1,Sprints[],5,FALSE))+DAY(VLOOKUP(M$1,Sprints[],2,FALSE)),1,VLOOKUP(M$1,Sprints[],4,FALSE))&lt;&gt;"")*(IF(OFFSET(INDIRECT(CELL("address",INDEX('Leave Tracker'!$A$8:$A$107,MATCH($A5,'Leave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2.4000000000000004</v>
      </c>
      <c r="N5">
        <f t="array" aca="1" ref="N5" ca="1">Sheet3!$W$2*$F5*(NETWORKDAYS(VLOOKUP(N$1,Sprints[],2,FALSE), VLOOKUP(N$1,Sprints[],3,FALSE))-SUMPRODUCT((OFFSET(INDIRECT(CELL("address",INDEX('Leave Tracker'!$A$8:$A$107,MATCH($A5,'Leave Tracker'!$A$8:$A$107,0)))),0,31*(VLOOKUP(N$1,Sprints[],5,FALSE))+DAY(VLOOKUP(N$1,Sprints[],2,FALSE)),1,VLOOKUP(N$1,Sprints[],4,FALSE))&lt;&gt;"")*(IF(OFFSET(INDIRECT(CELL("address",INDEX('Leave Tracker'!$A$8:$A$107,MATCH($A5,'Leave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1.6</v>
      </c>
      <c r="O5">
        <f t="array" aca="1" ref="O5" ca="1">Sheet3!$W$2*$F5*(NETWORKDAYS(VLOOKUP(O$1,Sprints[],2,FALSE), VLOOKUP(O$1,Sprints[],3,FALSE))-SUMPRODUCT((OFFSET(INDIRECT(CELL("address",INDEX('Leave Tracker'!$A$8:$A$107,MATCH($A5,'Leave Tracker'!$A$8:$A$107,0)))),0,31*(VLOOKUP(O$1,Sprints[],5,FALSE))+DAY(VLOOKUP(O$1,Sprints[],2,FALSE)),1,VLOOKUP(O$1,Sprints[],4,FALSE))&lt;&gt;"")*(IF(OFFSET(INDIRECT(CELL("address",INDEX('Leave Tracker'!$A$8:$A$107,MATCH($A5,'Leave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3.6</v>
      </c>
      <c r="P5">
        <f t="array" aca="1" ref="P5" ca="1">Sheet3!$W$2*$F5*(NETWORKDAYS(VLOOKUP(P$1,Sprints[],2,FALSE), VLOOKUP(P$1,Sprints[],3,FALSE))-SUMPRODUCT((OFFSET(INDIRECT(CELL("address",INDEX('Leave Tracker'!$A$8:$A$107,MATCH($A5,'Leave Tracker'!$A$8:$A$107,0)))),0,31*(VLOOKUP(P$1,Sprints[],5,FALSE))+DAY(VLOOKUP(P$1,Sprints[],2,FALSE)),1,VLOOKUP(P$1,Sprints[],4,FALSE))&lt;&gt;"")*(IF(OFFSET(INDIRECT(CELL("address",INDEX('Leave Tracker'!$A$8:$A$107,MATCH($A5,'Leave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</v>
      </c>
      <c r="Q5">
        <f t="array" aca="1" ref="Q5" ca="1">Sheet3!$W$2*$F5*(NETWORKDAYS(VLOOKUP(Q$1,Sprints[],2,FALSE), VLOOKUP(Q$1,Sprints[],3,FALSE))-SUMPRODUCT((OFFSET(INDIRECT(CELL("address",INDEX('Leave Tracker'!$A$8:$A$107,MATCH($A5,'Leave Tracker'!$A$8:$A$107,0)))),0,31*(VLOOKUP(Q$1,Sprints[],5,FALSE))+DAY(VLOOKUP(Q$1,Sprints[],2,FALSE)),1,VLOOKUP(Q$1,Sprints[],4,FALSE))&lt;&gt;"")*(IF(OFFSET(INDIRECT(CELL("address",INDEX('Leave Tracker'!$A$8:$A$107,MATCH($A5,'Leave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3.6</v>
      </c>
      <c r="R5">
        <f t="array" aca="1" ref="R5" ca="1">Sheet3!$W$2*$F5*(NETWORKDAYS(VLOOKUP(R$1,Sprints[],2,FALSE), VLOOKUP(R$1,Sprints[],3,FALSE))-SUMPRODUCT((OFFSET(INDIRECT(CELL("address",INDEX('Leave Tracker'!$A$8:$A$107,MATCH($A5,'Leave Tracker'!$A$8:$A$107,0)))),0,31*(VLOOKUP(R$1,Sprints[],5,FALSE))+DAY(VLOOKUP(R$1,Sprints[],2,FALSE)),1,VLOOKUP(R$1,Sprints[],4,FALSE))&lt;&gt;"")*(IF(OFFSET(INDIRECT(CELL("address",INDEX('Leave Tracker'!$A$8:$A$107,MATCH($A5,'Leave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</v>
      </c>
      <c r="S5" s="31">
        <f t="array" aca="1" ref="S5" ca="1">Sheet3!$W$2*$F5*(NETWORKDAYS(VLOOKUP(S$1,Sprints[],2,FALSE), VLOOKUP(S$1,Sprints[],3,FALSE))-SUMPRODUCT((OFFSET(INDIRECT(CELL("address",INDEX('Leave Tracker'!$A$8:$A$107,MATCH($A5,'Leave Tracker'!$A$8:$A$107,0)))),0,31*(VLOOKUP(S$1,Sprints[],5,FALSE))+DAY(VLOOKUP(S$1,Sprints[],2,FALSE)),1,VLOOKUP(S$1,Sprints[],4,FALSE))&lt;&gt;"")*(IF(OFFSET(INDIRECT(CELL("address",INDEX('Leave Tracker'!$A$8:$A$107,MATCH($A5,'Leave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2</v>
      </c>
      <c r="T5" s="31">
        <f t="array" aca="1" ref="T5" ca="1">Sheet3!$W$2*$F5*(NETWORKDAYS(VLOOKUP(T$1,Sprints[],2,FALSE), VLOOKUP(T$1,Sprints[],3,FALSE))-SUMPRODUCT((OFFSET(INDIRECT(CELL("address",INDEX('Leave Tracker'!$A$8:$A$107,MATCH($A5,'Leave Tracker'!$A$8:$A$107,0)))),0,31*(VLOOKUP(T$1,Sprints[],5,FALSE))+DAY(VLOOKUP(T$1,Sprints[],2,FALSE)),1,VLOOKUP(T$1,Sprints[],4,FALSE))&lt;&gt;"")*(IF(OFFSET(INDIRECT(CELL("address",INDEX('Leave Tracker'!$A$8:$A$107,MATCH($A5,'Leave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</v>
      </c>
      <c r="U5" s="78">
        <f t="array" aca="1" ref="U5" ca="1">Sheet3!$W$2*$F5*(NETWORKDAYS(VLOOKUP(U$1,Sprints[],2,FALSE), VLOOKUP(U$1,Sprints[],3,FALSE))-SUMPRODUCT((OFFSET(INDIRECT(CELL("address",INDEX('Leave Tracker'!$A$8:$A$107,MATCH($A5,'Leave Tracker'!$A$8:$A$107,0)))),0,31*(VLOOKUP(U$1,Sprints[],5,FALSE))+DAY(VLOOKUP(U$1,Sprints[],2,FALSE)),1,VLOOKUP(U$1,Sprints[],4,FALSE))&lt;&gt;"")*(IF(OFFSET(INDIRECT(CELL("address",INDEX('Leave Tracker'!$A$8:$A$107,MATCH($A5,'Leave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5.6000000000000005</v>
      </c>
    </row>
    <row r="6" spans="1:21" x14ac:dyDescent="0.45">
      <c r="A6" t="s">
        <v>46</v>
      </c>
      <c r="B6" s="45" t="s">
        <v>112</v>
      </c>
      <c r="C6" s="45" t="s">
        <v>117</v>
      </c>
      <c r="D6" s="45" t="s">
        <v>133</v>
      </c>
      <c r="E6" s="45" t="s">
        <v>128</v>
      </c>
      <c r="F6" s="47">
        <v>0.75</v>
      </c>
      <c r="G6" s="45">
        <f t="array" aca="1" ref="G6" ca="1">Sheet3!$W$2*$F6*(NETWORKDAYS(VLOOKUP(G$1,Sprints[],2,FALSE), VLOOKUP(G$1,Sprints[],3,FALSE))-SUMPRODUCT((OFFSET(INDIRECT(CELL("address",INDEX('Leave Tracker'!$A$8:$A$107,MATCH($A6,'Leave Tracker'!$A$8:$A$107,0)))),0,31*(VLOOKUP(G$1,Sprints[],5,FALSE))+DAY(VLOOKUP(G$1,Sprints[],2,FALSE)),1,VLOOKUP(G$1,Sprints[],4,FALSE))&lt;&gt;"")*(IF(OFFSET(INDIRECT(CELL("address",INDEX('Leave Tracker'!$A$8:$A$107,MATCH($A6,'Leave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6">
        <f t="array" aca="1" ref="H6" ca="1">Sheet3!$W$2*$F6*(NETWORKDAYS(VLOOKUP(H$1,Sprints[],2,FALSE), VLOOKUP(H$1,Sprints[],3,FALSE))-SUMPRODUCT((OFFSET(INDIRECT(CELL("address",INDEX('Leave Tracker'!$A$8:$A$107,MATCH($A6,'Leave Tracker'!$A$8:$A$107,0)))),0,31*(VLOOKUP(H$1,Sprints[],5,FALSE))+DAY(VLOOKUP(H$1,Sprints[],2,FALSE)),1,VLOOKUP(H$1,Sprints[],4,FALSE))&lt;&gt;"")*(IF(OFFSET(INDIRECT(CELL("address",INDEX('Leave Tracker'!$A$8:$A$107,MATCH($A6,'Leave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6">
        <f t="array" aca="1" ref="I6" ca="1">Sheet3!$W$2*$F6*(NETWORKDAYS(VLOOKUP(I$1,Sprints[],2,FALSE), VLOOKUP(I$1,Sprints[],3,FALSE))-SUMPRODUCT((OFFSET(INDIRECT(CELL("address",INDEX('Leave Tracker'!$A$8:$A$107,MATCH($A6,'Leave Tracker'!$A$8:$A$107,0)))),0,31*(VLOOKUP(I$1,Sprints[],5,FALSE))+DAY(VLOOKUP(I$1,Sprints[],2,FALSE)),1,VLOOKUP(I$1,Sprints[],4,FALSE))&lt;&gt;"")*(IF(OFFSET(INDIRECT(CELL("address",INDEX('Leave Tracker'!$A$8:$A$107,MATCH($A6,'Leave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6">
        <f t="array" aca="1" ref="J6" ca="1">Sheet3!$W$2*$F6*(NETWORKDAYS(VLOOKUP(J$1,Sprints[],2,FALSE), VLOOKUP(J$1,Sprints[],3,FALSE))-SUMPRODUCT((OFFSET(INDIRECT(CELL("address",INDEX('Leave Tracker'!$A$8:$A$107,MATCH($A6,'Leave Tracker'!$A$8:$A$107,0)))),0,31*(VLOOKUP(J$1,Sprints[],5,FALSE))+DAY(VLOOKUP(J$1,Sprints[],2,FALSE)),1,VLOOKUP(J$1,Sprints[],4,FALSE))&lt;&gt;"")*(IF(OFFSET(INDIRECT(CELL("address",INDEX('Leave Tracker'!$A$8:$A$107,MATCH($A6,'Leave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6">
        <f t="array" aca="1" ref="K6" ca="1">Sheet3!$W$2*$F6*(NETWORKDAYS(VLOOKUP(K$1,Sprints[],2,FALSE), VLOOKUP(K$1,Sprints[],3,FALSE))-SUMPRODUCT((OFFSET(INDIRECT(CELL("address",INDEX('Leave Tracker'!$A$8:$A$107,MATCH($A6,'Leave Tracker'!$A$8:$A$107,0)))),0,31*(VLOOKUP(K$1,Sprints[],5,FALSE))+DAY(VLOOKUP(K$1,Sprints[],2,FALSE)),1,VLOOKUP(K$1,Sprints[],4,FALSE))&lt;&gt;"")*(IF(OFFSET(INDIRECT(CELL("address",INDEX('Leave Tracker'!$A$8:$A$107,MATCH($A6,'Leave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6">
        <f t="array" aca="1" ref="L6" ca="1">Sheet3!$W$2*$F6*(NETWORKDAYS(VLOOKUP(L$1,Sprints[],2,FALSE), VLOOKUP(L$1,Sprints[],3,FALSE))-SUMPRODUCT((OFFSET(INDIRECT(CELL("address",INDEX('Leave Tracker'!$A$8:$A$107,MATCH($A6,'Leave Tracker'!$A$8:$A$107,0)))),0,31*(VLOOKUP(L$1,Sprints[],5,FALSE))+DAY(VLOOKUP(L$1,Sprints[],2,FALSE)),1,VLOOKUP(L$1,Sprints[],4,FALSE))&lt;&gt;"")*(IF(OFFSET(INDIRECT(CELL("address",INDEX('Leave Tracker'!$A$8:$A$107,MATCH($A6,'Leave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4.2000000000000011</v>
      </c>
      <c r="M6" s="45">
        <f t="array" aca="1" ref="M6" ca="1">Sheet3!$W$2*$F6*(NETWORKDAYS(VLOOKUP(M$1,Sprints[],2,FALSE), VLOOKUP(M$1,Sprints[],3,FALSE))-SUMPRODUCT((OFFSET(INDIRECT(CELL("address",INDEX('Leave Tracker'!$A$8:$A$107,MATCH($A6,'Leave Tracker'!$A$8:$A$107,0)))),0,31*(VLOOKUP(M$1,Sprints[],5,FALSE))+DAY(VLOOKUP(M$1,Sprints[],2,FALSE)),1,VLOOKUP(M$1,Sprints[],4,FALSE))&lt;&gt;"")*(IF(OFFSET(INDIRECT(CELL("address",INDEX('Leave Tracker'!$A$8:$A$107,MATCH($A6,'Leave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6">
        <f t="array" aca="1" ref="N6" ca="1">Sheet3!$W$2*$F6*(NETWORKDAYS(VLOOKUP(N$1,Sprints[],2,FALSE), VLOOKUP(N$1,Sprints[],3,FALSE))-SUMPRODUCT((OFFSET(INDIRECT(CELL("address",INDEX('Leave Tracker'!$A$8:$A$107,MATCH($A6,'Leave Tracker'!$A$8:$A$107,0)))),0,31*(VLOOKUP(N$1,Sprints[],5,FALSE))+DAY(VLOOKUP(N$1,Sprints[],2,FALSE)),1,VLOOKUP(N$1,Sprints[],4,FALSE))&lt;&gt;"")*(IF(OFFSET(INDIRECT(CELL("address",INDEX('Leave Tracker'!$A$8:$A$107,MATCH($A6,'Leave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6">
        <f t="array" aca="1" ref="O6" ca="1">Sheet3!$W$2*$F6*(NETWORKDAYS(VLOOKUP(O$1,Sprints[],2,FALSE), VLOOKUP(O$1,Sprints[],3,FALSE))-SUMPRODUCT((OFFSET(INDIRECT(CELL("address",INDEX('Leave Tracker'!$A$8:$A$107,MATCH($A6,'Leave Tracker'!$A$8:$A$107,0)))),0,31*(VLOOKUP(O$1,Sprints[],5,FALSE))+DAY(VLOOKUP(O$1,Sprints[],2,FALSE)),1,VLOOKUP(O$1,Sprints[],4,FALSE))&lt;&gt;"")*(IF(OFFSET(INDIRECT(CELL("address",INDEX('Leave Tracker'!$A$8:$A$107,MATCH($A6,'Leave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3.3000000000000007</v>
      </c>
      <c r="P6">
        <f t="array" aca="1" ref="P6" ca="1">Sheet3!$W$2*$F6*(NETWORKDAYS(VLOOKUP(P$1,Sprints[],2,FALSE), VLOOKUP(P$1,Sprints[],3,FALSE))-SUMPRODUCT((OFFSET(INDIRECT(CELL("address",INDEX('Leave Tracker'!$A$8:$A$107,MATCH($A6,'Leave Tracker'!$A$8:$A$107,0)))),0,31*(VLOOKUP(P$1,Sprints[],5,FALSE))+DAY(VLOOKUP(P$1,Sprints[],2,FALSE)),1,VLOOKUP(P$1,Sprints[],4,FALSE))&lt;&gt;"")*(IF(OFFSET(INDIRECT(CELL("address",INDEX('Leave Tracker'!$A$8:$A$107,MATCH($A6,'Leave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6">
        <f t="array" aca="1" ref="Q6" ca="1">Sheet3!$W$2*$F6*(NETWORKDAYS(VLOOKUP(Q$1,Sprints[],2,FALSE), VLOOKUP(Q$1,Sprints[],3,FALSE))-SUMPRODUCT((OFFSET(INDIRECT(CELL("address",INDEX('Leave Tracker'!$A$8:$A$107,MATCH($A6,'Leave Tracker'!$A$8:$A$107,0)))),0,31*(VLOOKUP(Q$1,Sprints[],5,FALSE))+DAY(VLOOKUP(Q$1,Sprints[],2,FALSE)),1,VLOOKUP(Q$1,Sprints[],4,FALSE))&lt;&gt;"")*(IF(OFFSET(INDIRECT(CELL("address",INDEX('Leave Tracker'!$A$8:$A$107,MATCH($A6,'Leave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6">
        <f t="array" aca="1" ref="R6" ca="1">Sheet3!$W$2*$F6*(NETWORKDAYS(VLOOKUP(R$1,Sprints[],2,FALSE), VLOOKUP(R$1,Sprints[],3,FALSE))-SUMPRODUCT((OFFSET(INDIRECT(CELL("address",INDEX('Leave Tracker'!$A$8:$A$107,MATCH($A6,'Leave Tracker'!$A$8:$A$107,0)))),0,31*(VLOOKUP(R$1,Sprints[],5,FALSE))+DAY(VLOOKUP(R$1,Sprints[],2,FALSE)),1,VLOOKUP(R$1,Sprints[],4,FALSE))&lt;&gt;"")*(IF(OFFSET(INDIRECT(CELL("address",INDEX('Leave Tracker'!$A$8:$A$107,MATCH($A6,'Leave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4.8000000000000007</v>
      </c>
      <c r="S6" s="31">
        <f t="array" aca="1" ref="S6" ca="1">Sheet3!$W$2*$F6*(NETWORKDAYS(VLOOKUP(S$1,Sprints[],2,FALSE), VLOOKUP(S$1,Sprints[],3,FALSE))-SUMPRODUCT((OFFSET(INDIRECT(CELL("address",INDEX('Leave Tracker'!$A$8:$A$107,MATCH($A6,'Leave Tracker'!$A$8:$A$107,0)))),0,31*(VLOOKUP(S$1,Sprints[],5,FALSE))+DAY(VLOOKUP(S$1,Sprints[],2,FALSE)),1,VLOOKUP(S$1,Sprints[],4,FALSE))&lt;&gt;"")*(IF(OFFSET(INDIRECT(CELL("address",INDEX('Leave Tracker'!$A$8:$A$107,MATCH($A6,'Leave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6" s="31">
        <f t="array" aca="1" ref="T6" ca="1">Sheet3!$W$2*$F6*(NETWORKDAYS(VLOOKUP(T$1,Sprints[],2,FALSE), VLOOKUP(T$1,Sprints[],3,FALSE))-SUMPRODUCT((OFFSET(INDIRECT(CELL("address",INDEX('Leave Tracker'!$A$8:$A$107,MATCH($A6,'Leave Tracker'!$A$8:$A$107,0)))),0,31*(VLOOKUP(T$1,Sprints[],5,FALSE))+DAY(VLOOKUP(T$1,Sprints[],2,FALSE)),1,VLOOKUP(T$1,Sprints[],4,FALSE))&lt;&gt;"")*(IF(OFFSET(INDIRECT(CELL("address",INDEX('Leave Tracker'!$A$8:$A$107,MATCH($A6,'Leave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6" s="78">
        <f t="array" aca="1" ref="U6" ca="1">Sheet3!$W$2*$F6*(NETWORKDAYS(VLOOKUP(U$1,Sprints[],2,FALSE), VLOOKUP(U$1,Sprints[],3,FALSE))-SUMPRODUCT((OFFSET(INDIRECT(CELL("address",INDEX('Leave Tracker'!$A$8:$A$107,MATCH($A6,'Leave Tracker'!$A$8:$A$107,0)))),0,31*(VLOOKUP(U$1,Sprints[],5,FALSE))+DAY(VLOOKUP(U$1,Sprints[],2,FALSE)),1,VLOOKUP(U$1,Sprints[],4,FALSE))&lt;&gt;"")*(IF(OFFSET(INDIRECT(CELL("address",INDEX('Leave Tracker'!$A$8:$A$107,MATCH($A6,'Leave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11.400000000000002</v>
      </c>
    </row>
    <row r="7" spans="1:21" s="45" customFormat="1" x14ac:dyDescent="0.45">
      <c r="A7" s="45" t="s">
        <v>162</v>
      </c>
      <c r="B7" s="45" t="s">
        <v>112</v>
      </c>
      <c r="C7" s="45" t="s">
        <v>117</v>
      </c>
      <c r="D7" s="45" t="s">
        <v>132</v>
      </c>
      <c r="E7" s="45" t="s">
        <v>125</v>
      </c>
      <c r="F7" s="47">
        <v>0.5</v>
      </c>
      <c r="G7" s="31">
        <f t="array" aca="1" ref="G7" ca="1">Sheet3!$W$2*$F7*(NETWORKDAYS(VLOOKUP(G$1,Sprints[],2,FALSE), VLOOKUP(G$1,Sprints[],3,FALSE))-SUMPRODUCT((OFFSET(INDIRECT(CELL("address",INDEX('Leave Tracker'!$A$8:$A$107,MATCH($A7,'Leave Tracker'!$A$8:$A$107,0)))),0,31*(VLOOKUP(G$1,Sprints[],5,FALSE))+DAY(VLOOKUP(G$1,Sprints[],2,FALSE)),1,VLOOKUP(G$1,Sprints[],4,FALSE))&lt;&gt;"")*(IF(OFFSET(INDIRECT(CELL("address",INDEX('Leave Tracker'!$A$8:$A$107,MATCH($A7,'Leave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</v>
      </c>
      <c r="H7" s="31">
        <f t="array" aca="1" ref="H7" ca="1">Sheet3!$W$2*$F7*(NETWORKDAYS(VLOOKUP(H$1,Sprints[],2,FALSE), VLOOKUP(H$1,Sprints[],3,FALSE))-SUMPRODUCT((OFFSET(INDIRECT(CELL("address",INDEX('Leave Tracker'!$A$8:$A$107,MATCH($A7,'Leave Tracker'!$A$8:$A$107,0)))),0,31*(VLOOKUP(H$1,Sprints[],5,FALSE))+DAY(VLOOKUP(H$1,Sprints[],2,FALSE)),1,VLOOKUP(H$1,Sprints[],4,FALSE))&lt;&gt;"")*(IF(OFFSET(INDIRECT(CELL("address",INDEX('Leave Tracker'!$A$8:$A$107,MATCH($A7,'Leave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</v>
      </c>
      <c r="I7" s="31">
        <f t="array" aca="1" ref="I7" ca="1">Sheet3!$W$2*$F7*(NETWORKDAYS(VLOOKUP(I$1,Sprints[],2,FALSE), VLOOKUP(I$1,Sprints[],3,FALSE))-SUMPRODUCT((OFFSET(INDIRECT(CELL("address",INDEX('Leave Tracker'!$A$8:$A$107,MATCH($A7,'Leave Tracker'!$A$8:$A$107,0)))),0,31*(VLOOKUP(I$1,Sprints[],5,FALSE))+DAY(VLOOKUP(I$1,Sprints[],2,FALSE)),1,VLOOKUP(I$1,Sprints[],4,FALSE))&lt;&gt;"")*(IF(OFFSET(INDIRECT(CELL("address",INDEX('Leave Tracker'!$A$8:$A$107,MATCH($A7,'Leave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3</v>
      </c>
      <c r="J7" s="31">
        <f t="array" aca="1" ref="J7" ca="1">Sheet3!$W$2*$F7*(NETWORKDAYS(VLOOKUP(J$1,Sprints[],2,FALSE), VLOOKUP(J$1,Sprints[],3,FALSE))-SUMPRODUCT((OFFSET(INDIRECT(CELL("address",INDEX('Leave Tracker'!$A$8:$A$107,MATCH($A7,'Leave Tracker'!$A$8:$A$107,0)))),0,31*(VLOOKUP(J$1,Sprints[],5,FALSE))+DAY(VLOOKUP(J$1,Sprints[],2,FALSE)),1,VLOOKUP(J$1,Sprints[],4,FALSE))&lt;&gt;"")*(IF(OFFSET(INDIRECT(CELL("address",INDEX('Leave Tracker'!$A$8:$A$107,MATCH($A7,'Leave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2.6</v>
      </c>
      <c r="K7" s="31">
        <f t="array" aca="1" ref="K7" ca="1">Sheet3!$W$2*$F7*(NETWORKDAYS(VLOOKUP(K$1,Sprints[],2,FALSE), VLOOKUP(K$1,Sprints[],3,FALSE))-SUMPRODUCT((OFFSET(INDIRECT(CELL("address",INDEX('Leave Tracker'!$A$8:$A$107,MATCH($A7,'Leave Tracker'!$A$8:$A$107,0)))),0,31*(VLOOKUP(K$1,Sprints[],5,FALSE))+DAY(VLOOKUP(K$1,Sprints[],2,FALSE)),1,VLOOKUP(K$1,Sprints[],4,FALSE))&lt;&gt;"")*(IF(OFFSET(INDIRECT(CELL("address",INDEX('Leave Tracker'!$A$8:$A$107,MATCH($A7,'Leave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3.6</v>
      </c>
      <c r="L7" s="31">
        <f t="array" aca="1" ref="L7" ca="1">Sheet3!$W$2*$F7*(NETWORKDAYS(VLOOKUP(L$1,Sprints[],2,FALSE), VLOOKUP(L$1,Sprints[],3,FALSE))-SUMPRODUCT((OFFSET(INDIRECT(CELL("address",INDEX('Leave Tracker'!$A$8:$A$107,MATCH($A7,'Leave Tracker'!$A$8:$A$107,0)))),0,31*(VLOOKUP(L$1,Sprints[],5,FALSE))+DAY(VLOOKUP(L$1,Sprints[],2,FALSE)),1,VLOOKUP(L$1,Sprints[],4,FALSE))&lt;&gt;"")*(IF(OFFSET(INDIRECT(CELL("address",INDEX('Leave Tracker'!$A$8:$A$107,MATCH($A7,'Leave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3.2</v>
      </c>
      <c r="M7" s="31">
        <f t="array" aca="1" ref="M7" ca="1">Sheet3!$W$2*$F7*(NETWORKDAYS(VLOOKUP(M$1,Sprints[],2,FALSE), VLOOKUP(M$1,Sprints[],3,FALSE))-SUMPRODUCT((OFFSET(INDIRECT(CELL("address",INDEX('Leave Tracker'!$A$8:$A$107,MATCH($A7,'Leave Tracker'!$A$8:$A$107,0)))),0,31*(VLOOKUP(M$1,Sprints[],5,FALSE))+DAY(VLOOKUP(M$1,Sprints[],2,FALSE)),1,VLOOKUP(M$1,Sprints[],4,FALSE))&lt;&gt;"")*(IF(OFFSET(INDIRECT(CELL("address",INDEX('Leave Tracker'!$A$8:$A$107,MATCH($A7,'Leave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3.6</v>
      </c>
      <c r="N7" s="31">
        <f t="array" aca="1" ref="N7" ca="1">Sheet3!$W$2*$F7*(NETWORKDAYS(VLOOKUP(N$1,Sprints[],2,FALSE), VLOOKUP(N$1,Sprints[],3,FALSE))-SUMPRODUCT((OFFSET(INDIRECT(CELL("address",INDEX('Leave Tracker'!$A$8:$A$107,MATCH($A7,'Leave Tracker'!$A$8:$A$107,0)))),0,31*(VLOOKUP(N$1,Sprints[],5,FALSE))+DAY(VLOOKUP(N$1,Sprints[],2,FALSE)),1,VLOOKUP(N$1,Sprints[],4,FALSE))&lt;&gt;"")*(IF(OFFSET(INDIRECT(CELL("address",INDEX('Leave Tracker'!$A$8:$A$107,MATCH($A7,'Leave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</v>
      </c>
      <c r="O7" s="31">
        <f t="array" aca="1" ref="O7" ca="1">Sheet3!$W$2*$F7*(NETWORKDAYS(VLOOKUP(O$1,Sprints[],2,FALSE), VLOOKUP(O$1,Sprints[],3,FALSE))-SUMPRODUCT((OFFSET(INDIRECT(CELL("address",INDEX('Leave Tracker'!$A$8:$A$107,MATCH($A7,'Leave Tracker'!$A$8:$A$107,0)))),0,31*(VLOOKUP(O$1,Sprints[],5,FALSE))+DAY(VLOOKUP(O$1,Sprints[],2,FALSE)),1,VLOOKUP(O$1,Sprints[],4,FALSE))&lt;&gt;"")*(IF(OFFSET(INDIRECT(CELL("address",INDEX('Leave Tracker'!$A$8:$A$107,MATCH($A7,'Leave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3.2</v>
      </c>
      <c r="P7" s="31">
        <f t="array" aca="1" ref="P7" ca="1">Sheet3!$W$2*$F7*(NETWORKDAYS(VLOOKUP(P$1,Sprints[],2,FALSE), VLOOKUP(P$1,Sprints[],3,FALSE))-SUMPRODUCT((OFFSET(INDIRECT(CELL("address",INDEX('Leave Tracker'!$A$8:$A$107,MATCH($A7,'Leave Tracker'!$A$8:$A$107,0)))),0,31*(VLOOKUP(P$1,Sprints[],5,FALSE))+DAY(VLOOKUP(P$1,Sprints[],2,FALSE)),1,VLOOKUP(P$1,Sprints[],4,FALSE))&lt;&gt;"")*(IF(OFFSET(INDIRECT(CELL("address",INDEX('Leave Tracker'!$A$8:$A$107,MATCH($A7,'Leave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3.2</v>
      </c>
      <c r="Q7" s="31">
        <f t="array" aca="1" ref="Q7" ca="1">Sheet3!$W$2*$F7*(NETWORKDAYS(VLOOKUP(Q$1,Sprints[],2,FALSE), VLOOKUP(Q$1,Sprints[],3,FALSE))-SUMPRODUCT((OFFSET(INDIRECT(CELL("address",INDEX('Leave Tracker'!$A$8:$A$107,MATCH($A7,'Leave Tracker'!$A$8:$A$107,0)))),0,31*(VLOOKUP(Q$1,Sprints[],5,FALSE))+DAY(VLOOKUP(Q$1,Sprints[],2,FALSE)),1,VLOOKUP(Q$1,Sprints[],4,FALSE))&lt;&gt;"")*(IF(OFFSET(INDIRECT(CELL("address",INDEX('Leave Tracker'!$A$8:$A$107,MATCH($A7,'Leave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</v>
      </c>
      <c r="R7" s="31">
        <f t="array" aca="1" ref="R7" ca="1">Sheet3!$W$2*$F7*(NETWORKDAYS(VLOOKUP(R$1,Sprints[],2,FALSE), VLOOKUP(R$1,Sprints[],3,FALSE))-SUMPRODUCT((OFFSET(INDIRECT(CELL("address",INDEX('Leave Tracker'!$A$8:$A$107,MATCH($A7,'Leave Tracker'!$A$8:$A$107,0)))),0,31*(VLOOKUP(R$1,Sprints[],5,FALSE))+DAY(VLOOKUP(R$1,Sprints[],2,FALSE)),1,VLOOKUP(R$1,Sprints[],4,FALSE))&lt;&gt;"")*(IF(OFFSET(INDIRECT(CELL("address",INDEX('Leave Tracker'!$A$8:$A$107,MATCH($A7,'Leave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2.8000000000000003</v>
      </c>
      <c r="S7" s="31">
        <f t="array" aca="1" ref="S7" ca="1">Sheet3!$W$2*$F7*(NETWORKDAYS(VLOOKUP(S$1,Sprints[],2,FALSE), VLOOKUP(S$1,Sprints[],3,FALSE))-SUMPRODUCT((OFFSET(INDIRECT(CELL("address",INDEX('Leave Tracker'!$A$8:$A$107,MATCH($A7,'Leave Tracker'!$A$8:$A$107,0)))),0,31*(VLOOKUP(S$1,Sprints[],5,FALSE))+DAY(VLOOKUP(S$1,Sprints[],2,FALSE)),1,VLOOKUP(S$1,Sprints[],4,FALSE))&lt;&gt;"")*(IF(OFFSET(INDIRECT(CELL("address",INDEX('Leave Tracker'!$A$8:$A$107,MATCH($A7,'Leave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</v>
      </c>
      <c r="T7" s="31">
        <f t="array" aca="1" ref="T7" ca="1">Sheet3!$W$2*$F7*(NETWORKDAYS(VLOOKUP(T$1,Sprints[],2,FALSE), VLOOKUP(T$1,Sprints[],3,FALSE))-SUMPRODUCT((OFFSET(INDIRECT(CELL("address",INDEX('Leave Tracker'!$A$8:$A$107,MATCH($A7,'Leave Tracker'!$A$8:$A$107,0)))),0,31*(VLOOKUP(T$1,Sprints[],5,FALSE))+DAY(VLOOKUP(T$1,Sprints[],2,FALSE)),1,VLOOKUP(T$1,Sprints[],4,FALSE))&lt;&gt;"")*(IF(OFFSET(INDIRECT(CELL("address",INDEX('Leave Tracker'!$A$8:$A$107,MATCH($A7,'Leave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</v>
      </c>
      <c r="U7" s="78">
        <f t="array" aca="1" ref="U7" ca="1">Sheet3!$W$2*$F7*(NETWORKDAYS(VLOOKUP(U$1,Sprints[],2,FALSE), VLOOKUP(U$1,Sprints[],3,FALSE))-SUMPRODUCT((OFFSET(INDIRECT(CELL("address",INDEX('Leave Tracker'!$A$8:$A$107,MATCH($A7,'Leave Tracker'!$A$8:$A$107,0)))),0,31*(VLOOKUP(U$1,Sprints[],5,FALSE))+DAY(VLOOKUP(U$1,Sprints[],2,FALSE)),1,VLOOKUP(U$1,Sprints[],4,FALSE))&lt;&gt;"")*(IF(OFFSET(INDIRECT(CELL("address",INDEX('Leave Tracker'!$A$8:$A$107,MATCH($A7,'Leave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7.6000000000000005</v>
      </c>
    </row>
    <row r="8" spans="1:21" x14ac:dyDescent="0.45">
      <c r="A8" t="s">
        <v>45</v>
      </c>
      <c r="B8" s="45" t="s">
        <v>112</v>
      </c>
      <c r="C8" s="45" t="s">
        <v>117</v>
      </c>
      <c r="D8" s="45" t="s">
        <v>132</v>
      </c>
      <c r="E8" s="45" t="s">
        <v>126</v>
      </c>
      <c r="F8" s="47">
        <v>0.75</v>
      </c>
      <c r="G8" s="45">
        <f t="array" aca="1" ref="G8" ca="1">Sheet3!$W$2*$F8*(NETWORKDAYS(VLOOKUP(G$1,Sprints[],2,FALSE), VLOOKUP(G$1,Sprints[],3,FALSE))-SUMPRODUCT((OFFSET(INDIRECT(CELL("address",INDEX('Leave Tracker'!$A$8:$A$107,MATCH($A8,'Leave Tracker'!$A$8:$A$107,0)))),0,31*(VLOOKUP(G$1,Sprints[],5,FALSE))+DAY(VLOOKUP(G$1,Sprints[],2,FALSE)),1,VLOOKUP(G$1,Sprints[],4,FALSE))&lt;&gt;"")*(IF(OFFSET(INDIRECT(CELL("address",INDEX('Leave Tracker'!$A$8:$A$107,MATCH($A8,'Leave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8">
        <f t="array" aca="1" ref="H8" ca="1">Sheet3!$W$2*$F8*(NETWORKDAYS(VLOOKUP(H$1,Sprints[],2,FALSE), VLOOKUP(H$1,Sprints[],3,FALSE))-SUMPRODUCT((OFFSET(INDIRECT(CELL("address",INDEX('Leave Tracker'!$A$8:$A$107,MATCH($A8,'Leave Tracker'!$A$8:$A$107,0)))),0,31*(VLOOKUP(H$1,Sprints[],5,FALSE))+DAY(VLOOKUP(H$1,Sprints[],2,FALSE)),1,VLOOKUP(H$1,Sprints[],4,FALSE))&lt;&gt;"")*(IF(OFFSET(INDIRECT(CELL("address",INDEX('Leave Tracker'!$A$8:$A$107,MATCH($A8,'Leave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8">
        <f t="array" aca="1" ref="I8" ca="1">Sheet3!$W$2*$F8*(NETWORKDAYS(VLOOKUP(I$1,Sprints[],2,FALSE), VLOOKUP(I$1,Sprints[],3,FALSE))-SUMPRODUCT((OFFSET(INDIRECT(CELL("address",INDEX('Leave Tracker'!$A$8:$A$107,MATCH($A8,'Leave Tracker'!$A$8:$A$107,0)))),0,31*(VLOOKUP(I$1,Sprints[],5,FALSE))+DAY(VLOOKUP(I$1,Sprints[],2,FALSE)),1,VLOOKUP(I$1,Sprints[],4,FALSE))&lt;&gt;"")*(IF(OFFSET(INDIRECT(CELL("address",INDEX('Leave Tracker'!$A$8:$A$107,MATCH($A8,'Leave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8">
        <f t="array" aca="1" ref="J8" ca="1">Sheet3!$W$2*$F8*(NETWORKDAYS(VLOOKUP(J$1,Sprints[],2,FALSE), VLOOKUP(J$1,Sprints[],3,FALSE))-SUMPRODUCT((OFFSET(INDIRECT(CELL("address",INDEX('Leave Tracker'!$A$8:$A$107,MATCH($A8,'Leave Tracker'!$A$8:$A$107,0)))),0,31*(VLOOKUP(J$1,Sprints[],5,FALSE))+DAY(VLOOKUP(J$1,Sprints[],2,FALSE)),1,VLOOKUP(J$1,Sprints[],4,FALSE))&lt;&gt;"")*(IF(OFFSET(INDIRECT(CELL("address",INDEX('Leave Tracker'!$A$8:$A$107,MATCH($A8,'Leave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8">
        <f t="array" aca="1" ref="K8" ca="1">Sheet3!$W$2*$F8*(NETWORKDAYS(VLOOKUP(K$1,Sprints[],2,FALSE), VLOOKUP(K$1,Sprints[],3,FALSE))-SUMPRODUCT((OFFSET(INDIRECT(CELL("address",INDEX('Leave Tracker'!$A$8:$A$107,MATCH($A8,'Leave Tracker'!$A$8:$A$107,0)))),0,31*(VLOOKUP(K$1,Sprints[],5,FALSE))+DAY(VLOOKUP(K$1,Sprints[],2,FALSE)),1,VLOOKUP(K$1,Sprints[],4,FALSE))&lt;&gt;"")*(IF(OFFSET(INDIRECT(CELL("address",INDEX('Leave Tracker'!$A$8:$A$107,MATCH($A8,'Leave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8">
        <f t="array" aca="1" ref="L8" ca="1">Sheet3!$W$2*$F8*(NETWORKDAYS(VLOOKUP(L$1,Sprints[],2,FALSE), VLOOKUP(L$1,Sprints[],3,FALSE))-SUMPRODUCT((OFFSET(INDIRECT(CELL("address",INDEX('Leave Tracker'!$A$8:$A$107,MATCH($A8,'Leave Tracker'!$A$8:$A$107,0)))),0,31*(VLOOKUP(L$1,Sprints[],5,FALSE))+DAY(VLOOKUP(L$1,Sprints[],2,FALSE)),1,VLOOKUP(L$1,Sprints[],4,FALSE))&lt;&gt;"")*(IF(OFFSET(INDIRECT(CELL("address",INDEX('Leave Tracker'!$A$8:$A$107,MATCH($A8,'Leave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8" s="45">
        <f t="array" aca="1" ref="M8" ca="1">Sheet3!$W$2*$F8*(NETWORKDAYS(VLOOKUP(M$1,Sprints[],2,FALSE), VLOOKUP(M$1,Sprints[],3,FALSE))-SUMPRODUCT((OFFSET(INDIRECT(CELL("address",INDEX('Leave Tracker'!$A$8:$A$107,MATCH($A8,'Leave Tracker'!$A$8:$A$107,0)))),0,31*(VLOOKUP(M$1,Sprints[],5,FALSE))+DAY(VLOOKUP(M$1,Sprints[],2,FALSE)),1,VLOOKUP(M$1,Sprints[],4,FALSE))&lt;&gt;"")*(IF(OFFSET(INDIRECT(CELL("address",INDEX('Leave Tracker'!$A$8:$A$107,MATCH($A8,'Leave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8">
        <f t="array" aca="1" ref="N8" ca="1">Sheet3!$W$2*$F8*(NETWORKDAYS(VLOOKUP(N$1,Sprints[],2,FALSE), VLOOKUP(N$1,Sprints[],3,FALSE))-SUMPRODUCT((OFFSET(INDIRECT(CELL("address",INDEX('Leave Tracker'!$A$8:$A$107,MATCH($A8,'Leave Tracker'!$A$8:$A$107,0)))),0,31*(VLOOKUP(N$1,Sprints[],5,FALSE))+DAY(VLOOKUP(N$1,Sprints[],2,FALSE)),1,VLOOKUP(N$1,Sprints[],4,FALSE))&lt;&gt;"")*(IF(OFFSET(INDIRECT(CELL("address",INDEX('Leave Tracker'!$A$8:$A$107,MATCH($A8,'Leave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8">
        <f t="array" aca="1" ref="O8" ca="1">Sheet3!$W$2*$F8*(NETWORKDAYS(VLOOKUP(O$1,Sprints[],2,FALSE), VLOOKUP(O$1,Sprints[],3,FALSE))-SUMPRODUCT((OFFSET(INDIRECT(CELL("address",INDEX('Leave Tracker'!$A$8:$A$107,MATCH($A8,'Leave Tracker'!$A$8:$A$107,0)))),0,31*(VLOOKUP(O$1,Sprints[],5,FALSE))+DAY(VLOOKUP(O$1,Sprints[],2,FALSE)),1,VLOOKUP(O$1,Sprints[],4,FALSE))&lt;&gt;"")*(IF(OFFSET(INDIRECT(CELL("address",INDEX('Leave Tracker'!$A$8:$A$107,MATCH($A8,'Leave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8">
        <f t="array" aca="1" ref="P8" ca="1">Sheet3!$W$2*$F8*(NETWORKDAYS(VLOOKUP(P$1,Sprints[],2,FALSE), VLOOKUP(P$1,Sprints[],3,FALSE))-SUMPRODUCT((OFFSET(INDIRECT(CELL("address",INDEX('Leave Tracker'!$A$8:$A$107,MATCH($A8,'Leave Tracker'!$A$8:$A$107,0)))),0,31*(VLOOKUP(P$1,Sprints[],5,FALSE))+DAY(VLOOKUP(P$1,Sprints[],2,FALSE)),1,VLOOKUP(P$1,Sprints[],4,FALSE))&lt;&gt;"")*(IF(OFFSET(INDIRECT(CELL("address",INDEX('Leave Tracker'!$A$8:$A$107,MATCH($A8,'Leave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8">
        <f t="array" aca="1" ref="Q8" ca="1">Sheet3!$W$2*$F8*(NETWORKDAYS(VLOOKUP(Q$1,Sprints[],2,FALSE), VLOOKUP(Q$1,Sprints[],3,FALSE))-SUMPRODUCT((OFFSET(INDIRECT(CELL("address",INDEX('Leave Tracker'!$A$8:$A$107,MATCH($A8,'Leave Tracker'!$A$8:$A$107,0)))),0,31*(VLOOKUP(Q$1,Sprints[],5,FALSE))+DAY(VLOOKUP(Q$1,Sprints[],2,FALSE)),1,VLOOKUP(Q$1,Sprints[],4,FALSE))&lt;&gt;"")*(IF(OFFSET(INDIRECT(CELL("address",INDEX('Leave Tracker'!$A$8:$A$107,MATCH($A8,'Leave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4.8000000000000007</v>
      </c>
      <c r="R8">
        <f t="array" aca="1" ref="R8" ca="1">Sheet3!$W$2*$F8*(NETWORKDAYS(VLOOKUP(R$1,Sprints[],2,FALSE), VLOOKUP(R$1,Sprints[],3,FALSE))-SUMPRODUCT((OFFSET(INDIRECT(CELL("address",INDEX('Leave Tracker'!$A$8:$A$107,MATCH($A8,'Leave Tracker'!$A$8:$A$107,0)))),0,31*(VLOOKUP(R$1,Sprints[],5,FALSE))+DAY(VLOOKUP(R$1,Sprints[],2,FALSE)),1,VLOOKUP(R$1,Sprints[],4,FALSE))&lt;&gt;"")*(IF(OFFSET(INDIRECT(CELL("address",INDEX('Leave Tracker'!$A$8:$A$107,MATCH($A8,'Leave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3.6000000000000005</v>
      </c>
      <c r="S8" s="31">
        <f t="array" aca="1" ref="S8" ca="1">Sheet3!$W$2*$F8*(NETWORKDAYS(VLOOKUP(S$1,Sprints[],2,FALSE), VLOOKUP(S$1,Sprints[],3,FALSE))-SUMPRODUCT((OFFSET(INDIRECT(CELL("address",INDEX('Leave Tracker'!$A$8:$A$107,MATCH($A8,'Leave Tracker'!$A$8:$A$107,0)))),0,31*(VLOOKUP(S$1,Sprints[],5,FALSE))+DAY(VLOOKUP(S$1,Sprints[],2,FALSE)),1,VLOOKUP(S$1,Sprints[],4,FALSE))&lt;&gt;"")*(IF(OFFSET(INDIRECT(CELL("address",INDEX('Leave Tracker'!$A$8:$A$107,MATCH($A8,'Leave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8" s="31">
        <f t="array" aca="1" ref="T8" ca="1">Sheet3!$W$2*$F8*(NETWORKDAYS(VLOOKUP(T$1,Sprints[],2,FALSE), VLOOKUP(T$1,Sprints[],3,FALSE))-SUMPRODUCT((OFFSET(INDIRECT(CELL("address",INDEX('Leave Tracker'!$A$8:$A$107,MATCH($A8,'Leave Tracker'!$A$8:$A$107,0)))),0,31*(VLOOKUP(T$1,Sprints[],5,FALSE))+DAY(VLOOKUP(T$1,Sprints[],2,FALSE)),1,VLOOKUP(T$1,Sprints[],4,FALSE))&lt;&gt;"")*(IF(OFFSET(INDIRECT(CELL("address",INDEX('Leave Tracker'!$A$8:$A$107,MATCH($A8,'Leave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8" s="78">
        <f t="array" aca="1" ref="U8" ca="1">Sheet3!$W$2*$F8*(NETWORKDAYS(VLOOKUP(U$1,Sprints[],2,FALSE), VLOOKUP(U$1,Sprints[],3,FALSE))-SUMPRODUCT((OFFSET(INDIRECT(CELL("address",INDEX('Leave Tracker'!$A$8:$A$107,MATCH($A8,'Leave Tracker'!$A$8:$A$107,0)))),0,31*(VLOOKUP(U$1,Sprints[],5,FALSE))+DAY(VLOOKUP(U$1,Sprints[],2,FALSE)),1,VLOOKUP(U$1,Sprints[],4,FALSE))&lt;&gt;"")*(IF(OFFSET(INDIRECT(CELL("address",INDEX('Leave Tracker'!$A$8:$A$107,MATCH($A8,'Leave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11.400000000000002</v>
      </c>
    </row>
    <row r="9" spans="1:21" x14ac:dyDescent="0.45">
      <c r="A9" s="66" t="s">
        <v>47</v>
      </c>
      <c r="B9" s="66" t="s">
        <v>112</v>
      </c>
      <c r="C9" s="66" t="s">
        <v>117</v>
      </c>
      <c r="D9" s="66" t="s">
        <v>132</v>
      </c>
      <c r="E9" s="66" t="s">
        <v>125</v>
      </c>
      <c r="F9" s="67">
        <v>0.75</v>
      </c>
      <c r="G9" s="66">
        <f t="array" aca="1" ref="G9" ca="1">Sheet3!$W$2*$F9*(NETWORKDAYS(VLOOKUP(G$1,Sprints[],2,FALSE), VLOOKUP(G$1,Sprints[],3,FALSE))-SUMPRODUCT((OFFSET(INDIRECT(CELL("address",INDEX('Leave Tracker'!$A$8:$A$107,MATCH($A9,'Leave Tracker'!$A$8:$A$107,0)))),0,31*(VLOOKUP(G$1,Sprints[],5,FALSE))+DAY(VLOOKUP(G$1,Sprints[],2,FALSE)),1,VLOOKUP(G$1,Sprints[],4,FALSE))&lt;&gt;"")*(IF(OFFSET(INDIRECT(CELL("address",INDEX('Leave Tracker'!$A$8:$A$107,MATCH($A9,'Leave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9" s="66">
        <f t="array" aca="1" ref="H9" ca="1">Sheet3!$W$2*$F9*(NETWORKDAYS(VLOOKUP(H$1,Sprints[],2,FALSE), VLOOKUP(H$1,Sprints[],3,FALSE))-SUMPRODUCT((OFFSET(INDIRECT(CELL("address",INDEX('Leave Tracker'!$A$8:$A$107,MATCH($A9,'Leave Tracker'!$A$8:$A$107,0)))),0,31*(VLOOKUP(H$1,Sprints[],5,FALSE))+DAY(VLOOKUP(H$1,Sprints[],2,FALSE)),1,VLOOKUP(H$1,Sprints[],4,FALSE))&lt;&gt;"")*(IF(OFFSET(INDIRECT(CELL("address",INDEX('Leave Tracker'!$A$8:$A$107,MATCH($A9,'Leave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9" s="66">
        <f t="array" aca="1" ref="I9" ca="1">Sheet3!$W$2*$F9*(NETWORKDAYS(VLOOKUP(I$1,Sprints[],2,FALSE), VLOOKUP(I$1,Sprints[],3,FALSE))-SUMPRODUCT((OFFSET(INDIRECT(CELL("address",INDEX('Leave Tracker'!$A$8:$A$107,MATCH($A9,'Leave Tracker'!$A$8:$A$107,0)))),0,31*(VLOOKUP(I$1,Sprints[],5,FALSE))+DAY(VLOOKUP(I$1,Sprints[],2,FALSE)),1,VLOOKUP(I$1,Sprints[],4,FALSE))&lt;&gt;"")*(IF(OFFSET(INDIRECT(CELL("address",INDEX('Leave Tracker'!$A$8:$A$107,MATCH($A9,'Leave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9" s="66">
        <f t="array" aca="1" ref="J9" ca="1">Sheet3!$W$2*$F9*(NETWORKDAYS(VLOOKUP(J$1,Sprints[],2,FALSE), VLOOKUP(J$1,Sprints[],3,FALSE))-SUMPRODUCT((OFFSET(INDIRECT(CELL("address",INDEX('Leave Tracker'!$A$8:$A$107,MATCH($A9,'Leave Tracker'!$A$8:$A$107,0)))),0,31*(VLOOKUP(J$1,Sprints[],5,FALSE))+DAY(VLOOKUP(J$1,Sprints[],2,FALSE)),1,VLOOKUP(J$1,Sprints[],4,FALSE))&lt;&gt;"")*(IF(OFFSET(INDIRECT(CELL("address",INDEX('Leave Tracker'!$A$8:$A$107,MATCH($A9,'Leave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9" s="66">
        <f t="array" aca="1" ref="K9" ca="1">Sheet3!$W$2*$F9*(NETWORKDAYS(VLOOKUP(K$1,Sprints[],2,FALSE), VLOOKUP(K$1,Sprints[],3,FALSE))-SUMPRODUCT((OFFSET(INDIRECT(CELL("address",INDEX('Leave Tracker'!$A$8:$A$107,MATCH($A9,'Leave Tracker'!$A$8:$A$107,0)))),0,31*(VLOOKUP(K$1,Sprints[],5,FALSE))+DAY(VLOOKUP(K$1,Sprints[],2,FALSE)),1,VLOOKUP(K$1,Sprints[],4,FALSE))&lt;&gt;"")*(IF(OFFSET(INDIRECT(CELL("address",INDEX('Leave Tracker'!$A$8:$A$107,MATCH($A9,'Leave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9" s="66">
        <f t="array" aca="1" ref="L9" ca="1">Sheet3!$W$2*$F9*(NETWORKDAYS(VLOOKUP(L$1,Sprints[],2,FALSE), VLOOKUP(L$1,Sprints[],3,FALSE))-SUMPRODUCT((OFFSET(INDIRECT(CELL("address",INDEX('Leave Tracker'!$A$8:$A$107,MATCH($A9,'Leave Tracker'!$A$8:$A$107,0)))),0,31*(VLOOKUP(L$1,Sprints[],5,FALSE))+DAY(VLOOKUP(L$1,Sprints[],2,FALSE)),1,VLOOKUP(L$1,Sprints[],4,FALSE))&lt;&gt;"")*(IF(OFFSET(INDIRECT(CELL("address",INDEX('Leave Tracker'!$A$8:$A$107,MATCH($A9,'Leave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9" s="66">
        <f t="array" aca="1" ref="M9" ca="1">Sheet3!$W$2*$F9*(NETWORKDAYS(VLOOKUP(M$1,Sprints[],2,FALSE), VLOOKUP(M$1,Sprints[],3,FALSE))-SUMPRODUCT((OFFSET(INDIRECT(CELL("address",INDEX('Leave Tracker'!$A$8:$A$107,MATCH($A9,'Leave Tracker'!$A$8:$A$107,0)))),0,31*(VLOOKUP(M$1,Sprints[],5,FALSE))+DAY(VLOOKUP(M$1,Sprints[],2,FALSE)),1,VLOOKUP(M$1,Sprints[],4,FALSE))&lt;&gt;"")*(IF(OFFSET(INDIRECT(CELL("address",INDEX('Leave Tracker'!$A$8:$A$107,MATCH($A9,'Leave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9" s="66">
        <f t="array" aca="1" ref="N9" ca="1">Sheet3!$W$2*$F9*(NETWORKDAYS(VLOOKUP(N$1,Sprints[],2,FALSE), VLOOKUP(N$1,Sprints[],3,FALSE))-SUMPRODUCT((OFFSET(INDIRECT(CELL("address",INDEX('Leave Tracker'!$A$8:$A$107,MATCH($A9,'Leave Tracker'!$A$8:$A$107,0)))),0,31*(VLOOKUP(N$1,Sprints[],5,FALSE))+DAY(VLOOKUP(N$1,Sprints[],2,FALSE)),1,VLOOKUP(N$1,Sprints[],4,FALSE))&lt;&gt;"")*(IF(OFFSET(INDIRECT(CELL("address",INDEX('Leave Tracker'!$A$8:$A$107,MATCH($A9,'Leave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9" s="66">
        <f t="array" aca="1" ref="O9" ca="1">Sheet3!$W$2*$F9*(NETWORKDAYS(VLOOKUP(O$1,Sprints[],2,FALSE), VLOOKUP(O$1,Sprints[],3,FALSE))-SUMPRODUCT((OFFSET(INDIRECT(CELL("address",INDEX('Leave Tracker'!$A$8:$A$107,MATCH($A9,'Leave Tracker'!$A$8:$A$107,0)))),0,31*(VLOOKUP(O$1,Sprints[],5,FALSE))+DAY(VLOOKUP(O$1,Sprints[],2,FALSE)),1,VLOOKUP(O$1,Sprints[],4,FALSE))&lt;&gt;"")*(IF(OFFSET(INDIRECT(CELL("address",INDEX('Leave Tracker'!$A$8:$A$107,MATCH($A9,'Leave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9" s="66">
        <f t="array" aca="1" ref="P9" ca="1">Sheet3!$W$2*$F9*(NETWORKDAYS(VLOOKUP(P$1,Sprints[],2,FALSE), VLOOKUP(P$1,Sprints[],3,FALSE))-SUMPRODUCT((OFFSET(INDIRECT(CELL("address",INDEX('Leave Tracker'!$A$8:$A$107,MATCH($A9,'Leave Tracker'!$A$8:$A$107,0)))),0,31*(VLOOKUP(P$1,Sprints[],5,FALSE))+DAY(VLOOKUP(P$1,Sprints[],2,FALSE)),1,VLOOKUP(P$1,Sprints[],4,FALSE))&lt;&gt;"")*(IF(OFFSET(INDIRECT(CELL("address",INDEX('Leave Tracker'!$A$8:$A$107,MATCH($A9,'Leave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9" s="66">
        <f t="array" aca="1" ref="Q9" ca="1">Sheet3!$W$2*$F9*(NETWORKDAYS(VLOOKUP(Q$1,Sprints[],2,FALSE), VLOOKUP(Q$1,Sprints[],3,FALSE))-SUMPRODUCT((OFFSET(INDIRECT(CELL("address",INDEX('Leave Tracker'!$A$8:$A$107,MATCH($A9,'Leave Tracker'!$A$8:$A$107,0)))),0,31*(VLOOKUP(Q$1,Sprints[],5,FALSE))+DAY(VLOOKUP(Q$1,Sprints[],2,FALSE)),1,VLOOKUP(Q$1,Sprints[],4,FALSE))&lt;&gt;"")*(IF(OFFSET(INDIRECT(CELL("address",INDEX('Leave Tracker'!$A$8:$A$107,MATCH($A9,'Leave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9" s="66">
        <f t="array" aca="1" ref="R9" ca="1">Sheet3!$W$2*$F9*(NETWORKDAYS(VLOOKUP(R$1,Sprints[],2,FALSE), VLOOKUP(R$1,Sprints[],3,FALSE))-SUMPRODUCT((OFFSET(INDIRECT(CELL("address",INDEX('Leave Tracker'!$A$8:$A$107,MATCH($A9,'Leave Tracker'!$A$8:$A$107,0)))),0,31*(VLOOKUP(R$1,Sprints[],5,FALSE))+DAY(VLOOKUP(R$1,Sprints[],2,FALSE)),1,VLOOKUP(R$1,Sprints[],4,FALSE))&lt;&gt;"")*(IF(OFFSET(INDIRECT(CELL("address",INDEX('Leave Tracker'!$A$8:$A$107,MATCH($A9,'Leave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9" s="68">
        <f t="array" aca="1" ref="S9" ca="1">Sheet3!$W$2*$F9*(NETWORKDAYS(VLOOKUP(S$1,Sprints[],2,FALSE), VLOOKUP(S$1,Sprints[],3,FALSE))-SUMPRODUCT((OFFSET(INDIRECT(CELL("address",INDEX('Leave Tracker'!$A$8:$A$107,MATCH($A9,'Leave Tracker'!$A$8:$A$107,0)))),0,31*(VLOOKUP(S$1,Sprints[],5,FALSE))+DAY(VLOOKUP(S$1,Sprints[],2,FALSE)),1,VLOOKUP(S$1,Sprints[],4,FALSE))&lt;&gt;"")*(IF(OFFSET(INDIRECT(CELL("address",INDEX('Leave Tracker'!$A$8:$A$107,MATCH($A9,'Leave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9" s="68">
        <f t="array" aca="1" ref="T9" ca="1">Sheet3!$W$2*$F9*(NETWORKDAYS(VLOOKUP(T$1,Sprints[],2,FALSE), VLOOKUP(T$1,Sprints[],3,FALSE))-SUMPRODUCT((OFFSET(INDIRECT(CELL("address",INDEX('Leave Tracker'!$A$8:$A$107,MATCH($A9,'Leave Tracker'!$A$8:$A$107,0)))),0,31*(VLOOKUP(T$1,Sprints[],5,FALSE))+DAY(VLOOKUP(T$1,Sprints[],2,FALSE)),1,VLOOKUP(T$1,Sprints[],4,FALSE))&lt;&gt;"")*(IF(OFFSET(INDIRECT(CELL("address",INDEX('Leave Tracker'!$A$8:$A$107,MATCH($A9,'Leave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9" s="79">
        <f t="array" aca="1" ref="U9" ca="1">Sheet3!$W$2*$F9*(NETWORKDAYS(VLOOKUP(U$1,Sprints[],2,FALSE), VLOOKUP(U$1,Sprints[],3,FALSE))-SUMPRODUCT((OFFSET(INDIRECT(CELL("address",INDEX('Leave Tracker'!$A$8:$A$107,MATCH($A9,'Leave Tracker'!$A$8:$A$107,0)))),0,31*(VLOOKUP(U$1,Sprints[],5,FALSE))+DAY(VLOOKUP(U$1,Sprints[],2,FALSE)),1,VLOOKUP(U$1,Sprints[],4,FALSE))&lt;&gt;"")*(IF(OFFSET(INDIRECT(CELL("address",INDEX('Leave Tracker'!$A$8:$A$107,MATCH($A9,'Leave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10" spans="1:21" x14ac:dyDescent="0.45">
      <c r="A10" t="s">
        <v>67</v>
      </c>
      <c r="B10" s="45" t="s">
        <v>113</v>
      </c>
      <c r="C10" s="45" t="s">
        <v>117</v>
      </c>
      <c r="D10" s="45" t="s">
        <v>121</v>
      </c>
      <c r="E10" s="45" t="s">
        <v>126</v>
      </c>
      <c r="F10" s="47">
        <v>0.2</v>
      </c>
      <c r="G10" s="45">
        <f t="array" aca="1" ref="G10" ca="1">Sheet3!$W$2*$F10*(NETWORKDAYS(VLOOKUP(G$1,Sprints[],2,FALSE), VLOOKUP(G$1,Sprints[],3,FALSE))-SUMPRODUCT((OFFSET(INDIRECT(CELL("address",INDEX('Leave Tracker'!$A$8:$A$107,MATCH($A10,'Leave Tracker'!$A$8:$A$107,0)))),0,31*(VLOOKUP(G$1,Sprints[],5,FALSE))+DAY(VLOOKUP(G$1,Sprints[],2,FALSE)),1,VLOOKUP(G$1,Sprints[],4,FALSE))&lt;&gt;"")*(IF(OFFSET(INDIRECT(CELL("address",INDEX('Leave Tracker'!$A$8:$A$107,MATCH($A10,'Leave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0.80000000000000016</v>
      </c>
      <c r="H10">
        <f t="array" aca="1" ref="H10" ca="1">Sheet3!$W$2*$F10*(NETWORKDAYS(VLOOKUP(H$1,Sprints[],2,FALSE), VLOOKUP(H$1,Sprints[],3,FALSE))-SUMPRODUCT((OFFSET(INDIRECT(CELL("address",INDEX('Leave Tracker'!$A$8:$A$107,MATCH($A10,'Leave Tracker'!$A$8:$A$107,0)))),0,31*(VLOOKUP(H$1,Sprints[],5,FALSE))+DAY(VLOOKUP(H$1,Sprints[],2,FALSE)),1,VLOOKUP(H$1,Sprints[],4,FALSE))&lt;&gt;"")*(IF(OFFSET(INDIRECT(CELL("address",INDEX('Leave Tracker'!$A$8:$A$107,MATCH($A10,'Leave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1.6000000000000003</v>
      </c>
      <c r="I10">
        <f t="array" aca="1" ref="I10" ca="1">Sheet3!$W$2*$F10*(NETWORKDAYS(VLOOKUP(I$1,Sprints[],2,FALSE), VLOOKUP(I$1,Sprints[],3,FALSE))-SUMPRODUCT((OFFSET(INDIRECT(CELL("address",INDEX('Leave Tracker'!$A$8:$A$107,MATCH($A10,'Leave Tracker'!$A$8:$A$107,0)))),0,31*(VLOOKUP(I$1,Sprints[],5,FALSE))+DAY(VLOOKUP(I$1,Sprints[],2,FALSE)),1,VLOOKUP(I$1,Sprints[],4,FALSE))&lt;&gt;"")*(IF(OFFSET(INDIRECT(CELL("address",INDEX('Leave Tracker'!$A$8:$A$107,MATCH($A10,'Leave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1.6000000000000003</v>
      </c>
      <c r="J10">
        <f t="array" aca="1" ref="J10" ca="1">Sheet3!$W$2*$F10*(NETWORKDAYS(VLOOKUP(J$1,Sprints[],2,FALSE), VLOOKUP(J$1,Sprints[],3,FALSE))-SUMPRODUCT((OFFSET(INDIRECT(CELL("address",INDEX('Leave Tracker'!$A$8:$A$107,MATCH($A10,'Leave Tracker'!$A$8:$A$107,0)))),0,31*(VLOOKUP(J$1,Sprints[],5,FALSE))+DAY(VLOOKUP(J$1,Sprints[],2,FALSE)),1,VLOOKUP(J$1,Sprints[],4,FALSE))&lt;&gt;"")*(IF(OFFSET(INDIRECT(CELL("address",INDEX('Leave Tracker'!$A$8:$A$107,MATCH($A10,'Leave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1.2000000000000002</v>
      </c>
      <c r="K10">
        <f t="array" aca="1" ref="K10" ca="1">Sheet3!$W$2*$F10*(NETWORKDAYS(VLOOKUP(K$1,Sprints[],2,FALSE), VLOOKUP(K$1,Sprints[],3,FALSE))-SUMPRODUCT((OFFSET(INDIRECT(CELL("address",INDEX('Leave Tracker'!$A$8:$A$107,MATCH($A10,'Leave Tracker'!$A$8:$A$107,0)))),0,31*(VLOOKUP(K$1,Sprints[],5,FALSE))+DAY(VLOOKUP(K$1,Sprints[],2,FALSE)),1,VLOOKUP(K$1,Sprints[],4,FALSE))&lt;&gt;"")*(IF(OFFSET(INDIRECT(CELL("address",INDEX('Leave Tracker'!$A$8:$A$107,MATCH($A10,'Leave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1.6000000000000003</v>
      </c>
      <c r="L10">
        <f t="array" aca="1" ref="L10" ca="1">Sheet3!$W$2*$F10*(NETWORKDAYS(VLOOKUP(L$1,Sprints[],2,FALSE), VLOOKUP(L$1,Sprints[],3,FALSE))-SUMPRODUCT((OFFSET(INDIRECT(CELL("address",INDEX('Leave Tracker'!$A$8:$A$107,MATCH($A10,'Leave Tracker'!$A$8:$A$107,0)))),0,31*(VLOOKUP(L$1,Sprints[],5,FALSE))+DAY(VLOOKUP(L$1,Sprints[],2,FALSE)),1,VLOOKUP(L$1,Sprints[],4,FALSE))&lt;&gt;"")*(IF(OFFSET(INDIRECT(CELL("address",INDEX('Leave Tracker'!$A$8:$A$107,MATCH($A10,'Leave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1.2800000000000002</v>
      </c>
      <c r="M10" s="45">
        <f t="array" aca="1" ref="M10" ca="1">Sheet3!$W$2*$F10*(NETWORKDAYS(VLOOKUP(M$1,Sprints[],2,FALSE), VLOOKUP(M$1,Sprints[],3,FALSE))-SUMPRODUCT((OFFSET(INDIRECT(CELL("address",INDEX('Leave Tracker'!$A$8:$A$107,MATCH($A10,'Leave Tracker'!$A$8:$A$107,0)))),0,31*(VLOOKUP(M$1,Sprints[],5,FALSE))+DAY(VLOOKUP(M$1,Sprints[],2,FALSE)),1,VLOOKUP(M$1,Sprints[],4,FALSE))&lt;&gt;"")*(IF(OFFSET(INDIRECT(CELL("address",INDEX('Leave Tracker'!$A$8:$A$107,MATCH($A10,'Leave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10">
        <f t="array" aca="1" ref="N10" ca="1">Sheet3!$W$2*$F10*(NETWORKDAYS(VLOOKUP(N$1,Sprints[],2,FALSE), VLOOKUP(N$1,Sprints[],3,FALSE))-SUMPRODUCT((OFFSET(INDIRECT(CELL("address",INDEX('Leave Tracker'!$A$8:$A$107,MATCH($A10,'Leave Tracker'!$A$8:$A$107,0)))),0,31*(VLOOKUP(N$1,Sprints[],5,FALSE))+DAY(VLOOKUP(N$1,Sprints[],2,FALSE)),1,VLOOKUP(N$1,Sprints[],4,FALSE))&lt;&gt;"")*(IF(OFFSET(INDIRECT(CELL("address",INDEX('Leave Tracker'!$A$8:$A$107,MATCH($A10,'Leave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10">
        <f t="array" aca="1" ref="O10" ca="1">Sheet3!$W$2*$F10*(NETWORKDAYS(VLOOKUP(O$1,Sprints[],2,FALSE), VLOOKUP(O$1,Sprints[],3,FALSE))-SUMPRODUCT((OFFSET(INDIRECT(CELL("address",INDEX('Leave Tracker'!$A$8:$A$107,MATCH($A10,'Leave Tracker'!$A$8:$A$107,0)))),0,31*(VLOOKUP(O$1,Sprints[],5,FALSE))+DAY(VLOOKUP(O$1,Sprints[],2,FALSE)),1,VLOOKUP(O$1,Sprints[],4,FALSE))&lt;&gt;"")*(IF(OFFSET(INDIRECT(CELL("address",INDEX('Leave Tracker'!$A$8:$A$107,MATCH($A10,'Leave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0.88000000000000012</v>
      </c>
      <c r="P10" s="45">
        <f t="array" aca="1" ref="P10" ca="1">Sheet3!$W$2*$F10*(NETWORKDAYS(VLOOKUP(P$1,Sprints[],2,FALSE), VLOOKUP(P$1,Sprints[],3,FALSE))-SUMPRODUCT((OFFSET(INDIRECT(CELL("address",INDEX('Leave Tracker'!$A$8:$A$107,MATCH($A10,'Leave Tracker'!$A$8:$A$107,0)))),0,31*(VLOOKUP(P$1,Sprints[],5,FALSE))+DAY(VLOOKUP(P$1,Sprints[],2,FALSE)),1,VLOOKUP(P$1,Sprints[],4,FALSE))&lt;&gt;"")*(IF(OFFSET(INDIRECT(CELL("address",INDEX('Leave Tracker'!$A$8:$A$107,MATCH($A10,'Leave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1.4400000000000004</v>
      </c>
      <c r="Q10">
        <f t="array" aca="1" ref="Q10" ca="1">Sheet3!$W$2*$F10*(NETWORKDAYS(VLOOKUP(Q$1,Sprints[],2,FALSE), VLOOKUP(Q$1,Sprints[],3,FALSE))-SUMPRODUCT((OFFSET(INDIRECT(CELL("address",INDEX('Leave Tracker'!$A$8:$A$107,MATCH($A10,'Leave Tracker'!$A$8:$A$107,0)))),0,31*(VLOOKUP(Q$1,Sprints[],5,FALSE))+DAY(VLOOKUP(Q$1,Sprints[],2,FALSE)),1,VLOOKUP(Q$1,Sprints[],4,FALSE))&lt;&gt;"")*(IF(OFFSET(INDIRECT(CELL("address",INDEX('Leave Tracker'!$A$8:$A$107,MATCH($A10,'Leave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1.6000000000000003</v>
      </c>
      <c r="R10">
        <f t="array" aca="1" ref="R10" ca="1">Sheet3!$W$2*$F10*(NETWORKDAYS(VLOOKUP(R$1,Sprints[],2,FALSE), VLOOKUP(R$1,Sprints[],3,FALSE))-SUMPRODUCT((OFFSET(INDIRECT(CELL("address",INDEX('Leave Tracker'!$A$8:$A$107,MATCH($A10,'Leave Tracker'!$A$8:$A$107,0)))),0,31*(VLOOKUP(R$1,Sprints[],5,FALSE))+DAY(VLOOKUP(R$1,Sprints[],2,FALSE)),1,VLOOKUP(R$1,Sprints[],4,FALSE))&lt;&gt;"")*(IF(OFFSET(INDIRECT(CELL("address",INDEX('Leave Tracker'!$A$8:$A$107,MATCH($A10,'Leave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1.4400000000000004</v>
      </c>
      <c r="S10" s="31">
        <f t="array" aca="1" ref="S10" ca="1">Sheet3!$W$2*$F10*(NETWORKDAYS(VLOOKUP(S$1,Sprints[],2,FALSE), VLOOKUP(S$1,Sprints[],3,FALSE))-SUMPRODUCT((OFFSET(INDIRECT(CELL("address",INDEX('Leave Tracker'!$A$8:$A$107,MATCH($A10,'Leave Tracker'!$A$8:$A$107,0)))),0,31*(VLOOKUP(S$1,Sprints[],5,FALSE))+DAY(VLOOKUP(S$1,Sprints[],2,FALSE)),1,VLOOKUP(S$1,Sprints[],4,FALSE))&lt;&gt;"")*(IF(OFFSET(INDIRECT(CELL("address",INDEX('Leave Tracker'!$A$8:$A$107,MATCH($A10,'Leave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1.6000000000000003</v>
      </c>
      <c r="T10" s="31">
        <f t="array" aca="1" ref="T10" ca="1">Sheet3!$W$2*$F10*(NETWORKDAYS(VLOOKUP(T$1,Sprints[],2,FALSE), VLOOKUP(T$1,Sprints[],3,FALSE))-SUMPRODUCT((OFFSET(INDIRECT(CELL("address",INDEX('Leave Tracker'!$A$8:$A$107,MATCH($A10,'Leave Tracker'!$A$8:$A$107,0)))),0,31*(VLOOKUP(T$1,Sprints[],5,FALSE))+DAY(VLOOKUP(T$1,Sprints[],2,FALSE)),1,VLOOKUP(T$1,Sprints[],4,FALSE))&lt;&gt;"")*(IF(OFFSET(INDIRECT(CELL("address",INDEX('Leave Tracker'!$A$8:$A$107,MATCH($A10,'Leave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0.80000000000000016</v>
      </c>
      <c r="U10" s="78">
        <f t="array" aca="1" ref="U10" ca="1">Sheet3!$W$2*$F10*(NETWORKDAYS(VLOOKUP(U$1,Sprints[],2,FALSE), VLOOKUP(U$1,Sprints[],3,FALSE))-SUMPRODUCT((OFFSET(INDIRECT(CELL("address",INDEX('Leave Tracker'!$A$8:$A$107,MATCH($A10,'Leave Tracker'!$A$8:$A$107,0)))),0,31*(VLOOKUP(U$1,Sprints[],5,FALSE))+DAY(VLOOKUP(U$1,Sprints[],2,FALSE)),1,VLOOKUP(U$1,Sprints[],4,FALSE))&lt;&gt;"")*(IF(OFFSET(INDIRECT(CELL("address",INDEX('Leave Tracker'!$A$8:$A$107,MATCH($A10,'Leave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3.0400000000000005</v>
      </c>
    </row>
    <row r="11" spans="1:21" x14ac:dyDescent="0.45">
      <c r="A11" s="66" t="s">
        <v>68</v>
      </c>
      <c r="B11" s="66" t="s">
        <v>113</v>
      </c>
      <c r="C11" s="66" t="s">
        <v>117</v>
      </c>
      <c r="D11" s="66" t="s">
        <v>133</v>
      </c>
      <c r="E11" s="66" t="s">
        <v>127</v>
      </c>
      <c r="F11" s="67">
        <v>0.75</v>
      </c>
      <c r="G11" s="66">
        <f t="array" aca="1" ref="G11" ca="1">Sheet3!$W$2*$F11*(NETWORKDAYS(VLOOKUP(G$1,Sprints[],2,FALSE), VLOOKUP(G$1,Sprints[],3,FALSE))-SUMPRODUCT((OFFSET(INDIRECT(CELL("address",INDEX('Leave Tracker'!$A$8:$A$107,MATCH($A11,'Leave Tracker'!$A$8:$A$107,0)))),0,31*(VLOOKUP(G$1,Sprints[],5,FALSE))+DAY(VLOOKUP(G$1,Sprints[],2,FALSE)),1,VLOOKUP(G$1,Sprints[],4,FALSE))&lt;&gt;"")*(IF(OFFSET(INDIRECT(CELL("address",INDEX('Leave Tracker'!$A$8:$A$107,MATCH($A11,'Leave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11" s="66">
        <f t="array" aca="1" ref="H11" ca="1">Sheet3!$W$2*$F11*(NETWORKDAYS(VLOOKUP(H$1,Sprints[],2,FALSE), VLOOKUP(H$1,Sprints[],3,FALSE))-SUMPRODUCT((OFFSET(INDIRECT(CELL("address",INDEX('Leave Tracker'!$A$8:$A$107,MATCH($A11,'Leave Tracker'!$A$8:$A$107,0)))),0,31*(VLOOKUP(H$1,Sprints[],5,FALSE))+DAY(VLOOKUP(H$1,Sprints[],2,FALSE)),1,VLOOKUP(H$1,Sprints[],4,FALSE))&lt;&gt;"")*(IF(OFFSET(INDIRECT(CELL("address",INDEX('Leave Tracker'!$A$8:$A$107,MATCH($A11,'Leave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11" s="66">
        <f t="array" aca="1" ref="I11" ca="1">Sheet3!$W$2*$F11*(NETWORKDAYS(VLOOKUP(I$1,Sprints[],2,FALSE), VLOOKUP(I$1,Sprints[],3,FALSE))-SUMPRODUCT((OFFSET(INDIRECT(CELL("address",INDEX('Leave Tracker'!$A$8:$A$107,MATCH($A11,'Leave Tracker'!$A$8:$A$107,0)))),0,31*(VLOOKUP(I$1,Sprints[],5,FALSE))+DAY(VLOOKUP(I$1,Sprints[],2,FALSE)),1,VLOOKUP(I$1,Sprints[],4,FALSE))&lt;&gt;"")*(IF(OFFSET(INDIRECT(CELL("address",INDEX('Leave Tracker'!$A$8:$A$107,MATCH($A11,'Leave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11" s="66">
        <f t="array" aca="1" ref="J11" ca="1">Sheet3!$W$2*$F11*(NETWORKDAYS(VLOOKUP(J$1,Sprints[],2,FALSE), VLOOKUP(J$1,Sprints[],3,FALSE))-SUMPRODUCT((OFFSET(INDIRECT(CELL("address",INDEX('Leave Tracker'!$A$8:$A$107,MATCH($A11,'Leave Tracker'!$A$8:$A$107,0)))),0,31*(VLOOKUP(J$1,Sprints[],5,FALSE))+DAY(VLOOKUP(J$1,Sprints[],2,FALSE)),1,VLOOKUP(J$1,Sprints[],4,FALSE))&lt;&gt;"")*(IF(OFFSET(INDIRECT(CELL("address",INDEX('Leave Tracker'!$A$8:$A$107,MATCH($A11,'Leave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0.30000000000000004</v>
      </c>
      <c r="K11" s="66">
        <f t="array" aca="1" ref="K11" ca="1">Sheet3!$W$2*$F11*(NETWORKDAYS(VLOOKUP(K$1,Sprints[],2,FALSE), VLOOKUP(K$1,Sprints[],3,FALSE))-SUMPRODUCT((OFFSET(INDIRECT(CELL("address",INDEX('Leave Tracker'!$A$8:$A$107,MATCH($A11,'Leave Tracker'!$A$8:$A$107,0)))),0,31*(VLOOKUP(K$1,Sprints[],5,FALSE))+DAY(VLOOKUP(K$1,Sprints[],2,FALSE)),1,VLOOKUP(K$1,Sprints[],4,FALSE))&lt;&gt;"")*(IF(OFFSET(INDIRECT(CELL("address",INDEX('Leave Tracker'!$A$8:$A$107,MATCH($A11,'Leave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11" s="66">
        <f t="array" aca="1" ref="L11" ca="1">Sheet3!$W$2*$F11*(NETWORKDAYS(VLOOKUP(L$1,Sprints[],2,FALSE), VLOOKUP(L$1,Sprints[],3,FALSE))-SUMPRODUCT((OFFSET(INDIRECT(CELL("address",INDEX('Leave Tracker'!$A$8:$A$107,MATCH($A11,'Leave Tracker'!$A$8:$A$107,0)))),0,31*(VLOOKUP(L$1,Sprints[],5,FALSE))+DAY(VLOOKUP(L$1,Sprints[],2,FALSE)),1,VLOOKUP(L$1,Sprints[],4,FALSE))&lt;&gt;"")*(IF(OFFSET(INDIRECT(CELL("address",INDEX('Leave Tracker'!$A$8:$A$107,MATCH($A11,'Leave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11" s="66">
        <f t="array" aca="1" ref="M11" ca="1">Sheet3!$W$2*$F11*(NETWORKDAYS(VLOOKUP(M$1,Sprints[],2,FALSE), VLOOKUP(M$1,Sprints[],3,FALSE))-SUMPRODUCT((OFFSET(INDIRECT(CELL("address",INDEX('Leave Tracker'!$A$8:$A$107,MATCH($A11,'Leave Tracker'!$A$8:$A$107,0)))),0,31*(VLOOKUP(M$1,Sprints[],5,FALSE))+DAY(VLOOKUP(M$1,Sprints[],2,FALSE)),1,VLOOKUP(M$1,Sprints[],4,FALSE))&lt;&gt;"")*(IF(OFFSET(INDIRECT(CELL("address",INDEX('Leave Tracker'!$A$8:$A$107,MATCH($A11,'Leave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11" s="66">
        <f t="array" aca="1" ref="N11" ca="1">Sheet3!$W$2*$F11*(NETWORKDAYS(VLOOKUP(N$1,Sprints[],2,FALSE), VLOOKUP(N$1,Sprints[],3,FALSE))-SUMPRODUCT((OFFSET(INDIRECT(CELL("address",INDEX('Leave Tracker'!$A$8:$A$107,MATCH($A11,'Leave Tracker'!$A$8:$A$107,0)))),0,31*(VLOOKUP(N$1,Sprints[],5,FALSE))+DAY(VLOOKUP(N$1,Sprints[],2,FALSE)),1,VLOOKUP(N$1,Sprints[],4,FALSE))&lt;&gt;"")*(IF(OFFSET(INDIRECT(CELL("address",INDEX('Leave Tracker'!$A$8:$A$107,MATCH($A11,'Leave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11" s="66">
        <f t="array" aca="1" ref="O11" ca="1">Sheet3!$W$2*$F11*(NETWORKDAYS(VLOOKUP(O$1,Sprints[],2,FALSE), VLOOKUP(O$1,Sprints[],3,FALSE))-SUMPRODUCT((OFFSET(INDIRECT(CELL("address",INDEX('Leave Tracker'!$A$8:$A$107,MATCH($A11,'Leave Tracker'!$A$8:$A$107,0)))),0,31*(VLOOKUP(O$1,Sprints[],5,FALSE))+DAY(VLOOKUP(O$1,Sprints[],2,FALSE)),1,VLOOKUP(O$1,Sprints[],4,FALSE))&lt;&gt;"")*(IF(OFFSET(INDIRECT(CELL("address",INDEX('Leave Tracker'!$A$8:$A$107,MATCH($A11,'Leave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11" s="66">
        <f t="array" aca="1" ref="P11" ca="1">Sheet3!$W$2*$F11*(NETWORKDAYS(VLOOKUP(P$1,Sprints[],2,FALSE), VLOOKUP(P$1,Sprints[],3,FALSE))-SUMPRODUCT((OFFSET(INDIRECT(CELL("address",INDEX('Leave Tracker'!$A$8:$A$107,MATCH($A11,'Leave Tracker'!$A$8:$A$107,0)))),0,31*(VLOOKUP(P$1,Sprints[],5,FALSE))+DAY(VLOOKUP(P$1,Sprints[],2,FALSE)),1,VLOOKUP(P$1,Sprints[],4,FALSE))&lt;&gt;"")*(IF(OFFSET(INDIRECT(CELL("address",INDEX('Leave Tracker'!$A$8:$A$107,MATCH($A11,'Leave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11" s="66">
        <f t="array" aca="1" ref="Q11" ca="1">Sheet3!$W$2*$F11*(NETWORKDAYS(VLOOKUP(Q$1,Sprints[],2,FALSE), VLOOKUP(Q$1,Sprints[],3,FALSE))-SUMPRODUCT((OFFSET(INDIRECT(CELL("address",INDEX('Leave Tracker'!$A$8:$A$107,MATCH($A11,'Leave Tracker'!$A$8:$A$107,0)))),0,31*(VLOOKUP(Q$1,Sprints[],5,FALSE))+DAY(VLOOKUP(Q$1,Sprints[],2,FALSE)),1,VLOOKUP(Q$1,Sprints[],4,FALSE))&lt;&gt;"")*(IF(OFFSET(INDIRECT(CELL("address",INDEX('Leave Tracker'!$A$8:$A$107,MATCH($A11,'Leave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11" s="66">
        <f t="array" aca="1" ref="R11" ca="1">Sheet3!$W$2*$F11*(NETWORKDAYS(VLOOKUP(R$1,Sprints[],2,FALSE), VLOOKUP(R$1,Sprints[],3,FALSE))-SUMPRODUCT((OFFSET(INDIRECT(CELL("address",INDEX('Leave Tracker'!$A$8:$A$107,MATCH($A11,'Leave Tracker'!$A$8:$A$107,0)))),0,31*(VLOOKUP(R$1,Sprints[],5,FALSE))+DAY(VLOOKUP(R$1,Sprints[],2,FALSE)),1,VLOOKUP(R$1,Sprints[],4,FALSE))&lt;&gt;"")*(IF(OFFSET(INDIRECT(CELL("address",INDEX('Leave Tracker'!$A$8:$A$107,MATCH($A11,'Leave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11" s="68">
        <f t="array" aca="1" ref="S11" ca="1">Sheet3!$W$2*$F11*(NETWORKDAYS(VLOOKUP(S$1,Sprints[],2,FALSE), VLOOKUP(S$1,Sprints[],3,FALSE))-SUMPRODUCT((OFFSET(INDIRECT(CELL("address",INDEX('Leave Tracker'!$A$8:$A$107,MATCH($A11,'Leave Tracker'!$A$8:$A$107,0)))),0,31*(VLOOKUP(S$1,Sprints[],5,FALSE))+DAY(VLOOKUP(S$1,Sprints[],2,FALSE)),1,VLOOKUP(S$1,Sprints[],4,FALSE))&lt;&gt;"")*(IF(OFFSET(INDIRECT(CELL("address",INDEX('Leave Tracker'!$A$8:$A$107,MATCH($A11,'Leave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11" s="68">
        <f t="array" aca="1" ref="T11" ca="1">Sheet3!$W$2*$F11*(NETWORKDAYS(VLOOKUP(T$1,Sprints[],2,FALSE), VLOOKUP(T$1,Sprints[],3,FALSE))-SUMPRODUCT((OFFSET(INDIRECT(CELL("address",INDEX('Leave Tracker'!$A$8:$A$107,MATCH($A11,'Leave Tracker'!$A$8:$A$107,0)))),0,31*(VLOOKUP(T$1,Sprints[],5,FALSE))+DAY(VLOOKUP(T$1,Sprints[],2,FALSE)),1,VLOOKUP(T$1,Sprints[],4,FALSE))&lt;&gt;"")*(IF(OFFSET(INDIRECT(CELL("address",INDEX('Leave Tracker'!$A$8:$A$107,MATCH($A11,'Leave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11" s="79">
        <f t="array" aca="1" ref="U11" ca="1">Sheet3!$W$2*$F11*(NETWORKDAYS(VLOOKUP(U$1,Sprints[],2,FALSE), VLOOKUP(U$1,Sprints[],3,FALSE))-SUMPRODUCT((OFFSET(INDIRECT(CELL("address",INDEX('Leave Tracker'!$A$8:$A$107,MATCH($A11,'Leave Tracker'!$A$8:$A$107,0)))),0,31*(VLOOKUP(U$1,Sprints[],5,FALSE))+DAY(VLOOKUP(U$1,Sprints[],2,FALSE)),1,VLOOKUP(U$1,Sprints[],4,FALSE))&lt;&gt;"")*(IF(OFFSET(INDIRECT(CELL("address",INDEX('Leave Tracker'!$A$8:$A$107,MATCH($A11,'Leave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12" spans="1:21" x14ac:dyDescent="0.45">
      <c r="A12" t="s">
        <v>69</v>
      </c>
      <c r="B12" s="45" t="s">
        <v>113</v>
      </c>
      <c r="C12" s="45" t="s">
        <v>117</v>
      </c>
      <c r="D12" s="45" t="s">
        <v>132</v>
      </c>
      <c r="E12" s="45" t="s">
        <v>126</v>
      </c>
      <c r="F12" s="47">
        <v>0.75</v>
      </c>
      <c r="G12" s="45">
        <f t="array" aca="1" ref="G12" ca="1">Sheet3!$W$2*$F12*(NETWORKDAYS(VLOOKUP(G$1,Sprints[],2,FALSE), VLOOKUP(G$1,Sprints[],3,FALSE))-SUMPRODUCT((OFFSET(INDIRECT(CELL("address",INDEX('Leave Tracker'!$A$8:$A$107,MATCH($A12,'Leave Tracker'!$A$8:$A$107,0)))),0,31*(VLOOKUP(G$1,Sprints[],5,FALSE))+DAY(VLOOKUP(G$1,Sprints[],2,FALSE)),1,VLOOKUP(G$1,Sprints[],4,FALSE))&lt;&gt;"")*(IF(OFFSET(INDIRECT(CELL("address",INDEX('Leave Tracker'!$A$8:$A$107,MATCH($A12,'Leave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2">
        <f t="array" aca="1" ref="H12" ca="1">Sheet3!$W$2*$F12*(NETWORKDAYS(VLOOKUP(H$1,Sprints[],2,FALSE), VLOOKUP(H$1,Sprints[],3,FALSE))-SUMPRODUCT((OFFSET(INDIRECT(CELL("address",INDEX('Leave Tracker'!$A$8:$A$107,MATCH($A12,'Leave Tracker'!$A$8:$A$107,0)))),0,31*(VLOOKUP(H$1,Sprints[],5,FALSE))+DAY(VLOOKUP(H$1,Sprints[],2,FALSE)),1,VLOOKUP(H$1,Sprints[],4,FALSE))&lt;&gt;"")*(IF(OFFSET(INDIRECT(CELL("address",INDEX('Leave Tracker'!$A$8:$A$107,MATCH($A12,'Leave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12">
        <f t="array" aca="1" ref="I12" ca="1">Sheet3!$W$2*$F12*(NETWORKDAYS(VLOOKUP(I$1,Sprints[],2,FALSE), VLOOKUP(I$1,Sprints[],3,FALSE))-SUMPRODUCT((OFFSET(INDIRECT(CELL("address",INDEX('Leave Tracker'!$A$8:$A$107,MATCH($A12,'Leave Tracker'!$A$8:$A$107,0)))),0,31*(VLOOKUP(I$1,Sprints[],5,FALSE))+DAY(VLOOKUP(I$1,Sprints[],2,FALSE)),1,VLOOKUP(I$1,Sprints[],4,FALSE))&lt;&gt;"")*(IF(OFFSET(INDIRECT(CELL("address",INDEX('Leave Tracker'!$A$8:$A$107,MATCH($A12,'Leave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2">
        <f t="array" aca="1" ref="J12" ca="1">Sheet3!$W$2*$F12*(NETWORKDAYS(VLOOKUP(J$1,Sprints[],2,FALSE), VLOOKUP(J$1,Sprints[],3,FALSE))-SUMPRODUCT((OFFSET(INDIRECT(CELL("address",INDEX('Leave Tracker'!$A$8:$A$107,MATCH($A12,'Leave Tracker'!$A$8:$A$107,0)))),0,31*(VLOOKUP(J$1,Sprints[],5,FALSE))+DAY(VLOOKUP(J$1,Sprints[],2,FALSE)),1,VLOOKUP(J$1,Sprints[],4,FALSE))&lt;&gt;"")*(IF(OFFSET(INDIRECT(CELL("address",INDEX('Leave Tracker'!$A$8:$A$107,MATCH($A12,'Leave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2">
        <f t="array" aca="1" ref="K12" ca="1">Sheet3!$W$2*$F12*(NETWORKDAYS(VLOOKUP(K$1,Sprints[],2,FALSE), VLOOKUP(K$1,Sprints[],3,FALSE))-SUMPRODUCT((OFFSET(INDIRECT(CELL("address",INDEX('Leave Tracker'!$A$8:$A$107,MATCH($A12,'Leave Tracker'!$A$8:$A$107,0)))),0,31*(VLOOKUP(K$1,Sprints[],5,FALSE))+DAY(VLOOKUP(K$1,Sprints[],2,FALSE)),1,VLOOKUP(K$1,Sprints[],4,FALSE))&lt;&gt;"")*(IF(OFFSET(INDIRECT(CELL("address",INDEX('Leave Tracker'!$A$8:$A$107,MATCH($A12,'Leave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3.0000000000000004</v>
      </c>
      <c r="L12">
        <f t="array" aca="1" ref="L12" ca="1">Sheet3!$W$2*$F12*(NETWORKDAYS(VLOOKUP(L$1,Sprints[],2,FALSE), VLOOKUP(L$1,Sprints[],3,FALSE))-SUMPRODUCT((OFFSET(INDIRECT(CELL("address",INDEX('Leave Tracker'!$A$8:$A$107,MATCH($A12,'Leave Tracker'!$A$8:$A$107,0)))),0,31*(VLOOKUP(L$1,Sprints[],5,FALSE))+DAY(VLOOKUP(L$1,Sprints[],2,FALSE)),1,VLOOKUP(L$1,Sprints[],4,FALSE))&lt;&gt;"")*(IF(OFFSET(INDIRECT(CELL("address",INDEX('Leave Tracker'!$A$8:$A$107,MATCH($A12,'Leave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3.0000000000000004</v>
      </c>
      <c r="M12" s="45">
        <f t="array" aca="1" ref="M12" ca="1">Sheet3!$W$2*$F12*(NETWORKDAYS(VLOOKUP(M$1,Sprints[],2,FALSE), VLOOKUP(M$1,Sprints[],3,FALSE))-SUMPRODUCT((OFFSET(INDIRECT(CELL("address",INDEX('Leave Tracker'!$A$8:$A$107,MATCH($A12,'Leave Tracker'!$A$8:$A$107,0)))),0,31*(VLOOKUP(M$1,Sprints[],5,FALSE))+DAY(VLOOKUP(M$1,Sprints[],2,FALSE)),1,VLOOKUP(M$1,Sprints[],4,FALSE))&lt;&gt;"")*(IF(OFFSET(INDIRECT(CELL("address",INDEX('Leave Tracker'!$A$8:$A$107,MATCH($A12,'Leave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2">
        <f t="array" aca="1" ref="N12" ca="1">Sheet3!$W$2*$F12*(NETWORKDAYS(VLOOKUP(N$1,Sprints[],2,FALSE), VLOOKUP(N$1,Sprints[],3,FALSE))-SUMPRODUCT((OFFSET(INDIRECT(CELL("address",INDEX('Leave Tracker'!$A$8:$A$107,MATCH($A12,'Leave Tracker'!$A$8:$A$107,0)))),0,31*(VLOOKUP(N$1,Sprints[],5,FALSE))+DAY(VLOOKUP(N$1,Sprints[],2,FALSE)),1,VLOOKUP(N$1,Sprints[],4,FALSE))&lt;&gt;"")*(IF(OFFSET(INDIRECT(CELL("address",INDEX('Leave Tracker'!$A$8:$A$107,MATCH($A12,'Leave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2">
        <f t="array" aca="1" ref="O12" ca="1">Sheet3!$W$2*$F12*(NETWORKDAYS(VLOOKUP(O$1,Sprints[],2,FALSE), VLOOKUP(O$1,Sprints[],3,FALSE))-SUMPRODUCT((OFFSET(INDIRECT(CELL("address",INDEX('Leave Tracker'!$A$8:$A$107,MATCH($A12,'Leave Tracker'!$A$8:$A$107,0)))),0,31*(VLOOKUP(O$1,Sprints[],5,FALSE))+DAY(VLOOKUP(O$1,Sprints[],2,FALSE)),1,VLOOKUP(O$1,Sprints[],4,FALSE))&lt;&gt;"")*(IF(OFFSET(INDIRECT(CELL("address",INDEX('Leave Tracker'!$A$8:$A$107,MATCH($A12,'Leave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2">
        <f t="array" aca="1" ref="P12" ca="1">Sheet3!$W$2*$F12*(NETWORKDAYS(VLOOKUP(P$1,Sprints[],2,FALSE), VLOOKUP(P$1,Sprints[],3,FALSE))-SUMPRODUCT((OFFSET(INDIRECT(CELL("address",INDEX('Leave Tracker'!$A$8:$A$107,MATCH($A12,'Leave Tracker'!$A$8:$A$107,0)))),0,31*(VLOOKUP(P$1,Sprints[],5,FALSE))+DAY(VLOOKUP(P$1,Sprints[],2,FALSE)),1,VLOOKUP(P$1,Sprints[],4,FALSE))&lt;&gt;"")*(IF(OFFSET(INDIRECT(CELL("address",INDEX('Leave Tracker'!$A$8:$A$107,MATCH($A12,'Leave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4.2000000000000011</v>
      </c>
      <c r="Q12">
        <f t="array" aca="1" ref="Q12" ca="1">Sheet3!$W$2*$F12*(NETWORKDAYS(VLOOKUP(Q$1,Sprints[],2,FALSE), VLOOKUP(Q$1,Sprints[],3,FALSE))-SUMPRODUCT((OFFSET(INDIRECT(CELL("address",INDEX('Leave Tracker'!$A$8:$A$107,MATCH($A12,'Leave Tracker'!$A$8:$A$107,0)))),0,31*(VLOOKUP(Q$1,Sprints[],5,FALSE))+DAY(VLOOKUP(Q$1,Sprints[],2,FALSE)),1,VLOOKUP(Q$1,Sprints[],4,FALSE))&lt;&gt;"")*(IF(OFFSET(INDIRECT(CELL("address",INDEX('Leave Tracker'!$A$8:$A$107,MATCH($A12,'Leave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2">
        <f t="array" aca="1" ref="R12" ca="1">Sheet3!$W$2*$F12*(NETWORKDAYS(VLOOKUP(R$1,Sprints[],2,FALSE), VLOOKUP(R$1,Sprints[],3,FALSE))-SUMPRODUCT((OFFSET(INDIRECT(CELL("address",INDEX('Leave Tracker'!$A$8:$A$107,MATCH($A12,'Leave Tracker'!$A$8:$A$107,0)))),0,31*(VLOOKUP(R$1,Sprints[],5,FALSE))+DAY(VLOOKUP(R$1,Sprints[],2,FALSE)),1,VLOOKUP(R$1,Sprints[],4,FALSE))&lt;&gt;"")*(IF(OFFSET(INDIRECT(CELL("address",INDEX('Leave Tracker'!$A$8:$A$107,MATCH($A12,'Leave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2" s="31">
        <f t="array" aca="1" ref="S12" ca="1">Sheet3!$W$2*$F12*(NETWORKDAYS(VLOOKUP(S$1,Sprints[],2,FALSE), VLOOKUP(S$1,Sprints[],3,FALSE))-SUMPRODUCT((OFFSET(INDIRECT(CELL("address",INDEX('Leave Tracker'!$A$8:$A$107,MATCH($A12,'Leave Tracker'!$A$8:$A$107,0)))),0,31*(VLOOKUP(S$1,Sprints[],5,FALSE))+DAY(VLOOKUP(S$1,Sprints[],2,FALSE)),1,VLOOKUP(S$1,Sprints[],4,FALSE))&lt;&gt;"")*(IF(OFFSET(INDIRECT(CELL("address",INDEX('Leave Tracker'!$A$8:$A$107,MATCH($A12,'Leave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2" s="31">
        <f t="array" aca="1" ref="T12" ca="1">Sheet3!$W$2*$F12*(NETWORKDAYS(VLOOKUP(T$1,Sprints[],2,FALSE), VLOOKUP(T$1,Sprints[],3,FALSE))-SUMPRODUCT((OFFSET(INDIRECT(CELL("address",INDEX('Leave Tracker'!$A$8:$A$107,MATCH($A12,'Leave Tracker'!$A$8:$A$107,0)))),0,31*(VLOOKUP(T$1,Sprints[],5,FALSE))+DAY(VLOOKUP(T$1,Sprints[],2,FALSE)),1,VLOOKUP(T$1,Sprints[],4,FALSE))&lt;&gt;"")*(IF(OFFSET(INDIRECT(CELL("address",INDEX('Leave Tracker'!$A$8:$A$107,MATCH($A12,'Leave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2" s="78">
        <f t="array" aca="1" ref="U12" ca="1">Sheet3!$W$2*$F12*(NETWORKDAYS(VLOOKUP(U$1,Sprints[],2,FALSE), VLOOKUP(U$1,Sprints[],3,FALSE))-SUMPRODUCT((OFFSET(INDIRECT(CELL("address",INDEX('Leave Tracker'!$A$8:$A$107,MATCH($A12,'Leave Tracker'!$A$8:$A$107,0)))),0,31*(VLOOKUP(U$1,Sprints[],5,FALSE))+DAY(VLOOKUP(U$1,Sprints[],2,FALSE)),1,VLOOKUP(U$1,Sprints[],4,FALSE))&lt;&gt;"")*(IF(OFFSET(INDIRECT(CELL("address",INDEX('Leave Tracker'!$A$8:$A$107,MATCH($A12,'Leave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11.400000000000002</v>
      </c>
    </row>
    <row r="13" spans="1:21" x14ac:dyDescent="0.45">
      <c r="A13" t="s">
        <v>70</v>
      </c>
      <c r="B13" s="45" t="s">
        <v>113</v>
      </c>
      <c r="C13" s="45" t="s">
        <v>117</v>
      </c>
      <c r="D13" s="45" t="s">
        <v>132</v>
      </c>
      <c r="E13" s="45" t="s">
        <v>126</v>
      </c>
      <c r="F13" s="47">
        <v>0.75</v>
      </c>
      <c r="G13" s="45">
        <f t="array" aca="1" ref="G13" ca="1">Sheet3!$W$2*$F13*(NETWORKDAYS(VLOOKUP(G$1,Sprints[],2,FALSE), VLOOKUP(G$1,Sprints[],3,FALSE))-SUMPRODUCT((OFFSET(INDIRECT(CELL("address",INDEX('Leave Tracker'!$A$8:$A$107,MATCH($A13,'Leave Tracker'!$A$8:$A$107,0)))),0,31*(VLOOKUP(G$1,Sprints[],5,FALSE))+DAY(VLOOKUP(G$1,Sprints[],2,FALSE)),1,VLOOKUP(G$1,Sprints[],4,FALSE))&lt;&gt;"")*(IF(OFFSET(INDIRECT(CELL("address",INDEX('Leave Tracker'!$A$8:$A$107,MATCH($A13,'Leave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3">
        <f t="array" aca="1" ref="H13" ca="1">Sheet3!$W$2*$F13*(NETWORKDAYS(VLOOKUP(H$1,Sprints[],2,FALSE), VLOOKUP(H$1,Sprints[],3,FALSE))-SUMPRODUCT((OFFSET(INDIRECT(CELL("address",INDEX('Leave Tracker'!$A$8:$A$107,MATCH($A13,'Leave Tracker'!$A$8:$A$107,0)))),0,31*(VLOOKUP(H$1,Sprints[],5,FALSE))+DAY(VLOOKUP(H$1,Sprints[],2,FALSE)),1,VLOOKUP(H$1,Sprints[],4,FALSE))&lt;&gt;"")*(IF(OFFSET(INDIRECT(CELL("address",INDEX('Leave Tracker'!$A$8:$A$107,MATCH($A13,'Leave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13">
        <f t="array" aca="1" ref="I13" ca="1">Sheet3!$W$2*$F13*(NETWORKDAYS(VLOOKUP(I$1,Sprints[],2,FALSE), VLOOKUP(I$1,Sprints[],3,FALSE))-SUMPRODUCT((OFFSET(INDIRECT(CELL("address",INDEX('Leave Tracker'!$A$8:$A$107,MATCH($A13,'Leave Tracker'!$A$8:$A$107,0)))),0,31*(VLOOKUP(I$1,Sprints[],5,FALSE))+DAY(VLOOKUP(I$1,Sprints[],2,FALSE)),1,VLOOKUP(I$1,Sprints[],4,FALSE))&lt;&gt;"")*(IF(OFFSET(INDIRECT(CELL("address",INDEX('Leave Tracker'!$A$8:$A$107,MATCH($A13,'Leave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3">
        <f t="array" aca="1" ref="J13" ca="1">Sheet3!$W$2*$F13*(NETWORKDAYS(VLOOKUP(J$1,Sprints[],2,FALSE), VLOOKUP(J$1,Sprints[],3,FALSE))-SUMPRODUCT((OFFSET(INDIRECT(CELL("address",INDEX('Leave Tracker'!$A$8:$A$107,MATCH($A13,'Leave Tracker'!$A$8:$A$107,0)))),0,31*(VLOOKUP(J$1,Sprints[],5,FALSE))+DAY(VLOOKUP(J$1,Sprints[],2,FALSE)),1,VLOOKUP(J$1,Sprints[],4,FALSE))&lt;&gt;"")*(IF(OFFSET(INDIRECT(CELL("address",INDEX('Leave Tracker'!$A$8:$A$107,MATCH($A13,'Leave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3">
        <f t="array" aca="1" ref="K13" ca="1">Sheet3!$W$2*$F13*(NETWORKDAYS(VLOOKUP(K$1,Sprints[],2,FALSE), VLOOKUP(K$1,Sprints[],3,FALSE))-SUMPRODUCT((OFFSET(INDIRECT(CELL("address",INDEX('Leave Tracker'!$A$8:$A$107,MATCH($A13,'Leave Tracker'!$A$8:$A$107,0)))),0,31*(VLOOKUP(K$1,Sprints[],5,FALSE))+DAY(VLOOKUP(K$1,Sprints[],2,FALSE)),1,VLOOKUP(K$1,Sprints[],4,FALSE))&lt;&gt;"")*(IF(OFFSET(INDIRECT(CELL("address",INDEX('Leave Tracker'!$A$8:$A$107,MATCH($A13,'Leave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5.4</v>
      </c>
      <c r="L13">
        <f t="array" aca="1" ref="L13" ca="1">Sheet3!$W$2*$F13*(NETWORKDAYS(VLOOKUP(L$1,Sprints[],2,FALSE), VLOOKUP(L$1,Sprints[],3,FALSE))-SUMPRODUCT((OFFSET(INDIRECT(CELL("address",INDEX('Leave Tracker'!$A$8:$A$107,MATCH($A13,'Leave Tracker'!$A$8:$A$107,0)))),0,31*(VLOOKUP(L$1,Sprints[],5,FALSE))+DAY(VLOOKUP(L$1,Sprints[],2,FALSE)),1,VLOOKUP(L$1,Sprints[],4,FALSE))&lt;&gt;"")*(IF(OFFSET(INDIRECT(CELL("address",INDEX('Leave Tracker'!$A$8:$A$107,MATCH($A13,'Leave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13" s="45">
        <f t="array" aca="1" ref="M13" ca="1">Sheet3!$W$2*$F13*(NETWORKDAYS(VLOOKUP(M$1,Sprints[],2,FALSE), VLOOKUP(M$1,Sprints[],3,FALSE))-SUMPRODUCT((OFFSET(INDIRECT(CELL("address",INDEX('Leave Tracker'!$A$8:$A$107,MATCH($A13,'Leave Tracker'!$A$8:$A$107,0)))),0,31*(VLOOKUP(M$1,Sprints[],5,FALSE))+DAY(VLOOKUP(M$1,Sprints[],2,FALSE)),1,VLOOKUP(M$1,Sprints[],4,FALSE))&lt;&gt;"")*(IF(OFFSET(INDIRECT(CELL("address",INDEX('Leave Tracker'!$A$8:$A$107,MATCH($A13,'Leave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4.8000000000000007</v>
      </c>
      <c r="N13">
        <f t="array" aca="1" ref="N13" ca="1">Sheet3!$W$2*$F13*(NETWORKDAYS(VLOOKUP(N$1,Sprints[],2,FALSE), VLOOKUP(N$1,Sprints[],3,FALSE))-SUMPRODUCT((OFFSET(INDIRECT(CELL("address",INDEX('Leave Tracker'!$A$8:$A$107,MATCH($A13,'Leave Tracker'!$A$8:$A$107,0)))),0,31*(VLOOKUP(N$1,Sprints[],5,FALSE))+DAY(VLOOKUP(N$1,Sprints[],2,FALSE)),1,VLOOKUP(N$1,Sprints[],4,FALSE))&lt;&gt;"")*(IF(OFFSET(INDIRECT(CELL("address",INDEX('Leave Tracker'!$A$8:$A$107,MATCH($A13,'Leave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2.4000000000000004</v>
      </c>
      <c r="O13">
        <f t="array" aca="1" ref="O13" ca="1">Sheet3!$W$2*$F13*(NETWORKDAYS(VLOOKUP(O$1,Sprints[],2,FALSE), VLOOKUP(O$1,Sprints[],3,FALSE))-SUMPRODUCT((OFFSET(INDIRECT(CELL("address",INDEX('Leave Tracker'!$A$8:$A$107,MATCH($A13,'Leave Tracker'!$A$8:$A$107,0)))),0,31*(VLOOKUP(O$1,Sprints[],5,FALSE))+DAY(VLOOKUP(O$1,Sprints[],2,FALSE)),1,VLOOKUP(O$1,Sprints[],4,FALSE))&lt;&gt;"")*(IF(OFFSET(INDIRECT(CELL("address",INDEX('Leave Tracker'!$A$8:$A$107,MATCH($A13,'Leave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3">
        <f t="array" aca="1" ref="P13" ca="1">Sheet3!$W$2*$F13*(NETWORKDAYS(VLOOKUP(P$1,Sprints[],2,FALSE), VLOOKUP(P$1,Sprints[],3,FALSE))-SUMPRODUCT((OFFSET(INDIRECT(CELL("address",INDEX('Leave Tracker'!$A$8:$A$107,MATCH($A13,'Leave Tracker'!$A$8:$A$107,0)))),0,31*(VLOOKUP(P$1,Sprints[],5,FALSE))+DAY(VLOOKUP(P$1,Sprints[],2,FALSE)),1,VLOOKUP(P$1,Sprints[],4,FALSE))&lt;&gt;"")*(IF(OFFSET(INDIRECT(CELL("address",INDEX('Leave Tracker'!$A$8:$A$107,MATCH($A13,'Leave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13">
        <f t="array" aca="1" ref="Q13" ca="1">Sheet3!$W$2*$F13*(NETWORKDAYS(VLOOKUP(Q$1,Sprints[],2,FALSE), VLOOKUP(Q$1,Sprints[],3,FALSE))-SUMPRODUCT((OFFSET(INDIRECT(CELL("address",INDEX('Leave Tracker'!$A$8:$A$107,MATCH($A13,'Leave Tracker'!$A$8:$A$107,0)))),0,31*(VLOOKUP(Q$1,Sprints[],5,FALSE))+DAY(VLOOKUP(Q$1,Sprints[],2,FALSE)),1,VLOOKUP(Q$1,Sprints[],4,FALSE))&lt;&gt;"")*(IF(OFFSET(INDIRECT(CELL("address",INDEX('Leave Tracker'!$A$8:$A$107,MATCH($A13,'Leave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4.2000000000000011</v>
      </c>
      <c r="R13">
        <f t="array" aca="1" ref="R13" ca="1">Sheet3!$W$2*$F13*(NETWORKDAYS(VLOOKUP(R$1,Sprints[],2,FALSE), VLOOKUP(R$1,Sprints[],3,FALSE))-SUMPRODUCT((OFFSET(INDIRECT(CELL("address",INDEX('Leave Tracker'!$A$8:$A$107,MATCH($A13,'Leave Tracker'!$A$8:$A$107,0)))),0,31*(VLOOKUP(R$1,Sprints[],5,FALSE))+DAY(VLOOKUP(R$1,Sprints[],2,FALSE)),1,VLOOKUP(R$1,Sprints[],4,FALSE))&lt;&gt;"")*(IF(OFFSET(INDIRECT(CELL("address",INDEX('Leave Tracker'!$A$8:$A$107,MATCH($A13,'Leave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3.6000000000000005</v>
      </c>
      <c r="S13" s="31">
        <f t="array" aca="1" ref="S13" ca="1">Sheet3!$W$2*$F13*(NETWORKDAYS(VLOOKUP(S$1,Sprints[],2,FALSE), VLOOKUP(S$1,Sprints[],3,FALSE))-SUMPRODUCT((OFFSET(INDIRECT(CELL("address",INDEX('Leave Tracker'!$A$8:$A$107,MATCH($A13,'Leave Tracker'!$A$8:$A$107,0)))),0,31*(VLOOKUP(S$1,Sprints[],5,FALSE))+DAY(VLOOKUP(S$1,Sprints[],2,FALSE)),1,VLOOKUP(S$1,Sprints[],4,FALSE))&lt;&gt;"")*(IF(OFFSET(INDIRECT(CELL("address",INDEX('Leave Tracker'!$A$8:$A$107,MATCH($A13,'Leave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3" s="31">
        <f t="array" aca="1" ref="T13" ca="1">Sheet3!$W$2*$F13*(NETWORKDAYS(VLOOKUP(T$1,Sprints[],2,FALSE), VLOOKUP(T$1,Sprints[],3,FALSE))-SUMPRODUCT((OFFSET(INDIRECT(CELL("address",INDEX('Leave Tracker'!$A$8:$A$107,MATCH($A13,'Leave Tracker'!$A$8:$A$107,0)))),0,31*(VLOOKUP(T$1,Sprints[],5,FALSE))+DAY(VLOOKUP(T$1,Sprints[],2,FALSE)),1,VLOOKUP(T$1,Sprints[],4,FALSE))&lt;&gt;"")*(IF(OFFSET(INDIRECT(CELL("address",INDEX('Leave Tracker'!$A$8:$A$107,MATCH($A13,'Leave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3" s="78">
        <f t="array" aca="1" ref="U13" ca="1">Sheet3!$W$2*$F13*(NETWORKDAYS(VLOOKUP(U$1,Sprints[],2,FALSE), VLOOKUP(U$1,Sprints[],3,FALSE))-SUMPRODUCT((OFFSET(INDIRECT(CELL("address",INDEX('Leave Tracker'!$A$8:$A$107,MATCH($A13,'Leave Tracker'!$A$8:$A$107,0)))),0,31*(VLOOKUP(U$1,Sprints[],5,FALSE))+DAY(VLOOKUP(U$1,Sprints[],2,FALSE)),1,VLOOKUP(U$1,Sprints[],4,FALSE))&lt;&gt;"")*(IF(OFFSET(INDIRECT(CELL("address",INDEX('Leave Tracker'!$A$8:$A$107,MATCH($A13,'Leave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11.400000000000002</v>
      </c>
    </row>
    <row r="14" spans="1:21" x14ac:dyDescent="0.45">
      <c r="A14" t="s">
        <v>71</v>
      </c>
      <c r="B14" s="45" t="s">
        <v>113</v>
      </c>
      <c r="C14" s="45" t="s">
        <v>117</v>
      </c>
      <c r="D14" s="45" t="s">
        <v>132</v>
      </c>
      <c r="E14" s="45" t="s">
        <v>126</v>
      </c>
      <c r="F14" s="47">
        <v>0.75</v>
      </c>
      <c r="G14" s="45">
        <f t="array" aca="1" ref="G14" ca="1">Sheet3!$W$2*$F14*(NETWORKDAYS(VLOOKUP(G$1,Sprints[],2,FALSE), VLOOKUP(G$1,Sprints[],3,FALSE))-SUMPRODUCT((OFFSET(INDIRECT(CELL("address",INDEX('Leave Tracker'!$A$8:$A$107,MATCH($A14,'Leave Tracker'!$A$8:$A$107,0)))),0,31*(VLOOKUP(G$1,Sprints[],5,FALSE))+DAY(VLOOKUP(G$1,Sprints[],2,FALSE)),1,VLOOKUP(G$1,Sprints[],4,FALSE))&lt;&gt;"")*(IF(OFFSET(INDIRECT(CELL("address",INDEX('Leave Tracker'!$A$8:$A$107,MATCH($A14,'Leave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4">
        <f t="array" aca="1" ref="H14" ca="1">Sheet3!$W$2*$F14*(NETWORKDAYS(VLOOKUP(H$1,Sprints[],2,FALSE), VLOOKUP(H$1,Sprints[],3,FALSE))-SUMPRODUCT((OFFSET(INDIRECT(CELL("address",INDEX('Leave Tracker'!$A$8:$A$107,MATCH($A14,'Leave Tracker'!$A$8:$A$107,0)))),0,31*(VLOOKUP(H$1,Sprints[],5,FALSE))+DAY(VLOOKUP(H$1,Sprints[],2,FALSE)),1,VLOOKUP(H$1,Sprints[],4,FALSE))&lt;&gt;"")*(IF(OFFSET(INDIRECT(CELL("address",INDEX('Leave Tracker'!$A$8:$A$107,MATCH($A14,'Leave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4">
        <f t="array" aca="1" ref="I14" ca="1">Sheet3!$W$2*$F14*(NETWORKDAYS(VLOOKUP(I$1,Sprints[],2,FALSE), VLOOKUP(I$1,Sprints[],3,FALSE))-SUMPRODUCT((OFFSET(INDIRECT(CELL("address",INDEX('Leave Tracker'!$A$8:$A$107,MATCH($A14,'Leave Tracker'!$A$8:$A$107,0)))),0,31*(VLOOKUP(I$1,Sprints[],5,FALSE))+DAY(VLOOKUP(I$1,Sprints[],2,FALSE)),1,VLOOKUP(I$1,Sprints[],4,FALSE))&lt;&gt;"")*(IF(OFFSET(INDIRECT(CELL("address",INDEX('Leave Tracker'!$A$8:$A$107,MATCH($A14,'Leave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14">
        <f t="array" aca="1" ref="J14" ca="1">Sheet3!$W$2*$F14*(NETWORKDAYS(VLOOKUP(J$1,Sprints[],2,FALSE), VLOOKUP(J$1,Sprints[],3,FALSE))-SUMPRODUCT((OFFSET(INDIRECT(CELL("address",INDEX('Leave Tracker'!$A$8:$A$107,MATCH($A14,'Leave Tracker'!$A$8:$A$107,0)))),0,31*(VLOOKUP(J$1,Sprints[],5,FALSE))+DAY(VLOOKUP(J$1,Sprints[],2,FALSE)),1,VLOOKUP(J$1,Sprints[],4,FALSE))&lt;&gt;"")*(IF(OFFSET(INDIRECT(CELL("address",INDEX('Leave Tracker'!$A$8:$A$107,MATCH($A14,'Leave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4">
        <f t="array" aca="1" ref="K14" ca="1">Sheet3!$W$2*$F14*(NETWORKDAYS(VLOOKUP(K$1,Sprints[],2,FALSE), VLOOKUP(K$1,Sprints[],3,FALSE))-SUMPRODUCT((OFFSET(INDIRECT(CELL("address",INDEX('Leave Tracker'!$A$8:$A$107,MATCH($A14,'Leave Tracker'!$A$8:$A$107,0)))),0,31*(VLOOKUP(K$1,Sprints[],5,FALSE))+DAY(VLOOKUP(K$1,Sprints[],2,FALSE)),1,VLOOKUP(K$1,Sprints[],4,FALSE))&lt;&gt;"")*(IF(OFFSET(INDIRECT(CELL("address",INDEX('Leave Tracker'!$A$8:$A$107,MATCH($A14,'Leave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14">
        <f t="array" aca="1" ref="L14" ca="1">Sheet3!$W$2*$F14*(NETWORKDAYS(VLOOKUP(L$1,Sprints[],2,FALSE), VLOOKUP(L$1,Sprints[],3,FALSE))-SUMPRODUCT((OFFSET(INDIRECT(CELL("address",INDEX('Leave Tracker'!$A$8:$A$107,MATCH($A14,'Leave Tracker'!$A$8:$A$107,0)))),0,31*(VLOOKUP(L$1,Sprints[],5,FALSE))+DAY(VLOOKUP(L$1,Sprints[],2,FALSE)),1,VLOOKUP(L$1,Sprints[],4,FALSE))&lt;&gt;"")*(IF(OFFSET(INDIRECT(CELL("address",INDEX('Leave Tracker'!$A$8:$A$107,MATCH($A14,'Leave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4.8000000000000007</v>
      </c>
      <c r="M14" s="45">
        <f t="array" aca="1" ref="M14" ca="1">Sheet3!$W$2*$F14*(NETWORKDAYS(VLOOKUP(M$1,Sprints[],2,FALSE), VLOOKUP(M$1,Sprints[],3,FALSE))-SUMPRODUCT((OFFSET(INDIRECT(CELL("address",INDEX('Leave Tracker'!$A$8:$A$107,MATCH($A14,'Leave Tracker'!$A$8:$A$107,0)))),0,31*(VLOOKUP(M$1,Sprints[],5,FALSE))+DAY(VLOOKUP(M$1,Sprints[],2,FALSE)),1,VLOOKUP(M$1,Sprints[],4,FALSE))&lt;&gt;"")*(IF(OFFSET(INDIRECT(CELL("address",INDEX('Leave Tracker'!$A$8:$A$107,MATCH($A14,'Leave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4">
        <f t="array" aca="1" ref="N14" ca="1">Sheet3!$W$2*$F14*(NETWORKDAYS(VLOOKUP(N$1,Sprints[],2,FALSE), VLOOKUP(N$1,Sprints[],3,FALSE))-SUMPRODUCT((OFFSET(INDIRECT(CELL("address",INDEX('Leave Tracker'!$A$8:$A$107,MATCH($A14,'Leave Tracker'!$A$8:$A$107,0)))),0,31*(VLOOKUP(N$1,Sprints[],5,FALSE))+DAY(VLOOKUP(N$1,Sprints[],2,FALSE)),1,VLOOKUP(N$1,Sprints[],4,FALSE))&lt;&gt;"")*(IF(OFFSET(INDIRECT(CELL("address",INDEX('Leave Tracker'!$A$8:$A$107,MATCH($A14,'Leave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4">
        <f t="array" aca="1" ref="O14" ca="1">Sheet3!$W$2*$F14*(NETWORKDAYS(VLOOKUP(O$1,Sprints[],2,FALSE), VLOOKUP(O$1,Sprints[],3,FALSE))-SUMPRODUCT((OFFSET(INDIRECT(CELL("address",INDEX('Leave Tracker'!$A$8:$A$107,MATCH($A14,'Leave Tracker'!$A$8:$A$107,0)))),0,31*(VLOOKUP(O$1,Sprints[],5,FALSE))+DAY(VLOOKUP(O$1,Sprints[],2,FALSE)),1,VLOOKUP(O$1,Sprints[],4,FALSE))&lt;&gt;"")*(IF(OFFSET(INDIRECT(CELL("address",INDEX('Leave Tracker'!$A$8:$A$107,MATCH($A14,'Leave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4">
        <f t="array" aca="1" ref="P14" ca="1">Sheet3!$W$2*$F14*(NETWORKDAYS(VLOOKUP(P$1,Sprints[],2,FALSE), VLOOKUP(P$1,Sprints[],3,FALSE))-SUMPRODUCT((OFFSET(INDIRECT(CELL("address",INDEX('Leave Tracker'!$A$8:$A$107,MATCH($A14,'Leave Tracker'!$A$8:$A$107,0)))),0,31*(VLOOKUP(P$1,Sprints[],5,FALSE))+DAY(VLOOKUP(P$1,Sprints[],2,FALSE)),1,VLOOKUP(P$1,Sprints[],4,FALSE))&lt;&gt;"")*(IF(OFFSET(INDIRECT(CELL("address",INDEX('Leave Tracker'!$A$8:$A$107,MATCH($A14,'Leave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3.3000000000000007</v>
      </c>
      <c r="Q14">
        <f t="array" aca="1" ref="Q14" ca="1">Sheet3!$W$2*$F14*(NETWORKDAYS(VLOOKUP(Q$1,Sprints[],2,FALSE), VLOOKUP(Q$1,Sprints[],3,FALSE))-SUMPRODUCT((OFFSET(INDIRECT(CELL("address",INDEX('Leave Tracker'!$A$8:$A$107,MATCH($A14,'Leave Tracker'!$A$8:$A$107,0)))),0,31*(VLOOKUP(Q$1,Sprints[],5,FALSE))+DAY(VLOOKUP(Q$1,Sprints[],2,FALSE)),1,VLOOKUP(Q$1,Sprints[],4,FALSE))&lt;&gt;"")*(IF(OFFSET(INDIRECT(CELL("address",INDEX('Leave Tracker'!$A$8:$A$107,MATCH($A14,'Leave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3.0000000000000004</v>
      </c>
      <c r="R14">
        <f t="array" aca="1" ref="R14" ca="1">Sheet3!$W$2*$F14*(NETWORKDAYS(VLOOKUP(R$1,Sprints[],2,FALSE), VLOOKUP(R$1,Sprints[],3,FALSE))-SUMPRODUCT((OFFSET(INDIRECT(CELL("address",INDEX('Leave Tracker'!$A$8:$A$107,MATCH($A14,'Leave Tracker'!$A$8:$A$107,0)))),0,31*(VLOOKUP(R$1,Sprints[],5,FALSE))+DAY(VLOOKUP(R$1,Sprints[],2,FALSE)),1,VLOOKUP(R$1,Sprints[],4,FALSE))&lt;&gt;"")*(IF(OFFSET(INDIRECT(CELL("address",INDEX('Leave Tracker'!$A$8:$A$107,MATCH($A14,'Leave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4" s="31">
        <f t="array" aca="1" ref="S14" ca="1">Sheet3!$W$2*$F14*(NETWORKDAYS(VLOOKUP(S$1,Sprints[],2,FALSE), VLOOKUP(S$1,Sprints[],3,FALSE))-SUMPRODUCT((OFFSET(INDIRECT(CELL("address",INDEX('Leave Tracker'!$A$8:$A$107,MATCH($A14,'Leave Tracker'!$A$8:$A$107,0)))),0,31*(VLOOKUP(S$1,Sprints[],5,FALSE))+DAY(VLOOKUP(S$1,Sprints[],2,FALSE)),1,VLOOKUP(S$1,Sprints[],4,FALSE))&lt;&gt;"")*(IF(OFFSET(INDIRECT(CELL("address",INDEX('Leave Tracker'!$A$8:$A$107,MATCH($A14,'Leave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4" s="31">
        <f t="array" aca="1" ref="T14" ca="1">Sheet3!$W$2*$F14*(NETWORKDAYS(VLOOKUP(T$1,Sprints[],2,FALSE), VLOOKUP(T$1,Sprints[],3,FALSE))-SUMPRODUCT((OFFSET(INDIRECT(CELL("address",INDEX('Leave Tracker'!$A$8:$A$107,MATCH($A14,'Leave Tracker'!$A$8:$A$107,0)))),0,31*(VLOOKUP(T$1,Sprints[],5,FALSE))+DAY(VLOOKUP(T$1,Sprints[],2,FALSE)),1,VLOOKUP(T$1,Sprints[],4,FALSE))&lt;&gt;"")*(IF(OFFSET(INDIRECT(CELL("address",INDEX('Leave Tracker'!$A$8:$A$107,MATCH($A14,'Leave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4" s="78">
        <f t="array" aca="1" ref="U14" ca="1">Sheet3!$W$2*$F14*(NETWORKDAYS(VLOOKUP(U$1,Sprints[],2,FALSE), VLOOKUP(U$1,Sprints[],3,FALSE))-SUMPRODUCT((OFFSET(INDIRECT(CELL("address",INDEX('Leave Tracker'!$A$8:$A$107,MATCH($A14,'Leave Tracker'!$A$8:$A$107,0)))),0,31*(VLOOKUP(U$1,Sprints[],5,FALSE))+DAY(VLOOKUP(U$1,Sprints[],2,FALSE)),1,VLOOKUP(U$1,Sprints[],4,FALSE))&lt;&gt;"")*(IF(OFFSET(INDIRECT(CELL("address",INDEX('Leave Tracker'!$A$8:$A$107,MATCH($A14,'Leave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11.400000000000002</v>
      </c>
    </row>
    <row r="15" spans="1:21" x14ac:dyDescent="0.45">
      <c r="A15" t="s">
        <v>72</v>
      </c>
      <c r="B15" s="45" t="s">
        <v>113</v>
      </c>
      <c r="C15" s="45" t="s">
        <v>117</v>
      </c>
      <c r="D15" s="45" t="s">
        <v>132</v>
      </c>
      <c r="E15" s="45" t="s">
        <v>125</v>
      </c>
      <c r="F15" s="47">
        <v>0.75</v>
      </c>
      <c r="G15" s="45">
        <f t="array" aca="1" ref="G15" ca="1">Sheet3!$W$2*$F15*(NETWORKDAYS(VLOOKUP(G$1,Sprints[],2,FALSE), VLOOKUP(G$1,Sprints[],3,FALSE))-SUMPRODUCT((OFFSET(INDIRECT(CELL("address",INDEX('Leave Tracker'!$A$8:$A$107,MATCH($A15,'Leave Tracker'!$A$8:$A$107,0)))),0,31*(VLOOKUP(G$1,Sprints[],5,FALSE))+DAY(VLOOKUP(G$1,Sprints[],2,FALSE)),1,VLOOKUP(G$1,Sprints[],4,FALSE))&lt;&gt;"")*(IF(OFFSET(INDIRECT(CELL("address",INDEX('Leave Tracker'!$A$8:$A$107,MATCH($A15,'Leave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5">
        <f t="array" aca="1" ref="H15" ca="1">Sheet3!$W$2*$F15*(NETWORKDAYS(VLOOKUP(H$1,Sprints[],2,FALSE), VLOOKUP(H$1,Sprints[],3,FALSE))-SUMPRODUCT((OFFSET(INDIRECT(CELL("address",INDEX('Leave Tracker'!$A$8:$A$107,MATCH($A15,'Leave Tracker'!$A$8:$A$107,0)))),0,31*(VLOOKUP(H$1,Sprints[],5,FALSE))+DAY(VLOOKUP(H$1,Sprints[],2,FALSE)),1,VLOOKUP(H$1,Sprints[],4,FALSE))&lt;&gt;"")*(IF(OFFSET(INDIRECT(CELL("address",INDEX('Leave Tracker'!$A$8:$A$107,MATCH($A15,'Leave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5">
        <f t="array" aca="1" ref="I15" ca="1">Sheet3!$W$2*$F15*(NETWORKDAYS(VLOOKUP(I$1,Sprints[],2,FALSE), VLOOKUP(I$1,Sprints[],3,FALSE))-SUMPRODUCT((OFFSET(INDIRECT(CELL("address",INDEX('Leave Tracker'!$A$8:$A$107,MATCH($A15,'Leave Tracker'!$A$8:$A$107,0)))),0,31*(VLOOKUP(I$1,Sprints[],5,FALSE))+DAY(VLOOKUP(I$1,Sprints[],2,FALSE)),1,VLOOKUP(I$1,Sprints[],4,FALSE))&lt;&gt;"")*(IF(OFFSET(INDIRECT(CELL("address",INDEX('Leave Tracker'!$A$8:$A$107,MATCH($A15,'Leave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5">
        <f t="array" aca="1" ref="J15" ca="1">Sheet3!$W$2*$F15*(NETWORKDAYS(VLOOKUP(J$1,Sprints[],2,FALSE), VLOOKUP(J$1,Sprints[],3,FALSE))-SUMPRODUCT((OFFSET(INDIRECT(CELL("address",INDEX('Leave Tracker'!$A$8:$A$107,MATCH($A15,'Leave Tracker'!$A$8:$A$107,0)))),0,31*(VLOOKUP(J$1,Sprints[],5,FALSE))+DAY(VLOOKUP(J$1,Sprints[],2,FALSE)),1,VLOOKUP(J$1,Sprints[],4,FALSE))&lt;&gt;"")*(IF(OFFSET(INDIRECT(CELL("address",INDEX('Leave Tracker'!$A$8:$A$107,MATCH($A15,'Leave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3.3000000000000007</v>
      </c>
      <c r="K15">
        <f t="array" aca="1" ref="K15" ca="1">Sheet3!$W$2*$F15*(NETWORKDAYS(VLOOKUP(K$1,Sprints[],2,FALSE), VLOOKUP(K$1,Sprints[],3,FALSE))-SUMPRODUCT((OFFSET(INDIRECT(CELL("address",INDEX('Leave Tracker'!$A$8:$A$107,MATCH($A15,'Leave Tracker'!$A$8:$A$107,0)))),0,31*(VLOOKUP(K$1,Sprints[],5,FALSE))+DAY(VLOOKUP(K$1,Sprints[],2,FALSE)),1,VLOOKUP(K$1,Sprints[],4,FALSE))&lt;&gt;"")*(IF(OFFSET(INDIRECT(CELL("address",INDEX('Leave Tracker'!$A$8:$A$107,MATCH($A15,'Leave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3.6000000000000005</v>
      </c>
      <c r="L15">
        <f t="array" aca="1" ref="L15" ca="1">Sheet3!$W$2*$F15*(NETWORKDAYS(VLOOKUP(L$1,Sprints[],2,FALSE), VLOOKUP(L$1,Sprints[],3,FALSE))-SUMPRODUCT((OFFSET(INDIRECT(CELL("address",INDEX('Leave Tracker'!$A$8:$A$107,MATCH($A15,'Leave Tracker'!$A$8:$A$107,0)))),0,31*(VLOOKUP(L$1,Sprints[],5,FALSE))+DAY(VLOOKUP(L$1,Sprints[],2,FALSE)),1,VLOOKUP(L$1,Sprints[],4,FALSE))&lt;&gt;"")*(IF(OFFSET(INDIRECT(CELL("address",INDEX('Leave Tracker'!$A$8:$A$107,MATCH($A15,'Leave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15" s="45">
        <f t="array" aca="1" ref="M15" ca="1">Sheet3!$W$2*$F15*(NETWORKDAYS(VLOOKUP(M$1,Sprints[],2,FALSE), VLOOKUP(M$1,Sprints[],3,FALSE))-SUMPRODUCT((OFFSET(INDIRECT(CELL("address",INDEX('Leave Tracker'!$A$8:$A$107,MATCH($A15,'Leave Tracker'!$A$8:$A$107,0)))),0,31*(VLOOKUP(M$1,Sprints[],5,FALSE))+DAY(VLOOKUP(M$1,Sprints[],2,FALSE)),1,VLOOKUP(M$1,Sprints[],4,FALSE))&lt;&gt;"")*(IF(OFFSET(INDIRECT(CELL("address",INDEX('Leave Tracker'!$A$8:$A$107,MATCH($A15,'Leave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5">
        <f t="array" aca="1" ref="N15" ca="1">Sheet3!$W$2*$F15*(NETWORKDAYS(VLOOKUP(N$1,Sprints[],2,FALSE), VLOOKUP(N$1,Sprints[],3,FALSE))-SUMPRODUCT((OFFSET(INDIRECT(CELL("address",INDEX('Leave Tracker'!$A$8:$A$107,MATCH($A15,'Leave Tracker'!$A$8:$A$107,0)))),0,31*(VLOOKUP(N$1,Sprints[],5,FALSE))+DAY(VLOOKUP(N$1,Sprints[],2,FALSE)),1,VLOOKUP(N$1,Sprints[],4,FALSE))&lt;&gt;"")*(IF(OFFSET(INDIRECT(CELL("address",INDEX('Leave Tracker'!$A$8:$A$107,MATCH($A15,'Leave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5">
        <f t="array" aca="1" ref="O15" ca="1">Sheet3!$W$2*$F15*(NETWORKDAYS(VLOOKUP(O$1,Sprints[],2,FALSE), VLOOKUP(O$1,Sprints[],3,FALSE))-SUMPRODUCT((OFFSET(INDIRECT(CELL("address",INDEX('Leave Tracker'!$A$8:$A$107,MATCH($A15,'Leave Tracker'!$A$8:$A$107,0)))),0,31*(VLOOKUP(O$1,Sprints[],5,FALSE))+DAY(VLOOKUP(O$1,Sprints[],2,FALSE)),1,VLOOKUP(O$1,Sprints[],4,FALSE))&lt;&gt;"")*(IF(OFFSET(INDIRECT(CELL("address",INDEX('Leave Tracker'!$A$8:$A$107,MATCH($A15,'Leave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5">
        <f t="array" aca="1" ref="P15" ca="1">Sheet3!$W$2*$F15*(NETWORKDAYS(VLOOKUP(P$1,Sprints[],2,FALSE), VLOOKUP(P$1,Sprints[],3,FALSE))-SUMPRODUCT((OFFSET(INDIRECT(CELL("address",INDEX('Leave Tracker'!$A$8:$A$107,MATCH($A15,'Leave Tracker'!$A$8:$A$107,0)))),0,31*(VLOOKUP(P$1,Sprints[],5,FALSE))+DAY(VLOOKUP(P$1,Sprints[],2,FALSE)),1,VLOOKUP(P$1,Sprints[],4,FALSE))&lt;&gt;"")*(IF(OFFSET(INDIRECT(CELL("address",INDEX('Leave Tracker'!$A$8:$A$107,MATCH($A15,'Leave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1.2000000000000002</v>
      </c>
      <c r="Q15">
        <f t="array" aca="1" ref="Q15" ca="1">Sheet3!$W$2*$F15*(NETWORKDAYS(VLOOKUP(Q$1,Sprints[],2,FALSE), VLOOKUP(Q$1,Sprints[],3,FALSE))-SUMPRODUCT((OFFSET(INDIRECT(CELL("address",INDEX('Leave Tracker'!$A$8:$A$107,MATCH($A15,'Leave Tracker'!$A$8:$A$107,0)))),0,31*(VLOOKUP(Q$1,Sprints[],5,FALSE))+DAY(VLOOKUP(Q$1,Sprints[],2,FALSE)),1,VLOOKUP(Q$1,Sprints[],4,FALSE))&lt;&gt;"")*(IF(OFFSET(INDIRECT(CELL("address",INDEX('Leave Tracker'!$A$8:$A$107,MATCH($A15,'Leave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5">
        <f t="array" aca="1" ref="R15" ca="1">Sheet3!$W$2*$F15*(NETWORKDAYS(VLOOKUP(R$1,Sprints[],2,FALSE), VLOOKUP(R$1,Sprints[],3,FALSE))-SUMPRODUCT((OFFSET(INDIRECT(CELL("address",INDEX('Leave Tracker'!$A$8:$A$107,MATCH($A15,'Leave Tracker'!$A$8:$A$107,0)))),0,31*(VLOOKUP(R$1,Sprints[],5,FALSE))+DAY(VLOOKUP(R$1,Sprints[],2,FALSE)),1,VLOOKUP(R$1,Sprints[],4,FALSE))&lt;&gt;"")*(IF(OFFSET(INDIRECT(CELL("address",INDEX('Leave Tracker'!$A$8:$A$107,MATCH($A15,'Leave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5" s="31">
        <f t="array" aca="1" ref="S15" ca="1">Sheet3!$W$2*$F15*(NETWORKDAYS(VLOOKUP(S$1,Sprints[],2,FALSE), VLOOKUP(S$1,Sprints[],3,FALSE))-SUMPRODUCT((OFFSET(INDIRECT(CELL("address",INDEX('Leave Tracker'!$A$8:$A$107,MATCH($A15,'Leave Tracker'!$A$8:$A$107,0)))),0,31*(VLOOKUP(S$1,Sprints[],5,FALSE))+DAY(VLOOKUP(S$1,Sprints[],2,FALSE)),1,VLOOKUP(S$1,Sprints[],4,FALSE))&lt;&gt;"")*(IF(OFFSET(INDIRECT(CELL("address",INDEX('Leave Tracker'!$A$8:$A$107,MATCH($A15,'Leave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5" s="31">
        <f t="array" aca="1" ref="T15" ca="1">Sheet3!$W$2*$F15*(NETWORKDAYS(VLOOKUP(T$1,Sprints[],2,FALSE), VLOOKUP(T$1,Sprints[],3,FALSE))-SUMPRODUCT((OFFSET(INDIRECT(CELL("address",INDEX('Leave Tracker'!$A$8:$A$107,MATCH($A15,'Leave Tracker'!$A$8:$A$107,0)))),0,31*(VLOOKUP(T$1,Sprints[],5,FALSE))+DAY(VLOOKUP(T$1,Sprints[],2,FALSE)),1,VLOOKUP(T$1,Sprints[],4,FALSE))&lt;&gt;"")*(IF(OFFSET(INDIRECT(CELL("address",INDEX('Leave Tracker'!$A$8:$A$107,MATCH($A15,'Leave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5" s="78">
        <f t="array" aca="1" ref="U15" ca="1">Sheet3!$W$2*$F15*(NETWORKDAYS(VLOOKUP(U$1,Sprints[],2,FALSE), VLOOKUP(U$1,Sprints[],3,FALSE))-SUMPRODUCT((OFFSET(INDIRECT(CELL("address",INDEX('Leave Tracker'!$A$8:$A$107,MATCH($A15,'Leave Tracker'!$A$8:$A$107,0)))),0,31*(VLOOKUP(U$1,Sprints[],5,FALSE))+DAY(VLOOKUP(U$1,Sprints[],2,FALSE)),1,VLOOKUP(U$1,Sprints[],4,FALSE))&lt;&gt;"")*(IF(OFFSET(INDIRECT(CELL("address",INDEX('Leave Tracker'!$A$8:$A$107,MATCH($A15,'Leave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11.400000000000002</v>
      </c>
    </row>
    <row r="16" spans="1:21" x14ac:dyDescent="0.45">
      <c r="A16" s="66" t="s">
        <v>73</v>
      </c>
      <c r="B16" s="66" t="s">
        <v>113</v>
      </c>
      <c r="C16" s="66" t="s">
        <v>117</v>
      </c>
      <c r="D16" s="66" t="s">
        <v>133</v>
      </c>
      <c r="E16" s="66" t="s">
        <v>128</v>
      </c>
      <c r="F16" s="67">
        <v>0.75</v>
      </c>
      <c r="G16" s="66">
        <f t="array" aca="1" ref="G16" ca="1">Sheet3!$W$2*$F16*(NETWORKDAYS(VLOOKUP(G$1,Sprints[],2,FALSE), VLOOKUP(G$1,Sprints[],3,FALSE))-SUMPRODUCT((OFFSET(INDIRECT(CELL("address",INDEX('Leave Tracker'!$A$8:$A$107,MATCH($A16,'Leave Tracker'!$A$8:$A$107,0)))),0,31*(VLOOKUP(G$1,Sprints[],5,FALSE))+DAY(VLOOKUP(G$1,Sprints[],2,FALSE)),1,VLOOKUP(G$1,Sprints[],4,FALSE))&lt;&gt;"")*(IF(OFFSET(INDIRECT(CELL("address",INDEX('Leave Tracker'!$A$8:$A$107,MATCH($A16,'Leave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16" s="66">
        <f t="array" aca="1" ref="H16" ca="1">Sheet3!$W$2*$F16*(NETWORKDAYS(VLOOKUP(H$1,Sprints[],2,FALSE), VLOOKUP(H$1,Sprints[],3,FALSE))-SUMPRODUCT((OFFSET(INDIRECT(CELL("address",INDEX('Leave Tracker'!$A$8:$A$107,MATCH($A16,'Leave Tracker'!$A$8:$A$107,0)))),0,31*(VLOOKUP(H$1,Sprints[],5,FALSE))+DAY(VLOOKUP(H$1,Sprints[],2,FALSE)),1,VLOOKUP(H$1,Sprints[],4,FALSE))&lt;&gt;"")*(IF(OFFSET(INDIRECT(CELL("address",INDEX('Leave Tracker'!$A$8:$A$107,MATCH($A16,'Leave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16" s="66">
        <f t="array" aca="1" ref="I16" ca="1">Sheet3!$W$2*$F16*(NETWORKDAYS(VLOOKUP(I$1,Sprints[],2,FALSE), VLOOKUP(I$1,Sprints[],3,FALSE))-SUMPRODUCT((OFFSET(INDIRECT(CELL("address",INDEX('Leave Tracker'!$A$8:$A$107,MATCH($A16,'Leave Tracker'!$A$8:$A$107,0)))),0,31*(VLOOKUP(I$1,Sprints[],5,FALSE))+DAY(VLOOKUP(I$1,Sprints[],2,FALSE)),1,VLOOKUP(I$1,Sprints[],4,FALSE))&lt;&gt;"")*(IF(OFFSET(INDIRECT(CELL("address",INDEX('Leave Tracker'!$A$8:$A$107,MATCH($A16,'Leave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16" s="66">
        <f t="array" aca="1" ref="J16" ca="1">Sheet3!$W$2*$F16*(NETWORKDAYS(VLOOKUP(J$1,Sprints[],2,FALSE), VLOOKUP(J$1,Sprints[],3,FALSE))-SUMPRODUCT((OFFSET(INDIRECT(CELL("address",INDEX('Leave Tracker'!$A$8:$A$107,MATCH($A16,'Leave Tracker'!$A$8:$A$107,0)))),0,31*(VLOOKUP(J$1,Sprints[],5,FALSE))+DAY(VLOOKUP(J$1,Sprints[],2,FALSE)),1,VLOOKUP(J$1,Sprints[],4,FALSE))&lt;&gt;"")*(IF(OFFSET(INDIRECT(CELL("address",INDEX('Leave Tracker'!$A$8:$A$107,MATCH($A16,'Leave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16" s="66">
        <f t="array" aca="1" ref="K16" ca="1">Sheet3!$W$2*$F16*(NETWORKDAYS(VLOOKUP(K$1,Sprints[],2,FALSE), VLOOKUP(K$1,Sprints[],3,FALSE))-SUMPRODUCT((OFFSET(INDIRECT(CELL("address",INDEX('Leave Tracker'!$A$8:$A$107,MATCH($A16,'Leave Tracker'!$A$8:$A$107,0)))),0,31*(VLOOKUP(K$1,Sprints[],5,FALSE))+DAY(VLOOKUP(K$1,Sprints[],2,FALSE)),1,VLOOKUP(K$1,Sprints[],4,FALSE))&lt;&gt;"")*(IF(OFFSET(INDIRECT(CELL("address",INDEX('Leave Tracker'!$A$8:$A$107,MATCH($A16,'Leave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16" s="66">
        <f t="array" aca="1" ref="L16" ca="1">Sheet3!$W$2*$F16*(NETWORKDAYS(VLOOKUP(L$1,Sprints[],2,FALSE), VLOOKUP(L$1,Sprints[],3,FALSE))-SUMPRODUCT((OFFSET(INDIRECT(CELL("address",INDEX('Leave Tracker'!$A$8:$A$107,MATCH($A16,'Leave Tracker'!$A$8:$A$107,0)))),0,31*(VLOOKUP(L$1,Sprints[],5,FALSE))+DAY(VLOOKUP(L$1,Sprints[],2,FALSE)),1,VLOOKUP(L$1,Sprints[],4,FALSE))&lt;&gt;"")*(IF(OFFSET(INDIRECT(CELL("address",INDEX('Leave Tracker'!$A$8:$A$107,MATCH($A16,'Leave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16" s="66">
        <f t="array" aca="1" ref="M16" ca="1">Sheet3!$W$2*$F16*(NETWORKDAYS(VLOOKUP(M$1,Sprints[],2,FALSE), VLOOKUP(M$1,Sprints[],3,FALSE))-SUMPRODUCT((OFFSET(INDIRECT(CELL("address",INDEX('Leave Tracker'!$A$8:$A$107,MATCH($A16,'Leave Tracker'!$A$8:$A$107,0)))),0,31*(VLOOKUP(M$1,Sprints[],5,FALSE))+DAY(VLOOKUP(M$1,Sprints[],2,FALSE)),1,VLOOKUP(M$1,Sprints[],4,FALSE))&lt;&gt;"")*(IF(OFFSET(INDIRECT(CELL("address",INDEX('Leave Tracker'!$A$8:$A$107,MATCH($A16,'Leave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16" s="66">
        <f t="array" aca="1" ref="N16" ca="1">Sheet3!$W$2*$F16*(NETWORKDAYS(VLOOKUP(N$1,Sprints[],2,FALSE), VLOOKUP(N$1,Sprints[],3,FALSE))-SUMPRODUCT((OFFSET(INDIRECT(CELL("address",INDEX('Leave Tracker'!$A$8:$A$107,MATCH($A16,'Leave Tracker'!$A$8:$A$107,0)))),0,31*(VLOOKUP(N$1,Sprints[],5,FALSE))+DAY(VLOOKUP(N$1,Sprints[],2,FALSE)),1,VLOOKUP(N$1,Sprints[],4,FALSE))&lt;&gt;"")*(IF(OFFSET(INDIRECT(CELL("address",INDEX('Leave Tracker'!$A$8:$A$107,MATCH($A16,'Leave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16" s="66">
        <f t="array" aca="1" ref="O16" ca="1">Sheet3!$W$2*$F16*(NETWORKDAYS(VLOOKUP(O$1,Sprints[],2,FALSE), VLOOKUP(O$1,Sprints[],3,FALSE))-SUMPRODUCT((OFFSET(INDIRECT(CELL("address",INDEX('Leave Tracker'!$A$8:$A$107,MATCH($A16,'Leave Tracker'!$A$8:$A$107,0)))),0,31*(VLOOKUP(O$1,Sprints[],5,FALSE))+DAY(VLOOKUP(O$1,Sprints[],2,FALSE)),1,VLOOKUP(O$1,Sprints[],4,FALSE))&lt;&gt;"")*(IF(OFFSET(INDIRECT(CELL("address",INDEX('Leave Tracker'!$A$8:$A$107,MATCH($A16,'Leave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16" s="66">
        <f t="array" aca="1" ref="P16" ca="1">Sheet3!$W$2*$F16*(NETWORKDAYS(VLOOKUP(P$1,Sprints[],2,FALSE), VLOOKUP(P$1,Sprints[],3,FALSE))-SUMPRODUCT((OFFSET(INDIRECT(CELL("address",INDEX('Leave Tracker'!$A$8:$A$107,MATCH($A16,'Leave Tracker'!$A$8:$A$107,0)))),0,31*(VLOOKUP(P$1,Sprints[],5,FALSE))+DAY(VLOOKUP(P$1,Sprints[],2,FALSE)),1,VLOOKUP(P$1,Sprints[],4,FALSE))&lt;&gt;"")*(IF(OFFSET(INDIRECT(CELL("address",INDEX('Leave Tracker'!$A$8:$A$107,MATCH($A16,'Leave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16" s="66">
        <f t="array" aca="1" ref="Q16" ca="1">Sheet3!$W$2*$F16*(NETWORKDAYS(VLOOKUP(Q$1,Sprints[],2,FALSE), VLOOKUP(Q$1,Sprints[],3,FALSE))-SUMPRODUCT((OFFSET(INDIRECT(CELL("address",INDEX('Leave Tracker'!$A$8:$A$107,MATCH($A16,'Leave Tracker'!$A$8:$A$107,0)))),0,31*(VLOOKUP(Q$1,Sprints[],5,FALSE))+DAY(VLOOKUP(Q$1,Sprints[],2,FALSE)),1,VLOOKUP(Q$1,Sprints[],4,FALSE))&lt;&gt;"")*(IF(OFFSET(INDIRECT(CELL("address",INDEX('Leave Tracker'!$A$8:$A$107,MATCH($A16,'Leave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16" s="66">
        <f t="array" aca="1" ref="R16" ca="1">Sheet3!$W$2*$F16*(NETWORKDAYS(VLOOKUP(R$1,Sprints[],2,FALSE), VLOOKUP(R$1,Sprints[],3,FALSE))-SUMPRODUCT((OFFSET(INDIRECT(CELL("address",INDEX('Leave Tracker'!$A$8:$A$107,MATCH($A16,'Leave Tracker'!$A$8:$A$107,0)))),0,31*(VLOOKUP(R$1,Sprints[],5,FALSE))+DAY(VLOOKUP(R$1,Sprints[],2,FALSE)),1,VLOOKUP(R$1,Sprints[],4,FALSE))&lt;&gt;"")*(IF(OFFSET(INDIRECT(CELL("address",INDEX('Leave Tracker'!$A$8:$A$107,MATCH($A16,'Leave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16" s="68">
        <f t="array" aca="1" ref="S16" ca="1">Sheet3!$W$2*$F16*(NETWORKDAYS(VLOOKUP(S$1,Sprints[],2,FALSE), VLOOKUP(S$1,Sprints[],3,FALSE))-SUMPRODUCT((OFFSET(INDIRECT(CELL("address",INDEX('Leave Tracker'!$A$8:$A$107,MATCH($A16,'Leave Tracker'!$A$8:$A$107,0)))),0,31*(VLOOKUP(S$1,Sprints[],5,FALSE))+DAY(VLOOKUP(S$1,Sprints[],2,FALSE)),1,VLOOKUP(S$1,Sprints[],4,FALSE))&lt;&gt;"")*(IF(OFFSET(INDIRECT(CELL("address",INDEX('Leave Tracker'!$A$8:$A$107,MATCH($A16,'Leave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16" s="68">
        <f t="array" aca="1" ref="T16" ca="1">Sheet3!$W$2*$F16*(NETWORKDAYS(VLOOKUP(T$1,Sprints[],2,FALSE), VLOOKUP(T$1,Sprints[],3,FALSE))-SUMPRODUCT((OFFSET(INDIRECT(CELL("address",INDEX('Leave Tracker'!$A$8:$A$107,MATCH($A16,'Leave Tracker'!$A$8:$A$107,0)))),0,31*(VLOOKUP(T$1,Sprints[],5,FALSE))+DAY(VLOOKUP(T$1,Sprints[],2,FALSE)),1,VLOOKUP(T$1,Sprints[],4,FALSE))&lt;&gt;"")*(IF(OFFSET(INDIRECT(CELL("address",INDEX('Leave Tracker'!$A$8:$A$107,MATCH($A16,'Leave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16" s="79">
        <f t="array" aca="1" ref="U16" ca="1">Sheet3!$W$2*$F16*(NETWORKDAYS(VLOOKUP(U$1,Sprints[],2,FALSE), VLOOKUP(U$1,Sprints[],3,FALSE))-SUMPRODUCT((OFFSET(INDIRECT(CELL("address",INDEX('Leave Tracker'!$A$8:$A$107,MATCH($A16,'Leave Tracker'!$A$8:$A$107,0)))),0,31*(VLOOKUP(U$1,Sprints[],5,FALSE))+DAY(VLOOKUP(U$1,Sprints[],2,FALSE)),1,VLOOKUP(U$1,Sprints[],4,FALSE))&lt;&gt;"")*(IF(OFFSET(INDIRECT(CELL("address",INDEX('Leave Tracker'!$A$8:$A$107,MATCH($A16,'Leave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17" spans="1:21" x14ac:dyDescent="0.45">
      <c r="A17" t="s">
        <v>74</v>
      </c>
      <c r="B17" s="45" t="s">
        <v>113</v>
      </c>
      <c r="C17" s="45" t="s">
        <v>117</v>
      </c>
      <c r="D17" s="45" t="s">
        <v>133</v>
      </c>
      <c r="E17" s="45" t="s">
        <v>128</v>
      </c>
      <c r="F17" s="47">
        <v>0.75</v>
      </c>
      <c r="G17" s="45">
        <f t="array" aca="1" ref="G17" ca="1">Sheet3!$W$2*$F17*(NETWORKDAYS(VLOOKUP(G$1,Sprints[],2,FALSE), VLOOKUP(G$1,Sprints[],3,FALSE))-SUMPRODUCT((OFFSET(INDIRECT(CELL("address",INDEX('Leave Tracker'!$A$8:$A$107,MATCH($A17,'Leave Tracker'!$A$8:$A$107,0)))),0,31*(VLOOKUP(G$1,Sprints[],5,FALSE))+DAY(VLOOKUP(G$1,Sprints[],2,FALSE)),1,VLOOKUP(G$1,Sprints[],4,FALSE))&lt;&gt;"")*(IF(OFFSET(INDIRECT(CELL("address",INDEX('Leave Tracker'!$A$8:$A$107,MATCH($A17,'Leave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7">
        <f t="array" aca="1" ref="H17" ca="1">Sheet3!$W$2*$F17*(NETWORKDAYS(VLOOKUP(H$1,Sprints[],2,FALSE), VLOOKUP(H$1,Sprints[],3,FALSE))-SUMPRODUCT((OFFSET(INDIRECT(CELL("address",INDEX('Leave Tracker'!$A$8:$A$107,MATCH($A17,'Leave Tracker'!$A$8:$A$107,0)))),0,31*(VLOOKUP(H$1,Sprints[],5,FALSE))+DAY(VLOOKUP(H$1,Sprints[],2,FALSE)),1,VLOOKUP(H$1,Sprints[],4,FALSE))&lt;&gt;"")*(IF(OFFSET(INDIRECT(CELL("address",INDEX('Leave Tracker'!$A$8:$A$107,MATCH($A17,'Leave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7">
        <f t="array" aca="1" ref="I17" ca="1">Sheet3!$W$2*$F17*(NETWORKDAYS(VLOOKUP(I$1,Sprints[],2,FALSE), VLOOKUP(I$1,Sprints[],3,FALSE))-SUMPRODUCT((OFFSET(INDIRECT(CELL("address",INDEX('Leave Tracker'!$A$8:$A$107,MATCH($A17,'Leave Tracker'!$A$8:$A$107,0)))),0,31*(VLOOKUP(I$1,Sprints[],5,FALSE))+DAY(VLOOKUP(I$1,Sprints[],2,FALSE)),1,VLOOKUP(I$1,Sprints[],4,FALSE))&lt;&gt;"")*(IF(OFFSET(INDIRECT(CELL("address",INDEX('Leave Tracker'!$A$8:$A$107,MATCH($A17,'Leave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7">
        <f t="array" aca="1" ref="J17" ca="1">Sheet3!$W$2*$F17*(NETWORKDAYS(VLOOKUP(J$1,Sprints[],2,FALSE), VLOOKUP(J$1,Sprints[],3,FALSE))-SUMPRODUCT((OFFSET(INDIRECT(CELL("address",INDEX('Leave Tracker'!$A$8:$A$107,MATCH($A17,'Leave Tracker'!$A$8:$A$107,0)))),0,31*(VLOOKUP(J$1,Sprints[],5,FALSE))+DAY(VLOOKUP(J$1,Sprints[],2,FALSE)),1,VLOOKUP(J$1,Sprints[],4,FALSE))&lt;&gt;"")*(IF(OFFSET(INDIRECT(CELL("address",INDEX('Leave Tracker'!$A$8:$A$107,MATCH($A17,'Leave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2.7</v>
      </c>
      <c r="K17">
        <f t="array" aca="1" ref="K17" ca="1">Sheet3!$W$2*$F17*(NETWORKDAYS(VLOOKUP(K$1,Sprints[],2,FALSE), VLOOKUP(K$1,Sprints[],3,FALSE))-SUMPRODUCT((OFFSET(INDIRECT(CELL("address",INDEX('Leave Tracker'!$A$8:$A$107,MATCH($A17,'Leave Tracker'!$A$8:$A$107,0)))),0,31*(VLOOKUP(K$1,Sprints[],5,FALSE))+DAY(VLOOKUP(K$1,Sprints[],2,FALSE)),1,VLOOKUP(K$1,Sprints[],4,FALSE))&lt;&gt;"")*(IF(OFFSET(INDIRECT(CELL("address",INDEX('Leave Tracker'!$A$8:$A$107,MATCH($A17,'Leave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17">
        <f t="array" aca="1" ref="L17" ca="1">Sheet3!$W$2*$F17*(NETWORKDAYS(VLOOKUP(L$1,Sprints[],2,FALSE), VLOOKUP(L$1,Sprints[],3,FALSE))-SUMPRODUCT((OFFSET(INDIRECT(CELL("address",INDEX('Leave Tracker'!$A$8:$A$107,MATCH($A17,'Leave Tracker'!$A$8:$A$107,0)))),0,31*(VLOOKUP(L$1,Sprints[],5,FALSE))+DAY(VLOOKUP(L$1,Sprints[],2,FALSE)),1,VLOOKUP(L$1,Sprints[],4,FALSE))&lt;&gt;"")*(IF(OFFSET(INDIRECT(CELL("address",INDEX('Leave Tracker'!$A$8:$A$107,MATCH($A17,'Leave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17" s="45">
        <f t="array" aca="1" ref="M17" ca="1">Sheet3!$W$2*$F17*(NETWORKDAYS(VLOOKUP(M$1,Sprints[],2,FALSE), VLOOKUP(M$1,Sprints[],3,FALSE))-SUMPRODUCT((OFFSET(INDIRECT(CELL("address",INDEX('Leave Tracker'!$A$8:$A$107,MATCH($A17,'Leave Tracker'!$A$8:$A$107,0)))),0,31*(VLOOKUP(M$1,Sprints[],5,FALSE))+DAY(VLOOKUP(M$1,Sprints[],2,FALSE)),1,VLOOKUP(M$1,Sprints[],4,FALSE))&lt;&gt;"")*(IF(OFFSET(INDIRECT(CELL("address",INDEX('Leave Tracker'!$A$8:$A$107,MATCH($A17,'Leave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7">
        <f t="array" aca="1" ref="N17" ca="1">Sheet3!$W$2*$F17*(NETWORKDAYS(VLOOKUP(N$1,Sprints[],2,FALSE), VLOOKUP(N$1,Sprints[],3,FALSE))-SUMPRODUCT((OFFSET(INDIRECT(CELL("address",INDEX('Leave Tracker'!$A$8:$A$107,MATCH($A17,'Leave Tracker'!$A$8:$A$107,0)))),0,31*(VLOOKUP(N$1,Sprints[],5,FALSE))+DAY(VLOOKUP(N$1,Sprints[],2,FALSE)),1,VLOOKUP(N$1,Sprints[],4,FALSE))&lt;&gt;"")*(IF(OFFSET(INDIRECT(CELL("address",INDEX('Leave Tracker'!$A$8:$A$107,MATCH($A17,'Leave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7">
        <f t="array" aca="1" ref="O17" ca="1">Sheet3!$W$2*$F17*(NETWORKDAYS(VLOOKUP(O$1,Sprints[],2,FALSE), VLOOKUP(O$1,Sprints[],3,FALSE))-SUMPRODUCT((OFFSET(INDIRECT(CELL("address",INDEX('Leave Tracker'!$A$8:$A$107,MATCH($A17,'Leave Tracker'!$A$8:$A$107,0)))),0,31*(VLOOKUP(O$1,Sprints[],5,FALSE))+DAY(VLOOKUP(O$1,Sprints[],2,FALSE)),1,VLOOKUP(O$1,Sprints[],4,FALSE))&lt;&gt;"")*(IF(OFFSET(INDIRECT(CELL("address",INDEX('Leave Tracker'!$A$8:$A$107,MATCH($A17,'Leave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7">
        <f t="array" aca="1" ref="P17" ca="1">Sheet3!$W$2*$F17*(NETWORKDAYS(VLOOKUP(P$1,Sprints[],2,FALSE), VLOOKUP(P$1,Sprints[],3,FALSE))-SUMPRODUCT((OFFSET(INDIRECT(CELL("address",INDEX('Leave Tracker'!$A$8:$A$107,MATCH($A17,'Leave Tracker'!$A$8:$A$107,0)))),0,31*(VLOOKUP(P$1,Sprints[],5,FALSE))+DAY(VLOOKUP(P$1,Sprints[],2,FALSE)),1,VLOOKUP(P$1,Sprints[],4,FALSE))&lt;&gt;"")*(IF(OFFSET(INDIRECT(CELL("address",INDEX('Leave Tracker'!$A$8:$A$107,MATCH($A17,'Leave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17">
        <f t="array" aca="1" ref="Q17" ca="1">Sheet3!$W$2*$F17*(NETWORKDAYS(VLOOKUP(Q$1,Sprints[],2,FALSE), VLOOKUP(Q$1,Sprints[],3,FALSE))-SUMPRODUCT((OFFSET(INDIRECT(CELL("address",INDEX('Leave Tracker'!$A$8:$A$107,MATCH($A17,'Leave Tracker'!$A$8:$A$107,0)))),0,31*(VLOOKUP(Q$1,Sprints[],5,FALSE))+DAY(VLOOKUP(Q$1,Sprints[],2,FALSE)),1,VLOOKUP(Q$1,Sprints[],4,FALSE))&lt;&gt;"")*(IF(OFFSET(INDIRECT(CELL("address",INDEX('Leave Tracker'!$A$8:$A$107,MATCH($A17,'Leave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7">
        <f t="array" aca="1" ref="R17" ca="1">Sheet3!$W$2*$F17*(NETWORKDAYS(VLOOKUP(R$1,Sprints[],2,FALSE), VLOOKUP(R$1,Sprints[],3,FALSE))-SUMPRODUCT((OFFSET(INDIRECT(CELL("address",INDEX('Leave Tracker'!$A$8:$A$107,MATCH($A17,'Leave Tracker'!$A$8:$A$107,0)))),0,31*(VLOOKUP(R$1,Sprints[],5,FALSE))+DAY(VLOOKUP(R$1,Sprints[],2,FALSE)),1,VLOOKUP(R$1,Sprints[],4,FALSE))&lt;&gt;"")*(IF(OFFSET(INDIRECT(CELL("address",INDEX('Leave Tracker'!$A$8:$A$107,MATCH($A17,'Leave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7" s="31">
        <f t="array" aca="1" ref="S17" ca="1">Sheet3!$W$2*$F17*(NETWORKDAYS(VLOOKUP(S$1,Sprints[],2,FALSE), VLOOKUP(S$1,Sprints[],3,FALSE))-SUMPRODUCT((OFFSET(INDIRECT(CELL("address",INDEX('Leave Tracker'!$A$8:$A$107,MATCH($A17,'Leave Tracker'!$A$8:$A$107,0)))),0,31*(VLOOKUP(S$1,Sprints[],5,FALSE))+DAY(VLOOKUP(S$1,Sprints[],2,FALSE)),1,VLOOKUP(S$1,Sprints[],4,FALSE))&lt;&gt;"")*(IF(OFFSET(INDIRECT(CELL("address",INDEX('Leave Tracker'!$A$8:$A$107,MATCH($A17,'Leave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7" s="31">
        <f t="array" aca="1" ref="T17" ca="1">Sheet3!$W$2*$F17*(NETWORKDAYS(VLOOKUP(T$1,Sprints[],2,FALSE), VLOOKUP(T$1,Sprints[],3,FALSE))-SUMPRODUCT((OFFSET(INDIRECT(CELL("address",INDEX('Leave Tracker'!$A$8:$A$107,MATCH($A17,'Leave Tracker'!$A$8:$A$107,0)))),0,31*(VLOOKUP(T$1,Sprints[],5,FALSE))+DAY(VLOOKUP(T$1,Sprints[],2,FALSE)),1,VLOOKUP(T$1,Sprints[],4,FALSE))&lt;&gt;"")*(IF(OFFSET(INDIRECT(CELL("address",INDEX('Leave Tracker'!$A$8:$A$107,MATCH($A17,'Leave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7" s="78">
        <f t="array" aca="1" ref="U17" ca="1">Sheet3!$W$2*$F17*(NETWORKDAYS(VLOOKUP(U$1,Sprints[],2,FALSE), VLOOKUP(U$1,Sprints[],3,FALSE))-SUMPRODUCT((OFFSET(INDIRECT(CELL("address",INDEX('Leave Tracker'!$A$8:$A$107,MATCH($A17,'Leave Tracker'!$A$8:$A$107,0)))),0,31*(VLOOKUP(U$1,Sprints[],5,FALSE))+DAY(VLOOKUP(U$1,Sprints[],2,FALSE)),1,VLOOKUP(U$1,Sprints[],4,FALSE))&lt;&gt;"")*(IF(OFFSET(INDIRECT(CELL("address",INDEX('Leave Tracker'!$A$8:$A$107,MATCH($A17,'Leave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11.400000000000002</v>
      </c>
    </row>
    <row r="18" spans="1:21" x14ac:dyDescent="0.45">
      <c r="A18" t="s">
        <v>75</v>
      </c>
      <c r="B18" s="45" t="s">
        <v>119</v>
      </c>
      <c r="C18" s="45" t="s">
        <v>117</v>
      </c>
      <c r="D18" s="45" t="s">
        <v>121</v>
      </c>
      <c r="E18" s="45" t="s">
        <v>126</v>
      </c>
      <c r="F18" s="47">
        <v>0.15</v>
      </c>
      <c r="G18" s="45">
        <f t="array" aca="1" ref="G18" ca="1">Sheet3!$W$2*$F18*(NETWORKDAYS(VLOOKUP(G$1,Sprints[],2,FALSE), VLOOKUP(G$1,Sprints[],3,FALSE))-SUMPRODUCT((OFFSET(INDIRECT(CELL("address",INDEX('Leave Tracker'!$A$8:$A$107,MATCH($A18,'Leave Tracker'!$A$8:$A$107,0)))),0,31*(VLOOKUP(G$1,Sprints[],5,FALSE))+DAY(VLOOKUP(G$1,Sprints[],2,FALSE)),1,VLOOKUP(G$1,Sprints[],4,FALSE))&lt;&gt;"")*(IF(OFFSET(INDIRECT(CELL("address",INDEX('Leave Tracker'!$A$8:$A$107,MATCH($A18,'Leave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</v>
      </c>
      <c r="H18">
        <f t="array" aca="1" ref="H18" ca="1">Sheet3!$W$2*$F18*(NETWORKDAYS(VLOOKUP(H$1,Sprints[],2,FALSE), VLOOKUP(H$1,Sprints[],3,FALSE))-SUMPRODUCT((OFFSET(INDIRECT(CELL("address",INDEX('Leave Tracker'!$A$8:$A$107,MATCH($A18,'Leave Tracker'!$A$8:$A$107,0)))),0,31*(VLOOKUP(H$1,Sprints[],5,FALSE))+DAY(VLOOKUP(H$1,Sprints[],2,FALSE)),1,VLOOKUP(H$1,Sprints[],4,FALSE))&lt;&gt;"")*(IF(OFFSET(INDIRECT(CELL("address",INDEX('Leave Tracker'!$A$8:$A$107,MATCH($A18,'Leave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1.2</v>
      </c>
      <c r="I18">
        <f t="array" aca="1" ref="I18" ca="1">Sheet3!$W$2*$F18*(NETWORKDAYS(VLOOKUP(I$1,Sprints[],2,FALSE), VLOOKUP(I$1,Sprints[],3,FALSE))-SUMPRODUCT((OFFSET(INDIRECT(CELL("address",INDEX('Leave Tracker'!$A$8:$A$107,MATCH($A18,'Leave Tracker'!$A$8:$A$107,0)))),0,31*(VLOOKUP(I$1,Sprints[],5,FALSE))+DAY(VLOOKUP(I$1,Sprints[],2,FALSE)),1,VLOOKUP(I$1,Sprints[],4,FALSE))&lt;&gt;"")*(IF(OFFSET(INDIRECT(CELL("address",INDEX('Leave Tracker'!$A$8:$A$107,MATCH($A18,'Leave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1.08</v>
      </c>
      <c r="J18">
        <f t="array" aca="1" ref="J18" ca="1">Sheet3!$W$2*$F18*(NETWORKDAYS(VLOOKUP(J$1,Sprints[],2,FALSE), VLOOKUP(J$1,Sprints[],3,FALSE))-SUMPRODUCT((OFFSET(INDIRECT(CELL("address",INDEX('Leave Tracker'!$A$8:$A$107,MATCH($A18,'Leave Tracker'!$A$8:$A$107,0)))),0,31*(VLOOKUP(J$1,Sprints[],5,FALSE))+DAY(VLOOKUP(J$1,Sprints[],2,FALSE)),1,VLOOKUP(J$1,Sprints[],4,FALSE))&lt;&gt;"")*(IF(OFFSET(INDIRECT(CELL("address",INDEX('Leave Tracker'!$A$8:$A$107,MATCH($A18,'Leave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0.89999999999999991</v>
      </c>
      <c r="K18">
        <f t="array" aca="1" ref="K18" ca="1">Sheet3!$W$2*$F18*(NETWORKDAYS(VLOOKUP(K$1,Sprints[],2,FALSE), VLOOKUP(K$1,Sprints[],3,FALSE))-SUMPRODUCT((OFFSET(INDIRECT(CELL("address",INDEX('Leave Tracker'!$A$8:$A$107,MATCH($A18,'Leave Tracker'!$A$8:$A$107,0)))),0,31*(VLOOKUP(K$1,Sprints[],5,FALSE))+DAY(VLOOKUP(K$1,Sprints[],2,FALSE)),1,VLOOKUP(K$1,Sprints[],4,FALSE))&lt;&gt;"")*(IF(OFFSET(INDIRECT(CELL("address",INDEX('Leave Tracker'!$A$8:$A$107,MATCH($A18,'Leave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1.2</v>
      </c>
      <c r="L18">
        <f t="array" aca="1" ref="L18" ca="1">Sheet3!$W$2*$F18*(NETWORKDAYS(VLOOKUP(L$1,Sprints[],2,FALSE), VLOOKUP(L$1,Sprints[],3,FALSE))-SUMPRODUCT((OFFSET(INDIRECT(CELL("address",INDEX('Leave Tracker'!$A$8:$A$107,MATCH($A18,'Leave Tracker'!$A$8:$A$107,0)))),0,31*(VLOOKUP(L$1,Sprints[],5,FALSE))+DAY(VLOOKUP(L$1,Sprints[],2,FALSE)),1,VLOOKUP(L$1,Sprints[],4,FALSE))&lt;&gt;"")*(IF(OFFSET(INDIRECT(CELL("address",INDEX('Leave Tracker'!$A$8:$A$107,MATCH($A18,'Leave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1.08</v>
      </c>
      <c r="M18" s="45">
        <f t="array" aca="1" ref="M18" ca="1">Sheet3!$W$2*$F18*(NETWORKDAYS(VLOOKUP(M$1,Sprints[],2,FALSE), VLOOKUP(M$1,Sprints[],3,FALSE))-SUMPRODUCT((OFFSET(INDIRECT(CELL("address",INDEX('Leave Tracker'!$A$8:$A$107,MATCH($A18,'Leave Tracker'!$A$8:$A$107,0)))),0,31*(VLOOKUP(M$1,Sprints[],5,FALSE))+DAY(VLOOKUP(M$1,Sprints[],2,FALSE)),1,VLOOKUP(M$1,Sprints[],4,FALSE))&lt;&gt;"")*(IF(OFFSET(INDIRECT(CELL("address",INDEX('Leave Tracker'!$A$8:$A$107,MATCH($A18,'Leave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1.08</v>
      </c>
      <c r="N18">
        <f t="array" aca="1" ref="N18" ca="1">Sheet3!$W$2*$F18*(NETWORKDAYS(VLOOKUP(N$1,Sprints[],2,FALSE), VLOOKUP(N$1,Sprints[],3,FALSE))-SUMPRODUCT((OFFSET(INDIRECT(CELL("address",INDEX('Leave Tracker'!$A$8:$A$107,MATCH($A18,'Leave Tracker'!$A$8:$A$107,0)))),0,31*(VLOOKUP(N$1,Sprints[],5,FALSE))+DAY(VLOOKUP(N$1,Sprints[],2,FALSE)),1,VLOOKUP(N$1,Sprints[],4,FALSE))&lt;&gt;"")*(IF(OFFSET(INDIRECT(CELL("address",INDEX('Leave Tracker'!$A$8:$A$107,MATCH($A18,'Leave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0.6</v>
      </c>
      <c r="O18">
        <f t="array" aca="1" ref="O18" ca="1">Sheet3!$W$2*$F18*(NETWORKDAYS(VLOOKUP(O$1,Sprints[],2,FALSE), VLOOKUP(O$1,Sprints[],3,FALSE))-SUMPRODUCT((OFFSET(INDIRECT(CELL("address",INDEX('Leave Tracker'!$A$8:$A$107,MATCH($A18,'Leave Tracker'!$A$8:$A$107,0)))),0,31*(VLOOKUP(O$1,Sprints[],5,FALSE))+DAY(VLOOKUP(O$1,Sprints[],2,FALSE)),1,VLOOKUP(O$1,Sprints[],4,FALSE))&lt;&gt;"")*(IF(OFFSET(INDIRECT(CELL("address",INDEX('Leave Tracker'!$A$8:$A$107,MATCH($A18,'Leave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1.02</v>
      </c>
      <c r="P18">
        <f t="array" aca="1" ref="P18" ca="1">Sheet3!$W$2*$F18*(NETWORKDAYS(VLOOKUP(P$1,Sprints[],2,FALSE), VLOOKUP(P$1,Sprints[],3,FALSE))-SUMPRODUCT((OFFSET(INDIRECT(CELL("address",INDEX('Leave Tracker'!$A$8:$A$107,MATCH($A18,'Leave Tracker'!$A$8:$A$107,0)))),0,31*(VLOOKUP(P$1,Sprints[],5,FALSE))+DAY(VLOOKUP(P$1,Sprints[],2,FALSE)),1,VLOOKUP(P$1,Sprints[],4,FALSE))&lt;&gt;"")*(IF(OFFSET(INDIRECT(CELL("address",INDEX('Leave Tracker'!$A$8:$A$107,MATCH($A18,'Leave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0.6</v>
      </c>
      <c r="Q18">
        <f t="array" aca="1" ref="Q18" ca="1">Sheet3!$W$2*$F18*(NETWORKDAYS(VLOOKUP(Q$1,Sprints[],2,FALSE), VLOOKUP(Q$1,Sprints[],3,FALSE))-SUMPRODUCT((OFFSET(INDIRECT(CELL("address",INDEX('Leave Tracker'!$A$8:$A$107,MATCH($A18,'Leave Tracker'!$A$8:$A$107,0)))),0,31*(VLOOKUP(Q$1,Sprints[],5,FALSE))+DAY(VLOOKUP(Q$1,Sprints[],2,FALSE)),1,VLOOKUP(Q$1,Sprints[],4,FALSE))&lt;&gt;"")*(IF(OFFSET(INDIRECT(CELL("address",INDEX('Leave Tracker'!$A$8:$A$107,MATCH($A18,'Leave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0.96</v>
      </c>
      <c r="R18">
        <f t="array" aca="1" ref="R18" ca="1">Sheet3!$W$2*$F18*(NETWORKDAYS(VLOOKUP(R$1,Sprints[],2,FALSE), VLOOKUP(R$1,Sprints[],3,FALSE))-SUMPRODUCT((OFFSET(INDIRECT(CELL("address",INDEX('Leave Tracker'!$A$8:$A$107,MATCH($A18,'Leave Tracker'!$A$8:$A$107,0)))),0,31*(VLOOKUP(R$1,Sprints[],5,FALSE))+DAY(VLOOKUP(R$1,Sprints[],2,FALSE)),1,VLOOKUP(R$1,Sprints[],4,FALSE))&lt;&gt;"")*(IF(OFFSET(INDIRECT(CELL("address",INDEX('Leave Tracker'!$A$8:$A$107,MATCH($A18,'Leave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1.08</v>
      </c>
      <c r="S18" s="31">
        <f t="array" aca="1" ref="S18" ca="1">Sheet3!$W$2*$F18*(NETWORKDAYS(VLOOKUP(S$1,Sprints[],2,FALSE), VLOOKUP(S$1,Sprints[],3,FALSE))-SUMPRODUCT((OFFSET(INDIRECT(CELL("address",INDEX('Leave Tracker'!$A$8:$A$107,MATCH($A18,'Leave Tracker'!$A$8:$A$107,0)))),0,31*(VLOOKUP(S$1,Sprints[],5,FALSE))+DAY(VLOOKUP(S$1,Sprints[],2,FALSE)),1,VLOOKUP(S$1,Sprints[],4,FALSE))&lt;&gt;"")*(IF(OFFSET(INDIRECT(CELL("address",INDEX('Leave Tracker'!$A$8:$A$107,MATCH($A18,'Leave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1.2</v>
      </c>
      <c r="T18" s="31">
        <f t="array" aca="1" ref="T18" ca="1">Sheet3!$W$2*$F18*(NETWORKDAYS(VLOOKUP(T$1,Sprints[],2,FALSE), VLOOKUP(T$1,Sprints[],3,FALSE))-SUMPRODUCT((OFFSET(INDIRECT(CELL("address",INDEX('Leave Tracker'!$A$8:$A$107,MATCH($A18,'Leave Tracker'!$A$8:$A$107,0)))),0,31*(VLOOKUP(T$1,Sprints[],5,FALSE))+DAY(VLOOKUP(T$1,Sprints[],2,FALSE)),1,VLOOKUP(T$1,Sprints[],4,FALSE))&lt;&gt;"")*(IF(OFFSET(INDIRECT(CELL("address",INDEX('Leave Tracker'!$A$8:$A$107,MATCH($A18,'Leave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0.6</v>
      </c>
      <c r="U18" s="78">
        <f t="array" aca="1" ref="U18" ca="1">Sheet3!$W$2*$F18*(NETWORKDAYS(VLOOKUP(U$1,Sprints[],2,FALSE), VLOOKUP(U$1,Sprints[],3,FALSE))-SUMPRODUCT((OFFSET(INDIRECT(CELL("address",INDEX('Leave Tracker'!$A$8:$A$107,MATCH($A18,'Leave Tracker'!$A$8:$A$107,0)))),0,31*(VLOOKUP(U$1,Sprints[],5,FALSE))+DAY(VLOOKUP(U$1,Sprints[],2,FALSE)),1,VLOOKUP(U$1,Sprints[],4,FALSE))&lt;&gt;"")*(IF(OFFSET(INDIRECT(CELL("address",INDEX('Leave Tracker'!$A$8:$A$107,MATCH($A18,'Leave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2.2799999999999998</v>
      </c>
    </row>
    <row r="19" spans="1:21" x14ac:dyDescent="0.45">
      <c r="A19" t="s">
        <v>76</v>
      </c>
      <c r="B19" s="45" t="s">
        <v>119</v>
      </c>
      <c r="C19" s="45" t="s">
        <v>117</v>
      </c>
      <c r="D19" s="45" t="s">
        <v>132</v>
      </c>
      <c r="E19" s="45" t="s">
        <v>126</v>
      </c>
      <c r="F19" s="47">
        <v>0.75</v>
      </c>
      <c r="G19" s="45">
        <f t="array" aca="1" ref="G19" ca="1">Sheet3!$W$2*$F19*(NETWORKDAYS(VLOOKUP(G$1,Sprints[],2,FALSE), VLOOKUP(G$1,Sprints[],3,FALSE))-SUMPRODUCT((OFFSET(INDIRECT(CELL("address",INDEX('Leave Tracker'!$A$8:$A$107,MATCH($A19,'Leave Tracker'!$A$8:$A$107,0)))),0,31*(VLOOKUP(G$1,Sprints[],5,FALSE))+DAY(VLOOKUP(G$1,Sprints[],2,FALSE)),1,VLOOKUP(G$1,Sprints[],4,FALSE))&lt;&gt;"")*(IF(OFFSET(INDIRECT(CELL("address",INDEX('Leave Tracker'!$A$8:$A$107,MATCH($A19,'Leave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19">
        <f t="array" aca="1" ref="H19" ca="1">Sheet3!$W$2*$F19*(NETWORKDAYS(VLOOKUP(H$1,Sprints[],2,FALSE), VLOOKUP(H$1,Sprints[],3,FALSE))-SUMPRODUCT((OFFSET(INDIRECT(CELL("address",INDEX('Leave Tracker'!$A$8:$A$107,MATCH($A19,'Leave Tracker'!$A$8:$A$107,0)))),0,31*(VLOOKUP(H$1,Sprints[],5,FALSE))+DAY(VLOOKUP(H$1,Sprints[],2,FALSE)),1,VLOOKUP(H$1,Sprints[],4,FALSE))&lt;&gt;"")*(IF(OFFSET(INDIRECT(CELL("address",INDEX('Leave Tracker'!$A$8:$A$107,MATCH($A19,'Leave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9">
        <f t="array" aca="1" ref="I19" ca="1">Sheet3!$W$2*$F19*(NETWORKDAYS(VLOOKUP(I$1,Sprints[],2,FALSE), VLOOKUP(I$1,Sprints[],3,FALSE))-SUMPRODUCT((OFFSET(INDIRECT(CELL("address",INDEX('Leave Tracker'!$A$8:$A$107,MATCH($A19,'Leave Tracker'!$A$8:$A$107,0)))),0,31*(VLOOKUP(I$1,Sprints[],5,FALSE))+DAY(VLOOKUP(I$1,Sprints[],2,FALSE)),1,VLOOKUP(I$1,Sprints[],4,FALSE))&lt;&gt;"")*(IF(OFFSET(INDIRECT(CELL("address",INDEX('Leave Tracker'!$A$8:$A$107,MATCH($A19,'Leave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9">
        <f t="array" aca="1" ref="J19" ca="1">Sheet3!$W$2*$F19*(NETWORKDAYS(VLOOKUP(J$1,Sprints[],2,FALSE), VLOOKUP(J$1,Sprints[],3,FALSE))-SUMPRODUCT((OFFSET(INDIRECT(CELL("address",INDEX('Leave Tracker'!$A$8:$A$107,MATCH($A19,'Leave Tracker'!$A$8:$A$107,0)))),0,31*(VLOOKUP(J$1,Sprints[],5,FALSE))+DAY(VLOOKUP(J$1,Sprints[],2,FALSE)),1,VLOOKUP(J$1,Sprints[],4,FALSE))&lt;&gt;"")*(IF(OFFSET(INDIRECT(CELL("address",INDEX('Leave Tracker'!$A$8:$A$107,MATCH($A19,'Leave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9">
        <f t="array" aca="1" ref="K19" ca="1">Sheet3!$W$2*$F19*(NETWORKDAYS(VLOOKUP(K$1,Sprints[],2,FALSE), VLOOKUP(K$1,Sprints[],3,FALSE))-SUMPRODUCT((OFFSET(INDIRECT(CELL("address",INDEX('Leave Tracker'!$A$8:$A$107,MATCH($A19,'Leave Tracker'!$A$8:$A$107,0)))),0,31*(VLOOKUP(K$1,Sprints[],5,FALSE))+DAY(VLOOKUP(K$1,Sprints[],2,FALSE)),1,VLOOKUP(K$1,Sprints[],4,FALSE))&lt;&gt;"")*(IF(OFFSET(INDIRECT(CELL("address",INDEX('Leave Tracker'!$A$8:$A$107,MATCH($A19,'Leave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19">
        <f t="array" aca="1" ref="L19" ca="1">Sheet3!$W$2*$F19*(NETWORKDAYS(VLOOKUP(L$1,Sprints[],2,FALSE), VLOOKUP(L$1,Sprints[],3,FALSE))-SUMPRODUCT((OFFSET(INDIRECT(CELL("address",INDEX('Leave Tracker'!$A$8:$A$107,MATCH($A19,'Leave Tracker'!$A$8:$A$107,0)))),0,31*(VLOOKUP(L$1,Sprints[],5,FALSE))+DAY(VLOOKUP(L$1,Sprints[],2,FALSE)),1,VLOOKUP(L$1,Sprints[],4,FALSE))&lt;&gt;"")*(IF(OFFSET(INDIRECT(CELL("address",INDEX('Leave Tracker'!$A$8:$A$107,MATCH($A19,'Leave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0.60000000000000009</v>
      </c>
      <c r="M19" s="45">
        <f t="array" aca="1" ref="M19" ca="1">Sheet3!$W$2*$F19*(NETWORKDAYS(VLOOKUP(M$1,Sprints[],2,FALSE), VLOOKUP(M$1,Sprints[],3,FALSE))-SUMPRODUCT((OFFSET(INDIRECT(CELL("address",INDEX('Leave Tracker'!$A$8:$A$107,MATCH($A19,'Leave Tracker'!$A$8:$A$107,0)))),0,31*(VLOOKUP(M$1,Sprints[],5,FALSE))+DAY(VLOOKUP(M$1,Sprints[],2,FALSE)),1,VLOOKUP(M$1,Sprints[],4,FALSE))&lt;&gt;"")*(IF(OFFSET(INDIRECT(CELL("address",INDEX('Leave Tracker'!$A$8:$A$107,MATCH($A19,'Leave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9">
        <f t="array" aca="1" ref="N19" ca="1">Sheet3!$W$2*$F19*(NETWORKDAYS(VLOOKUP(N$1,Sprints[],2,FALSE), VLOOKUP(N$1,Sprints[],3,FALSE))-SUMPRODUCT((OFFSET(INDIRECT(CELL("address",INDEX('Leave Tracker'!$A$8:$A$107,MATCH($A19,'Leave Tracker'!$A$8:$A$107,0)))),0,31*(VLOOKUP(N$1,Sprints[],5,FALSE))+DAY(VLOOKUP(N$1,Sprints[],2,FALSE)),1,VLOOKUP(N$1,Sprints[],4,FALSE))&lt;&gt;"")*(IF(OFFSET(INDIRECT(CELL("address",INDEX('Leave Tracker'!$A$8:$A$107,MATCH($A19,'Leave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1.8000000000000003</v>
      </c>
      <c r="O19">
        <f t="array" aca="1" ref="O19" ca="1">Sheet3!$W$2*$F19*(NETWORKDAYS(VLOOKUP(O$1,Sprints[],2,FALSE), VLOOKUP(O$1,Sprints[],3,FALSE))-SUMPRODUCT((OFFSET(INDIRECT(CELL("address",INDEX('Leave Tracker'!$A$8:$A$107,MATCH($A19,'Leave Tracker'!$A$8:$A$107,0)))),0,31*(VLOOKUP(O$1,Sprints[],5,FALSE))+DAY(VLOOKUP(O$1,Sprints[],2,FALSE)),1,VLOOKUP(O$1,Sprints[],4,FALSE))&lt;&gt;"")*(IF(OFFSET(INDIRECT(CELL("address",INDEX('Leave Tracker'!$A$8:$A$107,MATCH($A19,'Leave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9">
        <f t="array" aca="1" ref="P19" ca="1">Sheet3!$W$2*$F19*(NETWORKDAYS(VLOOKUP(P$1,Sprints[],2,FALSE), VLOOKUP(P$1,Sprints[],3,FALSE))-SUMPRODUCT((OFFSET(INDIRECT(CELL("address",INDEX('Leave Tracker'!$A$8:$A$107,MATCH($A19,'Leave Tracker'!$A$8:$A$107,0)))),0,31*(VLOOKUP(P$1,Sprints[],5,FALSE))+DAY(VLOOKUP(P$1,Sprints[],2,FALSE)),1,VLOOKUP(P$1,Sprints[],4,FALSE))&lt;&gt;"")*(IF(OFFSET(INDIRECT(CELL("address",INDEX('Leave Tracker'!$A$8:$A$107,MATCH($A19,'Leave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19">
        <f t="array" aca="1" ref="Q19" ca="1">Sheet3!$W$2*$F19*(NETWORKDAYS(VLOOKUP(Q$1,Sprints[],2,FALSE), VLOOKUP(Q$1,Sprints[],3,FALSE))-SUMPRODUCT((OFFSET(INDIRECT(CELL("address",INDEX('Leave Tracker'!$A$8:$A$107,MATCH($A19,'Leave Tracker'!$A$8:$A$107,0)))),0,31*(VLOOKUP(Q$1,Sprints[],5,FALSE))+DAY(VLOOKUP(Q$1,Sprints[],2,FALSE)),1,VLOOKUP(Q$1,Sprints[],4,FALSE))&lt;&gt;"")*(IF(OFFSET(INDIRECT(CELL("address",INDEX('Leave Tracker'!$A$8:$A$107,MATCH($A19,'Leave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9">
        <f t="array" aca="1" ref="R19" ca="1">Sheet3!$W$2*$F19*(NETWORKDAYS(VLOOKUP(R$1,Sprints[],2,FALSE), VLOOKUP(R$1,Sprints[],3,FALSE))-SUMPRODUCT((OFFSET(INDIRECT(CELL("address",INDEX('Leave Tracker'!$A$8:$A$107,MATCH($A19,'Leave Tracker'!$A$8:$A$107,0)))),0,31*(VLOOKUP(R$1,Sprints[],5,FALSE))+DAY(VLOOKUP(R$1,Sprints[],2,FALSE)),1,VLOOKUP(R$1,Sprints[],4,FALSE))&lt;&gt;"")*(IF(OFFSET(INDIRECT(CELL("address",INDEX('Leave Tracker'!$A$8:$A$107,MATCH($A19,'Leave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9" s="31">
        <f t="array" aca="1" ref="S19" ca="1">Sheet3!$W$2*$F19*(NETWORKDAYS(VLOOKUP(S$1,Sprints[],2,FALSE), VLOOKUP(S$1,Sprints[],3,FALSE))-SUMPRODUCT((OFFSET(INDIRECT(CELL("address",INDEX('Leave Tracker'!$A$8:$A$107,MATCH($A19,'Leave Tracker'!$A$8:$A$107,0)))),0,31*(VLOOKUP(S$1,Sprints[],5,FALSE))+DAY(VLOOKUP(S$1,Sprints[],2,FALSE)),1,VLOOKUP(S$1,Sprints[],4,FALSE))&lt;&gt;"")*(IF(OFFSET(INDIRECT(CELL("address",INDEX('Leave Tracker'!$A$8:$A$107,MATCH($A19,'Leave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9" s="31">
        <f t="array" aca="1" ref="T19" ca="1">Sheet3!$W$2*$F19*(NETWORKDAYS(VLOOKUP(T$1,Sprints[],2,FALSE), VLOOKUP(T$1,Sprints[],3,FALSE))-SUMPRODUCT((OFFSET(INDIRECT(CELL("address",INDEX('Leave Tracker'!$A$8:$A$107,MATCH($A19,'Leave Tracker'!$A$8:$A$107,0)))),0,31*(VLOOKUP(T$1,Sprints[],5,FALSE))+DAY(VLOOKUP(T$1,Sprints[],2,FALSE)),1,VLOOKUP(T$1,Sprints[],4,FALSE))&lt;&gt;"")*(IF(OFFSET(INDIRECT(CELL("address",INDEX('Leave Tracker'!$A$8:$A$107,MATCH($A19,'Leave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9" s="78">
        <f t="array" aca="1" ref="U19" ca="1">Sheet3!$W$2*$F19*(NETWORKDAYS(VLOOKUP(U$1,Sprints[],2,FALSE), VLOOKUP(U$1,Sprints[],3,FALSE))-SUMPRODUCT((OFFSET(INDIRECT(CELL("address",INDEX('Leave Tracker'!$A$8:$A$107,MATCH($A19,'Leave Tracker'!$A$8:$A$107,0)))),0,31*(VLOOKUP(U$1,Sprints[],5,FALSE))+DAY(VLOOKUP(U$1,Sprints[],2,FALSE)),1,VLOOKUP(U$1,Sprints[],4,FALSE))&lt;&gt;"")*(IF(OFFSET(INDIRECT(CELL("address",INDEX('Leave Tracker'!$A$8:$A$107,MATCH($A19,'Leave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11.400000000000002</v>
      </c>
    </row>
    <row r="20" spans="1:21" x14ac:dyDescent="0.45">
      <c r="A20" t="s">
        <v>77</v>
      </c>
      <c r="B20" s="45" t="s">
        <v>119</v>
      </c>
      <c r="C20" s="45" t="s">
        <v>117</v>
      </c>
      <c r="D20" s="45" t="s">
        <v>132</v>
      </c>
      <c r="E20" s="45" t="s">
        <v>126</v>
      </c>
      <c r="F20" s="47">
        <v>0.75</v>
      </c>
      <c r="G20" s="45">
        <f t="array" aca="1" ref="G20" ca="1">Sheet3!$W$2*$F20*(NETWORKDAYS(VLOOKUP(G$1,Sprints[],2,FALSE), VLOOKUP(G$1,Sprints[],3,FALSE))-SUMPRODUCT((OFFSET(INDIRECT(CELL("address",INDEX('Leave Tracker'!$A$8:$A$107,MATCH($A20,'Leave Tracker'!$A$8:$A$107,0)))),0,31*(VLOOKUP(G$1,Sprints[],5,FALSE))+DAY(VLOOKUP(G$1,Sprints[],2,FALSE)),1,VLOOKUP(G$1,Sprints[],4,FALSE))&lt;&gt;"")*(IF(OFFSET(INDIRECT(CELL("address",INDEX('Leave Tracker'!$A$8:$A$107,MATCH($A20,'Leave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0">
        <f t="array" aca="1" ref="H20" ca="1">Sheet3!$W$2*$F20*(NETWORKDAYS(VLOOKUP(H$1,Sprints[],2,FALSE), VLOOKUP(H$1,Sprints[],3,FALSE))-SUMPRODUCT((OFFSET(INDIRECT(CELL("address",INDEX('Leave Tracker'!$A$8:$A$107,MATCH($A20,'Leave Tracker'!$A$8:$A$107,0)))),0,31*(VLOOKUP(H$1,Sprints[],5,FALSE))+DAY(VLOOKUP(H$1,Sprints[],2,FALSE)),1,VLOOKUP(H$1,Sprints[],4,FALSE))&lt;&gt;"")*(IF(OFFSET(INDIRECT(CELL("address",INDEX('Leave Tracker'!$A$8:$A$107,MATCH($A20,'Leave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4.8000000000000007</v>
      </c>
      <c r="I20">
        <f t="array" aca="1" ref="I20" ca="1">Sheet3!$W$2*$F20*(NETWORKDAYS(VLOOKUP(I$1,Sprints[],2,FALSE), VLOOKUP(I$1,Sprints[],3,FALSE))-SUMPRODUCT((OFFSET(INDIRECT(CELL("address",INDEX('Leave Tracker'!$A$8:$A$107,MATCH($A20,'Leave Tracker'!$A$8:$A$107,0)))),0,31*(VLOOKUP(I$1,Sprints[],5,FALSE))+DAY(VLOOKUP(I$1,Sprints[],2,FALSE)),1,VLOOKUP(I$1,Sprints[],4,FALSE))&lt;&gt;"")*(IF(OFFSET(INDIRECT(CELL("address",INDEX('Leave Tracker'!$A$8:$A$107,MATCH($A20,'Leave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20">
        <f t="array" aca="1" ref="J20" ca="1">Sheet3!$W$2*$F20*(NETWORKDAYS(VLOOKUP(J$1,Sprints[],2,FALSE), VLOOKUP(J$1,Sprints[],3,FALSE))-SUMPRODUCT((OFFSET(INDIRECT(CELL("address",INDEX('Leave Tracker'!$A$8:$A$107,MATCH($A20,'Leave Tracker'!$A$8:$A$107,0)))),0,31*(VLOOKUP(J$1,Sprints[],5,FALSE))+DAY(VLOOKUP(J$1,Sprints[],2,FALSE)),1,VLOOKUP(J$1,Sprints[],4,FALSE))&lt;&gt;"")*(IF(OFFSET(INDIRECT(CELL("address",INDEX('Leave Tracker'!$A$8:$A$107,MATCH($A20,'Leave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20">
        <f t="array" aca="1" ref="K20" ca="1">Sheet3!$W$2*$F20*(NETWORKDAYS(VLOOKUP(K$1,Sprints[],2,FALSE), VLOOKUP(K$1,Sprints[],3,FALSE))-SUMPRODUCT((OFFSET(INDIRECT(CELL("address",INDEX('Leave Tracker'!$A$8:$A$107,MATCH($A20,'Leave Tracker'!$A$8:$A$107,0)))),0,31*(VLOOKUP(K$1,Sprints[],5,FALSE))+DAY(VLOOKUP(K$1,Sprints[],2,FALSE)),1,VLOOKUP(K$1,Sprints[],4,FALSE))&lt;&gt;"")*(IF(OFFSET(INDIRECT(CELL("address",INDEX('Leave Tracker'!$A$8:$A$107,MATCH($A20,'Leave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3.6000000000000005</v>
      </c>
      <c r="L20">
        <f t="array" aca="1" ref="L20" ca="1">Sheet3!$W$2*$F20*(NETWORKDAYS(VLOOKUP(L$1,Sprints[],2,FALSE), VLOOKUP(L$1,Sprints[],3,FALSE))-SUMPRODUCT((OFFSET(INDIRECT(CELL("address",INDEX('Leave Tracker'!$A$8:$A$107,MATCH($A20,'Leave Tracker'!$A$8:$A$107,0)))),0,31*(VLOOKUP(L$1,Sprints[],5,FALSE))+DAY(VLOOKUP(L$1,Sprints[],2,FALSE)),1,VLOOKUP(L$1,Sprints[],4,FALSE))&lt;&gt;"")*(IF(OFFSET(INDIRECT(CELL("address",INDEX('Leave Tracker'!$A$8:$A$107,MATCH($A20,'Leave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4.8000000000000007</v>
      </c>
      <c r="M20" s="45">
        <f t="array" aca="1" ref="M20" ca="1">Sheet3!$W$2*$F20*(NETWORKDAYS(VLOOKUP(M$1,Sprints[],2,FALSE), VLOOKUP(M$1,Sprints[],3,FALSE))-SUMPRODUCT((OFFSET(INDIRECT(CELL("address",INDEX('Leave Tracker'!$A$8:$A$107,MATCH($A20,'Leave Tracker'!$A$8:$A$107,0)))),0,31*(VLOOKUP(M$1,Sprints[],5,FALSE))+DAY(VLOOKUP(M$1,Sprints[],2,FALSE)),1,VLOOKUP(M$1,Sprints[],4,FALSE))&lt;&gt;"")*(IF(OFFSET(INDIRECT(CELL("address",INDEX('Leave Tracker'!$A$8:$A$107,MATCH($A20,'Leave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4.2000000000000011</v>
      </c>
      <c r="N20">
        <f t="array" aca="1" ref="N20" ca="1">Sheet3!$W$2*$F20*(NETWORKDAYS(VLOOKUP(N$1,Sprints[],2,FALSE), VLOOKUP(N$1,Sprints[],3,FALSE))-SUMPRODUCT((OFFSET(INDIRECT(CELL("address",INDEX('Leave Tracker'!$A$8:$A$107,MATCH($A20,'Leave Tracker'!$A$8:$A$107,0)))),0,31*(VLOOKUP(N$1,Sprints[],5,FALSE))+DAY(VLOOKUP(N$1,Sprints[],2,FALSE)),1,VLOOKUP(N$1,Sprints[],4,FALSE))&lt;&gt;"")*(IF(OFFSET(INDIRECT(CELL("address",INDEX('Leave Tracker'!$A$8:$A$107,MATCH($A20,'Leave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1.2000000000000002</v>
      </c>
      <c r="O20">
        <f t="array" aca="1" ref="O20" ca="1">Sheet3!$W$2*$F20*(NETWORKDAYS(VLOOKUP(O$1,Sprints[],2,FALSE), VLOOKUP(O$1,Sprints[],3,FALSE))-SUMPRODUCT((OFFSET(INDIRECT(CELL("address",INDEX('Leave Tracker'!$A$8:$A$107,MATCH($A20,'Leave Tracker'!$A$8:$A$107,0)))),0,31*(VLOOKUP(O$1,Sprints[],5,FALSE))+DAY(VLOOKUP(O$1,Sprints[],2,FALSE)),1,VLOOKUP(O$1,Sprints[],4,FALSE))&lt;&gt;"")*(IF(OFFSET(INDIRECT(CELL("address",INDEX('Leave Tracker'!$A$8:$A$107,MATCH($A20,'Leave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3.6000000000000005</v>
      </c>
      <c r="P20">
        <f t="array" aca="1" ref="P20" ca="1">Sheet3!$W$2*$F20*(NETWORKDAYS(VLOOKUP(P$1,Sprints[],2,FALSE), VLOOKUP(P$1,Sprints[],3,FALSE))-SUMPRODUCT((OFFSET(INDIRECT(CELL("address",INDEX('Leave Tracker'!$A$8:$A$107,MATCH($A20,'Leave Tracker'!$A$8:$A$107,0)))),0,31*(VLOOKUP(P$1,Sprints[],5,FALSE))+DAY(VLOOKUP(P$1,Sprints[],2,FALSE)),1,VLOOKUP(P$1,Sprints[],4,FALSE))&lt;&gt;"")*(IF(OFFSET(INDIRECT(CELL("address",INDEX('Leave Tracker'!$A$8:$A$107,MATCH($A20,'Leave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0">
        <f t="array" aca="1" ref="Q20" ca="1">Sheet3!$W$2*$F20*(NETWORKDAYS(VLOOKUP(Q$1,Sprints[],2,FALSE), VLOOKUP(Q$1,Sprints[],3,FALSE))-SUMPRODUCT((OFFSET(INDIRECT(CELL("address",INDEX('Leave Tracker'!$A$8:$A$107,MATCH($A20,'Leave Tracker'!$A$8:$A$107,0)))),0,31*(VLOOKUP(Q$1,Sprints[],5,FALSE))+DAY(VLOOKUP(Q$1,Sprints[],2,FALSE)),1,VLOOKUP(Q$1,Sprints[],4,FALSE))&lt;&gt;"")*(IF(OFFSET(INDIRECT(CELL("address",INDEX('Leave Tracker'!$A$8:$A$107,MATCH($A20,'Leave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0">
        <f t="array" aca="1" ref="R20" ca="1">Sheet3!$W$2*$F20*(NETWORKDAYS(VLOOKUP(R$1,Sprints[],2,FALSE), VLOOKUP(R$1,Sprints[],3,FALSE))-SUMPRODUCT((OFFSET(INDIRECT(CELL("address",INDEX('Leave Tracker'!$A$8:$A$107,MATCH($A20,'Leave Tracker'!$A$8:$A$107,0)))),0,31*(VLOOKUP(R$1,Sprints[],5,FALSE))+DAY(VLOOKUP(R$1,Sprints[],2,FALSE)),1,VLOOKUP(R$1,Sprints[],4,FALSE))&lt;&gt;"")*(IF(OFFSET(INDIRECT(CELL("address",INDEX('Leave Tracker'!$A$8:$A$107,MATCH($A20,'Leave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20" s="31">
        <f t="array" aca="1" ref="S20" ca="1">Sheet3!$W$2*$F20*(NETWORKDAYS(VLOOKUP(S$1,Sprints[],2,FALSE), VLOOKUP(S$1,Sprints[],3,FALSE))-SUMPRODUCT((OFFSET(INDIRECT(CELL("address",INDEX('Leave Tracker'!$A$8:$A$107,MATCH($A20,'Leave Tracker'!$A$8:$A$107,0)))),0,31*(VLOOKUP(S$1,Sprints[],5,FALSE))+DAY(VLOOKUP(S$1,Sprints[],2,FALSE)),1,VLOOKUP(S$1,Sprints[],4,FALSE))&lt;&gt;"")*(IF(OFFSET(INDIRECT(CELL("address",INDEX('Leave Tracker'!$A$8:$A$107,MATCH($A20,'Leave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0" s="31">
        <f t="array" aca="1" ref="T20" ca="1">Sheet3!$W$2*$F20*(NETWORKDAYS(VLOOKUP(T$1,Sprints[],2,FALSE), VLOOKUP(T$1,Sprints[],3,FALSE))-SUMPRODUCT((OFFSET(INDIRECT(CELL("address",INDEX('Leave Tracker'!$A$8:$A$107,MATCH($A20,'Leave Tracker'!$A$8:$A$107,0)))),0,31*(VLOOKUP(T$1,Sprints[],5,FALSE))+DAY(VLOOKUP(T$1,Sprints[],2,FALSE)),1,VLOOKUP(T$1,Sprints[],4,FALSE))&lt;&gt;"")*(IF(OFFSET(INDIRECT(CELL("address",INDEX('Leave Tracker'!$A$8:$A$107,MATCH($A20,'Leave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0" s="78">
        <f t="array" aca="1" ref="U20" ca="1">Sheet3!$W$2*$F20*(NETWORKDAYS(VLOOKUP(U$1,Sprints[],2,FALSE), VLOOKUP(U$1,Sprints[],3,FALSE))-SUMPRODUCT((OFFSET(INDIRECT(CELL("address",INDEX('Leave Tracker'!$A$8:$A$107,MATCH($A20,'Leave Tracker'!$A$8:$A$107,0)))),0,31*(VLOOKUP(U$1,Sprints[],5,FALSE))+DAY(VLOOKUP(U$1,Sprints[],2,FALSE)),1,VLOOKUP(U$1,Sprints[],4,FALSE))&lt;&gt;"")*(IF(OFFSET(INDIRECT(CELL("address",INDEX('Leave Tracker'!$A$8:$A$107,MATCH($A20,'Leave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11.400000000000002</v>
      </c>
    </row>
    <row r="21" spans="1:21" x14ac:dyDescent="0.45">
      <c r="A21" t="s">
        <v>78</v>
      </c>
      <c r="B21" s="45" t="s">
        <v>119</v>
      </c>
      <c r="C21" s="45" t="s">
        <v>117</v>
      </c>
      <c r="D21" s="45" t="s">
        <v>132</v>
      </c>
      <c r="E21" s="45" t="s">
        <v>126</v>
      </c>
      <c r="F21" s="47">
        <v>0.75</v>
      </c>
      <c r="G21" s="45">
        <f t="array" aca="1" ref="G21" ca="1">Sheet3!$W$2*$F21*(NETWORKDAYS(VLOOKUP(G$1,Sprints[],2,FALSE), VLOOKUP(G$1,Sprints[],3,FALSE))-SUMPRODUCT((OFFSET(INDIRECT(CELL("address",INDEX('Leave Tracker'!$A$8:$A$107,MATCH($A21,'Leave Tracker'!$A$8:$A$107,0)))),0,31*(VLOOKUP(G$1,Sprints[],5,FALSE))+DAY(VLOOKUP(G$1,Sprints[],2,FALSE)),1,VLOOKUP(G$1,Sprints[],4,FALSE))&lt;&gt;"")*(IF(OFFSET(INDIRECT(CELL("address",INDEX('Leave Tracker'!$A$8:$A$107,MATCH($A21,'Leave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1">
        <f t="array" aca="1" ref="H21" ca="1">Sheet3!$W$2*$F21*(NETWORKDAYS(VLOOKUP(H$1,Sprints[],2,FALSE), VLOOKUP(H$1,Sprints[],3,FALSE))-SUMPRODUCT((OFFSET(INDIRECT(CELL("address",INDEX('Leave Tracker'!$A$8:$A$107,MATCH($A21,'Leave Tracker'!$A$8:$A$107,0)))),0,31*(VLOOKUP(H$1,Sprints[],5,FALSE))+DAY(VLOOKUP(H$1,Sprints[],2,FALSE)),1,VLOOKUP(H$1,Sprints[],4,FALSE))&lt;&gt;"")*(IF(OFFSET(INDIRECT(CELL("address",INDEX('Leave Tracker'!$A$8:$A$107,MATCH($A21,'Leave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1">
        <f t="array" aca="1" ref="I21" ca="1">Sheet3!$W$2*$F21*(NETWORKDAYS(VLOOKUP(I$1,Sprints[],2,FALSE), VLOOKUP(I$1,Sprints[],3,FALSE))-SUMPRODUCT((OFFSET(INDIRECT(CELL("address",INDEX('Leave Tracker'!$A$8:$A$107,MATCH($A21,'Leave Tracker'!$A$8:$A$107,0)))),0,31*(VLOOKUP(I$1,Sprints[],5,FALSE))+DAY(VLOOKUP(I$1,Sprints[],2,FALSE)),1,VLOOKUP(I$1,Sprints[],4,FALSE))&lt;&gt;"")*(IF(OFFSET(INDIRECT(CELL("address",INDEX('Leave Tracker'!$A$8:$A$107,MATCH($A21,'Leave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1">
        <f t="array" aca="1" ref="J21" ca="1">Sheet3!$W$2*$F21*(NETWORKDAYS(VLOOKUP(J$1,Sprints[],2,FALSE), VLOOKUP(J$1,Sprints[],3,FALSE))-SUMPRODUCT((OFFSET(INDIRECT(CELL("address",INDEX('Leave Tracker'!$A$8:$A$107,MATCH($A21,'Leave Tracker'!$A$8:$A$107,0)))),0,31*(VLOOKUP(J$1,Sprints[],5,FALSE))+DAY(VLOOKUP(J$1,Sprints[],2,FALSE)),1,VLOOKUP(J$1,Sprints[],4,FALSE))&lt;&gt;"")*(IF(OFFSET(INDIRECT(CELL("address",INDEX('Leave Tracker'!$A$8:$A$107,MATCH($A21,'Leave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21">
        <f t="array" aca="1" ref="K21" ca="1">Sheet3!$W$2*$F21*(NETWORKDAYS(VLOOKUP(K$1,Sprints[],2,FALSE), VLOOKUP(K$1,Sprints[],3,FALSE))-SUMPRODUCT((OFFSET(INDIRECT(CELL("address",INDEX('Leave Tracker'!$A$8:$A$107,MATCH($A21,'Leave Tracker'!$A$8:$A$107,0)))),0,31*(VLOOKUP(K$1,Sprints[],5,FALSE))+DAY(VLOOKUP(K$1,Sprints[],2,FALSE)),1,VLOOKUP(K$1,Sprints[],4,FALSE))&lt;&gt;"")*(IF(OFFSET(INDIRECT(CELL("address",INDEX('Leave Tracker'!$A$8:$A$107,MATCH($A21,'Leave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21">
        <f t="array" aca="1" ref="L21" ca="1">Sheet3!$W$2*$F21*(NETWORKDAYS(VLOOKUP(L$1,Sprints[],2,FALSE), VLOOKUP(L$1,Sprints[],3,FALSE))-SUMPRODUCT((OFFSET(INDIRECT(CELL("address",INDEX('Leave Tracker'!$A$8:$A$107,MATCH($A21,'Leave Tracker'!$A$8:$A$107,0)))),0,31*(VLOOKUP(L$1,Sprints[],5,FALSE))+DAY(VLOOKUP(L$1,Sprints[],2,FALSE)),1,VLOOKUP(L$1,Sprints[],4,FALSE))&lt;&gt;"")*(IF(OFFSET(INDIRECT(CELL("address",INDEX('Leave Tracker'!$A$8:$A$107,MATCH($A21,'Leave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5.4</v>
      </c>
      <c r="M21" s="45">
        <f t="array" aca="1" ref="M21" ca="1">Sheet3!$W$2*$F21*(NETWORKDAYS(VLOOKUP(M$1,Sprints[],2,FALSE), VLOOKUP(M$1,Sprints[],3,FALSE))-SUMPRODUCT((OFFSET(INDIRECT(CELL("address",INDEX('Leave Tracker'!$A$8:$A$107,MATCH($A21,'Leave Tracker'!$A$8:$A$107,0)))),0,31*(VLOOKUP(M$1,Sprints[],5,FALSE))+DAY(VLOOKUP(M$1,Sprints[],2,FALSE)),1,VLOOKUP(M$1,Sprints[],4,FALSE))&lt;&gt;"")*(IF(OFFSET(INDIRECT(CELL("address",INDEX('Leave Tracker'!$A$8:$A$107,MATCH($A21,'Leave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4.8000000000000007</v>
      </c>
      <c r="N21">
        <f t="array" aca="1" ref="N21" ca="1">Sheet3!$W$2*$F21*(NETWORKDAYS(VLOOKUP(N$1,Sprints[],2,FALSE), VLOOKUP(N$1,Sprints[],3,FALSE))-SUMPRODUCT((OFFSET(INDIRECT(CELL("address",INDEX('Leave Tracker'!$A$8:$A$107,MATCH($A21,'Leave Tracker'!$A$8:$A$107,0)))),0,31*(VLOOKUP(N$1,Sprints[],5,FALSE))+DAY(VLOOKUP(N$1,Sprints[],2,FALSE)),1,VLOOKUP(N$1,Sprints[],4,FALSE))&lt;&gt;"")*(IF(OFFSET(INDIRECT(CELL("address",INDEX('Leave Tracker'!$A$8:$A$107,MATCH($A21,'Leave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2.4000000000000004</v>
      </c>
      <c r="O21">
        <f t="array" aca="1" ref="O21" ca="1">Sheet3!$W$2*$F21*(NETWORKDAYS(VLOOKUP(O$1,Sprints[],2,FALSE), VLOOKUP(O$1,Sprints[],3,FALSE))-SUMPRODUCT((OFFSET(INDIRECT(CELL("address",INDEX('Leave Tracker'!$A$8:$A$107,MATCH($A21,'Leave Tracker'!$A$8:$A$107,0)))),0,31*(VLOOKUP(O$1,Sprints[],5,FALSE))+DAY(VLOOKUP(O$1,Sprints[],2,FALSE)),1,VLOOKUP(O$1,Sprints[],4,FALSE))&lt;&gt;"")*(IF(OFFSET(INDIRECT(CELL("address",INDEX('Leave Tracker'!$A$8:$A$107,MATCH($A21,'Leave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4.8000000000000007</v>
      </c>
      <c r="P21">
        <f t="array" aca="1" ref="P21" ca="1">Sheet3!$W$2*$F21*(NETWORKDAYS(VLOOKUP(P$1,Sprints[],2,FALSE), VLOOKUP(P$1,Sprints[],3,FALSE))-SUMPRODUCT((OFFSET(INDIRECT(CELL("address",INDEX('Leave Tracker'!$A$8:$A$107,MATCH($A21,'Leave Tracker'!$A$8:$A$107,0)))),0,31*(VLOOKUP(P$1,Sprints[],5,FALSE))+DAY(VLOOKUP(P$1,Sprints[],2,FALSE)),1,VLOOKUP(P$1,Sprints[],4,FALSE))&lt;&gt;"")*(IF(OFFSET(INDIRECT(CELL("address",INDEX('Leave Tracker'!$A$8:$A$107,MATCH($A21,'Leave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1">
        <f t="array" aca="1" ref="Q21" ca="1">Sheet3!$W$2*$F21*(NETWORKDAYS(VLOOKUP(Q$1,Sprints[],2,FALSE), VLOOKUP(Q$1,Sprints[],3,FALSE))-SUMPRODUCT((OFFSET(INDIRECT(CELL("address",INDEX('Leave Tracker'!$A$8:$A$107,MATCH($A21,'Leave Tracker'!$A$8:$A$107,0)))),0,31*(VLOOKUP(Q$1,Sprints[],5,FALSE))+DAY(VLOOKUP(Q$1,Sprints[],2,FALSE)),1,VLOOKUP(Q$1,Sprints[],4,FALSE))&lt;&gt;"")*(IF(OFFSET(INDIRECT(CELL("address",INDEX('Leave Tracker'!$A$8:$A$107,MATCH($A21,'Leave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1">
        <f t="array" aca="1" ref="R21" ca="1">Sheet3!$W$2*$F21*(NETWORKDAYS(VLOOKUP(R$1,Sprints[],2,FALSE), VLOOKUP(R$1,Sprints[],3,FALSE))-SUMPRODUCT((OFFSET(INDIRECT(CELL("address",INDEX('Leave Tracker'!$A$8:$A$107,MATCH($A21,'Leave Tracker'!$A$8:$A$107,0)))),0,31*(VLOOKUP(R$1,Sprints[],5,FALSE))+DAY(VLOOKUP(R$1,Sprints[],2,FALSE)),1,VLOOKUP(R$1,Sprints[],4,FALSE))&lt;&gt;"")*(IF(OFFSET(INDIRECT(CELL("address",INDEX('Leave Tracker'!$A$8:$A$107,MATCH($A21,'Leave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3.6000000000000005</v>
      </c>
      <c r="S21" s="31">
        <f t="array" aca="1" ref="S21" ca="1">Sheet3!$W$2*$F21*(NETWORKDAYS(VLOOKUP(S$1,Sprints[],2,FALSE), VLOOKUP(S$1,Sprints[],3,FALSE))-SUMPRODUCT((OFFSET(INDIRECT(CELL("address",INDEX('Leave Tracker'!$A$8:$A$107,MATCH($A21,'Leave Tracker'!$A$8:$A$107,0)))),0,31*(VLOOKUP(S$1,Sprints[],5,FALSE))+DAY(VLOOKUP(S$1,Sprints[],2,FALSE)),1,VLOOKUP(S$1,Sprints[],4,FALSE))&lt;&gt;"")*(IF(OFFSET(INDIRECT(CELL("address",INDEX('Leave Tracker'!$A$8:$A$107,MATCH($A21,'Leave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4.2000000000000011</v>
      </c>
      <c r="T21" s="31">
        <f t="array" aca="1" ref="T21" ca="1">Sheet3!$W$2*$F21*(NETWORKDAYS(VLOOKUP(T$1,Sprints[],2,FALSE), VLOOKUP(T$1,Sprints[],3,FALSE))-SUMPRODUCT((OFFSET(INDIRECT(CELL("address",INDEX('Leave Tracker'!$A$8:$A$107,MATCH($A21,'Leave Tracker'!$A$8:$A$107,0)))),0,31*(VLOOKUP(T$1,Sprints[],5,FALSE))+DAY(VLOOKUP(T$1,Sprints[],2,FALSE)),1,VLOOKUP(T$1,Sprints[],4,FALSE))&lt;&gt;"")*(IF(OFFSET(INDIRECT(CELL("address",INDEX('Leave Tracker'!$A$8:$A$107,MATCH($A21,'Leave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1" s="78">
        <f t="array" aca="1" ref="U21" ca="1">Sheet3!$W$2*$F21*(NETWORKDAYS(VLOOKUP(U$1,Sprints[],2,FALSE), VLOOKUP(U$1,Sprints[],3,FALSE))-SUMPRODUCT((OFFSET(INDIRECT(CELL("address",INDEX('Leave Tracker'!$A$8:$A$107,MATCH($A21,'Leave Tracker'!$A$8:$A$107,0)))),0,31*(VLOOKUP(U$1,Sprints[],5,FALSE))+DAY(VLOOKUP(U$1,Sprints[],2,FALSE)),1,VLOOKUP(U$1,Sprints[],4,FALSE))&lt;&gt;"")*(IF(OFFSET(INDIRECT(CELL("address",INDEX('Leave Tracker'!$A$8:$A$107,MATCH($A21,'Leave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8.4000000000000021</v>
      </c>
    </row>
    <row r="22" spans="1:21" x14ac:dyDescent="0.45">
      <c r="A22" t="s">
        <v>79</v>
      </c>
      <c r="B22" s="45" t="s">
        <v>119</v>
      </c>
      <c r="C22" s="45" t="s">
        <v>117</v>
      </c>
      <c r="D22" s="45" t="s">
        <v>132</v>
      </c>
      <c r="E22" s="45" t="s">
        <v>126</v>
      </c>
      <c r="F22" s="47">
        <v>0.75</v>
      </c>
      <c r="G22" s="45">
        <f t="array" aca="1" ref="G22" ca="1">Sheet3!$W$2*$F22*(NETWORKDAYS(VLOOKUP(G$1,Sprints[],2,FALSE), VLOOKUP(G$1,Sprints[],3,FALSE))-SUMPRODUCT((OFFSET(INDIRECT(CELL("address",INDEX('Leave Tracker'!$A$8:$A$107,MATCH($A22,'Leave Tracker'!$A$8:$A$107,0)))),0,31*(VLOOKUP(G$1,Sprints[],5,FALSE))+DAY(VLOOKUP(G$1,Sprints[],2,FALSE)),1,VLOOKUP(G$1,Sprints[],4,FALSE))&lt;&gt;"")*(IF(OFFSET(INDIRECT(CELL("address",INDEX('Leave Tracker'!$A$8:$A$107,MATCH($A22,'Leave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2">
        <f t="array" aca="1" ref="H22" ca="1">Sheet3!$W$2*$F22*(NETWORKDAYS(VLOOKUP(H$1,Sprints[],2,FALSE), VLOOKUP(H$1,Sprints[],3,FALSE))-SUMPRODUCT((OFFSET(INDIRECT(CELL("address",INDEX('Leave Tracker'!$A$8:$A$107,MATCH($A22,'Leave Tracker'!$A$8:$A$107,0)))),0,31*(VLOOKUP(H$1,Sprints[],5,FALSE))+DAY(VLOOKUP(H$1,Sprints[],2,FALSE)),1,VLOOKUP(H$1,Sprints[],4,FALSE))&lt;&gt;"")*(IF(OFFSET(INDIRECT(CELL("address",INDEX('Leave Tracker'!$A$8:$A$107,MATCH($A22,'Leave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2">
        <f t="array" aca="1" ref="I22" ca="1">Sheet3!$W$2*$F22*(NETWORKDAYS(VLOOKUP(I$1,Sprints[],2,FALSE), VLOOKUP(I$1,Sprints[],3,FALSE))-SUMPRODUCT((OFFSET(INDIRECT(CELL("address",INDEX('Leave Tracker'!$A$8:$A$107,MATCH($A22,'Leave Tracker'!$A$8:$A$107,0)))),0,31*(VLOOKUP(I$1,Sprints[],5,FALSE))+DAY(VLOOKUP(I$1,Sprints[],2,FALSE)),1,VLOOKUP(I$1,Sprints[],4,FALSE))&lt;&gt;"")*(IF(OFFSET(INDIRECT(CELL("address",INDEX('Leave Tracker'!$A$8:$A$107,MATCH($A22,'Leave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2">
        <f t="array" aca="1" ref="J22" ca="1">Sheet3!$W$2*$F22*(NETWORKDAYS(VLOOKUP(J$1,Sprints[],2,FALSE), VLOOKUP(J$1,Sprints[],3,FALSE))-SUMPRODUCT((OFFSET(INDIRECT(CELL("address",INDEX('Leave Tracker'!$A$8:$A$107,MATCH($A22,'Leave Tracker'!$A$8:$A$107,0)))),0,31*(VLOOKUP(J$1,Sprints[],5,FALSE))+DAY(VLOOKUP(J$1,Sprints[],2,FALSE)),1,VLOOKUP(J$1,Sprints[],4,FALSE))&lt;&gt;"")*(IF(OFFSET(INDIRECT(CELL("address",INDEX('Leave Tracker'!$A$8:$A$107,MATCH($A22,'Leave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2.1000000000000005</v>
      </c>
      <c r="K22">
        <f t="array" aca="1" ref="K22" ca="1">Sheet3!$W$2*$F22*(NETWORKDAYS(VLOOKUP(K$1,Sprints[],2,FALSE), VLOOKUP(K$1,Sprints[],3,FALSE))-SUMPRODUCT((OFFSET(INDIRECT(CELL("address",INDEX('Leave Tracker'!$A$8:$A$107,MATCH($A22,'Leave Tracker'!$A$8:$A$107,0)))),0,31*(VLOOKUP(K$1,Sprints[],5,FALSE))+DAY(VLOOKUP(K$1,Sprints[],2,FALSE)),1,VLOOKUP(K$1,Sprints[],4,FALSE))&lt;&gt;"")*(IF(OFFSET(INDIRECT(CELL("address",INDEX('Leave Tracker'!$A$8:$A$107,MATCH($A22,'Leave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22">
        <f t="array" aca="1" ref="L22" ca="1">Sheet3!$W$2*$F22*(NETWORKDAYS(VLOOKUP(L$1,Sprints[],2,FALSE), VLOOKUP(L$1,Sprints[],3,FALSE))-SUMPRODUCT((OFFSET(INDIRECT(CELL("address",INDEX('Leave Tracker'!$A$8:$A$107,MATCH($A22,'Leave Tracker'!$A$8:$A$107,0)))),0,31*(VLOOKUP(L$1,Sprints[],5,FALSE))+DAY(VLOOKUP(L$1,Sprints[],2,FALSE)),1,VLOOKUP(L$1,Sprints[],4,FALSE))&lt;&gt;"")*(IF(OFFSET(INDIRECT(CELL("address",INDEX('Leave Tracker'!$A$8:$A$107,MATCH($A22,'Leave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22" s="45">
        <f t="array" aca="1" ref="M22" ca="1">Sheet3!$W$2*$F22*(NETWORKDAYS(VLOOKUP(M$1,Sprints[],2,FALSE), VLOOKUP(M$1,Sprints[],3,FALSE))-SUMPRODUCT((OFFSET(INDIRECT(CELL("address",INDEX('Leave Tracker'!$A$8:$A$107,MATCH($A22,'Leave Tracker'!$A$8:$A$107,0)))),0,31*(VLOOKUP(M$1,Sprints[],5,FALSE))+DAY(VLOOKUP(M$1,Sprints[],2,FALSE)),1,VLOOKUP(M$1,Sprints[],4,FALSE))&lt;&gt;"")*(IF(OFFSET(INDIRECT(CELL("address",INDEX('Leave Tracker'!$A$8:$A$107,MATCH($A22,'Leave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22">
        <f t="array" aca="1" ref="N22" ca="1">Sheet3!$W$2*$F22*(NETWORKDAYS(VLOOKUP(N$1,Sprints[],2,FALSE), VLOOKUP(N$1,Sprints[],3,FALSE))-SUMPRODUCT((OFFSET(INDIRECT(CELL("address",INDEX('Leave Tracker'!$A$8:$A$107,MATCH($A22,'Leave Tracker'!$A$8:$A$107,0)))),0,31*(VLOOKUP(N$1,Sprints[],5,FALSE))+DAY(VLOOKUP(N$1,Sprints[],2,FALSE)),1,VLOOKUP(N$1,Sprints[],4,FALSE))&lt;&gt;"")*(IF(OFFSET(INDIRECT(CELL("address",INDEX('Leave Tracker'!$A$8:$A$107,MATCH($A22,'Leave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22">
        <f t="array" aca="1" ref="O22" ca="1">Sheet3!$W$2*$F22*(NETWORKDAYS(VLOOKUP(O$1,Sprints[],2,FALSE), VLOOKUP(O$1,Sprints[],3,FALSE))-SUMPRODUCT((OFFSET(INDIRECT(CELL("address",INDEX('Leave Tracker'!$A$8:$A$107,MATCH($A22,'Leave Tracker'!$A$8:$A$107,0)))),0,31*(VLOOKUP(O$1,Sprints[],5,FALSE))+DAY(VLOOKUP(O$1,Sprints[],2,FALSE)),1,VLOOKUP(O$1,Sprints[],4,FALSE))&lt;&gt;"")*(IF(OFFSET(INDIRECT(CELL("address",INDEX('Leave Tracker'!$A$8:$A$107,MATCH($A22,'Leave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22">
        <f t="array" aca="1" ref="P22" ca="1">Sheet3!$W$2*$F22*(NETWORKDAYS(VLOOKUP(P$1,Sprints[],2,FALSE), VLOOKUP(P$1,Sprints[],3,FALSE))-SUMPRODUCT((OFFSET(INDIRECT(CELL("address",INDEX('Leave Tracker'!$A$8:$A$107,MATCH($A22,'Leave Tracker'!$A$8:$A$107,0)))),0,31*(VLOOKUP(P$1,Sprints[],5,FALSE))+DAY(VLOOKUP(P$1,Sprints[],2,FALSE)),1,VLOOKUP(P$1,Sprints[],4,FALSE))&lt;&gt;"")*(IF(OFFSET(INDIRECT(CELL("address",INDEX('Leave Tracker'!$A$8:$A$107,MATCH($A22,'Leave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2">
        <f t="array" aca="1" ref="Q22" ca="1">Sheet3!$W$2*$F22*(NETWORKDAYS(VLOOKUP(Q$1,Sprints[],2,FALSE), VLOOKUP(Q$1,Sprints[],3,FALSE))-SUMPRODUCT((OFFSET(INDIRECT(CELL("address",INDEX('Leave Tracker'!$A$8:$A$107,MATCH($A22,'Leave Tracker'!$A$8:$A$107,0)))),0,31*(VLOOKUP(Q$1,Sprints[],5,FALSE))+DAY(VLOOKUP(Q$1,Sprints[],2,FALSE)),1,VLOOKUP(Q$1,Sprints[],4,FALSE))&lt;&gt;"")*(IF(OFFSET(INDIRECT(CELL("address",INDEX('Leave Tracker'!$A$8:$A$107,MATCH($A22,'Leave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2">
        <f t="array" aca="1" ref="R22" ca="1">Sheet3!$W$2*$F22*(NETWORKDAYS(VLOOKUP(R$1,Sprints[],2,FALSE), VLOOKUP(R$1,Sprints[],3,FALSE))-SUMPRODUCT((OFFSET(INDIRECT(CELL("address",INDEX('Leave Tracker'!$A$8:$A$107,MATCH($A22,'Leave Tracker'!$A$8:$A$107,0)))),0,31*(VLOOKUP(R$1,Sprints[],5,FALSE))+DAY(VLOOKUP(R$1,Sprints[],2,FALSE)),1,VLOOKUP(R$1,Sprints[],4,FALSE))&lt;&gt;"")*(IF(OFFSET(INDIRECT(CELL("address",INDEX('Leave Tracker'!$A$8:$A$107,MATCH($A22,'Leave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3.6000000000000005</v>
      </c>
      <c r="S22" s="31">
        <f t="array" aca="1" ref="S22" ca="1">Sheet3!$W$2*$F22*(NETWORKDAYS(VLOOKUP(S$1,Sprints[],2,FALSE), VLOOKUP(S$1,Sprints[],3,FALSE))-SUMPRODUCT((OFFSET(INDIRECT(CELL("address",INDEX('Leave Tracker'!$A$8:$A$107,MATCH($A22,'Leave Tracker'!$A$8:$A$107,0)))),0,31*(VLOOKUP(S$1,Sprints[],5,FALSE))+DAY(VLOOKUP(S$1,Sprints[],2,FALSE)),1,VLOOKUP(S$1,Sprints[],4,FALSE))&lt;&gt;"")*(IF(OFFSET(INDIRECT(CELL("address",INDEX('Leave Tracker'!$A$8:$A$107,MATCH($A22,'Leave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2" s="31">
        <f t="array" aca="1" ref="T22" ca="1">Sheet3!$W$2*$F22*(NETWORKDAYS(VLOOKUP(T$1,Sprints[],2,FALSE), VLOOKUP(T$1,Sprints[],3,FALSE))-SUMPRODUCT((OFFSET(INDIRECT(CELL("address",INDEX('Leave Tracker'!$A$8:$A$107,MATCH($A22,'Leave Tracker'!$A$8:$A$107,0)))),0,31*(VLOOKUP(T$1,Sprints[],5,FALSE))+DAY(VLOOKUP(T$1,Sprints[],2,FALSE)),1,VLOOKUP(T$1,Sprints[],4,FALSE))&lt;&gt;"")*(IF(OFFSET(INDIRECT(CELL("address",INDEX('Leave Tracker'!$A$8:$A$107,MATCH($A22,'Leave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2" s="78">
        <f t="array" aca="1" ref="U22" ca="1">Sheet3!$W$2*$F22*(NETWORKDAYS(VLOOKUP(U$1,Sprints[],2,FALSE), VLOOKUP(U$1,Sprints[],3,FALSE))-SUMPRODUCT((OFFSET(INDIRECT(CELL("address",INDEX('Leave Tracker'!$A$8:$A$107,MATCH($A22,'Leave Tracker'!$A$8:$A$107,0)))),0,31*(VLOOKUP(U$1,Sprints[],5,FALSE))+DAY(VLOOKUP(U$1,Sprints[],2,FALSE)),1,VLOOKUP(U$1,Sprints[],4,FALSE))&lt;&gt;"")*(IF(OFFSET(INDIRECT(CELL("address",INDEX('Leave Tracker'!$A$8:$A$107,MATCH($A22,'Leave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11.400000000000002</v>
      </c>
    </row>
    <row r="23" spans="1:21" x14ac:dyDescent="0.45">
      <c r="A23" s="66" t="s">
        <v>80</v>
      </c>
      <c r="B23" s="66" t="s">
        <v>119</v>
      </c>
      <c r="C23" s="66" t="s">
        <v>117</v>
      </c>
      <c r="D23" s="66" t="s">
        <v>132</v>
      </c>
      <c r="E23" s="66" t="s">
        <v>125</v>
      </c>
      <c r="F23" s="67">
        <v>0.75</v>
      </c>
      <c r="G23" s="66">
        <f t="array" aca="1" ref="G23" ca="1">Sheet3!$W$2*$F23*(NETWORKDAYS(VLOOKUP(G$1,Sprints[],2,FALSE), VLOOKUP(G$1,Sprints[],3,FALSE))-SUMPRODUCT((OFFSET(INDIRECT(CELL("address",INDEX('Leave Tracker'!$A$8:$A$107,MATCH($A23,'Leave Tracker'!$A$8:$A$107,0)))),0,31*(VLOOKUP(G$1,Sprints[],5,FALSE))+DAY(VLOOKUP(G$1,Sprints[],2,FALSE)),1,VLOOKUP(G$1,Sprints[],4,FALSE))&lt;&gt;"")*(IF(OFFSET(INDIRECT(CELL("address",INDEX('Leave Tracker'!$A$8:$A$107,MATCH($A23,'Leave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23" s="66">
        <f t="array" aca="1" ref="H23" ca="1">Sheet3!$W$2*$F23*(NETWORKDAYS(VLOOKUP(H$1,Sprints[],2,FALSE), VLOOKUP(H$1,Sprints[],3,FALSE))-SUMPRODUCT((OFFSET(INDIRECT(CELL("address",INDEX('Leave Tracker'!$A$8:$A$107,MATCH($A23,'Leave Tracker'!$A$8:$A$107,0)))),0,31*(VLOOKUP(H$1,Sprints[],5,FALSE))+DAY(VLOOKUP(H$1,Sprints[],2,FALSE)),1,VLOOKUP(H$1,Sprints[],4,FALSE))&lt;&gt;"")*(IF(OFFSET(INDIRECT(CELL("address",INDEX('Leave Tracker'!$A$8:$A$107,MATCH($A23,'Leave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3" s="66">
        <f t="array" aca="1" ref="I23" ca="1">Sheet3!$W$2*$F23*(NETWORKDAYS(VLOOKUP(I$1,Sprints[],2,FALSE), VLOOKUP(I$1,Sprints[],3,FALSE))-SUMPRODUCT((OFFSET(INDIRECT(CELL("address",INDEX('Leave Tracker'!$A$8:$A$107,MATCH($A23,'Leave Tracker'!$A$8:$A$107,0)))),0,31*(VLOOKUP(I$1,Sprints[],5,FALSE))+DAY(VLOOKUP(I$1,Sprints[],2,FALSE)),1,VLOOKUP(I$1,Sprints[],4,FALSE))&lt;&gt;"")*(IF(OFFSET(INDIRECT(CELL("address",INDEX('Leave Tracker'!$A$8:$A$107,MATCH($A23,'Leave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3" s="66">
        <f t="array" aca="1" ref="J23" ca="1">Sheet3!$W$2*$F23*(NETWORKDAYS(VLOOKUP(J$1,Sprints[],2,FALSE), VLOOKUP(J$1,Sprints[],3,FALSE))-SUMPRODUCT((OFFSET(INDIRECT(CELL("address",INDEX('Leave Tracker'!$A$8:$A$107,MATCH($A23,'Leave Tracker'!$A$8:$A$107,0)))),0,31*(VLOOKUP(J$1,Sprints[],5,FALSE))+DAY(VLOOKUP(J$1,Sprints[],2,FALSE)),1,VLOOKUP(J$1,Sprints[],4,FALSE))&lt;&gt;"")*(IF(OFFSET(INDIRECT(CELL("address",INDEX('Leave Tracker'!$A$8:$A$107,MATCH($A23,'Leave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3" s="66">
        <f t="array" aca="1" ref="K23" ca="1">Sheet3!$W$2*$F23*(NETWORKDAYS(VLOOKUP(K$1,Sprints[],2,FALSE), VLOOKUP(K$1,Sprints[],3,FALSE))-SUMPRODUCT((OFFSET(INDIRECT(CELL("address",INDEX('Leave Tracker'!$A$8:$A$107,MATCH($A23,'Leave Tracker'!$A$8:$A$107,0)))),0,31*(VLOOKUP(K$1,Sprints[],5,FALSE))+DAY(VLOOKUP(K$1,Sprints[],2,FALSE)),1,VLOOKUP(K$1,Sprints[],4,FALSE))&lt;&gt;"")*(IF(OFFSET(INDIRECT(CELL("address",INDEX('Leave Tracker'!$A$8:$A$107,MATCH($A23,'Leave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3" s="66">
        <f t="array" aca="1" ref="L23" ca="1">Sheet3!$W$2*$F23*(NETWORKDAYS(VLOOKUP(L$1,Sprints[],2,FALSE), VLOOKUP(L$1,Sprints[],3,FALSE))-SUMPRODUCT((OFFSET(INDIRECT(CELL("address",INDEX('Leave Tracker'!$A$8:$A$107,MATCH($A23,'Leave Tracker'!$A$8:$A$107,0)))),0,31*(VLOOKUP(L$1,Sprints[],5,FALSE))+DAY(VLOOKUP(L$1,Sprints[],2,FALSE)),1,VLOOKUP(L$1,Sprints[],4,FALSE))&lt;&gt;"")*(IF(OFFSET(INDIRECT(CELL("address",INDEX('Leave Tracker'!$A$8:$A$107,MATCH($A23,'Leave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3" s="66">
        <f t="array" aca="1" ref="M23" ca="1">Sheet3!$W$2*$F23*(NETWORKDAYS(VLOOKUP(M$1,Sprints[],2,FALSE), VLOOKUP(M$1,Sprints[],3,FALSE))-SUMPRODUCT((OFFSET(INDIRECT(CELL("address",INDEX('Leave Tracker'!$A$8:$A$107,MATCH($A23,'Leave Tracker'!$A$8:$A$107,0)))),0,31*(VLOOKUP(M$1,Sprints[],5,FALSE))+DAY(VLOOKUP(M$1,Sprints[],2,FALSE)),1,VLOOKUP(M$1,Sprints[],4,FALSE))&lt;&gt;"")*(IF(OFFSET(INDIRECT(CELL("address",INDEX('Leave Tracker'!$A$8:$A$107,MATCH($A23,'Leave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3" s="66">
        <f t="array" aca="1" ref="N23" ca="1">Sheet3!$W$2*$F23*(NETWORKDAYS(VLOOKUP(N$1,Sprints[],2,FALSE), VLOOKUP(N$1,Sprints[],3,FALSE))-SUMPRODUCT((OFFSET(INDIRECT(CELL("address",INDEX('Leave Tracker'!$A$8:$A$107,MATCH($A23,'Leave Tracker'!$A$8:$A$107,0)))),0,31*(VLOOKUP(N$1,Sprints[],5,FALSE))+DAY(VLOOKUP(N$1,Sprints[],2,FALSE)),1,VLOOKUP(N$1,Sprints[],4,FALSE))&lt;&gt;"")*(IF(OFFSET(INDIRECT(CELL("address",INDEX('Leave Tracker'!$A$8:$A$107,MATCH($A23,'Leave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3" s="66">
        <f t="array" aca="1" ref="O23" ca="1">Sheet3!$W$2*$F23*(NETWORKDAYS(VLOOKUP(O$1,Sprints[],2,FALSE), VLOOKUP(O$1,Sprints[],3,FALSE))-SUMPRODUCT((OFFSET(INDIRECT(CELL("address",INDEX('Leave Tracker'!$A$8:$A$107,MATCH($A23,'Leave Tracker'!$A$8:$A$107,0)))),0,31*(VLOOKUP(O$1,Sprints[],5,FALSE))+DAY(VLOOKUP(O$1,Sprints[],2,FALSE)),1,VLOOKUP(O$1,Sprints[],4,FALSE))&lt;&gt;"")*(IF(OFFSET(INDIRECT(CELL("address",INDEX('Leave Tracker'!$A$8:$A$107,MATCH($A23,'Leave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3" s="66">
        <f t="array" aca="1" ref="P23" ca="1">Sheet3!$W$2*$F23*(NETWORKDAYS(VLOOKUP(P$1,Sprints[],2,FALSE), VLOOKUP(P$1,Sprints[],3,FALSE))-SUMPRODUCT((OFFSET(INDIRECT(CELL("address",INDEX('Leave Tracker'!$A$8:$A$107,MATCH($A23,'Leave Tracker'!$A$8:$A$107,0)))),0,31*(VLOOKUP(P$1,Sprints[],5,FALSE))+DAY(VLOOKUP(P$1,Sprints[],2,FALSE)),1,VLOOKUP(P$1,Sprints[],4,FALSE))&lt;&gt;"")*(IF(OFFSET(INDIRECT(CELL("address",INDEX('Leave Tracker'!$A$8:$A$107,MATCH($A23,'Leave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3" s="66">
        <f t="array" aca="1" ref="Q23" ca="1">Sheet3!$W$2*$F23*(NETWORKDAYS(VLOOKUP(Q$1,Sprints[],2,FALSE), VLOOKUP(Q$1,Sprints[],3,FALSE))-SUMPRODUCT((OFFSET(INDIRECT(CELL("address",INDEX('Leave Tracker'!$A$8:$A$107,MATCH($A23,'Leave Tracker'!$A$8:$A$107,0)))),0,31*(VLOOKUP(Q$1,Sprints[],5,FALSE))+DAY(VLOOKUP(Q$1,Sprints[],2,FALSE)),1,VLOOKUP(Q$1,Sprints[],4,FALSE))&lt;&gt;"")*(IF(OFFSET(INDIRECT(CELL("address",INDEX('Leave Tracker'!$A$8:$A$107,MATCH($A23,'Leave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3" s="66">
        <f t="array" aca="1" ref="R23" ca="1">Sheet3!$W$2*$F23*(NETWORKDAYS(VLOOKUP(R$1,Sprints[],2,FALSE), VLOOKUP(R$1,Sprints[],3,FALSE))-SUMPRODUCT((OFFSET(INDIRECT(CELL("address",INDEX('Leave Tracker'!$A$8:$A$107,MATCH($A23,'Leave Tracker'!$A$8:$A$107,0)))),0,31*(VLOOKUP(R$1,Sprints[],5,FALSE))+DAY(VLOOKUP(R$1,Sprints[],2,FALSE)),1,VLOOKUP(R$1,Sprints[],4,FALSE))&lt;&gt;"")*(IF(OFFSET(INDIRECT(CELL("address",INDEX('Leave Tracker'!$A$8:$A$107,MATCH($A23,'Leave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3" s="68">
        <f t="array" aca="1" ref="S23" ca="1">Sheet3!$W$2*$F23*(NETWORKDAYS(VLOOKUP(S$1,Sprints[],2,FALSE), VLOOKUP(S$1,Sprints[],3,FALSE))-SUMPRODUCT((OFFSET(INDIRECT(CELL("address",INDEX('Leave Tracker'!$A$8:$A$107,MATCH($A23,'Leave Tracker'!$A$8:$A$107,0)))),0,31*(VLOOKUP(S$1,Sprints[],5,FALSE))+DAY(VLOOKUP(S$1,Sprints[],2,FALSE)),1,VLOOKUP(S$1,Sprints[],4,FALSE))&lt;&gt;"")*(IF(OFFSET(INDIRECT(CELL("address",INDEX('Leave Tracker'!$A$8:$A$107,MATCH($A23,'Leave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3" s="68">
        <f t="array" aca="1" ref="T23" ca="1">Sheet3!$W$2*$F23*(NETWORKDAYS(VLOOKUP(T$1,Sprints[],2,FALSE), VLOOKUP(T$1,Sprints[],3,FALSE))-SUMPRODUCT((OFFSET(INDIRECT(CELL("address",INDEX('Leave Tracker'!$A$8:$A$107,MATCH($A23,'Leave Tracker'!$A$8:$A$107,0)))),0,31*(VLOOKUP(T$1,Sprints[],5,FALSE))+DAY(VLOOKUP(T$1,Sprints[],2,FALSE)),1,VLOOKUP(T$1,Sprints[],4,FALSE))&lt;&gt;"")*(IF(OFFSET(INDIRECT(CELL("address",INDEX('Leave Tracker'!$A$8:$A$107,MATCH($A23,'Leave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3" s="79">
        <f t="array" aca="1" ref="U23" ca="1">Sheet3!$W$2*$F23*(NETWORKDAYS(VLOOKUP(U$1,Sprints[],2,FALSE), VLOOKUP(U$1,Sprints[],3,FALSE))-SUMPRODUCT((OFFSET(INDIRECT(CELL("address",INDEX('Leave Tracker'!$A$8:$A$107,MATCH($A23,'Leave Tracker'!$A$8:$A$107,0)))),0,31*(VLOOKUP(U$1,Sprints[],5,FALSE))+DAY(VLOOKUP(U$1,Sprints[],2,FALSE)),1,VLOOKUP(U$1,Sprints[],4,FALSE))&lt;&gt;"")*(IF(OFFSET(INDIRECT(CELL("address",INDEX('Leave Tracker'!$A$8:$A$107,MATCH($A23,'Leave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4" spans="1:21" x14ac:dyDescent="0.45">
      <c r="A24" s="66" t="s">
        <v>81</v>
      </c>
      <c r="B24" s="66" t="s">
        <v>119</v>
      </c>
      <c r="C24" s="66" t="s">
        <v>117</v>
      </c>
      <c r="D24" s="66" t="s">
        <v>133</v>
      </c>
      <c r="E24" s="66" t="s">
        <v>127</v>
      </c>
      <c r="F24" s="67">
        <v>0.75</v>
      </c>
      <c r="G24" s="66">
        <f t="array" aca="1" ref="G24" ca="1">Sheet3!$W$2*$F24*(NETWORKDAYS(VLOOKUP(G$1,Sprints[],2,FALSE), VLOOKUP(G$1,Sprints[],3,FALSE))-SUMPRODUCT((OFFSET(INDIRECT(CELL("address",INDEX('Leave Tracker'!$A$8:$A$107,MATCH($A24,'Leave Tracker'!$A$8:$A$107,0)))),0,31*(VLOOKUP(G$1,Sprints[],5,FALSE))+DAY(VLOOKUP(G$1,Sprints[],2,FALSE)),1,VLOOKUP(G$1,Sprints[],4,FALSE))&lt;&gt;"")*(IF(OFFSET(INDIRECT(CELL("address",INDEX('Leave Tracker'!$A$8:$A$107,MATCH($A24,'Leave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24" s="66">
        <f t="array" aca="1" ref="H24" ca="1">Sheet3!$W$2*$F24*(NETWORKDAYS(VLOOKUP(H$1,Sprints[],2,FALSE), VLOOKUP(H$1,Sprints[],3,FALSE))-SUMPRODUCT((OFFSET(INDIRECT(CELL("address",INDEX('Leave Tracker'!$A$8:$A$107,MATCH($A24,'Leave Tracker'!$A$8:$A$107,0)))),0,31*(VLOOKUP(H$1,Sprints[],5,FALSE))+DAY(VLOOKUP(H$1,Sprints[],2,FALSE)),1,VLOOKUP(H$1,Sprints[],4,FALSE))&lt;&gt;"")*(IF(OFFSET(INDIRECT(CELL("address",INDEX('Leave Tracker'!$A$8:$A$107,MATCH($A24,'Leave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4" s="66">
        <f t="array" aca="1" ref="I24" ca="1">Sheet3!$W$2*$F24*(NETWORKDAYS(VLOOKUP(I$1,Sprints[],2,FALSE), VLOOKUP(I$1,Sprints[],3,FALSE))-SUMPRODUCT((OFFSET(INDIRECT(CELL("address",INDEX('Leave Tracker'!$A$8:$A$107,MATCH($A24,'Leave Tracker'!$A$8:$A$107,0)))),0,31*(VLOOKUP(I$1,Sprints[],5,FALSE))+DAY(VLOOKUP(I$1,Sprints[],2,FALSE)),1,VLOOKUP(I$1,Sprints[],4,FALSE))&lt;&gt;"")*(IF(OFFSET(INDIRECT(CELL("address",INDEX('Leave Tracker'!$A$8:$A$107,MATCH($A24,'Leave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4" s="66">
        <f t="array" aca="1" ref="J24" ca="1">Sheet3!$W$2*$F24*(NETWORKDAYS(VLOOKUP(J$1,Sprints[],2,FALSE), VLOOKUP(J$1,Sprints[],3,FALSE))-SUMPRODUCT((OFFSET(INDIRECT(CELL("address",INDEX('Leave Tracker'!$A$8:$A$107,MATCH($A24,'Leave Tracker'!$A$8:$A$107,0)))),0,31*(VLOOKUP(J$1,Sprints[],5,FALSE))+DAY(VLOOKUP(J$1,Sprints[],2,FALSE)),1,VLOOKUP(J$1,Sprints[],4,FALSE))&lt;&gt;"")*(IF(OFFSET(INDIRECT(CELL("address",INDEX('Leave Tracker'!$A$8:$A$107,MATCH($A24,'Leave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4" s="66">
        <f t="array" aca="1" ref="K24" ca="1">Sheet3!$W$2*$F24*(NETWORKDAYS(VLOOKUP(K$1,Sprints[],2,FALSE), VLOOKUP(K$1,Sprints[],3,FALSE))-SUMPRODUCT((OFFSET(INDIRECT(CELL("address",INDEX('Leave Tracker'!$A$8:$A$107,MATCH($A24,'Leave Tracker'!$A$8:$A$107,0)))),0,31*(VLOOKUP(K$1,Sprints[],5,FALSE))+DAY(VLOOKUP(K$1,Sprints[],2,FALSE)),1,VLOOKUP(K$1,Sprints[],4,FALSE))&lt;&gt;"")*(IF(OFFSET(INDIRECT(CELL("address",INDEX('Leave Tracker'!$A$8:$A$107,MATCH($A24,'Leave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4" s="66">
        <f t="array" aca="1" ref="L24" ca="1">Sheet3!$W$2*$F24*(NETWORKDAYS(VLOOKUP(L$1,Sprints[],2,FALSE), VLOOKUP(L$1,Sprints[],3,FALSE))-SUMPRODUCT((OFFSET(INDIRECT(CELL("address",INDEX('Leave Tracker'!$A$8:$A$107,MATCH($A24,'Leave Tracker'!$A$8:$A$107,0)))),0,31*(VLOOKUP(L$1,Sprints[],5,FALSE))+DAY(VLOOKUP(L$1,Sprints[],2,FALSE)),1,VLOOKUP(L$1,Sprints[],4,FALSE))&lt;&gt;"")*(IF(OFFSET(INDIRECT(CELL("address",INDEX('Leave Tracker'!$A$8:$A$107,MATCH($A24,'Leave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4" s="66">
        <f t="array" aca="1" ref="M24" ca="1">Sheet3!$W$2*$F24*(NETWORKDAYS(VLOOKUP(M$1,Sprints[],2,FALSE), VLOOKUP(M$1,Sprints[],3,FALSE))-SUMPRODUCT((OFFSET(INDIRECT(CELL("address",INDEX('Leave Tracker'!$A$8:$A$107,MATCH($A24,'Leave Tracker'!$A$8:$A$107,0)))),0,31*(VLOOKUP(M$1,Sprints[],5,FALSE))+DAY(VLOOKUP(M$1,Sprints[],2,FALSE)),1,VLOOKUP(M$1,Sprints[],4,FALSE))&lt;&gt;"")*(IF(OFFSET(INDIRECT(CELL("address",INDEX('Leave Tracker'!$A$8:$A$107,MATCH($A24,'Leave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4" s="66">
        <f t="array" aca="1" ref="N24" ca="1">Sheet3!$W$2*$F24*(NETWORKDAYS(VLOOKUP(N$1,Sprints[],2,FALSE), VLOOKUP(N$1,Sprints[],3,FALSE))-SUMPRODUCT((OFFSET(INDIRECT(CELL("address",INDEX('Leave Tracker'!$A$8:$A$107,MATCH($A24,'Leave Tracker'!$A$8:$A$107,0)))),0,31*(VLOOKUP(N$1,Sprints[],5,FALSE))+DAY(VLOOKUP(N$1,Sprints[],2,FALSE)),1,VLOOKUP(N$1,Sprints[],4,FALSE))&lt;&gt;"")*(IF(OFFSET(INDIRECT(CELL("address",INDEX('Leave Tracker'!$A$8:$A$107,MATCH($A24,'Leave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4" s="66">
        <f t="array" aca="1" ref="O24" ca="1">Sheet3!$W$2*$F24*(NETWORKDAYS(VLOOKUP(O$1,Sprints[],2,FALSE), VLOOKUP(O$1,Sprints[],3,FALSE))-SUMPRODUCT((OFFSET(INDIRECT(CELL("address",INDEX('Leave Tracker'!$A$8:$A$107,MATCH($A24,'Leave Tracker'!$A$8:$A$107,0)))),0,31*(VLOOKUP(O$1,Sprints[],5,FALSE))+DAY(VLOOKUP(O$1,Sprints[],2,FALSE)),1,VLOOKUP(O$1,Sprints[],4,FALSE))&lt;&gt;"")*(IF(OFFSET(INDIRECT(CELL("address",INDEX('Leave Tracker'!$A$8:$A$107,MATCH($A24,'Leave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4" s="66">
        <f t="array" aca="1" ref="P24" ca="1">Sheet3!$W$2*$F24*(NETWORKDAYS(VLOOKUP(P$1,Sprints[],2,FALSE), VLOOKUP(P$1,Sprints[],3,FALSE))-SUMPRODUCT((OFFSET(INDIRECT(CELL("address",INDEX('Leave Tracker'!$A$8:$A$107,MATCH($A24,'Leave Tracker'!$A$8:$A$107,0)))),0,31*(VLOOKUP(P$1,Sprints[],5,FALSE))+DAY(VLOOKUP(P$1,Sprints[],2,FALSE)),1,VLOOKUP(P$1,Sprints[],4,FALSE))&lt;&gt;"")*(IF(OFFSET(INDIRECT(CELL("address",INDEX('Leave Tracker'!$A$8:$A$107,MATCH($A24,'Leave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4" s="66">
        <f t="array" aca="1" ref="Q24" ca="1">Sheet3!$W$2*$F24*(NETWORKDAYS(VLOOKUP(Q$1,Sprints[],2,FALSE), VLOOKUP(Q$1,Sprints[],3,FALSE))-SUMPRODUCT((OFFSET(INDIRECT(CELL("address",INDEX('Leave Tracker'!$A$8:$A$107,MATCH($A24,'Leave Tracker'!$A$8:$A$107,0)))),0,31*(VLOOKUP(Q$1,Sprints[],5,FALSE))+DAY(VLOOKUP(Q$1,Sprints[],2,FALSE)),1,VLOOKUP(Q$1,Sprints[],4,FALSE))&lt;&gt;"")*(IF(OFFSET(INDIRECT(CELL("address",INDEX('Leave Tracker'!$A$8:$A$107,MATCH($A24,'Leave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4" s="66">
        <f t="array" aca="1" ref="R24" ca="1">Sheet3!$W$2*$F24*(NETWORKDAYS(VLOOKUP(R$1,Sprints[],2,FALSE), VLOOKUP(R$1,Sprints[],3,FALSE))-SUMPRODUCT((OFFSET(INDIRECT(CELL("address",INDEX('Leave Tracker'!$A$8:$A$107,MATCH($A24,'Leave Tracker'!$A$8:$A$107,0)))),0,31*(VLOOKUP(R$1,Sprints[],5,FALSE))+DAY(VLOOKUP(R$1,Sprints[],2,FALSE)),1,VLOOKUP(R$1,Sprints[],4,FALSE))&lt;&gt;"")*(IF(OFFSET(INDIRECT(CELL("address",INDEX('Leave Tracker'!$A$8:$A$107,MATCH($A24,'Leave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4" s="68">
        <f t="array" aca="1" ref="S24" ca="1">Sheet3!$W$2*$F24*(NETWORKDAYS(VLOOKUP(S$1,Sprints[],2,FALSE), VLOOKUP(S$1,Sprints[],3,FALSE))-SUMPRODUCT((OFFSET(INDIRECT(CELL("address",INDEX('Leave Tracker'!$A$8:$A$107,MATCH($A24,'Leave Tracker'!$A$8:$A$107,0)))),0,31*(VLOOKUP(S$1,Sprints[],5,FALSE))+DAY(VLOOKUP(S$1,Sprints[],2,FALSE)),1,VLOOKUP(S$1,Sprints[],4,FALSE))&lt;&gt;"")*(IF(OFFSET(INDIRECT(CELL("address",INDEX('Leave Tracker'!$A$8:$A$107,MATCH($A24,'Leave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4" s="68">
        <f t="array" aca="1" ref="T24" ca="1">Sheet3!$W$2*$F24*(NETWORKDAYS(VLOOKUP(T$1,Sprints[],2,FALSE), VLOOKUP(T$1,Sprints[],3,FALSE))-SUMPRODUCT((OFFSET(INDIRECT(CELL("address",INDEX('Leave Tracker'!$A$8:$A$107,MATCH($A24,'Leave Tracker'!$A$8:$A$107,0)))),0,31*(VLOOKUP(T$1,Sprints[],5,FALSE))+DAY(VLOOKUP(T$1,Sprints[],2,FALSE)),1,VLOOKUP(T$1,Sprints[],4,FALSE))&lt;&gt;"")*(IF(OFFSET(INDIRECT(CELL("address",INDEX('Leave Tracker'!$A$8:$A$107,MATCH($A24,'Leave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4" s="79">
        <f t="array" aca="1" ref="U24" ca="1">Sheet3!$W$2*$F24*(NETWORKDAYS(VLOOKUP(U$1,Sprints[],2,FALSE), VLOOKUP(U$1,Sprints[],3,FALSE))-SUMPRODUCT((OFFSET(INDIRECT(CELL("address",INDEX('Leave Tracker'!$A$8:$A$107,MATCH($A24,'Leave Tracker'!$A$8:$A$107,0)))),0,31*(VLOOKUP(U$1,Sprints[],5,FALSE))+DAY(VLOOKUP(U$1,Sprints[],2,FALSE)),1,VLOOKUP(U$1,Sprints[],4,FALSE))&lt;&gt;"")*(IF(OFFSET(INDIRECT(CELL("address",INDEX('Leave Tracker'!$A$8:$A$107,MATCH($A24,'Leave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5" spans="1:21" x14ac:dyDescent="0.45">
      <c r="A25" s="66" t="s">
        <v>82</v>
      </c>
      <c r="B25" s="66" t="s">
        <v>119</v>
      </c>
      <c r="C25" s="66" t="s">
        <v>117</v>
      </c>
      <c r="D25" s="66" t="s">
        <v>133</v>
      </c>
      <c r="E25" s="66" t="s">
        <v>128</v>
      </c>
      <c r="F25" s="67">
        <v>0.75</v>
      </c>
      <c r="G25" s="66">
        <f t="array" aca="1" ref="G25" ca="1">Sheet3!$W$2*$F25*(NETWORKDAYS(VLOOKUP(G$1,Sprints[],2,FALSE), VLOOKUP(G$1,Sprints[],3,FALSE))-SUMPRODUCT((OFFSET(INDIRECT(CELL("address",INDEX('Leave Tracker'!$A$8:$A$107,MATCH($A25,'Leave Tracker'!$A$8:$A$107,0)))),0,31*(VLOOKUP(G$1,Sprints[],5,FALSE))+DAY(VLOOKUP(G$1,Sprints[],2,FALSE)),1,VLOOKUP(G$1,Sprints[],4,FALSE))&lt;&gt;"")*(IF(OFFSET(INDIRECT(CELL("address",INDEX('Leave Tracker'!$A$8:$A$107,MATCH($A25,'Leave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5" s="66">
        <f t="array" aca="1" ref="H25" ca="1">Sheet3!$W$2*$F25*(NETWORKDAYS(VLOOKUP(H$1,Sprints[],2,FALSE), VLOOKUP(H$1,Sprints[],3,FALSE))-SUMPRODUCT((OFFSET(INDIRECT(CELL("address",INDEX('Leave Tracker'!$A$8:$A$107,MATCH($A25,'Leave Tracker'!$A$8:$A$107,0)))),0,31*(VLOOKUP(H$1,Sprints[],5,FALSE))+DAY(VLOOKUP(H$1,Sprints[],2,FALSE)),1,VLOOKUP(H$1,Sprints[],4,FALSE))&lt;&gt;"")*(IF(OFFSET(INDIRECT(CELL("address",INDEX('Leave Tracker'!$A$8:$A$107,MATCH($A25,'Leave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5" s="66">
        <f t="array" aca="1" ref="I25" ca="1">Sheet3!$W$2*$F25*(NETWORKDAYS(VLOOKUP(I$1,Sprints[],2,FALSE), VLOOKUP(I$1,Sprints[],3,FALSE))-SUMPRODUCT((OFFSET(INDIRECT(CELL("address",INDEX('Leave Tracker'!$A$8:$A$107,MATCH($A25,'Leave Tracker'!$A$8:$A$107,0)))),0,31*(VLOOKUP(I$1,Sprints[],5,FALSE))+DAY(VLOOKUP(I$1,Sprints[],2,FALSE)),1,VLOOKUP(I$1,Sprints[],4,FALSE))&lt;&gt;"")*(IF(OFFSET(INDIRECT(CELL("address",INDEX('Leave Tracker'!$A$8:$A$107,MATCH($A25,'Leave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5" s="66">
        <f t="array" aca="1" ref="J25" ca="1">Sheet3!$W$2*$F25*(NETWORKDAYS(VLOOKUP(J$1,Sprints[],2,FALSE), VLOOKUP(J$1,Sprints[],3,FALSE))-SUMPRODUCT((OFFSET(INDIRECT(CELL("address",INDEX('Leave Tracker'!$A$8:$A$107,MATCH($A25,'Leave Tracker'!$A$8:$A$107,0)))),0,31*(VLOOKUP(J$1,Sprints[],5,FALSE))+DAY(VLOOKUP(J$1,Sprints[],2,FALSE)),1,VLOOKUP(J$1,Sprints[],4,FALSE))&lt;&gt;"")*(IF(OFFSET(INDIRECT(CELL("address",INDEX('Leave Tracker'!$A$8:$A$107,MATCH($A25,'Leave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3.9000000000000004</v>
      </c>
      <c r="K25" s="66">
        <f t="array" aca="1" ref="K25" ca="1">Sheet3!$W$2*$F25*(NETWORKDAYS(VLOOKUP(K$1,Sprints[],2,FALSE), VLOOKUP(K$1,Sprints[],3,FALSE))-SUMPRODUCT((OFFSET(INDIRECT(CELL("address",INDEX('Leave Tracker'!$A$8:$A$107,MATCH($A25,'Leave Tracker'!$A$8:$A$107,0)))),0,31*(VLOOKUP(K$1,Sprints[],5,FALSE))+DAY(VLOOKUP(K$1,Sprints[],2,FALSE)),1,VLOOKUP(K$1,Sprints[],4,FALSE))&lt;&gt;"")*(IF(OFFSET(INDIRECT(CELL("address",INDEX('Leave Tracker'!$A$8:$A$107,MATCH($A25,'Leave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25" s="66">
        <f t="array" aca="1" ref="L25" ca="1">Sheet3!$W$2*$F25*(NETWORKDAYS(VLOOKUP(L$1,Sprints[],2,FALSE), VLOOKUP(L$1,Sprints[],3,FALSE))-SUMPRODUCT((OFFSET(INDIRECT(CELL("address",INDEX('Leave Tracker'!$A$8:$A$107,MATCH($A25,'Leave Tracker'!$A$8:$A$107,0)))),0,31*(VLOOKUP(L$1,Sprints[],5,FALSE))+DAY(VLOOKUP(L$1,Sprints[],2,FALSE)),1,VLOOKUP(L$1,Sprints[],4,FALSE))&lt;&gt;"")*(IF(OFFSET(INDIRECT(CELL("address",INDEX('Leave Tracker'!$A$8:$A$107,MATCH($A25,'Leave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1.2000000000000002</v>
      </c>
      <c r="M25" s="66">
        <f t="array" aca="1" ref="M25" ca="1">Sheet3!$W$2*$F25*(NETWORKDAYS(VLOOKUP(M$1,Sprints[],2,FALSE), VLOOKUP(M$1,Sprints[],3,FALSE))-SUMPRODUCT((OFFSET(INDIRECT(CELL("address",INDEX('Leave Tracker'!$A$8:$A$107,MATCH($A25,'Leave Tracker'!$A$8:$A$107,0)))),0,31*(VLOOKUP(M$1,Sprints[],5,FALSE))+DAY(VLOOKUP(M$1,Sprints[],2,FALSE)),1,VLOOKUP(M$1,Sprints[],4,FALSE))&lt;&gt;"")*(IF(OFFSET(INDIRECT(CELL("address",INDEX('Leave Tracker'!$A$8:$A$107,MATCH($A25,'Leave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5" s="66">
        <f t="array" aca="1" ref="N25" ca="1">Sheet3!$W$2*$F25*(NETWORKDAYS(VLOOKUP(N$1,Sprints[],2,FALSE), VLOOKUP(N$1,Sprints[],3,FALSE))-SUMPRODUCT((OFFSET(INDIRECT(CELL("address",INDEX('Leave Tracker'!$A$8:$A$107,MATCH($A25,'Leave Tracker'!$A$8:$A$107,0)))),0,31*(VLOOKUP(N$1,Sprints[],5,FALSE))+DAY(VLOOKUP(N$1,Sprints[],2,FALSE)),1,VLOOKUP(N$1,Sprints[],4,FALSE))&lt;&gt;"")*(IF(OFFSET(INDIRECT(CELL("address",INDEX('Leave Tracker'!$A$8:$A$107,MATCH($A25,'Leave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5" s="66">
        <f t="array" aca="1" ref="O25" ca="1">Sheet3!$W$2*$F25*(NETWORKDAYS(VLOOKUP(O$1,Sprints[],2,FALSE), VLOOKUP(O$1,Sprints[],3,FALSE))-SUMPRODUCT((OFFSET(INDIRECT(CELL("address",INDEX('Leave Tracker'!$A$8:$A$107,MATCH($A25,'Leave Tracker'!$A$8:$A$107,0)))),0,31*(VLOOKUP(O$1,Sprints[],5,FALSE))+DAY(VLOOKUP(O$1,Sprints[],2,FALSE)),1,VLOOKUP(O$1,Sprints[],4,FALSE))&lt;&gt;"")*(IF(OFFSET(INDIRECT(CELL("address",INDEX('Leave Tracker'!$A$8:$A$107,MATCH($A25,'Leave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5" s="66">
        <f t="array" aca="1" ref="P25" ca="1">Sheet3!$W$2*$F25*(NETWORKDAYS(VLOOKUP(P$1,Sprints[],2,FALSE), VLOOKUP(P$1,Sprints[],3,FALSE))-SUMPRODUCT((OFFSET(INDIRECT(CELL("address",INDEX('Leave Tracker'!$A$8:$A$107,MATCH($A25,'Leave Tracker'!$A$8:$A$107,0)))),0,31*(VLOOKUP(P$1,Sprints[],5,FALSE))+DAY(VLOOKUP(P$1,Sprints[],2,FALSE)),1,VLOOKUP(P$1,Sprints[],4,FALSE))&lt;&gt;"")*(IF(OFFSET(INDIRECT(CELL("address",INDEX('Leave Tracker'!$A$8:$A$107,MATCH($A25,'Leave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5" s="66">
        <f t="array" aca="1" ref="Q25" ca="1">Sheet3!$W$2*$F25*(NETWORKDAYS(VLOOKUP(Q$1,Sprints[],2,FALSE), VLOOKUP(Q$1,Sprints[],3,FALSE))-SUMPRODUCT((OFFSET(INDIRECT(CELL("address",INDEX('Leave Tracker'!$A$8:$A$107,MATCH($A25,'Leave Tracker'!$A$8:$A$107,0)))),0,31*(VLOOKUP(Q$1,Sprints[],5,FALSE))+DAY(VLOOKUP(Q$1,Sprints[],2,FALSE)),1,VLOOKUP(Q$1,Sprints[],4,FALSE))&lt;&gt;"")*(IF(OFFSET(INDIRECT(CELL("address",INDEX('Leave Tracker'!$A$8:$A$107,MATCH($A25,'Leave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5" s="66">
        <f t="array" aca="1" ref="R25" ca="1">Sheet3!$W$2*$F25*(NETWORKDAYS(VLOOKUP(R$1,Sprints[],2,FALSE), VLOOKUP(R$1,Sprints[],3,FALSE))-SUMPRODUCT((OFFSET(INDIRECT(CELL("address",INDEX('Leave Tracker'!$A$8:$A$107,MATCH($A25,'Leave Tracker'!$A$8:$A$107,0)))),0,31*(VLOOKUP(R$1,Sprints[],5,FALSE))+DAY(VLOOKUP(R$1,Sprints[],2,FALSE)),1,VLOOKUP(R$1,Sprints[],4,FALSE))&lt;&gt;"")*(IF(OFFSET(INDIRECT(CELL("address",INDEX('Leave Tracker'!$A$8:$A$107,MATCH($A25,'Leave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5" s="68">
        <f t="array" aca="1" ref="S25" ca="1">Sheet3!$W$2*$F25*(NETWORKDAYS(VLOOKUP(S$1,Sprints[],2,FALSE), VLOOKUP(S$1,Sprints[],3,FALSE))-SUMPRODUCT((OFFSET(INDIRECT(CELL("address",INDEX('Leave Tracker'!$A$8:$A$107,MATCH($A25,'Leave Tracker'!$A$8:$A$107,0)))),0,31*(VLOOKUP(S$1,Sprints[],5,FALSE))+DAY(VLOOKUP(S$1,Sprints[],2,FALSE)),1,VLOOKUP(S$1,Sprints[],4,FALSE))&lt;&gt;"")*(IF(OFFSET(INDIRECT(CELL("address",INDEX('Leave Tracker'!$A$8:$A$107,MATCH($A25,'Leave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5" s="68">
        <f t="array" aca="1" ref="T25" ca="1">Sheet3!$W$2*$F25*(NETWORKDAYS(VLOOKUP(T$1,Sprints[],2,FALSE), VLOOKUP(T$1,Sprints[],3,FALSE))-SUMPRODUCT((OFFSET(INDIRECT(CELL("address",INDEX('Leave Tracker'!$A$8:$A$107,MATCH($A25,'Leave Tracker'!$A$8:$A$107,0)))),0,31*(VLOOKUP(T$1,Sprints[],5,FALSE))+DAY(VLOOKUP(T$1,Sprints[],2,FALSE)),1,VLOOKUP(T$1,Sprints[],4,FALSE))&lt;&gt;"")*(IF(OFFSET(INDIRECT(CELL("address",INDEX('Leave Tracker'!$A$8:$A$107,MATCH($A25,'Leave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5" s="79">
        <f t="array" aca="1" ref="U25" ca="1">Sheet3!$W$2*$F25*(NETWORKDAYS(VLOOKUP(U$1,Sprints[],2,FALSE), VLOOKUP(U$1,Sprints[],3,FALSE))-SUMPRODUCT((OFFSET(INDIRECT(CELL("address",INDEX('Leave Tracker'!$A$8:$A$107,MATCH($A25,'Leave Tracker'!$A$8:$A$107,0)))),0,31*(VLOOKUP(U$1,Sprints[],5,FALSE))+DAY(VLOOKUP(U$1,Sprints[],2,FALSE)),1,VLOOKUP(U$1,Sprints[],4,FALSE))&lt;&gt;"")*(IF(OFFSET(INDIRECT(CELL("address",INDEX('Leave Tracker'!$A$8:$A$107,MATCH($A25,'Leave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6" spans="1:21" x14ac:dyDescent="0.45">
      <c r="A26" s="66" t="s">
        <v>83</v>
      </c>
      <c r="B26" s="66" t="s">
        <v>119</v>
      </c>
      <c r="C26" s="66" t="s">
        <v>117</v>
      </c>
      <c r="D26" s="66" t="s">
        <v>133</v>
      </c>
      <c r="E26" s="66" t="s">
        <v>128</v>
      </c>
      <c r="F26" s="67">
        <v>0.75</v>
      </c>
      <c r="G26" s="66">
        <f t="array" aca="1" ref="G26" ca="1">Sheet3!$W$2*$F26*(NETWORKDAYS(VLOOKUP(G$1,Sprints[],2,FALSE), VLOOKUP(G$1,Sprints[],3,FALSE))-SUMPRODUCT((OFFSET(INDIRECT(CELL("address",INDEX('Leave Tracker'!$A$8:$A$107,MATCH($A26,'Leave Tracker'!$A$8:$A$107,0)))),0,31*(VLOOKUP(G$1,Sprints[],5,FALSE))+DAY(VLOOKUP(G$1,Sprints[],2,FALSE)),1,VLOOKUP(G$1,Sprints[],4,FALSE))&lt;&gt;"")*(IF(OFFSET(INDIRECT(CELL("address",INDEX('Leave Tracker'!$A$8:$A$107,MATCH($A26,'Leave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26" s="66">
        <f t="array" aca="1" ref="H26" ca="1">Sheet3!$W$2*$F26*(NETWORKDAYS(VLOOKUP(H$1,Sprints[],2,FALSE), VLOOKUP(H$1,Sprints[],3,FALSE))-SUMPRODUCT((OFFSET(INDIRECT(CELL("address",INDEX('Leave Tracker'!$A$8:$A$107,MATCH($A26,'Leave Tracker'!$A$8:$A$107,0)))),0,31*(VLOOKUP(H$1,Sprints[],5,FALSE))+DAY(VLOOKUP(H$1,Sprints[],2,FALSE)),1,VLOOKUP(H$1,Sprints[],4,FALSE))&lt;&gt;"")*(IF(OFFSET(INDIRECT(CELL("address",INDEX('Leave Tracker'!$A$8:$A$107,MATCH($A26,'Leave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6" s="66">
        <f t="array" aca="1" ref="I26" ca="1">Sheet3!$W$2*$F26*(NETWORKDAYS(VLOOKUP(I$1,Sprints[],2,FALSE), VLOOKUP(I$1,Sprints[],3,FALSE))-SUMPRODUCT((OFFSET(INDIRECT(CELL("address",INDEX('Leave Tracker'!$A$8:$A$107,MATCH($A26,'Leave Tracker'!$A$8:$A$107,0)))),0,31*(VLOOKUP(I$1,Sprints[],5,FALSE))+DAY(VLOOKUP(I$1,Sprints[],2,FALSE)),1,VLOOKUP(I$1,Sprints[],4,FALSE))&lt;&gt;"")*(IF(OFFSET(INDIRECT(CELL("address",INDEX('Leave Tracker'!$A$8:$A$107,MATCH($A26,'Leave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6" s="66">
        <f t="array" aca="1" ref="J26" ca="1">Sheet3!$W$2*$F26*(NETWORKDAYS(VLOOKUP(J$1,Sprints[],2,FALSE), VLOOKUP(J$1,Sprints[],3,FALSE))-SUMPRODUCT((OFFSET(INDIRECT(CELL("address",INDEX('Leave Tracker'!$A$8:$A$107,MATCH($A26,'Leave Tracker'!$A$8:$A$107,0)))),0,31*(VLOOKUP(J$1,Sprints[],5,FALSE))+DAY(VLOOKUP(J$1,Sprints[],2,FALSE)),1,VLOOKUP(J$1,Sprints[],4,FALSE))&lt;&gt;"")*(IF(OFFSET(INDIRECT(CELL("address",INDEX('Leave Tracker'!$A$8:$A$107,MATCH($A26,'Leave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6" s="66">
        <f t="array" aca="1" ref="K26" ca="1">Sheet3!$W$2*$F26*(NETWORKDAYS(VLOOKUP(K$1,Sprints[],2,FALSE), VLOOKUP(K$1,Sprints[],3,FALSE))-SUMPRODUCT((OFFSET(INDIRECT(CELL("address",INDEX('Leave Tracker'!$A$8:$A$107,MATCH($A26,'Leave Tracker'!$A$8:$A$107,0)))),0,31*(VLOOKUP(K$1,Sprints[],5,FALSE))+DAY(VLOOKUP(K$1,Sprints[],2,FALSE)),1,VLOOKUP(K$1,Sprints[],4,FALSE))&lt;&gt;"")*(IF(OFFSET(INDIRECT(CELL("address",INDEX('Leave Tracker'!$A$8:$A$107,MATCH($A26,'Leave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6" s="66">
        <f t="array" aca="1" ref="L26" ca="1">Sheet3!$W$2*$F26*(NETWORKDAYS(VLOOKUP(L$1,Sprints[],2,FALSE), VLOOKUP(L$1,Sprints[],3,FALSE))-SUMPRODUCT((OFFSET(INDIRECT(CELL("address",INDEX('Leave Tracker'!$A$8:$A$107,MATCH($A26,'Leave Tracker'!$A$8:$A$107,0)))),0,31*(VLOOKUP(L$1,Sprints[],5,FALSE))+DAY(VLOOKUP(L$1,Sprints[],2,FALSE)),1,VLOOKUP(L$1,Sprints[],4,FALSE))&lt;&gt;"")*(IF(OFFSET(INDIRECT(CELL("address",INDEX('Leave Tracker'!$A$8:$A$107,MATCH($A26,'Leave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6" s="66">
        <f t="array" aca="1" ref="M26" ca="1">Sheet3!$W$2*$F26*(NETWORKDAYS(VLOOKUP(M$1,Sprints[],2,FALSE), VLOOKUP(M$1,Sprints[],3,FALSE))-SUMPRODUCT((OFFSET(INDIRECT(CELL("address",INDEX('Leave Tracker'!$A$8:$A$107,MATCH($A26,'Leave Tracker'!$A$8:$A$107,0)))),0,31*(VLOOKUP(M$1,Sprints[],5,FALSE))+DAY(VLOOKUP(M$1,Sprints[],2,FALSE)),1,VLOOKUP(M$1,Sprints[],4,FALSE))&lt;&gt;"")*(IF(OFFSET(INDIRECT(CELL("address",INDEX('Leave Tracker'!$A$8:$A$107,MATCH($A26,'Leave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6" s="66">
        <f t="array" aca="1" ref="N26" ca="1">Sheet3!$W$2*$F26*(NETWORKDAYS(VLOOKUP(N$1,Sprints[],2,FALSE), VLOOKUP(N$1,Sprints[],3,FALSE))-SUMPRODUCT((OFFSET(INDIRECT(CELL("address",INDEX('Leave Tracker'!$A$8:$A$107,MATCH($A26,'Leave Tracker'!$A$8:$A$107,0)))),0,31*(VLOOKUP(N$1,Sprints[],5,FALSE))+DAY(VLOOKUP(N$1,Sprints[],2,FALSE)),1,VLOOKUP(N$1,Sprints[],4,FALSE))&lt;&gt;"")*(IF(OFFSET(INDIRECT(CELL("address",INDEX('Leave Tracker'!$A$8:$A$107,MATCH($A26,'Leave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6" s="66">
        <f t="array" aca="1" ref="O26" ca="1">Sheet3!$W$2*$F26*(NETWORKDAYS(VLOOKUP(O$1,Sprints[],2,FALSE), VLOOKUP(O$1,Sprints[],3,FALSE))-SUMPRODUCT((OFFSET(INDIRECT(CELL("address",INDEX('Leave Tracker'!$A$8:$A$107,MATCH($A26,'Leave Tracker'!$A$8:$A$107,0)))),0,31*(VLOOKUP(O$1,Sprints[],5,FALSE))+DAY(VLOOKUP(O$1,Sprints[],2,FALSE)),1,VLOOKUP(O$1,Sprints[],4,FALSE))&lt;&gt;"")*(IF(OFFSET(INDIRECT(CELL("address",INDEX('Leave Tracker'!$A$8:$A$107,MATCH($A26,'Leave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6" s="66">
        <f t="array" aca="1" ref="P26" ca="1">Sheet3!$W$2*$F26*(NETWORKDAYS(VLOOKUP(P$1,Sprints[],2,FALSE), VLOOKUP(P$1,Sprints[],3,FALSE))-SUMPRODUCT((OFFSET(INDIRECT(CELL("address",INDEX('Leave Tracker'!$A$8:$A$107,MATCH($A26,'Leave Tracker'!$A$8:$A$107,0)))),0,31*(VLOOKUP(P$1,Sprints[],5,FALSE))+DAY(VLOOKUP(P$1,Sprints[],2,FALSE)),1,VLOOKUP(P$1,Sprints[],4,FALSE))&lt;&gt;"")*(IF(OFFSET(INDIRECT(CELL("address",INDEX('Leave Tracker'!$A$8:$A$107,MATCH($A26,'Leave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6" s="66">
        <f t="array" aca="1" ref="Q26" ca="1">Sheet3!$W$2*$F26*(NETWORKDAYS(VLOOKUP(Q$1,Sprints[],2,FALSE), VLOOKUP(Q$1,Sprints[],3,FALSE))-SUMPRODUCT((OFFSET(INDIRECT(CELL("address",INDEX('Leave Tracker'!$A$8:$A$107,MATCH($A26,'Leave Tracker'!$A$8:$A$107,0)))),0,31*(VLOOKUP(Q$1,Sprints[],5,FALSE))+DAY(VLOOKUP(Q$1,Sprints[],2,FALSE)),1,VLOOKUP(Q$1,Sprints[],4,FALSE))&lt;&gt;"")*(IF(OFFSET(INDIRECT(CELL("address",INDEX('Leave Tracker'!$A$8:$A$107,MATCH($A26,'Leave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6" s="66">
        <f t="array" aca="1" ref="R26" ca="1">Sheet3!$W$2*$F26*(NETWORKDAYS(VLOOKUP(R$1,Sprints[],2,FALSE), VLOOKUP(R$1,Sprints[],3,FALSE))-SUMPRODUCT((OFFSET(INDIRECT(CELL("address",INDEX('Leave Tracker'!$A$8:$A$107,MATCH($A26,'Leave Tracker'!$A$8:$A$107,0)))),0,31*(VLOOKUP(R$1,Sprints[],5,FALSE))+DAY(VLOOKUP(R$1,Sprints[],2,FALSE)),1,VLOOKUP(R$1,Sprints[],4,FALSE))&lt;&gt;"")*(IF(OFFSET(INDIRECT(CELL("address",INDEX('Leave Tracker'!$A$8:$A$107,MATCH($A26,'Leave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6" s="68">
        <f t="array" aca="1" ref="S26" ca="1">Sheet3!$W$2*$F26*(NETWORKDAYS(VLOOKUP(S$1,Sprints[],2,FALSE), VLOOKUP(S$1,Sprints[],3,FALSE))-SUMPRODUCT((OFFSET(INDIRECT(CELL("address",INDEX('Leave Tracker'!$A$8:$A$107,MATCH($A26,'Leave Tracker'!$A$8:$A$107,0)))),0,31*(VLOOKUP(S$1,Sprints[],5,FALSE))+DAY(VLOOKUP(S$1,Sprints[],2,FALSE)),1,VLOOKUP(S$1,Sprints[],4,FALSE))&lt;&gt;"")*(IF(OFFSET(INDIRECT(CELL("address",INDEX('Leave Tracker'!$A$8:$A$107,MATCH($A26,'Leave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6" s="68">
        <f t="array" aca="1" ref="T26" ca="1">Sheet3!$W$2*$F26*(NETWORKDAYS(VLOOKUP(T$1,Sprints[],2,FALSE), VLOOKUP(T$1,Sprints[],3,FALSE))-SUMPRODUCT((OFFSET(INDIRECT(CELL("address",INDEX('Leave Tracker'!$A$8:$A$107,MATCH($A26,'Leave Tracker'!$A$8:$A$107,0)))),0,31*(VLOOKUP(T$1,Sprints[],5,FALSE))+DAY(VLOOKUP(T$1,Sprints[],2,FALSE)),1,VLOOKUP(T$1,Sprints[],4,FALSE))&lt;&gt;"")*(IF(OFFSET(INDIRECT(CELL("address",INDEX('Leave Tracker'!$A$8:$A$107,MATCH($A26,'Leave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6" s="79">
        <f t="array" aca="1" ref="U26" ca="1">Sheet3!$W$2*$F26*(NETWORKDAYS(VLOOKUP(U$1,Sprints[],2,FALSE), VLOOKUP(U$1,Sprints[],3,FALSE))-SUMPRODUCT((OFFSET(INDIRECT(CELL("address",INDEX('Leave Tracker'!$A$8:$A$107,MATCH($A26,'Leave Tracker'!$A$8:$A$107,0)))),0,31*(VLOOKUP(U$1,Sprints[],5,FALSE))+DAY(VLOOKUP(U$1,Sprints[],2,FALSE)),1,VLOOKUP(U$1,Sprints[],4,FALSE))&lt;&gt;"")*(IF(OFFSET(INDIRECT(CELL("address",INDEX('Leave Tracker'!$A$8:$A$107,MATCH($A26,'Leave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7" spans="1:21" x14ac:dyDescent="0.45">
      <c r="A27" t="s">
        <v>84</v>
      </c>
      <c r="B27" s="45" t="s">
        <v>113</v>
      </c>
      <c r="C27" s="45" t="s">
        <v>117</v>
      </c>
      <c r="D27" s="45" t="s">
        <v>121</v>
      </c>
      <c r="E27" s="45" t="s">
        <v>126</v>
      </c>
      <c r="F27" s="47">
        <v>0.5</v>
      </c>
      <c r="G27" s="45">
        <f t="array" aca="1" ref="G27" ca="1">Sheet3!$W$2*$F27*(NETWORKDAYS(VLOOKUP(G$1,Sprints[],2,FALSE), VLOOKUP(G$1,Sprints[],3,FALSE))-SUMPRODUCT((OFFSET(INDIRECT(CELL("address",INDEX('Leave Tracker'!$A$8:$A$107,MATCH($A27,'Leave Tracker'!$A$8:$A$107,0)))),0,31*(VLOOKUP(G$1,Sprints[],5,FALSE))+DAY(VLOOKUP(G$1,Sprints[],2,FALSE)),1,VLOOKUP(G$1,Sprints[],4,FALSE))&lt;&gt;"")*(IF(OFFSET(INDIRECT(CELL("address",INDEX('Leave Tracker'!$A$8:$A$107,MATCH($A27,'Leave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1.6</v>
      </c>
      <c r="H27">
        <f t="array" aca="1" ref="H27" ca="1">Sheet3!$W$2*$F27*(NETWORKDAYS(VLOOKUP(H$1,Sprints[],2,FALSE), VLOOKUP(H$1,Sprints[],3,FALSE))-SUMPRODUCT((OFFSET(INDIRECT(CELL("address",INDEX('Leave Tracker'!$A$8:$A$107,MATCH($A27,'Leave Tracker'!$A$8:$A$107,0)))),0,31*(VLOOKUP(H$1,Sprints[],5,FALSE))+DAY(VLOOKUP(H$1,Sprints[],2,FALSE)),1,VLOOKUP(H$1,Sprints[],4,FALSE))&lt;&gt;"")*(IF(OFFSET(INDIRECT(CELL("address",INDEX('Leave Tracker'!$A$8:$A$107,MATCH($A27,'Leave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</v>
      </c>
      <c r="I27">
        <f t="array" aca="1" ref="I27" ca="1">Sheet3!$W$2*$F27*(NETWORKDAYS(VLOOKUP(I$1,Sprints[],2,FALSE), VLOOKUP(I$1,Sprints[],3,FALSE))-SUMPRODUCT((OFFSET(INDIRECT(CELL("address",INDEX('Leave Tracker'!$A$8:$A$107,MATCH($A27,'Leave Tracker'!$A$8:$A$107,0)))),0,31*(VLOOKUP(I$1,Sprints[],5,FALSE))+DAY(VLOOKUP(I$1,Sprints[],2,FALSE)),1,VLOOKUP(I$1,Sprints[],4,FALSE))&lt;&gt;"")*(IF(OFFSET(INDIRECT(CELL("address",INDEX('Leave Tracker'!$A$8:$A$107,MATCH($A27,'Leave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</v>
      </c>
      <c r="J27">
        <f t="array" aca="1" ref="J27" ca="1">Sheet3!$W$2*$F27*(NETWORKDAYS(VLOOKUP(J$1,Sprints[],2,FALSE), VLOOKUP(J$1,Sprints[],3,FALSE))-SUMPRODUCT((OFFSET(INDIRECT(CELL("address",INDEX('Leave Tracker'!$A$8:$A$107,MATCH($A27,'Leave Tracker'!$A$8:$A$107,0)))),0,31*(VLOOKUP(J$1,Sprints[],5,FALSE))+DAY(VLOOKUP(J$1,Sprints[],2,FALSE)),1,VLOOKUP(J$1,Sprints[],4,FALSE))&lt;&gt;"")*(IF(OFFSET(INDIRECT(CELL("address",INDEX('Leave Tracker'!$A$8:$A$107,MATCH($A27,'Leave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1.2000000000000002</v>
      </c>
      <c r="K27">
        <f t="array" aca="1" ref="K27" ca="1">Sheet3!$W$2*$F27*(NETWORKDAYS(VLOOKUP(K$1,Sprints[],2,FALSE), VLOOKUP(K$1,Sprints[],3,FALSE))-SUMPRODUCT((OFFSET(INDIRECT(CELL("address",INDEX('Leave Tracker'!$A$8:$A$107,MATCH($A27,'Leave Tracker'!$A$8:$A$107,0)))),0,31*(VLOOKUP(K$1,Sprints[],5,FALSE))+DAY(VLOOKUP(K$1,Sprints[],2,FALSE)),1,VLOOKUP(K$1,Sprints[],4,FALSE))&lt;&gt;"")*(IF(OFFSET(INDIRECT(CELL("address",INDEX('Leave Tracker'!$A$8:$A$107,MATCH($A27,'Leave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2</v>
      </c>
      <c r="L27">
        <f t="array" aca="1" ref="L27" ca="1">Sheet3!$W$2*$F27*(NETWORKDAYS(VLOOKUP(L$1,Sprints[],2,FALSE), VLOOKUP(L$1,Sprints[],3,FALSE))-SUMPRODUCT((OFFSET(INDIRECT(CELL("address",INDEX('Leave Tracker'!$A$8:$A$107,MATCH($A27,'Leave Tracker'!$A$8:$A$107,0)))),0,31*(VLOOKUP(L$1,Sprints[],5,FALSE))+DAY(VLOOKUP(L$1,Sprints[],2,FALSE)),1,VLOOKUP(L$1,Sprints[],4,FALSE))&lt;&gt;"")*(IF(OFFSET(INDIRECT(CELL("address",INDEX('Leave Tracker'!$A$8:$A$107,MATCH($A27,'Leave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2.8000000000000003</v>
      </c>
      <c r="M27" s="45">
        <f t="array" aca="1" ref="M27" ca="1">Sheet3!$W$2*$F27*(NETWORKDAYS(VLOOKUP(M$1,Sprints[],2,FALSE), VLOOKUP(M$1,Sprints[],3,FALSE))-SUMPRODUCT((OFFSET(INDIRECT(CELL("address",INDEX('Leave Tracker'!$A$8:$A$107,MATCH($A27,'Leave Tracker'!$A$8:$A$107,0)))),0,31*(VLOOKUP(M$1,Sprints[],5,FALSE))+DAY(VLOOKUP(M$1,Sprints[],2,FALSE)),1,VLOOKUP(M$1,Sprints[],4,FALSE))&lt;&gt;"")*(IF(OFFSET(INDIRECT(CELL("address",INDEX('Leave Tracker'!$A$8:$A$107,MATCH($A27,'Leave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3.6</v>
      </c>
      <c r="N27">
        <f t="array" aca="1" ref="N27" ca="1">Sheet3!$W$2*$F27*(NETWORKDAYS(VLOOKUP(N$1,Sprints[],2,FALSE), VLOOKUP(N$1,Sprints[],3,FALSE))-SUMPRODUCT((OFFSET(INDIRECT(CELL("address",INDEX('Leave Tracker'!$A$8:$A$107,MATCH($A27,'Leave Tracker'!$A$8:$A$107,0)))),0,31*(VLOOKUP(N$1,Sprints[],5,FALSE))+DAY(VLOOKUP(N$1,Sprints[],2,FALSE)),1,VLOOKUP(N$1,Sprints[],4,FALSE))&lt;&gt;"")*(IF(OFFSET(INDIRECT(CELL("address",INDEX('Leave Tracker'!$A$8:$A$107,MATCH($A27,'Leave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</v>
      </c>
      <c r="O27">
        <f t="array" aca="1" ref="O27" ca="1">Sheet3!$W$2*$F27*(NETWORKDAYS(VLOOKUP(O$1,Sprints[],2,FALSE), VLOOKUP(O$1,Sprints[],3,FALSE))-SUMPRODUCT((OFFSET(INDIRECT(CELL("address",INDEX('Leave Tracker'!$A$8:$A$107,MATCH($A27,'Leave Tracker'!$A$8:$A$107,0)))),0,31*(VLOOKUP(O$1,Sprints[],5,FALSE))+DAY(VLOOKUP(O$1,Sprints[],2,FALSE)),1,VLOOKUP(O$1,Sprints[],4,FALSE))&lt;&gt;"")*(IF(OFFSET(INDIRECT(CELL("address",INDEX('Leave Tracker'!$A$8:$A$107,MATCH($A27,'Leave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2.6</v>
      </c>
      <c r="P27">
        <f t="array" aca="1" ref="P27" ca="1">Sheet3!$W$2*$F27*(NETWORKDAYS(VLOOKUP(P$1,Sprints[],2,FALSE), VLOOKUP(P$1,Sprints[],3,FALSE))-SUMPRODUCT((OFFSET(INDIRECT(CELL("address",INDEX('Leave Tracker'!$A$8:$A$107,MATCH($A27,'Leave Tracker'!$A$8:$A$107,0)))),0,31*(VLOOKUP(P$1,Sprints[],5,FALSE))+DAY(VLOOKUP(P$1,Sprints[],2,FALSE)),1,VLOOKUP(P$1,Sprints[],4,FALSE))&lt;&gt;"")*(IF(OFFSET(INDIRECT(CELL("address",INDEX('Leave Tracker'!$A$8:$A$107,MATCH($A27,'Leave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</v>
      </c>
      <c r="Q27">
        <f t="array" aca="1" ref="Q27" ca="1">Sheet3!$W$2*$F27*(NETWORKDAYS(VLOOKUP(Q$1,Sprints[],2,FALSE), VLOOKUP(Q$1,Sprints[],3,FALSE))-SUMPRODUCT((OFFSET(INDIRECT(CELL("address",INDEX('Leave Tracker'!$A$8:$A$107,MATCH($A27,'Leave Tracker'!$A$8:$A$107,0)))),0,31*(VLOOKUP(Q$1,Sprints[],5,FALSE))+DAY(VLOOKUP(Q$1,Sprints[],2,FALSE)),1,VLOOKUP(Q$1,Sprints[],4,FALSE))&lt;&gt;"")*(IF(OFFSET(INDIRECT(CELL("address",INDEX('Leave Tracker'!$A$8:$A$107,MATCH($A27,'Leave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</v>
      </c>
      <c r="R27">
        <f t="array" aca="1" ref="R27" ca="1">Sheet3!$W$2*$F27*(NETWORKDAYS(VLOOKUP(R$1,Sprints[],2,FALSE), VLOOKUP(R$1,Sprints[],3,FALSE))-SUMPRODUCT((OFFSET(INDIRECT(CELL("address",INDEX('Leave Tracker'!$A$8:$A$107,MATCH($A27,'Leave Tracker'!$A$8:$A$107,0)))),0,31*(VLOOKUP(R$1,Sprints[],5,FALSE))+DAY(VLOOKUP(R$1,Sprints[],2,FALSE)),1,VLOOKUP(R$1,Sprints[],4,FALSE))&lt;&gt;"")*(IF(OFFSET(INDIRECT(CELL("address",INDEX('Leave Tracker'!$A$8:$A$107,MATCH($A27,'Leave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2.4000000000000004</v>
      </c>
      <c r="S27" s="31">
        <f t="array" aca="1" ref="S27" ca="1">Sheet3!$W$2*$F27*(NETWORKDAYS(VLOOKUP(S$1,Sprints[],2,FALSE), VLOOKUP(S$1,Sprints[],3,FALSE))-SUMPRODUCT((OFFSET(INDIRECT(CELL("address",INDEX('Leave Tracker'!$A$8:$A$107,MATCH($A27,'Leave Tracker'!$A$8:$A$107,0)))),0,31*(VLOOKUP(S$1,Sprints[],5,FALSE))+DAY(VLOOKUP(S$1,Sprints[],2,FALSE)),1,VLOOKUP(S$1,Sprints[],4,FALSE))&lt;&gt;"")*(IF(OFFSET(INDIRECT(CELL("address",INDEX('Leave Tracker'!$A$8:$A$107,MATCH($A27,'Leave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</v>
      </c>
      <c r="T27" s="31">
        <f t="array" aca="1" ref="T27" ca="1">Sheet3!$W$2*$F27*(NETWORKDAYS(VLOOKUP(T$1,Sprints[],2,FALSE), VLOOKUP(T$1,Sprints[],3,FALSE))-SUMPRODUCT((OFFSET(INDIRECT(CELL("address",INDEX('Leave Tracker'!$A$8:$A$107,MATCH($A27,'Leave Tracker'!$A$8:$A$107,0)))),0,31*(VLOOKUP(T$1,Sprints[],5,FALSE))+DAY(VLOOKUP(T$1,Sprints[],2,FALSE)),1,VLOOKUP(T$1,Sprints[],4,FALSE))&lt;&gt;"")*(IF(OFFSET(INDIRECT(CELL("address",INDEX('Leave Tracker'!$A$8:$A$107,MATCH($A27,'Leave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</v>
      </c>
      <c r="U27" s="78">
        <f t="array" aca="1" ref="U27" ca="1">Sheet3!$W$2*$F27*(NETWORKDAYS(VLOOKUP(U$1,Sprints[],2,FALSE), VLOOKUP(U$1,Sprints[],3,FALSE))-SUMPRODUCT((OFFSET(INDIRECT(CELL("address",INDEX('Leave Tracker'!$A$8:$A$107,MATCH($A27,'Leave Tracker'!$A$8:$A$107,0)))),0,31*(VLOOKUP(U$1,Sprints[],5,FALSE))+DAY(VLOOKUP(U$1,Sprints[],2,FALSE)),1,VLOOKUP(U$1,Sprints[],4,FALSE))&lt;&gt;"")*(IF(OFFSET(INDIRECT(CELL("address",INDEX('Leave Tracker'!$A$8:$A$107,MATCH($A27,'Leave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7.2</v>
      </c>
    </row>
    <row r="28" spans="1:21" x14ac:dyDescent="0.45">
      <c r="A28" t="s">
        <v>85</v>
      </c>
      <c r="B28" s="45" t="s">
        <v>119</v>
      </c>
      <c r="C28" s="45" t="s">
        <v>117</v>
      </c>
      <c r="D28" s="45" t="s">
        <v>132</v>
      </c>
      <c r="E28" s="45" t="s">
        <v>126</v>
      </c>
      <c r="F28" s="47">
        <v>0.75</v>
      </c>
      <c r="G28" s="45">
        <f t="array" aca="1" ref="G28" ca="1">Sheet3!$W$2*$F28*(NETWORKDAYS(VLOOKUP(G$1,Sprints[],2,FALSE), VLOOKUP(G$1,Sprints[],3,FALSE))-SUMPRODUCT((OFFSET(INDIRECT(CELL("address",INDEX('Leave Tracker'!$A$8:$A$107,MATCH($A28,'Leave Tracker'!$A$8:$A$107,0)))),0,31*(VLOOKUP(G$1,Sprints[],5,FALSE))+DAY(VLOOKUP(G$1,Sprints[],2,FALSE)),1,VLOOKUP(G$1,Sprints[],4,FALSE))&lt;&gt;"")*(IF(OFFSET(INDIRECT(CELL("address",INDEX('Leave Tracker'!$A$8:$A$107,MATCH($A28,'Leave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8">
        <f t="array" aca="1" ref="H28" ca="1">Sheet3!$W$2*$F28*(NETWORKDAYS(VLOOKUP(H$1,Sprints[],2,FALSE), VLOOKUP(H$1,Sprints[],3,FALSE))-SUMPRODUCT((OFFSET(INDIRECT(CELL("address",INDEX('Leave Tracker'!$A$8:$A$107,MATCH($A28,'Leave Tracker'!$A$8:$A$107,0)))),0,31*(VLOOKUP(H$1,Sprints[],5,FALSE))+DAY(VLOOKUP(H$1,Sprints[],2,FALSE)),1,VLOOKUP(H$1,Sprints[],4,FALSE))&lt;&gt;"")*(IF(OFFSET(INDIRECT(CELL("address",INDEX('Leave Tracker'!$A$8:$A$107,MATCH($A28,'Leave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8">
        <f t="array" aca="1" ref="I28" ca="1">Sheet3!$W$2*$F28*(NETWORKDAYS(VLOOKUP(I$1,Sprints[],2,FALSE), VLOOKUP(I$1,Sprints[],3,FALSE))-SUMPRODUCT((OFFSET(INDIRECT(CELL("address",INDEX('Leave Tracker'!$A$8:$A$107,MATCH($A28,'Leave Tracker'!$A$8:$A$107,0)))),0,31*(VLOOKUP(I$1,Sprints[],5,FALSE))+DAY(VLOOKUP(I$1,Sprints[],2,FALSE)),1,VLOOKUP(I$1,Sprints[],4,FALSE))&lt;&gt;"")*(IF(OFFSET(INDIRECT(CELL("address",INDEX('Leave Tracker'!$A$8:$A$107,MATCH($A28,'Leave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8">
        <f t="array" aca="1" ref="J28" ca="1">Sheet3!$W$2*$F28*(NETWORKDAYS(VLOOKUP(J$1,Sprints[],2,FALSE), VLOOKUP(J$1,Sprints[],3,FALSE))-SUMPRODUCT((OFFSET(INDIRECT(CELL("address",INDEX('Leave Tracker'!$A$8:$A$107,MATCH($A28,'Leave Tracker'!$A$8:$A$107,0)))),0,31*(VLOOKUP(J$1,Sprints[],5,FALSE))+DAY(VLOOKUP(J$1,Sprints[],2,FALSE)),1,VLOOKUP(J$1,Sprints[],4,FALSE))&lt;&gt;"")*(IF(OFFSET(INDIRECT(CELL("address",INDEX('Leave Tracker'!$A$8:$A$107,MATCH($A28,'Leave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3.9000000000000004</v>
      </c>
      <c r="K28">
        <f t="array" aca="1" ref="K28" ca="1">Sheet3!$W$2*$F28*(NETWORKDAYS(VLOOKUP(K$1,Sprints[],2,FALSE), VLOOKUP(K$1,Sprints[],3,FALSE))-SUMPRODUCT((OFFSET(INDIRECT(CELL("address",INDEX('Leave Tracker'!$A$8:$A$107,MATCH($A28,'Leave Tracker'!$A$8:$A$107,0)))),0,31*(VLOOKUP(K$1,Sprints[],5,FALSE))+DAY(VLOOKUP(K$1,Sprints[],2,FALSE)),1,VLOOKUP(K$1,Sprints[],4,FALSE))&lt;&gt;"")*(IF(OFFSET(INDIRECT(CELL("address",INDEX('Leave Tracker'!$A$8:$A$107,MATCH($A28,'Leave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28">
        <f t="array" aca="1" ref="L28" ca="1">Sheet3!$W$2*$F28*(NETWORKDAYS(VLOOKUP(L$1,Sprints[],2,FALSE), VLOOKUP(L$1,Sprints[],3,FALSE))-SUMPRODUCT((OFFSET(INDIRECT(CELL("address",INDEX('Leave Tracker'!$A$8:$A$107,MATCH($A28,'Leave Tracker'!$A$8:$A$107,0)))),0,31*(VLOOKUP(L$1,Sprints[],5,FALSE))+DAY(VLOOKUP(L$1,Sprints[],2,FALSE)),1,VLOOKUP(L$1,Sprints[],4,FALSE))&lt;&gt;"")*(IF(OFFSET(INDIRECT(CELL("address",INDEX('Leave Tracker'!$A$8:$A$107,MATCH($A28,'Leave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5.4</v>
      </c>
      <c r="M28" s="45">
        <f t="array" aca="1" ref="M28" ca="1">Sheet3!$W$2*$F28*(NETWORKDAYS(VLOOKUP(M$1,Sprints[],2,FALSE), VLOOKUP(M$1,Sprints[],3,FALSE))-SUMPRODUCT((OFFSET(INDIRECT(CELL("address",INDEX('Leave Tracker'!$A$8:$A$107,MATCH($A28,'Leave Tracker'!$A$8:$A$107,0)))),0,31*(VLOOKUP(M$1,Sprints[],5,FALSE))+DAY(VLOOKUP(M$1,Sprints[],2,FALSE)),1,VLOOKUP(M$1,Sprints[],4,FALSE))&lt;&gt;"")*(IF(OFFSET(INDIRECT(CELL("address",INDEX('Leave Tracker'!$A$8:$A$107,MATCH($A28,'Leave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28">
        <f t="array" aca="1" ref="N28" ca="1">Sheet3!$W$2*$F28*(NETWORKDAYS(VLOOKUP(N$1,Sprints[],2,FALSE), VLOOKUP(N$1,Sprints[],3,FALSE))-SUMPRODUCT((OFFSET(INDIRECT(CELL("address",INDEX('Leave Tracker'!$A$8:$A$107,MATCH($A28,'Leave Tracker'!$A$8:$A$107,0)))),0,31*(VLOOKUP(N$1,Sprints[],5,FALSE))+DAY(VLOOKUP(N$1,Sprints[],2,FALSE)),1,VLOOKUP(N$1,Sprints[],4,FALSE))&lt;&gt;"")*(IF(OFFSET(INDIRECT(CELL("address",INDEX('Leave Tracker'!$A$8:$A$107,MATCH($A28,'Leave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28">
        <f t="array" aca="1" ref="O28" ca="1">Sheet3!$W$2*$F28*(NETWORKDAYS(VLOOKUP(O$1,Sprints[],2,FALSE), VLOOKUP(O$1,Sprints[],3,FALSE))-SUMPRODUCT((OFFSET(INDIRECT(CELL("address",INDEX('Leave Tracker'!$A$8:$A$107,MATCH($A28,'Leave Tracker'!$A$8:$A$107,0)))),0,31*(VLOOKUP(O$1,Sprints[],5,FALSE))+DAY(VLOOKUP(O$1,Sprints[],2,FALSE)),1,VLOOKUP(O$1,Sprints[],4,FALSE))&lt;&gt;"")*(IF(OFFSET(INDIRECT(CELL("address",INDEX('Leave Tracker'!$A$8:$A$107,MATCH($A28,'Leave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3.6000000000000005</v>
      </c>
      <c r="P28">
        <f t="array" aca="1" ref="P28" ca="1">Sheet3!$W$2*$F28*(NETWORKDAYS(VLOOKUP(P$1,Sprints[],2,FALSE), VLOOKUP(P$1,Sprints[],3,FALSE))-SUMPRODUCT((OFFSET(INDIRECT(CELL("address",INDEX('Leave Tracker'!$A$8:$A$107,MATCH($A28,'Leave Tracker'!$A$8:$A$107,0)))),0,31*(VLOOKUP(P$1,Sprints[],5,FALSE))+DAY(VLOOKUP(P$1,Sprints[],2,FALSE)),1,VLOOKUP(P$1,Sprints[],4,FALSE))&lt;&gt;"")*(IF(OFFSET(INDIRECT(CELL("address",INDEX('Leave Tracker'!$A$8:$A$107,MATCH($A28,'Leave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3.6000000000000005</v>
      </c>
      <c r="Q28">
        <f t="array" aca="1" ref="Q28" ca="1">Sheet3!$W$2*$F28*(NETWORKDAYS(VLOOKUP(Q$1,Sprints[],2,FALSE), VLOOKUP(Q$1,Sprints[],3,FALSE))-SUMPRODUCT((OFFSET(INDIRECT(CELL("address",INDEX('Leave Tracker'!$A$8:$A$107,MATCH($A28,'Leave Tracker'!$A$8:$A$107,0)))),0,31*(VLOOKUP(Q$1,Sprints[],5,FALSE))+DAY(VLOOKUP(Q$1,Sprints[],2,FALSE)),1,VLOOKUP(Q$1,Sprints[],4,FALSE))&lt;&gt;"")*(IF(OFFSET(INDIRECT(CELL("address",INDEX('Leave Tracker'!$A$8:$A$107,MATCH($A28,'Leave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8">
        <f t="array" aca="1" ref="R28" ca="1">Sheet3!$W$2*$F28*(NETWORKDAYS(VLOOKUP(R$1,Sprints[],2,FALSE), VLOOKUP(R$1,Sprints[],3,FALSE))-SUMPRODUCT((OFFSET(INDIRECT(CELL("address",INDEX('Leave Tracker'!$A$8:$A$107,MATCH($A28,'Leave Tracker'!$A$8:$A$107,0)))),0,31*(VLOOKUP(R$1,Sprints[],5,FALSE))+DAY(VLOOKUP(R$1,Sprints[],2,FALSE)),1,VLOOKUP(R$1,Sprints[],4,FALSE))&lt;&gt;"")*(IF(OFFSET(INDIRECT(CELL("address",INDEX('Leave Tracker'!$A$8:$A$107,MATCH($A28,'Leave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28" s="31">
        <f t="array" aca="1" ref="S28" ca="1">Sheet3!$W$2*$F28*(NETWORKDAYS(VLOOKUP(S$1,Sprints[],2,FALSE), VLOOKUP(S$1,Sprints[],3,FALSE))-SUMPRODUCT((OFFSET(INDIRECT(CELL("address",INDEX('Leave Tracker'!$A$8:$A$107,MATCH($A28,'Leave Tracker'!$A$8:$A$107,0)))),0,31*(VLOOKUP(S$1,Sprints[],5,FALSE))+DAY(VLOOKUP(S$1,Sprints[],2,FALSE)),1,VLOOKUP(S$1,Sprints[],4,FALSE))&lt;&gt;"")*(IF(OFFSET(INDIRECT(CELL("address",INDEX('Leave Tracker'!$A$8:$A$107,MATCH($A28,'Leave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8" s="31">
        <f t="array" aca="1" ref="T28" ca="1">Sheet3!$W$2*$F28*(NETWORKDAYS(VLOOKUP(T$1,Sprints[],2,FALSE), VLOOKUP(T$1,Sprints[],3,FALSE))-SUMPRODUCT((OFFSET(INDIRECT(CELL("address",INDEX('Leave Tracker'!$A$8:$A$107,MATCH($A28,'Leave Tracker'!$A$8:$A$107,0)))),0,31*(VLOOKUP(T$1,Sprints[],5,FALSE))+DAY(VLOOKUP(T$1,Sprints[],2,FALSE)),1,VLOOKUP(T$1,Sprints[],4,FALSE))&lt;&gt;"")*(IF(OFFSET(INDIRECT(CELL("address",INDEX('Leave Tracker'!$A$8:$A$107,MATCH($A28,'Leave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8" s="78">
        <f t="array" aca="1" ref="U28" ca="1">Sheet3!$W$2*$F28*(NETWORKDAYS(VLOOKUP(U$1,Sprints[],2,FALSE), VLOOKUP(U$1,Sprints[],3,FALSE))-SUMPRODUCT((OFFSET(INDIRECT(CELL("address",INDEX('Leave Tracker'!$A$8:$A$107,MATCH($A28,'Leave Tracker'!$A$8:$A$107,0)))),0,31*(VLOOKUP(U$1,Sprints[],5,FALSE))+DAY(VLOOKUP(U$1,Sprints[],2,FALSE)),1,VLOOKUP(U$1,Sprints[],4,FALSE))&lt;&gt;"")*(IF(OFFSET(INDIRECT(CELL("address",INDEX('Leave Tracker'!$A$8:$A$107,MATCH($A28,'Leave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11.400000000000002</v>
      </c>
    </row>
    <row r="29" spans="1:21" x14ac:dyDescent="0.45">
      <c r="A29" t="s">
        <v>86</v>
      </c>
      <c r="B29" s="45" t="s">
        <v>113</v>
      </c>
      <c r="C29" s="45" t="s">
        <v>117</v>
      </c>
      <c r="D29" s="45" t="s">
        <v>132</v>
      </c>
      <c r="E29" s="45" t="s">
        <v>126</v>
      </c>
      <c r="F29" s="47">
        <v>0.75</v>
      </c>
      <c r="G29" s="45">
        <f t="array" aca="1" ref="G29" ca="1">Sheet3!$W$2*$F29*(NETWORKDAYS(VLOOKUP(G$1,Sprints[],2,FALSE), VLOOKUP(G$1,Sprints[],3,FALSE))-SUMPRODUCT((OFFSET(INDIRECT(CELL("address",INDEX('Leave Tracker'!$A$8:$A$107,MATCH($A29,'Leave Tracker'!$A$8:$A$107,0)))),0,31*(VLOOKUP(G$1,Sprints[],5,FALSE))+DAY(VLOOKUP(G$1,Sprints[],2,FALSE)),1,VLOOKUP(G$1,Sprints[],4,FALSE))&lt;&gt;"")*(IF(OFFSET(INDIRECT(CELL("address",INDEX('Leave Tracker'!$A$8:$A$107,MATCH($A29,'Leave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29">
        <f t="array" aca="1" ref="H29" ca="1">Sheet3!$W$2*$F29*(NETWORKDAYS(VLOOKUP(H$1,Sprints[],2,FALSE), VLOOKUP(H$1,Sprints[],3,FALSE))-SUMPRODUCT((OFFSET(INDIRECT(CELL("address",INDEX('Leave Tracker'!$A$8:$A$107,MATCH($A29,'Leave Tracker'!$A$8:$A$107,0)))),0,31*(VLOOKUP(H$1,Sprints[],5,FALSE))+DAY(VLOOKUP(H$1,Sprints[],2,FALSE)),1,VLOOKUP(H$1,Sprints[],4,FALSE))&lt;&gt;"")*(IF(OFFSET(INDIRECT(CELL("address",INDEX('Leave Tracker'!$A$8:$A$107,MATCH($A29,'Leave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9">
        <f t="array" aca="1" ref="I29" ca="1">Sheet3!$W$2*$F29*(NETWORKDAYS(VLOOKUP(I$1,Sprints[],2,FALSE), VLOOKUP(I$1,Sprints[],3,FALSE))-SUMPRODUCT((OFFSET(INDIRECT(CELL("address",INDEX('Leave Tracker'!$A$8:$A$107,MATCH($A29,'Leave Tracker'!$A$8:$A$107,0)))),0,31*(VLOOKUP(I$1,Sprints[],5,FALSE))+DAY(VLOOKUP(I$1,Sprints[],2,FALSE)),1,VLOOKUP(I$1,Sprints[],4,FALSE))&lt;&gt;"")*(IF(OFFSET(INDIRECT(CELL("address",INDEX('Leave Tracker'!$A$8:$A$107,MATCH($A29,'Leave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29">
        <f t="array" aca="1" ref="J29" ca="1">Sheet3!$W$2*$F29*(NETWORKDAYS(VLOOKUP(J$1,Sprints[],2,FALSE), VLOOKUP(J$1,Sprints[],3,FALSE))-SUMPRODUCT((OFFSET(INDIRECT(CELL("address",INDEX('Leave Tracker'!$A$8:$A$107,MATCH($A29,'Leave Tracker'!$A$8:$A$107,0)))),0,31*(VLOOKUP(J$1,Sprints[],5,FALSE))+DAY(VLOOKUP(J$1,Sprints[],2,FALSE)),1,VLOOKUP(J$1,Sprints[],4,FALSE))&lt;&gt;"")*(IF(OFFSET(INDIRECT(CELL("address",INDEX('Leave Tracker'!$A$8:$A$107,MATCH($A29,'Leave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3.6000000000000005</v>
      </c>
      <c r="K29">
        <f t="array" aca="1" ref="K29" ca="1">Sheet3!$W$2*$F29*(NETWORKDAYS(VLOOKUP(K$1,Sprints[],2,FALSE), VLOOKUP(K$1,Sprints[],3,FALSE))-SUMPRODUCT((OFFSET(INDIRECT(CELL("address",INDEX('Leave Tracker'!$A$8:$A$107,MATCH($A29,'Leave Tracker'!$A$8:$A$107,0)))),0,31*(VLOOKUP(K$1,Sprints[],5,FALSE))+DAY(VLOOKUP(K$1,Sprints[],2,FALSE)),1,VLOOKUP(K$1,Sprints[],4,FALSE))&lt;&gt;"")*(IF(OFFSET(INDIRECT(CELL("address",INDEX('Leave Tracker'!$A$8:$A$107,MATCH($A29,'Leave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4.5000000000000009</v>
      </c>
      <c r="L29">
        <f t="array" aca="1" ref="L29" ca="1">Sheet3!$W$2*$F29*(NETWORKDAYS(VLOOKUP(L$1,Sprints[],2,FALSE), VLOOKUP(L$1,Sprints[],3,FALSE))-SUMPRODUCT((OFFSET(INDIRECT(CELL("address",INDEX('Leave Tracker'!$A$8:$A$107,MATCH($A29,'Leave Tracker'!$A$8:$A$107,0)))),0,31*(VLOOKUP(L$1,Sprints[],5,FALSE))+DAY(VLOOKUP(L$1,Sprints[],2,FALSE)),1,VLOOKUP(L$1,Sprints[],4,FALSE))&lt;&gt;"")*(IF(OFFSET(INDIRECT(CELL("address",INDEX('Leave Tracker'!$A$8:$A$107,MATCH($A29,'Leave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3.6000000000000005</v>
      </c>
      <c r="M29" s="45">
        <f t="array" aca="1" ref="M29" ca="1">Sheet3!$W$2*$F29*(NETWORKDAYS(VLOOKUP(M$1,Sprints[],2,FALSE), VLOOKUP(M$1,Sprints[],3,FALSE))-SUMPRODUCT((OFFSET(INDIRECT(CELL("address",INDEX('Leave Tracker'!$A$8:$A$107,MATCH($A29,'Leave Tracker'!$A$8:$A$107,0)))),0,31*(VLOOKUP(M$1,Sprints[],5,FALSE))+DAY(VLOOKUP(M$1,Sprints[],2,FALSE)),1,VLOOKUP(M$1,Sprints[],4,FALSE))&lt;&gt;"")*(IF(OFFSET(INDIRECT(CELL("address",INDEX('Leave Tracker'!$A$8:$A$107,MATCH($A29,'Leave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3.0000000000000004</v>
      </c>
      <c r="N29">
        <f t="array" aca="1" ref="N29" ca="1">Sheet3!$W$2*$F29*(NETWORKDAYS(VLOOKUP(N$1,Sprints[],2,FALSE), VLOOKUP(N$1,Sprints[],3,FALSE))-SUMPRODUCT((OFFSET(INDIRECT(CELL("address",INDEX('Leave Tracker'!$A$8:$A$107,MATCH($A29,'Leave Tracker'!$A$8:$A$107,0)))),0,31*(VLOOKUP(N$1,Sprints[],5,FALSE))+DAY(VLOOKUP(N$1,Sprints[],2,FALSE)),1,VLOOKUP(N$1,Sprints[],4,FALSE))&lt;&gt;"")*(IF(OFFSET(INDIRECT(CELL("address",INDEX('Leave Tracker'!$A$8:$A$107,MATCH($A29,'Leave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1.8000000000000003</v>
      </c>
      <c r="O29">
        <f t="array" aca="1" ref="O29" ca="1">Sheet3!$W$2*$F29*(NETWORKDAYS(VLOOKUP(O$1,Sprints[],2,FALSE), VLOOKUP(O$1,Sprints[],3,FALSE))-SUMPRODUCT((OFFSET(INDIRECT(CELL("address",INDEX('Leave Tracker'!$A$8:$A$107,MATCH($A29,'Leave Tracker'!$A$8:$A$107,0)))),0,31*(VLOOKUP(O$1,Sprints[],5,FALSE))+DAY(VLOOKUP(O$1,Sprints[],2,FALSE)),1,VLOOKUP(O$1,Sprints[],4,FALSE))&lt;&gt;"")*(IF(OFFSET(INDIRECT(CELL("address",INDEX('Leave Tracker'!$A$8:$A$107,MATCH($A29,'Leave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29">
        <f t="array" aca="1" ref="P29" ca="1">Sheet3!$W$2*$F29*(NETWORKDAYS(VLOOKUP(P$1,Sprints[],2,FALSE), VLOOKUP(P$1,Sprints[],3,FALSE))-SUMPRODUCT((OFFSET(INDIRECT(CELL("address",INDEX('Leave Tracker'!$A$8:$A$107,MATCH($A29,'Leave Tracker'!$A$8:$A$107,0)))),0,31*(VLOOKUP(P$1,Sprints[],5,FALSE))+DAY(VLOOKUP(P$1,Sprints[],2,FALSE)),1,VLOOKUP(P$1,Sprints[],4,FALSE))&lt;&gt;"")*(IF(OFFSET(INDIRECT(CELL("address",INDEX('Leave Tracker'!$A$8:$A$107,MATCH($A29,'Leave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9">
        <f t="array" aca="1" ref="Q29" ca="1">Sheet3!$W$2*$F29*(NETWORKDAYS(VLOOKUP(Q$1,Sprints[],2,FALSE), VLOOKUP(Q$1,Sprints[],3,FALSE))-SUMPRODUCT((OFFSET(INDIRECT(CELL("address",INDEX('Leave Tracker'!$A$8:$A$107,MATCH($A29,'Leave Tracker'!$A$8:$A$107,0)))),0,31*(VLOOKUP(Q$1,Sprints[],5,FALSE))+DAY(VLOOKUP(Q$1,Sprints[],2,FALSE)),1,VLOOKUP(Q$1,Sprints[],4,FALSE))&lt;&gt;"")*(IF(OFFSET(INDIRECT(CELL("address",INDEX('Leave Tracker'!$A$8:$A$107,MATCH($A29,'Leave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5.4</v>
      </c>
      <c r="R29">
        <f t="array" aca="1" ref="R29" ca="1">Sheet3!$W$2*$F29*(NETWORKDAYS(VLOOKUP(R$1,Sprints[],2,FALSE), VLOOKUP(R$1,Sprints[],3,FALSE))-SUMPRODUCT((OFFSET(INDIRECT(CELL("address",INDEX('Leave Tracker'!$A$8:$A$107,MATCH($A29,'Leave Tracker'!$A$8:$A$107,0)))),0,31*(VLOOKUP(R$1,Sprints[],5,FALSE))+DAY(VLOOKUP(R$1,Sprints[],2,FALSE)),1,VLOOKUP(R$1,Sprints[],4,FALSE))&lt;&gt;"")*(IF(OFFSET(INDIRECT(CELL("address",INDEX('Leave Tracker'!$A$8:$A$107,MATCH($A29,'Leave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9" s="31">
        <f t="array" aca="1" ref="S29" ca="1">Sheet3!$W$2*$F29*(NETWORKDAYS(VLOOKUP(S$1,Sprints[],2,FALSE), VLOOKUP(S$1,Sprints[],3,FALSE))-SUMPRODUCT((OFFSET(INDIRECT(CELL("address",INDEX('Leave Tracker'!$A$8:$A$107,MATCH($A29,'Leave Tracker'!$A$8:$A$107,0)))),0,31*(VLOOKUP(S$1,Sprints[],5,FALSE))+DAY(VLOOKUP(S$1,Sprints[],2,FALSE)),1,VLOOKUP(S$1,Sprints[],4,FALSE))&lt;&gt;"")*(IF(OFFSET(INDIRECT(CELL("address",INDEX('Leave Tracker'!$A$8:$A$107,MATCH($A29,'Leave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29" s="31">
        <f t="array" aca="1" ref="T29" ca="1">Sheet3!$W$2*$F29*(NETWORKDAYS(VLOOKUP(T$1,Sprints[],2,FALSE), VLOOKUP(T$1,Sprints[],3,FALSE))-SUMPRODUCT((OFFSET(INDIRECT(CELL("address",INDEX('Leave Tracker'!$A$8:$A$107,MATCH($A29,'Leave Tracker'!$A$8:$A$107,0)))),0,31*(VLOOKUP(T$1,Sprints[],5,FALSE))+DAY(VLOOKUP(T$1,Sprints[],2,FALSE)),1,VLOOKUP(T$1,Sprints[],4,FALSE))&lt;&gt;"")*(IF(OFFSET(INDIRECT(CELL("address",INDEX('Leave Tracker'!$A$8:$A$107,MATCH($A29,'Leave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9" s="78">
        <f t="array" aca="1" ref="U29" ca="1">Sheet3!$W$2*$F29*(NETWORKDAYS(VLOOKUP(U$1,Sprints[],2,FALSE), VLOOKUP(U$1,Sprints[],3,FALSE))-SUMPRODUCT((OFFSET(INDIRECT(CELL("address",INDEX('Leave Tracker'!$A$8:$A$107,MATCH($A29,'Leave Tracker'!$A$8:$A$107,0)))),0,31*(VLOOKUP(U$1,Sprints[],5,FALSE))+DAY(VLOOKUP(U$1,Sprints[],2,FALSE)),1,VLOOKUP(U$1,Sprints[],4,FALSE))&lt;&gt;"")*(IF(OFFSET(INDIRECT(CELL("address",INDEX('Leave Tracker'!$A$8:$A$107,MATCH($A29,'Leave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6.0000000000000009</v>
      </c>
    </row>
    <row r="30" spans="1:21" x14ac:dyDescent="0.45">
      <c r="A30" s="66" t="s">
        <v>87</v>
      </c>
      <c r="B30" s="66" t="s">
        <v>114</v>
      </c>
      <c r="C30" s="66" t="s">
        <v>117</v>
      </c>
      <c r="D30" s="66" t="s">
        <v>132</v>
      </c>
      <c r="E30" s="66" t="s">
        <v>124</v>
      </c>
      <c r="F30" s="67">
        <v>0.75</v>
      </c>
      <c r="G30" s="66">
        <f t="array" aca="1" ref="G30" ca="1">Sheet3!$W$2*$F30*(NETWORKDAYS(VLOOKUP(G$1,Sprints[],2,FALSE), VLOOKUP(G$1,Sprints[],3,FALSE))-SUMPRODUCT((OFFSET(INDIRECT(CELL("address",INDEX('Leave Tracker'!$A$8:$A$107,MATCH($A30,'Leave Tracker'!$A$8:$A$107,0)))),0,31*(VLOOKUP(G$1,Sprints[],5,FALSE))+DAY(VLOOKUP(G$1,Sprints[],2,FALSE)),1,VLOOKUP(G$1,Sprints[],4,FALSE))&lt;&gt;"")*(IF(OFFSET(INDIRECT(CELL("address",INDEX('Leave Tracker'!$A$8:$A$107,MATCH($A30,'Leave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30" s="66">
        <f t="array" aca="1" ref="H30" ca="1">Sheet3!$W$2*$F30*(NETWORKDAYS(VLOOKUP(H$1,Sprints[],2,FALSE), VLOOKUP(H$1,Sprints[],3,FALSE))-SUMPRODUCT((OFFSET(INDIRECT(CELL("address",INDEX('Leave Tracker'!$A$8:$A$107,MATCH($A30,'Leave Tracker'!$A$8:$A$107,0)))),0,31*(VLOOKUP(H$1,Sprints[],5,FALSE))+DAY(VLOOKUP(H$1,Sprints[],2,FALSE)),1,VLOOKUP(H$1,Sprints[],4,FALSE))&lt;&gt;"")*(IF(OFFSET(INDIRECT(CELL("address",INDEX('Leave Tracker'!$A$8:$A$107,MATCH($A30,'Leave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0" s="66">
        <f t="array" aca="1" ref="I30" ca="1">Sheet3!$W$2*$F30*(NETWORKDAYS(VLOOKUP(I$1,Sprints[],2,FALSE), VLOOKUP(I$1,Sprints[],3,FALSE))-SUMPRODUCT((OFFSET(INDIRECT(CELL("address",INDEX('Leave Tracker'!$A$8:$A$107,MATCH($A30,'Leave Tracker'!$A$8:$A$107,0)))),0,31*(VLOOKUP(I$1,Sprints[],5,FALSE))+DAY(VLOOKUP(I$1,Sprints[],2,FALSE)),1,VLOOKUP(I$1,Sprints[],4,FALSE))&lt;&gt;"")*(IF(OFFSET(INDIRECT(CELL("address",INDEX('Leave Tracker'!$A$8:$A$107,MATCH($A30,'Leave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0" s="66">
        <f t="array" aca="1" ref="J30" ca="1">Sheet3!$W$2*$F30*(NETWORKDAYS(VLOOKUP(J$1,Sprints[],2,FALSE), VLOOKUP(J$1,Sprints[],3,FALSE))-SUMPRODUCT((OFFSET(INDIRECT(CELL("address",INDEX('Leave Tracker'!$A$8:$A$107,MATCH($A30,'Leave Tracker'!$A$8:$A$107,0)))),0,31*(VLOOKUP(J$1,Sprints[],5,FALSE))+DAY(VLOOKUP(J$1,Sprints[],2,FALSE)),1,VLOOKUP(J$1,Sprints[],4,FALSE))&lt;&gt;"")*(IF(OFFSET(INDIRECT(CELL("address",INDEX('Leave Tracker'!$A$8:$A$107,MATCH($A30,'Leave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30" s="66">
        <f t="array" aca="1" ref="K30" ca="1">Sheet3!$W$2*$F30*(NETWORKDAYS(VLOOKUP(K$1,Sprints[],2,FALSE), VLOOKUP(K$1,Sprints[],3,FALSE))-SUMPRODUCT((OFFSET(INDIRECT(CELL("address",INDEX('Leave Tracker'!$A$8:$A$107,MATCH($A30,'Leave Tracker'!$A$8:$A$107,0)))),0,31*(VLOOKUP(K$1,Sprints[],5,FALSE))+DAY(VLOOKUP(K$1,Sprints[],2,FALSE)),1,VLOOKUP(K$1,Sprints[],4,FALSE))&lt;&gt;"")*(IF(OFFSET(INDIRECT(CELL("address",INDEX('Leave Tracker'!$A$8:$A$107,MATCH($A30,'Leave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30" s="66">
        <f t="array" aca="1" ref="L30" ca="1">Sheet3!$W$2*$F30*(NETWORKDAYS(VLOOKUP(L$1,Sprints[],2,FALSE), VLOOKUP(L$1,Sprints[],3,FALSE))-SUMPRODUCT((OFFSET(INDIRECT(CELL("address",INDEX('Leave Tracker'!$A$8:$A$107,MATCH($A30,'Leave Tracker'!$A$8:$A$107,0)))),0,31*(VLOOKUP(L$1,Sprints[],5,FALSE))+DAY(VLOOKUP(L$1,Sprints[],2,FALSE)),1,VLOOKUP(L$1,Sprints[],4,FALSE))&lt;&gt;"")*(IF(OFFSET(INDIRECT(CELL("address",INDEX('Leave Tracker'!$A$8:$A$107,MATCH($A30,'Leave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30" s="66">
        <f t="array" aca="1" ref="M30" ca="1">Sheet3!$W$2*$F30*(NETWORKDAYS(VLOOKUP(M$1,Sprints[],2,FALSE), VLOOKUP(M$1,Sprints[],3,FALSE))-SUMPRODUCT((OFFSET(INDIRECT(CELL("address",INDEX('Leave Tracker'!$A$8:$A$107,MATCH($A30,'Leave Tracker'!$A$8:$A$107,0)))),0,31*(VLOOKUP(M$1,Sprints[],5,FALSE))+DAY(VLOOKUP(M$1,Sprints[],2,FALSE)),1,VLOOKUP(M$1,Sprints[],4,FALSE))&lt;&gt;"")*(IF(OFFSET(INDIRECT(CELL("address",INDEX('Leave Tracker'!$A$8:$A$107,MATCH($A30,'Leave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30" s="66">
        <f t="array" aca="1" ref="N30" ca="1">Sheet3!$W$2*$F30*(NETWORKDAYS(VLOOKUP(N$1,Sprints[],2,FALSE), VLOOKUP(N$1,Sprints[],3,FALSE))-SUMPRODUCT((OFFSET(INDIRECT(CELL("address",INDEX('Leave Tracker'!$A$8:$A$107,MATCH($A30,'Leave Tracker'!$A$8:$A$107,0)))),0,31*(VLOOKUP(N$1,Sprints[],5,FALSE))+DAY(VLOOKUP(N$1,Sprints[],2,FALSE)),1,VLOOKUP(N$1,Sprints[],4,FALSE))&lt;&gt;"")*(IF(OFFSET(INDIRECT(CELL("address",INDEX('Leave Tracker'!$A$8:$A$107,MATCH($A30,'Leave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30" s="66">
        <f t="array" aca="1" ref="O30" ca="1">Sheet3!$W$2*$F30*(NETWORKDAYS(VLOOKUP(O$1,Sprints[],2,FALSE), VLOOKUP(O$1,Sprints[],3,FALSE))-SUMPRODUCT((OFFSET(INDIRECT(CELL("address",INDEX('Leave Tracker'!$A$8:$A$107,MATCH($A30,'Leave Tracker'!$A$8:$A$107,0)))),0,31*(VLOOKUP(O$1,Sprints[],5,FALSE))+DAY(VLOOKUP(O$1,Sprints[],2,FALSE)),1,VLOOKUP(O$1,Sprints[],4,FALSE))&lt;&gt;"")*(IF(OFFSET(INDIRECT(CELL("address",INDEX('Leave Tracker'!$A$8:$A$107,MATCH($A30,'Leave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0" s="66">
        <f t="array" aca="1" ref="P30" ca="1">Sheet3!$W$2*$F30*(NETWORKDAYS(VLOOKUP(P$1,Sprints[],2,FALSE), VLOOKUP(P$1,Sprints[],3,FALSE))-SUMPRODUCT((OFFSET(INDIRECT(CELL("address",INDEX('Leave Tracker'!$A$8:$A$107,MATCH($A30,'Leave Tracker'!$A$8:$A$107,0)))),0,31*(VLOOKUP(P$1,Sprints[],5,FALSE))+DAY(VLOOKUP(P$1,Sprints[],2,FALSE)),1,VLOOKUP(P$1,Sprints[],4,FALSE))&lt;&gt;"")*(IF(OFFSET(INDIRECT(CELL("address",INDEX('Leave Tracker'!$A$8:$A$107,MATCH($A30,'Leave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30" s="66">
        <f t="array" aca="1" ref="Q30" ca="1">Sheet3!$W$2*$F30*(NETWORKDAYS(VLOOKUP(Q$1,Sprints[],2,FALSE), VLOOKUP(Q$1,Sprints[],3,FALSE))-SUMPRODUCT((OFFSET(INDIRECT(CELL("address",INDEX('Leave Tracker'!$A$8:$A$107,MATCH($A30,'Leave Tracker'!$A$8:$A$107,0)))),0,31*(VLOOKUP(Q$1,Sprints[],5,FALSE))+DAY(VLOOKUP(Q$1,Sprints[],2,FALSE)),1,VLOOKUP(Q$1,Sprints[],4,FALSE))&lt;&gt;"")*(IF(OFFSET(INDIRECT(CELL("address",INDEX('Leave Tracker'!$A$8:$A$107,MATCH($A30,'Leave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30" s="66">
        <f t="array" aca="1" ref="R30" ca="1">Sheet3!$W$2*$F30*(NETWORKDAYS(VLOOKUP(R$1,Sprints[],2,FALSE), VLOOKUP(R$1,Sprints[],3,FALSE))-SUMPRODUCT((OFFSET(INDIRECT(CELL("address",INDEX('Leave Tracker'!$A$8:$A$107,MATCH($A30,'Leave Tracker'!$A$8:$A$107,0)))),0,31*(VLOOKUP(R$1,Sprints[],5,FALSE))+DAY(VLOOKUP(R$1,Sprints[],2,FALSE)),1,VLOOKUP(R$1,Sprints[],4,FALSE))&lt;&gt;"")*(IF(OFFSET(INDIRECT(CELL("address",INDEX('Leave Tracker'!$A$8:$A$107,MATCH($A30,'Leave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30" s="68">
        <f t="array" aca="1" ref="S30" ca="1">Sheet3!$W$2*$F30*(NETWORKDAYS(VLOOKUP(S$1,Sprints[],2,FALSE), VLOOKUP(S$1,Sprints[],3,FALSE))-SUMPRODUCT((OFFSET(INDIRECT(CELL("address",INDEX('Leave Tracker'!$A$8:$A$107,MATCH($A30,'Leave Tracker'!$A$8:$A$107,0)))),0,31*(VLOOKUP(S$1,Sprints[],5,FALSE))+DAY(VLOOKUP(S$1,Sprints[],2,FALSE)),1,VLOOKUP(S$1,Sprints[],4,FALSE))&lt;&gt;"")*(IF(OFFSET(INDIRECT(CELL("address",INDEX('Leave Tracker'!$A$8:$A$107,MATCH($A30,'Leave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30" s="68">
        <f t="array" aca="1" ref="T30" ca="1">Sheet3!$W$2*$F30*(NETWORKDAYS(VLOOKUP(T$1,Sprints[],2,FALSE), VLOOKUP(T$1,Sprints[],3,FALSE))-SUMPRODUCT((OFFSET(INDIRECT(CELL("address",INDEX('Leave Tracker'!$A$8:$A$107,MATCH($A30,'Leave Tracker'!$A$8:$A$107,0)))),0,31*(VLOOKUP(T$1,Sprints[],5,FALSE))+DAY(VLOOKUP(T$1,Sprints[],2,FALSE)),1,VLOOKUP(T$1,Sprints[],4,FALSE))&lt;&gt;"")*(IF(OFFSET(INDIRECT(CELL("address",INDEX('Leave Tracker'!$A$8:$A$107,MATCH($A30,'Leave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30" s="79">
        <f t="array" aca="1" ref="U30" ca="1">Sheet3!$W$2*$F30*(NETWORKDAYS(VLOOKUP(U$1,Sprints[],2,FALSE), VLOOKUP(U$1,Sprints[],3,FALSE))-SUMPRODUCT((OFFSET(INDIRECT(CELL("address",INDEX('Leave Tracker'!$A$8:$A$107,MATCH($A30,'Leave Tracker'!$A$8:$A$107,0)))),0,31*(VLOOKUP(U$1,Sprints[],5,FALSE))+DAY(VLOOKUP(U$1,Sprints[],2,FALSE)),1,VLOOKUP(U$1,Sprints[],4,FALSE))&lt;&gt;"")*(IF(OFFSET(INDIRECT(CELL("address",INDEX('Leave Tracker'!$A$8:$A$107,MATCH($A30,'Leave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1" spans="1:21" x14ac:dyDescent="0.45">
      <c r="A31" s="66" t="s">
        <v>88</v>
      </c>
      <c r="B31" s="66" t="s">
        <v>114</v>
      </c>
      <c r="C31" s="66" t="s">
        <v>117</v>
      </c>
      <c r="D31" s="66" t="s">
        <v>132</v>
      </c>
      <c r="E31" s="66" t="s">
        <v>125</v>
      </c>
      <c r="F31" s="67">
        <v>0.75</v>
      </c>
      <c r="G31" s="66">
        <f t="array" aca="1" ref="G31" ca="1">Sheet3!$W$2*$F31*(NETWORKDAYS(VLOOKUP(G$1,Sprints[],2,FALSE), VLOOKUP(G$1,Sprints[],3,FALSE))-SUMPRODUCT((OFFSET(INDIRECT(CELL("address",INDEX('Leave Tracker'!$A$8:$A$107,MATCH($A31,'Leave Tracker'!$A$8:$A$107,0)))),0,31*(VLOOKUP(G$1,Sprints[],5,FALSE))+DAY(VLOOKUP(G$1,Sprints[],2,FALSE)),1,VLOOKUP(G$1,Sprints[],4,FALSE))&lt;&gt;"")*(IF(OFFSET(INDIRECT(CELL("address",INDEX('Leave Tracker'!$A$8:$A$107,MATCH($A31,'Leave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31" s="66">
        <f t="array" aca="1" ref="H31" ca="1">Sheet3!$W$2*$F31*(NETWORKDAYS(VLOOKUP(H$1,Sprints[],2,FALSE), VLOOKUP(H$1,Sprints[],3,FALSE))-SUMPRODUCT((OFFSET(INDIRECT(CELL("address",INDEX('Leave Tracker'!$A$8:$A$107,MATCH($A31,'Leave Tracker'!$A$8:$A$107,0)))),0,31*(VLOOKUP(H$1,Sprints[],5,FALSE))+DAY(VLOOKUP(H$1,Sprints[],2,FALSE)),1,VLOOKUP(H$1,Sprints[],4,FALSE))&lt;&gt;"")*(IF(OFFSET(INDIRECT(CELL("address",INDEX('Leave Tracker'!$A$8:$A$107,MATCH($A31,'Leave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1" s="66">
        <f t="array" aca="1" ref="I31" ca="1">Sheet3!$W$2*$F31*(NETWORKDAYS(VLOOKUP(I$1,Sprints[],2,FALSE), VLOOKUP(I$1,Sprints[],3,FALSE))-SUMPRODUCT((OFFSET(INDIRECT(CELL("address",INDEX('Leave Tracker'!$A$8:$A$107,MATCH($A31,'Leave Tracker'!$A$8:$A$107,0)))),0,31*(VLOOKUP(I$1,Sprints[],5,FALSE))+DAY(VLOOKUP(I$1,Sprints[],2,FALSE)),1,VLOOKUP(I$1,Sprints[],4,FALSE))&lt;&gt;"")*(IF(OFFSET(INDIRECT(CELL("address",INDEX('Leave Tracker'!$A$8:$A$107,MATCH($A31,'Leave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1" s="66">
        <f t="array" aca="1" ref="J31" ca="1">Sheet3!$W$2*$F31*(NETWORKDAYS(VLOOKUP(J$1,Sprints[],2,FALSE), VLOOKUP(J$1,Sprints[],3,FALSE))-SUMPRODUCT((OFFSET(INDIRECT(CELL("address",INDEX('Leave Tracker'!$A$8:$A$107,MATCH($A31,'Leave Tracker'!$A$8:$A$107,0)))),0,31*(VLOOKUP(J$1,Sprints[],5,FALSE))+DAY(VLOOKUP(J$1,Sprints[],2,FALSE)),1,VLOOKUP(J$1,Sprints[],4,FALSE))&lt;&gt;"")*(IF(OFFSET(INDIRECT(CELL("address",INDEX('Leave Tracker'!$A$8:$A$107,MATCH($A31,'Leave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31" s="66">
        <f t="array" aca="1" ref="K31" ca="1">Sheet3!$W$2*$F31*(NETWORKDAYS(VLOOKUP(K$1,Sprints[],2,FALSE), VLOOKUP(K$1,Sprints[],3,FALSE))-SUMPRODUCT((OFFSET(INDIRECT(CELL("address",INDEX('Leave Tracker'!$A$8:$A$107,MATCH($A31,'Leave Tracker'!$A$8:$A$107,0)))),0,31*(VLOOKUP(K$1,Sprints[],5,FALSE))+DAY(VLOOKUP(K$1,Sprints[],2,FALSE)),1,VLOOKUP(K$1,Sprints[],4,FALSE))&lt;&gt;"")*(IF(OFFSET(INDIRECT(CELL("address",INDEX('Leave Tracker'!$A$8:$A$107,MATCH($A31,'Leave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31" s="66">
        <f t="array" aca="1" ref="L31" ca="1">Sheet3!$W$2*$F31*(NETWORKDAYS(VLOOKUP(L$1,Sprints[],2,FALSE), VLOOKUP(L$1,Sprints[],3,FALSE))-SUMPRODUCT((OFFSET(INDIRECT(CELL("address",INDEX('Leave Tracker'!$A$8:$A$107,MATCH($A31,'Leave Tracker'!$A$8:$A$107,0)))),0,31*(VLOOKUP(L$1,Sprints[],5,FALSE))+DAY(VLOOKUP(L$1,Sprints[],2,FALSE)),1,VLOOKUP(L$1,Sprints[],4,FALSE))&lt;&gt;"")*(IF(OFFSET(INDIRECT(CELL("address",INDEX('Leave Tracker'!$A$8:$A$107,MATCH($A31,'Leave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31" s="66">
        <f t="array" aca="1" ref="M31" ca="1">Sheet3!$W$2*$F31*(NETWORKDAYS(VLOOKUP(M$1,Sprints[],2,FALSE), VLOOKUP(M$1,Sprints[],3,FALSE))-SUMPRODUCT((OFFSET(INDIRECT(CELL("address",INDEX('Leave Tracker'!$A$8:$A$107,MATCH($A31,'Leave Tracker'!$A$8:$A$107,0)))),0,31*(VLOOKUP(M$1,Sprints[],5,FALSE))+DAY(VLOOKUP(M$1,Sprints[],2,FALSE)),1,VLOOKUP(M$1,Sprints[],4,FALSE))&lt;&gt;"")*(IF(OFFSET(INDIRECT(CELL("address",INDEX('Leave Tracker'!$A$8:$A$107,MATCH($A31,'Leave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31" s="66">
        <f t="array" aca="1" ref="N31" ca="1">Sheet3!$W$2*$F31*(NETWORKDAYS(VLOOKUP(N$1,Sprints[],2,FALSE), VLOOKUP(N$1,Sprints[],3,FALSE))-SUMPRODUCT((OFFSET(INDIRECT(CELL("address",INDEX('Leave Tracker'!$A$8:$A$107,MATCH($A31,'Leave Tracker'!$A$8:$A$107,0)))),0,31*(VLOOKUP(N$1,Sprints[],5,FALSE))+DAY(VLOOKUP(N$1,Sprints[],2,FALSE)),1,VLOOKUP(N$1,Sprints[],4,FALSE))&lt;&gt;"")*(IF(OFFSET(INDIRECT(CELL("address",INDEX('Leave Tracker'!$A$8:$A$107,MATCH($A31,'Leave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31" s="66">
        <f t="array" aca="1" ref="O31" ca="1">Sheet3!$W$2*$F31*(NETWORKDAYS(VLOOKUP(O$1,Sprints[],2,FALSE), VLOOKUP(O$1,Sprints[],3,FALSE))-SUMPRODUCT((OFFSET(INDIRECT(CELL("address",INDEX('Leave Tracker'!$A$8:$A$107,MATCH($A31,'Leave Tracker'!$A$8:$A$107,0)))),0,31*(VLOOKUP(O$1,Sprints[],5,FALSE))+DAY(VLOOKUP(O$1,Sprints[],2,FALSE)),1,VLOOKUP(O$1,Sprints[],4,FALSE))&lt;&gt;"")*(IF(OFFSET(INDIRECT(CELL("address",INDEX('Leave Tracker'!$A$8:$A$107,MATCH($A31,'Leave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1" s="66">
        <f t="array" aca="1" ref="P31" ca="1">Sheet3!$W$2*$F31*(NETWORKDAYS(VLOOKUP(P$1,Sprints[],2,FALSE), VLOOKUP(P$1,Sprints[],3,FALSE))-SUMPRODUCT((OFFSET(INDIRECT(CELL("address",INDEX('Leave Tracker'!$A$8:$A$107,MATCH($A31,'Leave Tracker'!$A$8:$A$107,0)))),0,31*(VLOOKUP(P$1,Sprints[],5,FALSE))+DAY(VLOOKUP(P$1,Sprints[],2,FALSE)),1,VLOOKUP(P$1,Sprints[],4,FALSE))&lt;&gt;"")*(IF(OFFSET(INDIRECT(CELL("address",INDEX('Leave Tracker'!$A$8:$A$107,MATCH($A31,'Leave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31" s="66">
        <f t="array" aca="1" ref="Q31" ca="1">Sheet3!$W$2*$F31*(NETWORKDAYS(VLOOKUP(Q$1,Sprints[],2,FALSE), VLOOKUP(Q$1,Sprints[],3,FALSE))-SUMPRODUCT((OFFSET(INDIRECT(CELL("address",INDEX('Leave Tracker'!$A$8:$A$107,MATCH($A31,'Leave Tracker'!$A$8:$A$107,0)))),0,31*(VLOOKUP(Q$1,Sprints[],5,FALSE))+DAY(VLOOKUP(Q$1,Sprints[],2,FALSE)),1,VLOOKUP(Q$1,Sprints[],4,FALSE))&lt;&gt;"")*(IF(OFFSET(INDIRECT(CELL("address",INDEX('Leave Tracker'!$A$8:$A$107,MATCH($A31,'Leave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31" s="66">
        <f t="array" aca="1" ref="R31" ca="1">Sheet3!$W$2*$F31*(NETWORKDAYS(VLOOKUP(R$1,Sprints[],2,FALSE), VLOOKUP(R$1,Sprints[],3,FALSE))-SUMPRODUCT((OFFSET(INDIRECT(CELL("address",INDEX('Leave Tracker'!$A$8:$A$107,MATCH($A31,'Leave Tracker'!$A$8:$A$107,0)))),0,31*(VLOOKUP(R$1,Sprints[],5,FALSE))+DAY(VLOOKUP(R$1,Sprints[],2,FALSE)),1,VLOOKUP(R$1,Sprints[],4,FALSE))&lt;&gt;"")*(IF(OFFSET(INDIRECT(CELL("address",INDEX('Leave Tracker'!$A$8:$A$107,MATCH($A31,'Leave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31" s="68">
        <f t="array" aca="1" ref="S31" ca="1">Sheet3!$W$2*$F31*(NETWORKDAYS(VLOOKUP(S$1,Sprints[],2,FALSE), VLOOKUP(S$1,Sprints[],3,FALSE))-SUMPRODUCT((OFFSET(INDIRECT(CELL("address",INDEX('Leave Tracker'!$A$8:$A$107,MATCH($A31,'Leave Tracker'!$A$8:$A$107,0)))),0,31*(VLOOKUP(S$1,Sprints[],5,FALSE))+DAY(VLOOKUP(S$1,Sprints[],2,FALSE)),1,VLOOKUP(S$1,Sprints[],4,FALSE))&lt;&gt;"")*(IF(OFFSET(INDIRECT(CELL("address",INDEX('Leave Tracker'!$A$8:$A$107,MATCH($A31,'Leave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31" s="68">
        <f t="array" aca="1" ref="T31" ca="1">Sheet3!$W$2*$F31*(NETWORKDAYS(VLOOKUP(T$1,Sprints[],2,FALSE), VLOOKUP(T$1,Sprints[],3,FALSE))-SUMPRODUCT((OFFSET(INDIRECT(CELL("address",INDEX('Leave Tracker'!$A$8:$A$107,MATCH($A31,'Leave Tracker'!$A$8:$A$107,0)))),0,31*(VLOOKUP(T$1,Sprints[],5,FALSE))+DAY(VLOOKUP(T$1,Sprints[],2,FALSE)),1,VLOOKUP(T$1,Sprints[],4,FALSE))&lt;&gt;"")*(IF(OFFSET(INDIRECT(CELL("address",INDEX('Leave Tracker'!$A$8:$A$107,MATCH($A31,'Leave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31" s="79">
        <f t="array" aca="1" ref="U31" ca="1">Sheet3!$W$2*$F31*(NETWORKDAYS(VLOOKUP(U$1,Sprints[],2,FALSE), VLOOKUP(U$1,Sprints[],3,FALSE))-SUMPRODUCT((OFFSET(INDIRECT(CELL("address",INDEX('Leave Tracker'!$A$8:$A$107,MATCH($A31,'Leave Tracker'!$A$8:$A$107,0)))),0,31*(VLOOKUP(U$1,Sprints[],5,FALSE))+DAY(VLOOKUP(U$1,Sprints[],2,FALSE)),1,VLOOKUP(U$1,Sprints[],4,FALSE))&lt;&gt;"")*(IF(OFFSET(INDIRECT(CELL("address",INDEX('Leave Tracker'!$A$8:$A$107,MATCH($A31,'Leave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2" spans="1:21" x14ac:dyDescent="0.45">
      <c r="A32" t="s">
        <v>89</v>
      </c>
      <c r="B32" s="45" t="s">
        <v>119</v>
      </c>
      <c r="C32" s="45" t="s">
        <v>117</v>
      </c>
      <c r="D32" s="45" t="s">
        <v>133</v>
      </c>
      <c r="E32" s="45" t="s">
        <v>127</v>
      </c>
      <c r="F32" s="47">
        <v>0.75</v>
      </c>
      <c r="G32" s="45">
        <f t="array" aca="1" ref="G32" ca="1">Sheet3!$W$2*$F32*(NETWORKDAYS(VLOOKUP(G$1,Sprints[],2,FALSE), VLOOKUP(G$1,Sprints[],3,FALSE))-SUMPRODUCT((OFFSET(INDIRECT(CELL("address",INDEX('Leave Tracker'!$A$8:$A$107,MATCH($A32,'Leave Tracker'!$A$8:$A$107,0)))),0,31*(VLOOKUP(G$1,Sprints[],5,FALSE))+DAY(VLOOKUP(G$1,Sprints[],2,FALSE)),1,VLOOKUP(G$1,Sprints[],4,FALSE))&lt;&gt;"")*(IF(OFFSET(INDIRECT(CELL("address",INDEX('Leave Tracker'!$A$8:$A$107,MATCH($A32,'Leave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2.7</v>
      </c>
      <c r="H32">
        <f t="array" aca="1" ref="H32" ca="1">Sheet3!$W$2*$F32*(NETWORKDAYS(VLOOKUP(H$1,Sprints[],2,FALSE), VLOOKUP(H$1,Sprints[],3,FALSE))-SUMPRODUCT((OFFSET(INDIRECT(CELL("address",INDEX('Leave Tracker'!$A$8:$A$107,MATCH($A32,'Leave Tracker'!$A$8:$A$107,0)))),0,31*(VLOOKUP(H$1,Sprints[],5,FALSE))+DAY(VLOOKUP(H$1,Sprints[],2,FALSE)),1,VLOOKUP(H$1,Sprints[],4,FALSE))&lt;&gt;"")*(IF(OFFSET(INDIRECT(CELL("address",INDEX('Leave Tracker'!$A$8:$A$107,MATCH($A32,'Leave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32">
        <f t="array" aca="1" ref="I32" ca="1">Sheet3!$W$2*$F32*(NETWORKDAYS(VLOOKUP(I$1,Sprints[],2,FALSE), VLOOKUP(I$1,Sprints[],3,FALSE))-SUMPRODUCT((OFFSET(INDIRECT(CELL("address",INDEX('Leave Tracker'!$A$8:$A$107,MATCH($A32,'Leave Tracker'!$A$8:$A$107,0)))),0,31*(VLOOKUP(I$1,Sprints[],5,FALSE))+DAY(VLOOKUP(I$1,Sprints[],2,FALSE)),1,VLOOKUP(I$1,Sprints[],4,FALSE))&lt;&gt;"")*(IF(OFFSET(INDIRECT(CELL("address",INDEX('Leave Tracker'!$A$8:$A$107,MATCH($A32,'Leave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32">
        <f t="array" aca="1" ref="J32" ca="1">Sheet3!$W$2*$F32*(NETWORKDAYS(VLOOKUP(J$1,Sprints[],2,FALSE), VLOOKUP(J$1,Sprints[],3,FALSE))-SUMPRODUCT((OFFSET(INDIRECT(CELL("address",INDEX('Leave Tracker'!$A$8:$A$107,MATCH($A32,'Leave Tracker'!$A$8:$A$107,0)))),0,31*(VLOOKUP(J$1,Sprints[],5,FALSE))+DAY(VLOOKUP(J$1,Sprints[],2,FALSE)),1,VLOOKUP(J$1,Sprints[],4,FALSE))&lt;&gt;"")*(IF(OFFSET(INDIRECT(CELL("address",INDEX('Leave Tracker'!$A$8:$A$107,MATCH($A32,'Leave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32">
        <f t="array" aca="1" ref="K32" ca="1">Sheet3!$W$2*$F32*(NETWORKDAYS(VLOOKUP(K$1,Sprints[],2,FALSE), VLOOKUP(K$1,Sprints[],3,FALSE))-SUMPRODUCT((OFFSET(INDIRECT(CELL("address",INDEX('Leave Tracker'!$A$8:$A$107,MATCH($A32,'Leave Tracker'!$A$8:$A$107,0)))),0,31*(VLOOKUP(K$1,Sprints[],5,FALSE))+DAY(VLOOKUP(K$1,Sprints[],2,FALSE)),1,VLOOKUP(K$1,Sprints[],4,FALSE))&lt;&gt;"")*(IF(OFFSET(INDIRECT(CELL("address",INDEX('Leave Tracker'!$A$8:$A$107,MATCH($A32,'Leave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5.1000000000000005</v>
      </c>
      <c r="L32">
        <f t="array" aca="1" ref="L32" ca="1">Sheet3!$W$2*$F32*(NETWORKDAYS(VLOOKUP(L$1,Sprints[],2,FALSE), VLOOKUP(L$1,Sprints[],3,FALSE))-SUMPRODUCT((OFFSET(INDIRECT(CELL("address",INDEX('Leave Tracker'!$A$8:$A$107,MATCH($A32,'Leave Tracker'!$A$8:$A$107,0)))),0,31*(VLOOKUP(L$1,Sprints[],5,FALSE))+DAY(VLOOKUP(L$1,Sprints[],2,FALSE)),1,VLOOKUP(L$1,Sprints[],4,FALSE))&lt;&gt;"")*(IF(OFFSET(INDIRECT(CELL("address",INDEX('Leave Tracker'!$A$8:$A$107,MATCH($A32,'Leave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32" s="45">
        <f t="array" aca="1" ref="M32" ca="1">Sheet3!$W$2*$F32*(NETWORKDAYS(VLOOKUP(M$1,Sprints[],2,FALSE), VLOOKUP(M$1,Sprints[],3,FALSE))-SUMPRODUCT((OFFSET(INDIRECT(CELL("address",INDEX('Leave Tracker'!$A$8:$A$107,MATCH($A32,'Leave Tracker'!$A$8:$A$107,0)))),0,31*(VLOOKUP(M$1,Sprints[],5,FALSE))+DAY(VLOOKUP(M$1,Sprints[],2,FALSE)),1,VLOOKUP(M$1,Sprints[],4,FALSE))&lt;&gt;"")*(IF(OFFSET(INDIRECT(CELL("address",INDEX('Leave Tracker'!$A$8:$A$107,MATCH($A32,'Leave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4.8000000000000007</v>
      </c>
      <c r="N32">
        <f t="array" aca="1" ref="N32" ca="1">Sheet3!$W$2*$F32*(NETWORKDAYS(VLOOKUP(N$1,Sprints[],2,FALSE), VLOOKUP(N$1,Sprints[],3,FALSE))-SUMPRODUCT((OFFSET(INDIRECT(CELL("address",INDEX('Leave Tracker'!$A$8:$A$107,MATCH($A32,'Leave Tracker'!$A$8:$A$107,0)))),0,31*(VLOOKUP(N$1,Sprints[],5,FALSE))+DAY(VLOOKUP(N$1,Sprints[],2,FALSE)),1,VLOOKUP(N$1,Sprints[],4,FALSE))&lt;&gt;"")*(IF(OFFSET(INDIRECT(CELL("address",INDEX('Leave Tracker'!$A$8:$A$107,MATCH($A32,'Leave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32">
        <f t="array" aca="1" ref="O32" ca="1">Sheet3!$W$2*$F32*(NETWORKDAYS(VLOOKUP(O$1,Sprints[],2,FALSE), VLOOKUP(O$1,Sprints[],3,FALSE))-SUMPRODUCT((OFFSET(INDIRECT(CELL("address",INDEX('Leave Tracker'!$A$8:$A$107,MATCH($A32,'Leave Tracker'!$A$8:$A$107,0)))),0,31*(VLOOKUP(O$1,Sprints[],5,FALSE))+DAY(VLOOKUP(O$1,Sprints[],2,FALSE)),1,VLOOKUP(O$1,Sprints[],4,FALSE))&lt;&gt;"")*(IF(OFFSET(INDIRECT(CELL("address",INDEX('Leave Tracker'!$A$8:$A$107,MATCH($A32,'Leave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4.8000000000000007</v>
      </c>
      <c r="P32">
        <f t="array" aca="1" ref="P32" ca="1">Sheet3!$W$2*$F32*(NETWORKDAYS(VLOOKUP(P$1,Sprints[],2,FALSE), VLOOKUP(P$1,Sprints[],3,FALSE))-SUMPRODUCT((OFFSET(INDIRECT(CELL("address",INDEX('Leave Tracker'!$A$8:$A$107,MATCH($A32,'Leave Tracker'!$A$8:$A$107,0)))),0,31*(VLOOKUP(P$1,Sprints[],5,FALSE))+DAY(VLOOKUP(P$1,Sprints[],2,FALSE)),1,VLOOKUP(P$1,Sprints[],4,FALSE))&lt;&gt;"")*(IF(OFFSET(INDIRECT(CELL("address",INDEX('Leave Tracker'!$A$8:$A$107,MATCH($A32,'Leave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4.5000000000000009</v>
      </c>
      <c r="Q32">
        <f t="array" aca="1" ref="Q32" ca="1">Sheet3!$W$2*$F32*(NETWORKDAYS(VLOOKUP(Q$1,Sprints[],2,FALSE), VLOOKUP(Q$1,Sprints[],3,FALSE))-SUMPRODUCT((OFFSET(INDIRECT(CELL("address",INDEX('Leave Tracker'!$A$8:$A$107,MATCH($A32,'Leave Tracker'!$A$8:$A$107,0)))),0,31*(VLOOKUP(Q$1,Sprints[],5,FALSE))+DAY(VLOOKUP(Q$1,Sprints[],2,FALSE)),1,VLOOKUP(Q$1,Sprints[],4,FALSE))&lt;&gt;"")*(IF(OFFSET(INDIRECT(CELL("address",INDEX('Leave Tracker'!$A$8:$A$107,MATCH($A32,'Leave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32">
        <f t="array" aca="1" ref="R32" ca="1">Sheet3!$W$2*$F32*(NETWORKDAYS(VLOOKUP(R$1,Sprints[],2,FALSE), VLOOKUP(R$1,Sprints[],3,FALSE))-SUMPRODUCT((OFFSET(INDIRECT(CELL("address",INDEX('Leave Tracker'!$A$8:$A$107,MATCH($A32,'Leave Tracker'!$A$8:$A$107,0)))),0,31*(VLOOKUP(R$1,Sprints[],5,FALSE))+DAY(VLOOKUP(R$1,Sprints[],2,FALSE)),1,VLOOKUP(R$1,Sprints[],4,FALSE))&lt;&gt;"")*(IF(OFFSET(INDIRECT(CELL("address",INDEX('Leave Tracker'!$A$8:$A$107,MATCH($A32,'Leave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4.5000000000000009</v>
      </c>
      <c r="S32" s="31">
        <f t="array" aca="1" ref="S32" ca="1">Sheet3!$W$2*$F32*(NETWORKDAYS(VLOOKUP(S$1,Sprints[],2,FALSE), VLOOKUP(S$1,Sprints[],3,FALSE))-SUMPRODUCT((OFFSET(INDIRECT(CELL("address",INDEX('Leave Tracker'!$A$8:$A$107,MATCH($A32,'Leave Tracker'!$A$8:$A$107,0)))),0,31*(VLOOKUP(S$1,Sprints[],5,FALSE))+DAY(VLOOKUP(S$1,Sprints[],2,FALSE)),1,VLOOKUP(S$1,Sprints[],4,FALSE))&lt;&gt;"")*(IF(OFFSET(INDIRECT(CELL("address",INDEX('Leave Tracker'!$A$8:$A$107,MATCH($A32,'Leave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32" s="31">
        <f t="array" aca="1" ref="T32" ca="1">Sheet3!$W$2*$F32*(NETWORKDAYS(VLOOKUP(T$1,Sprints[],2,FALSE), VLOOKUP(T$1,Sprints[],3,FALSE))-SUMPRODUCT((OFFSET(INDIRECT(CELL("address",INDEX('Leave Tracker'!$A$8:$A$107,MATCH($A32,'Leave Tracker'!$A$8:$A$107,0)))),0,31*(VLOOKUP(T$1,Sprints[],5,FALSE))+DAY(VLOOKUP(T$1,Sprints[],2,FALSE)),1,VLOOKUP(T$1,Sprints[],4,FALSE))&lt;&gt;"")*(IF(OFFSET(INDIRECT(CELL("address",INDEX('Leave Tracker'!$A$8:$A$107,MATCH($A32,'Leave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32" s="78">
        <f t="array" aca="1" ref="U32" ca="1">Sheet3!$W$2*$F32*(NETWORKDAYS(VLOOKUP(U$1,Sprints[],2,FALSE), VLOOKUP(U$1,Sprints[],3,FALSE))-SUMPRODUCT((OFFSET(INDIRECT(CELL("address",INDEX('Leave Tracker'!$A$8:$A$107,MATCH($A32,'Leave Tracker'!$A$8:$A$107,0)))),0,31*(VLOOKUP(U$1,Sprints[],5,FALSE))+DAY(VLOOKUP(U$1,Sprints[],2,FALSE)),1,VLOOKUP(U$1,Sprints[],4,FALSE))&lt;&gt;"")*(IF(OFFSET(INDIRECT(CELL("address",INDEX('Leave Tracker'!$A$8:$A$107,MATCH($A32,'Leave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11.400000000000002</v>
      </c>
    </row>
    <row r="33" spans="1:21" s="45" customFormat="1" x14ac:dyDescent="0.45">
      <c r="A33" s="75" t="s">
        <v>90</v>
      </c>
      <c r="B33" s="45" t="s">
        <v>113</v>
      </c>
      <c r="C33" s="45" t="s">
        <v>117</v>
      </c>
      <c r="D33" s="45" t="s">
        <v>133</v>
      </c>
      <c r="E33" s="45" t="s">
        <v>127</v>
      </c>
      <c r="F33" s="47">
        <v>0.375</v>
      </c>
      <c r="G33" s="31">
        <f t="array" aca="1" ref="G33" ca="1">Sheet3!$W$2*$F33*(NETWORKDAYS(VLOOKUP(G$1,Sprints[],2,FALSE), VLOOKUP(G$1,Sprints[],3,FALSE))-SUMPRODUCT((OFFSET(INDIRECT(CELL("address",INDEX('Leave Tracker'!$A$8:$A$107,MATCH($A33,'Leave Tracker'!$A$8:$A$107,0)))),0,31*(VLOOKUP(G$1,Sprints[],5,FALSE))+DAY(VLOOKUP(G$1,Sprints[],2,FALSE)),1,VLOOKUP(G$1,Sprints[],4,FALSE))&lt;&gt;"")*(IF(OFFSET(INDIRECT(CELL("address",INDEX('Leave Tracker'!$A$8:$A$107,MATCH($A33,'Leave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1.5000000000000002</v>
      </c>
      <c r="H33" s="31">
        <f t="array" aca="1" ref="H33" ca="1">Sheet3!$W$2*$F33*(NETWORKDAYS(VLOOKUP(H$1,Sprints[],2,FALSE), VLOOKUP(H$1,Sprints[],3,FALSE))-SUMPRODUCT((OFFSET(INDIRECT(CELL("address",INDEX('Leave Tracker'!$A$8:$A$107,MATCH($A33,'Leave Tracker'!$A$8:$A$107,0)))),0,31*(VLOOKUP(H$1,Sprints[],5,FALSE))+DAY(VLOOKUP(H$1,Sprints[],2,FALSE)),1,VLOOKUP(H$1,Sprints[],4,FALSE))&lt;&gt;"")*(IF(OFFSET(INDIRECT(CELL("address",INDEX('Leave Tracker'!$A$8:$A$107,MATCH($A33,'Leave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3.0000000000000004</v>
      </c>
      <c r="I33" s="31">
        <f t="array" aca="1" ref="I33" ca="1">Sheet3!$W$2*$F33*(NETWORKDAYS(VLOOKUP(I$1,Sprints[],2,FALSE), VLOOKUP(I$1,Sprints[],3,FALSE))-SUMPRODUCT((OFFSET(INDIRECT(CELL("address",INDEX('Leave Tracker'!$A$8:$A$107,MATCH($A33,'Leave Tracker'!$A$8:$A$107,0)))),0,31*(VLOOKUP(I$1,Sprints[],5,FALSE))+DAY(VLOOKUP(I$1,Sprints[],2,FALSE)),1,VLOOKUP(I$1,Sprints[],4,FALSE))&lt;&gt;"")*(IF(OFFSET(INDIRECT(CELL("address",INDEX('Leave Tracker'!$A$8:$A$107,MATCH($A33,'Leave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3.0000000000000004</v>
      </c>
      <c r="J33" s="31">
        <f t="array" aca="1" ref="J33" ca="1">Sheet3!$W$2*$F33*(NETWORKDAYS(VLOOKUP(J$1,Sprints[],2,FALSE), VLOOKUP(J$1,Sprints[],3,FALSE))-SUMPRODUCT((OFFSET(INDIRECT(CELL("address",INDEX('Leave Tracker'!$A$8:$A$107,MATCH($A33,'Leave Tracker'!$A$8:$A$107,0)))),0,31*(VLOOKUP(J$1,Sprints[],5,FALSE))+DAY(VLOOKUP(J$1,Sprints[],2,FALSE)),1,VLOOKUP(J$1,Sprints[],4,FALSE))&lt;&gt;"")*(IF(OFFSET(INDIRECT(CELL("address",INDEX('Leave Tracker'!$A$8:$A$107,MATCH($A33,'Leave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2.2500000000000004</v>
      </c>
      <c r="K33" s="31">
        <f t="array" aca="1" ref="K33" ca="1">Sheet3!$W$2*$F33*(NETWORKDAYS(VLOOKUP(K$1,Sprints[],2,FALSE), VLOOKUP(K$1,Sprints[],3,FALSE))-SUMPRODUCT((OFFSET(INDIRECT(CELL("address",INDEX('Leave Tracker'!$A$8:$A$107,MATCH($A33,'Leave Tracker'!$A$8:$A$107,0)))),0,31*(VLOOKUP(K$1,Sprints[],5,FALSE))+DAY(VLOOKUP(K$1,Sprints[],2,FALSE)),1,VLOOKUP(K$1,Sprints[],4,FALSE))&lt;&gt;"")*(IF(OFFSET(INDIRECT(CELL("address",INDEX('Leave Tracker'!$A$8:$A$107,MATCH($A33,'Leave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3.0000000000000004</v>
      </c>
      <c r="L33" s="31">
        <f t="array" aca="1" ref="L33" ca="1">Sheet3!$W$2*$F33*(NETWORKDAYS(VLOOKUP(L$1,Sprints[],2,FALSE), VLOOKUP(L$1,Sprints[],3,FALSE))-SUMPRODUCT((OFFSET(INDIRECT(CELL("address",INDEX('Leave Tracker'!$A$8:$A$107,MATCH($A33,'Leave Tracker'!$A$8:$A$107,0)))),0,31*(VLOOKUP(L$1,Sprints[],5,FALSE))+DAY(VLOOKUP(L$1,Sprints[],2,FALSE)),1,VLOOKUP(L$1,Sprints[],4,FALSE))&lt;&gt;"")*(IF(OFFSET(INDIRECT(CELL("address",INDEX('Leave Tracker'!$A$8:$A$107,MATCH($A33,'Leave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0.90000000000000013</v>
      </c>
      <c r="M33" s="31">
        <f t="array" aca="1" ref="M33" ca="1">Sheet3!$W$2*$F33*(NETWORKDAYS(VLOOKUP(M$1,Sprints[],2,FALSE), VLOOKUP(M$1,Sprints[],3,FALSE))-SUMPRODUCT((OFFSET(INDIRECT(CELL("address",INDEX('Leave Tracker'!$A$8:$A$107,MATCH($A33,'Leave Tracker'!$A$8:$A$107,0)))),0,31*(VLOOKUP(M$1,Sprints[],5,FALSE))+DAY(VLOOKUP(M$1,Sprints[],2,FALSE)),1,VLOOKUP(M$1,Sprints[],4,FALSE))&lt;&gt;"")*(IF(OFFSET(INDIRECT(CELL("address",INDEX('Leave Tracker'!$A$8:$A$107,MATCH($A33,'Leave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1.8000000000000003</v>
      </c>
      <c r="N33" s="31">
        <f t="array" aca="1" ref="N33" ca="1">Sheet3!$W$2*$F33*(NETWORKDAYS(VLOOKUP(N$1,Sprints[],2,FALSE), VLOOKUP(N$1,Sprints[],3,FALSE))-SUMPRODUCT((OFFSET(INDIRECT(CELL("address",INDEX('Leave Tracker'!$A$8:$A$107,MATCH($A33,'Leave Tracker'!$A$8:$A$107,0)))),0,31*(VLOOKUP(N$1,Sprints[],5,FALSE))+DAY(VLOOKUP(N$1,Sprints[],2,FALSE)),1,VLOOKUP(N$1,Sprints[],4,FALSE))&lt;&gt;"")*(IF(OFFSET(INDIRECT(CELL("address",INDEX('Leave Tracker'!$A$8:$A$107,MATCH($A33,'Leave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1.5000000000000002</v>
      </c>
      <c r="O33" s="31">
        <f t="array" aca="1" ref="O33" ca="1">Sheet3!$W$2*$F33*(NETWORKDAYS(VLOOKUP(O$1,Sprints[],2,FALSE), VLOOKUP(O$1,Sprints[],3,FALSE))-SUMPRODUCT((OFFSET(INDIRECT(CELL("address",INDEX('Leave Tracker'!$A$8:$A$107,MATCH($A33,'Leave Tracker'!$A$8:$A$107,0)))),0,31*(VLOOKUP(O$1,Sprints[],5,FALSE))+DAY(VLOOKUP(O$1,Sprints[],2,FALSE)),1,VLOOKUP(O$1,Sprints[],4,FALSE))&lt;&gt;"")*(IF(OFFSET(INDIRECT(CELL("address",INDEX('Leave Tracker'!$A$8:$A$107,MATCH($A33,'Leave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2.7</v>
      </c>
      <c r="P33" s="31">
        <f t="array" aca="1" ref="P33" ca="1">Sheet3!$W$2*$F33*(NETWORKDAYS(VLOOKUP(P$1,Sprints[],2,FALSE), VLOOKUP(P$1,Sprints[],3,FALSE))-SUMPRODUCT((OFFSET(INDIRECT(CELL("address",INDEX('Leave Tracker'!$A$8:$A$107,MATCH($A33,'Leave Tracker'!$A$8:$A$107,0)))),0,31*(VLOOKUP(P$1,Sprints[],5,FALSE))+DAY(VLOOKUP(P$1,Sprints[],2,FALSE)),1,VLOOKUP(P$1,Sprints[],4,FALSE))&lt;&gt;"")*(IF(OFFSET(INDIRECT(CELL("address",INDEX('Leave Tracker'!$A$8:$A$107,MATCH($A33,'Leave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2.4000000000000004</v>
      </c>
      <c r="Q33" s="31">
        <f t="array" aca="1" ref="Q33" ca="1">Sheet3!$W$2*$F33*(NETWORKDAYS(VLOOKUP(Q$1,Sprints[],2,FALSE), VLOOKUP(Q$1,Sprints[],3,FALSE))-SUMPRODUCT((OFFSET(INDIRECT(CELL("address",INDEX('Leave Tracker'!$A$8:$A$107,MATCH($A33,'Leave Tracker'!$A$8:$A$107,0)))),0,31*(VLOOKUP(Q$1,Sprints[],5,FALSE))+DAY(VLOOKUP(Q$1,Sprints[],2,FALSE)),1,VLOOKUP(Q$1,Sprints[],4,FALSE))&lt;&gt;"")*(IF(OFFSET(INDIRECT(CELL("address",INDEX('Leave Tracker'!$A$8:$A$107,MATCH($A33,'Leave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3.0000000000000004</v>
      </c>
      <c r="R33" s="31">
        <f t="array" aca="1" ref="R33" ca="1">Sheet3!$W$2*$F33*(NETWORKDAYS(VLOOKUP(R$1,Sprints[],2,FALSE), VLOOKUP(R$1,Sprints[],3,FALSE))-SUMPRODUCT((OFFSET(INDIRECT(CELL("address",INDEX('Leave Tracker'!$A$8:$A$107,MATCH($A33,'Leave Tracker'!$A$8:$A$107,0)))),0,31*(VLOOKUP(R$1,Sprints[],5,FALSE))+DAY(VLOOKUP(R$1,Sprints[],2,FALSE)),1,VLOOKUP(R$1,Sprints[],4,FALSE))&lt;&gt;"")*(IF(OFFSET(INDIRECT(CELL("address",INDEX('Leave Tracker'!$A$8:$A$107,MATCH($A33,'Leave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2.7</v>
      </c>
      <c r="S33" s="31">
        <f t="array" aca="1" ref="S33" ca="1">Sheet3!$W$2*$F33*(NETWORKDAYS(VLOOKUP(S$1,Sprints[],2,FALSE), VLOOKUP(S$1,Sprints[],3,FALSE))-SUMPRODUCT((OFFSET(INDIRECT(CELL("address",INDEX('Leave Tracker'!$A$8:$A$107,MATCH($A33,'Leave Tracker'!$A$8:$A$107,0)))),0,31*(VLOOKUP(S$1,Sprints[],5,FALSE))+DAY(VLOOKUP(S$1,Sprints[],2,FALSE)),1,VLOOKUP(S$1,Sprints[],4,FALSE))&lt;&gt;"")*(IF(OFFSET(INDIRECT(CELL("address",INDEX('Leave Tracker'!$A$8:$A$107,MATCH($A33,'Leave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33" s="31">
        <f t="array" aca="1" ref="T33" ca="1">Sheet3!$W$2*$F33*(NETWORKDAYS(VLOOKUP(T$1,Sprints[],2,FALSE), VLOOKUP(T$1,Sprints[],3,FALSE))-SUMPRODUCT((OFFSET(INDIRECT(CELL("address",INDEX('Leave Tracker'!$A$8:$A$107,MATCH($A33,'Leave Tracker'!$A$8:$A$107,0)))),0,31*(VLOOKUP(T$1,Sprints[],5,FALSE))+DAY(VLOOKUP(T$1,Sprints[],2,FALSE)),1,VLOOKUP(T$1,Sprints[],4,FALSE))&lt;&gt;"")*(IF(OFFSET(INDIRECT(CELL("address",INDEX('Leave Tracker'!$A$8:$A$107,MATCH($A33,'Leave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1.5000000000000002</v>
      </c>
      <c r="U33" s="78">
        <f t="array" aca="1" ref="U33" ca="1">Sheet3!$W$2*$F33*(NETWORKDAYS(VLOOKUP(U$1,Sprints[],2,FALSE), VLOOKUP(U$1,Sprints[],3,FALSE))-SUMPRODUCT((OFFSET(INDIRECT(CELL("address",INDEX('Leave Tracker'!$A$8:$A$107,MATCH($A33,'Leave Tracker'!$A$8:$A$107,0)))),0,31*(VLOOKUP(U$1,Sprints[],5,FALSE))+DAY(VLOOKUP(U$1,Sprints[],2,FALSE)),1,VLOOKUP(U$1,Sprints[],4,FALSE))&lt;&gt;"")*(IF(OFFSET(INDIRECT(CELL("address",INDEX('Leave Tracker'!$A$8:$A$107,MATCH($A33,'Leave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5.7000000000000011</v>
      </c>
    </row>
    <row r="34" spans="1:21" x14ac:dyDescent="0.45">
      <c r="A34" s="75" t="s">
        <v>90</v>
      </c>
      <c r="B34" s="45" t="s">
        <v>113</v>
      </c>
      <c r="C34" s="45" t="s">
        <v>117</v>
      </c>
      <c r="D34" s="45" t="s">
        <v>133</v>
      </c>
      <c r="E34" s="45" t="s">
        <v>128</v>
      </c>
      <c r="F34" s="47">
        <v>0.375</v>
      </c>
      <c r="G34" s="45">
        <f t="array" aca="1" ref="G34" ca="1">Sheet3!$W$2*$F34*(NETWORKDAYS(VLOOKUP(G$1,Sprints[],2,FALSE), VLOOKUP(G$1,Sprints[],3,FALSE))-SUMPRODUCT((OFFSET(INDIRECT(CELL("address",INDEX('Leave Tracker'!$A$8:$A$107,MATCH($A34,'Leave Tracker'!$A$8:$A$107,0)))),0,31*(VLOOKUP(G$1,Sprints[],5,FALSE))+DAY(VLOOKUP(G$1,Sprints[],2,FALSE)),1,VLOOKUP(G$1,Sprints[],4,FALSE))&lt;&gt;"")*(IF(OFFSET(INDIRECT(CELL("address",INDEX('Leave Tracker'!$A$8:$A$107,MATCH($A34,'Leave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1.5000000000000002</v>
      </c>
      <c r="H34">
        <f t="array" aca="1" ref="H34" ca="1">Sheet3!$W$2*$F34*(NETWORKDAYS(VLOOKUP(H$1,Sprints[],2,FALSE), VLOOKUP(H$1,Sprints[],3,FALSE))-SUMPRODUCT((OFFSET(INDIRECT(CELL("address",INDEX('Leave Tracker'!$A$8:$A$107,MATCH($A34,'Leave Tracker'!$A$8:$A$107,0)))),0,31*(VLOOKUP(H$1,Sprints[],5,FALSE))+DAY(VLOOKUP(H$1,Sprints[],2,FALSE)),1,VLOOKUP(H$1,Sprints[],4,FALSE))&lt;&gt;"")*(IF(OFFSET(INDIRECT(CELL("address",INDEX('Leave Tracker'!$A$8:$A$107,MATCH($A34,'Leave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3.0000000000000004</v>
      </c>
      <c r="I34">
        <f t="array" aca="1" ref="I34" ca="1">Sheet3!$W$2*$F34*(NETWORKDAYS(VLOOKUP(I$1,Sprints[],2,FALSE), VLOOKUP(I$1,Sprints[],3,FALSE))-SUMPRODUCT((OFFSET(INDIRECT(CELL("address",INDEX('Leave Tracker'!$A$8:$A$107,MATCH($A34,'Leave Tracker'!$A$8:$A$107,0)))),0,31*(VLOOKUP(I$1,Sprints[],5,FALSE))+DAY(VLOOKUP(I$1,Sprints[],2,FALSE)),1,VLOOKUP(I$1,Sprints[],4,FALSE))&lt;&gt;"")*(IF(OFFSET(INDIRECT(CELL("address",INDEX('Leave Tracker'!$A$8:$A$107,MATCH($A34,'Leave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3.0000000000000004</v>
      </c>
      <c r="J34">
        <f t="array" aca="1" ref="J34" ca="1">Sheet3!$W$2*$F34*(NETWORKDAYS(VLOOKUP(J$1,Sprints[],2,FALSE), VLOOKUP(J$1,Sprints[],3,FALSE))-SUMPRODUCT((OFFSET(INDIRECT(CELL("address",INDEX('Leave Tracker'!$A$8:$A$107,MATCH($A34,'Leave Tracker'!$A$8:$A$107,0)))),0,31*(VLOOKUP(J$1,Sprints[],5,FALSE))+DAY(VLOOKUP(J$1,Sprints[],2,FALSE)),1,VLOOKUP(J$1,Sprints[],4,FALSE))&lt;&gt;"")*(IF(OFFSET(INDIRECT(CELL("address",INDEX('Leave Tracker'!$A$8:$A$107,MATCH($A34,'Leave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2.2500000000000004</v>
      </c>
      <c r="K34">
        <f t="array" aca="1" ref="K34" ca="1">Sheet3!$W$2*$F34*(NETWORKDAYS(VLOOKUP(K$1,Sprints[],2,FALSE), VLOOKUP(K$1,Sprints[],3,FALSE))-SUMPRODUCT((OFFSET(INDIRECT(CELL("address",INDEX('Leave Tracker'!$A$8:$A$107,MATCH($A34,'Leave Tracker'!$A$8:$A$107,0)))),0,31*(VLOOKUP(K$1,Sprints[],5,FALSE))+DAY(VLOOKUP(K$1,Sprints[],2,FALSE)),1,VLOOKUP(K$1,Sprints[],4,FALSE))&lt;&gt;"")*(IF(OFFSET(INDIRECT(CELL("address",INDEX('Leave Tracker'!$A$8:$A$107,MATCH($A34,'Leave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3.0000000000000004</v>
      </c>
      <c r="L34">
        <f t="array" aca="1" ref="L34" ca="1">Sheet3!$W$2*$F34*(NETWORKDAYS(VLOOKUP(L$1,Sprints[],2,FALSE), VLOOKUP(L$1,Sprints[],3,FALSE))-SUMPRODUCT((OFFSET(INDIRECT(CELL("address",INDEX('Leave Tracker'!$A$8:$A$107,MATCH($A34,'Leave Tracker'!$A$8:$A$107,0)))),0,31*(VLOOKUP(L$1,Sprints[],5,FALSE))+DAY(VLOOKUP(L$1,Sprints[],2,FALSE)),1,VLOOKUP(L$1,Sprints[],4,FALSE))&lt;&gt;"")*(IF(OFFSET(INDIRECT(CELL("address",INDEX('Leave Tracker'!$A$8:$A$107,MATCH($A34,'Leave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0.90000000000000013</v>
      </c>
      <c r="M34" s="45">
        <f t="array" aca="1" ref="M34" ca="1">Sheet3!$W$2*$F34*(NETWORKDAYS(VLOOKUP(M$1,Sprints[],2,FALSE), VLOOKUP(M$1,Sprints[],3,FALSE))-SUMPRODUCT((OFFSET(INDIRECT(CELL("address",INDEX('Leave Tracker'!$A$8:$A$107,MATCH($A34,'Leave Tracker'!$A$8:$A$107,0)))),0,31*(VLOOKUP(M$1,Sprints[],5,FALSE))+DAY(VLOOKUP(M$1,Sprints[],2,FALSE)),1,VLOOKUP(M$1,Sprints[],4,FALSE))&lt;&gt;"")*(IF(OFFSET(INDIRECT(CELL("address",INDEX('Leave Tracker'!$A$8:$A$107,MATCH($A34,'Leave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1.8000000000000003</v>
      </c>
      <c r="N34">
        <f t="array" aca="1" ref="N34" ca="1">Sheet3!$W$2*$F34*(NETWORKDAYS(VLOOKUP(N$1,Sprints[],2,FALSE), VLOOKUP(N$1,Sprints[],3,FALSE))-SUMPRODUCT((OFFSET(INDIRECT(CELL("address",INDEX('Leave Tracker'!$A$8:$A$107,MATCH($A34,'Leave Tracker'!$A$8:$A$107,0)))),0,31*(VLOOKUP(N$1,Sprints[],5,FALSE))+DAY(VLOOKUP(N$1,Sprints[],2,FALSE)),1,VLOOKUP(N$1,Sprints[],4,FALSE))&lt;&gt;"")*(IF(OFFSET(INDIRECT(CELL("address",INDEX('Leave Tracker'!$A$8:$A$107,MATCH($A34,'Leave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1.5000000000000002</v>
      </c>
      <c r="O34">
        <f t="array" aca="1" ref="O34" ca="1">Sheet3!$W$2*$F34*(NETWORKDAYS(VLOOKUP(O$1,Sprints[],2,FALSE), VLOOKUP(O$1,Sprints[],3,FALSE))-SUMPRODUCT((OFFSET(INDIRECT(CELL("address",INDEX('Leave Tracker'!$A$8:$A$107,MATCH($A34,'Leave Tracker'!$A$8:$A$107,0)))),0,31*(VLOOKUP(O$1,Sprints[],5,FALSE))+DAY(VLOOKUP(O$1,Sprints[],2,FALSE)),1,VLOOKUP(O$1,Sprints[],4,FALSE))&lt;&gt;"")*(IF(OFFSET(INDIRECT(CELL("address",INDEX('Leave Tracker'!$A$8:$A$107,MATCH($A34,'Leave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2.7</v>
      </c>
      <c r="P34">
        <f t="array" aca="1" ref="P34" ca="1">Sheet3!$W$2*$F34*(NETWORKDAYS(VLOOKUP(P$1,Sprints[],2,FALSE), VLOOKUP(P$1,Sprints[],3,FALSE))-SUMPRODUCT((OFFSET(INDIRECT(CELL("address",INDEX('Leave Tracker'!$A$8:$A$107,MATCH($A34,'Leave Tracker'!$A$8:$A$107,0)))),0,31*(VLOOKUP(P$1,Sprints[],5,FALSE))+DAY(VLOOKUP(P$1,Sprints[],2,FALSE)),1,VLOOKUP(P$1,Sprints[],4,FALSE))&lt;&gt;"")*(IF(OFFSET(INDIRECT(CELL("address",INDEX('Leave Tracker'!$A$8:$A$107,MATCH($A34,'Leave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2.4000000000000004</v>
      </c>
      <c r="Q34">
        <f t="array" aca="1" ref="Q34" ca="1">Sheet3!$W$2*$F34*(NETWORKDAYS(VLOOKUP(Q$1,Sprints[],2,FALSE), VLOOKUP(Q$1,Sprints[],3,FALSE))-SUMPRODUCT((OFFSET(INDIRECT(CELL("address",INDEX('Leave Tracker'!$A$8:$A$107,MATCH($A34,'Leave Tracker'!$A$8:$A$107,0)))),0,31*(VLOOKUP(Q$1,Sprints[],5,FALSE))+DAY(VLOOKUP(Q$1,Sprints[],2,FALSE)),1,VLOOKUP(Q$1,Sprints[],4,FALSE))&lt;&gt;"")*(IF(OFFSET(INDIRECT(CELL("address",INDEX('Leave Tracker'!$A$8:$A$107,MATCH($A34,'Leave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3.0000000000000004</v>
      </c>
      <c r="R34">
        <f t="array" aca="1" ref="R34" ca="1">Sheet3!$W$2*$F34*(NETWORKDAYS(VLOOKUP(R$1,Sprints[],2,FALSE), VLOOKUP(R$1,Sprints[],3,FALSE))-SUMPRODUCT((OFFSET(INDIRECT(CELL("address",INDEX('Leave Tracker'!$A$8:$A$107,MATCH($A34,'Leave Tracker'!$A$8:$A$107,0)))),0,31*(VLOOKUP(R$1,Sprints[],5,FALSE))+DAY(VLOOKUP(R$1,Sprints[],2,FALSE)),1,VLOOKUP(R$1,Sprints[],4,FALSE))&lt;&gt;"")*(IF(OFFSET(INDIRECT(CELL("address",INDEX('Leave Tracker'!$A$8:$A$107,MATCH($A34,'Leave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2.7</v>
      </c>
      <c r="S34" s="31">
        <f t="array" aca="1" ref="S34" ca="1">Sheet3!$W$2*$F34*(NETWORKDAYS(VLOOKUP(S$1,Sprints[],2,FALSE), VLOOKUP(S$1,Sprints[],3,FALSE))-SUMPRODUCT((OFFSET(INDIRECT(CELL("address",INDEX('Leave Tracker'!$A$8:$A$107,MATCH($A34,'Leave Tracker'!$A$8:$A$107,0)))),0,31*(VLOOKUP(S$1,Sprints[],5,FALSE))+DAY(VLOOKUP(S$1,Sprints[],2,FALSE)),1,VLOOKUP(S$1,Sprints[],4,FALSE))&lt;&gt;"")*(IF(OFFSET(INDIRECT(CELL("address",INDEX('Leave Tracker'!$A$8:$A$107,MATCH($A34,'Leave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34" s="31">
        <f t="array" aca="1" ref="T34" ca="1">Sheet3!$W$2*$F34*(NETWORKDAYS(VLOOKUP(T$1,Sprints[],2,FALSE), VLOOKUP(T$1,Sprints[],3,FALSE))-SUMPRODUCT((OFFSET(INDIRECT(CELL("address",INDEX('Leave Tracker'!$A$8:$A$107,MATCH($A34,'Leave Tracker'!$A$8:$A$107,0)))),0,31*(VLOOKUP(T$1,Sprints[],5,FALSE))+DAY(VLOOKUP(T$1,Sprints[],2,FALSE)),1,VLOOKUP(T$1,Sprints[],4,FALSE))&lt;&gt;"")*(IF(OFFSET(INDIRECT(CELL("address",INDEX('Leave Tracker'!$A$8:$A$107,MATCH($A34,'Leave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1.5000000000000002</v>
      </c>
      <c r="U34" s="78">
        <f t="array" aca="1" ref="U34" ca="1">Sheet3!$W$2*$F34*(NETWORKDAYS(VLOOKUP(U$1,Sprints[],2,FALSE), VLOOKUP(U$1,Sprints[],3,FALSE))-SUMPRODUCT((OFFSET(INDIRECT(CELL("address",INDEX('Leave Tracker'!$A$8:$A$107,MATCH($A34,'Leave Tracker'!$A$8:$A$107,0)))),0,31*(VLOOKUP(U$1,Sprints[],5,FALSE))+DAY(VLOOKUP(U$1,Sprints[],2,FALSE)),1,VLOOKUP(U$1,Sprints[],4,FALSE))&lt;&gt;"")*(IF(OFFSET(INDIRECT(CELL("address",INDEX('Leave Tracker'!$A$8:$A$107,MATCH($A34,'Leave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5.7000000000000011</v>
      </c>
    </row>
    <row r="35" spans="1:21" x14ac:dyDescent="0.45">
      <c r="A35" t="s">
        <v>91</v>
      </c>
      <c r="B35" s="45" t="s">
        <v>119</v>
      </c>
      <c r="C35" s="45" t="s">
        <v>117</v>
      </c>
      <c r="D35" s="45" t="s">
        <v>133</v>
      </c>
      <c r="E35" s="45" t="s">
        <v>128</v>
      </c>
      <c r="F35" s="47">
        <v>0.75</v>
      </c>
      <c r="G35" s="45">
        <f t="array" aca="1" ref="G35" ca="1">Sheet3!$W$2*$F35*(NETWORKDAYS(VLOOKUP(G$1,Sprints[],2,FALSE), VLOOKUP(G$1,Sprints[],3,FALSE))-SUMPRODUCT((OFFSET(INDIRECT(CELL("address",INDEX('Leave Tracker'!$A$8:$A$107,MATCH($A35,'Leave Tracker'!$A$8:$A$107,0)))),0,31*(VLOOKUP(G$1,Sprints[],5,FALSE))+DAY(VLOOKUP(G$1,Sprints[],2,FALSE)),1,VLOOKUP(G$1,Sprints[],4,FALSE))&lt;&gt;"")*(IF(OFFSET(INDIRECT(CELL("address",INDEX('Leave Tracker'!$A$8:$A$107,MATCH($A35,'Leave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35">
        <f t="array" aca="1" ref="H35" ca="1">Sheet3!$W$2*$F35*(NETWORKDAYS(VLOOKUP(H$1,Sprints[],2,FALSE), VLOOKUP(H$1,Sprints[],3,FALSE))-SUMPRODUCT((OFFSET(INDIRECT(CELL("address",INDEX('Leave Tracker'!$A$8:$A$107,MATCH($A35,'Leave Tracker'!$A$8:$A$107,0)))),0,31*(VLOOKUP(H$1,Sprints[],5,FALSE))+DAY(VLOOKUP(H$1,Sprints[],2,FALSE)),1,VLOOKUP(H$1,Sprints[],4,FALSE))&lt;&gt;"")*(IF(OFFSET(INDIRECT(CELL("address",INDEX('Leave Tracker'!$A$8:$A$107,MATCH($A35,'Leave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2.4000000000000004</v>
      </c>
      <c r="I35">
        <f t="array" aca="1" ref="I35" ca="1">Sheet3!$W$2*$F35*(NETWORKDAYS(VLOOKUP(I$1,Sprints[],2,FALSE), VLOOKUP(I$1,Sprints[],3,FALSE))-SUMPRODUCT((OFFSET(INDIRECT(CELL("address",INDEX('Leave Tracker'!$A$8:$A$107,MATCH($A35,'Leave Tracker'!$A$8:$A$107,0)))),0,31*(VLOOKUP(I$1,Sprints[],5,FALSE))+DAY(VLOOKUP(I$1,Sprints[],2,FALSE)),1,VLOOKUP(I$1,Sprints[],4,FALSE))&lt;&gt;"")*(IF(OFFSET(INDIRECT(CELL("address",INDEX('Leave Tracker'!$A$8:$A$107,MATCH($A35,'Leave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35">
        <f t="array" aca="1" ref="J35" ca="1">Sheet3!$W$2*$F35*(NETWORKDAYS(VLOOKUP(J$1,Sprints[],2,FALSE), VLOOKUP(J$1,Sprints[],3,FALSE))-SUMPRODUCT((OFFSET(INDIRECT(CELL("address",INDEX('Leave Tracker'!$A$8:$A$107,MATCH($A35,'Leave Tracker'!$A$8:$A$107,0)))),0,31*(VLOOKUP(J$1,Sprints[],5,FALSE))+DAY(VLOOKUP(J$1,Sprints[],2,FALSE)),1,VLOOKUP(J$1,Sprints[],4,FALSE))&lt;&gt;"")*(IF(OFFSET(INDIRECT(CELL("address",INDEX('Leave Tracker'!$A$8:$A$107,MATCH($A35,'Leave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35">
        <f t="array" aca="1" ref="K35" ca="1">Sheet3!$W$2*$F35*(NETWORKDAYS(VLOOKUP(K$1,Sprints[],2,FALSE), VLOOKUP(K$1,Sprints[],3,FALSE))-SUMPRODUCT((OFFSET(INDIRECT(CELL("address",INDEX('Leave Tracker'!$A$8:$A$107,MATCH($A35,'Leave Tracker'!$A$8:$A$107,0)))),0,31*(VLOOKUP(K$1,Sprints[],5,FALSE))+DAY(VLOOKUP(K$1,Sprints[],2,FALSE)),1,VLOOKUP(K$1,Sprints[],4,FALSE))&lt;&gt;"")*(IF(OFFSET(INDIRECT(CELL("address",INDEX('Leave Tracker'!$A$8:$A$107,MATCH($A35,'Leave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35">
        <f t="array" aca="1" ref="L35" ca="1">Sheet3!$W$2*$F35*(NETWORKDAYS(VLOOKUP(L$1,Sprints[],2,FALSE), VLOOKUP(L$1,Sprints[],3,FALSE))-SUMPRODUCT((OFFSET(INDIRECT(CELL("address",INDEX('Leave Tracker'!$A$8:$A$107,MATCH($A35,'Leave Tracker'!$A$8:$A$107,0)))),0,31*(VLOOKUP(L$1,Sprints[],5,FALSE))+DAY(VLOOKUP(L$1,Sprints[],2,FALSE)),1,VLOOKUP(L$1,Sprints[],4,FALSE))&lt;&gt;"")*(IF(OFFSET(INDIRECT(CELL("address",INDEX('Leave Tracker'!$A$8:$A$107,MATCH($A35,'Leave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35" s="45">
        <f t="array" aca="1" ref="M35" ca="1">Sheet3!$W$2*$F35*(NETWORKDAYS(VLOOKUP(M$1,Sprints[],2,FALSE), VLOOKUP(M$1,Sprints[],3,FALSE))-SUMPRODUCT((OFFSET(INDIRECT(CELL("address",INDEX('Leave Tracker'!$A$8:$A$107,MATCH($A35,'Leave Tracker'!$A$8:$A$107,0)))),0,31*(VLOOKUP(M$1,Sprints[],5,FALSE))+DAY(VLOOKUP(M$1,Sprints[],2,FALSE)),1,VLOOKUP(M$1,Sprints[],4,FALSE))&lt;&gt;"")*(IF(OFFSET(INDIRECT(CELL("address",INDEX('Leave Tracker'!$A$8:$A$107,MATCH($A35,'Leave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35">
        <f t="array" aca="1" ref="N35" ca="1">Sheet3!$W$2*$F35*(NETWORKDAYS(VLOOKUP(N$1,Sprints[],2,FALSE), VLOOKUP(N$1,Sprints[],3,FALSE))-SUMPRODUCT((OFFSET(INDIRECT(CELL("address",INDEX('Leave Tracker'!$A$8:$A$107,MATCH($A35,'Leave Tracker'!$A$8:$A$107,0)))),0,31*(VLOOKUP(N$1,Sprints[],5,FALSE))+DAY(VLOOKUP(N$1,Sprints[],2,FALSE)),1,VLOOKUP(N$1,Sprints[],4,FALSE))&lt;&gt;"")*(IF(OFFSET(INDIRECT(CELL("address",INDEX('Leave Tracker'!$A$8:$A$107,MATCH($A35,'Leave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35">
        <f t="array" aca="1" ref="O35" ca="1">Sheet3!$W$2*$F35*(NETWORKDAYS(VLOOKUP(O$1,Sprints[],2,FALSE), VLOOKUP(O$1,Sprints[],3,FALSE))-SUMPRODUCT((OFFSET(INDIRECT(CELL("address",INDEX('Leave Tracker'!$A$8:$A$107,MATCH($A35,'Leave Tracker'!$A$8:$A$107,0)))),0,31*(VLOOKUP(O$1,Sprints[],5,FALSE))+DAY(VLOOKUP(O$1,Sprints[],2,FALSE)),1,VLOOKUP(O$1,Sprints[],4,FALSE))&lt;&gt;"")*(IF(OFFSET(INDIRECT(CELL("address",INDEX('Leave Tracker'!$A$8:$A$107,MATCH($A35,'Leave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35">
        <f t="array" aca="1" ref="P35" ca="1">Sheet3!$W$2*$F35*(NETWORKDAYS(VLOOKUP(P$1,Sprints[],2,FALSE), VLOOKUP(P$1,Sprints[],3,FALSE))-SUMPRODUCT((OFFSET(INDIRECT(CELL("address",INDEX('Leave Tracker'!$A$8:$A$107,MATCH($A35,'Leave Tracker'!$A$8:$A$107,0)))),0,31*(VLOOKUP(P$1,Sprints[],5,FALSE))+DAY(VLOOKUP(P$1,Sprints[],2,FALSE)),1,VLOOKUP(P$1,Sprints[],4,FALSE))&lt;&gt;"")*(IF(OFFSET(INDIRECT(CELL("address",INDEX('Leave Tracker'!$A$8:$A$107,MATCH($A35,'Leave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35">
        <f t="array" aca="1" ref="Q35" ca="1">Sheet3!$W$2*$F35*(NETWORKDAYS(VLOOKUP(Q$1,Sprints[],2,FALSE), VLOOKUP(Q$1,Sprints[],3,FALSE))-SUMPRODUCT((OFFSET(INDIRECT(CELL("address",INDEX('Leave Tracker'!$A$8:$A$107,MATCH($A35,'Leave Tracker'!$A$8:$A$107,0)))),0,31*(VLOOKUP(Q$1,Sprints[],5,FALSE))+DAY(VLOOKUP(Q$1,Sprints[],2,FALSE)),1,VLOOKUP(Q$1,Sprints[],4,FALSE))&lt;&gt;"")*(IF(OFFSET(INDIRECT(CELL("address",INDEX('Leave Tracker'!$A$8:$A$107,MATCH($A35,'Leave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35">
        <f t="array" aca="1" ref="R35" ca="1">Sheet3!$W$2*$F35*(NETWORKDAYS(VLOOKUP(R$1,Sprints[],2,FALSE), VLOOKUP(R$1,Sprints[],3,FALSE))-SUMPRODUCT((OFFSET(INDIRECT(CELL("address",INDEX('Leave Tracker'!$A$8:$A$107,MATCH($A35,'Leave Tracker'!$A$8:$A$107,0)))),0,31*(VLOOKUP(R$1,Sprints[],5,FALSE))+DAY(VLOOKUP(R$1,Sprints[],2,FALSE)),1,VLOOKUP(R$1,Sprints[],4,FALSE))&lt;&gt;"")*(IF(OFFSET(INDIRECT(CELL("address",INDEX('Leave Tracker'!$A$8:$A$107,MATCH($A35,'Leave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4.8000000000000007</v>
      </c>
      <c r="S35" s="31">
        <f t="array" aca="1" ref="S35" ca="1">Sheet3!$W$2*$F35*(NETWORKDAYS(VLOOKUP(S$1,Sprints[],2,FALSE), VLOOKUP(S$1,Sprints[],3,FALSE))-SUMPRODUCT((OFFSET(INDIRECT(CELL("address",INDEX('Leave Tracker'!$A$8:$A$107,MATCH($A35,'Leave Tracker'!$A$8:$A$107,0)))),0,31*(VLOOKUP(S$1,Sprints[],5,FALSE))+DAY(VLOOKUP(S$1,Sprints[],2,FALSE)),1,VLOOKUP(S$1,Sprints[],4,FALSE))&lt;&gt;"")*(IF(OFFSET(INDIRECT(CELL("address",INDEX('Leave Tracker'!$A$8:$A$107,MATCH($A35,'Leave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5.4</v>
      </c>
      <c r="T35" s="31">
        <f t="array" aca="1" ref="T35" ca="1">Sheet3!$W$2*$F35*(NETWORKDAYS(VLOOKUP(T$1,Sprints[],2,FALSE), VLOOKUP(T$1,Sprints[],3,FALSE))-SUMPRODUCT((OFFSET(INDIRECT(CELL("address",INDEX('Leave Tracker'!$A$8:$A$107,MATCH($A35,'Leave Tracker'!$A$8:$A$107,0)))),0,31*(VLOOKUP(T$1,Sprints[],5,FALSE))+DAY(VLOOKUP(T$1,Sprints[],2,FALSE)),1,VLOOKUP(T$1,Sprints[],4,FALSE))&lt;&gt;"")*(IF(OFFSET(INDIRECT(CELL("address",INDEX('Leave Tracker'!$A$8:$A$107,MATCH($A35,'Leave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35" s="78">
        <f t="array" aca="1" ref="U35" ca="1">Sheet3!$W$2*$F35*(NETWORKDAYS(VLOOKUP(U$1,Sprints[],2,FALSE), VLOOKUP(U$1,Sprints[],3,FALSE))-SUMPRODUCT((OFFSET(INDIRECT(CELL("address",INDEX('Leave Tracker'!$A$8:$A$107,MATCH($A35,'Leave Tracker'!$A$8:$A$107,0)))),0,31*(VLOOKUP(U$1,Sprints[],5,FALSE))+DAY(VLOOKUP(U$1,Sprints[],2,FALSE)),1,VLOOKUP(U$1,Sprints[],4,FALSE))&lt;&gt;"")*(IF(OFFSET(INDIRECT(CELL("address",INDEX('Leave Tracker'!$A$8:$A$107,MATCH($A35,'Leave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10.8</v>
      </c>
    </row>
    <row r="36" spans="1:21" x14ac:dyDescent="0.45">
      <c r="A36" t="s">
        <v>92</v>
      </c>
      <c r="B36" s="45" t="s">
        <v>113</v>
      </c>
      <c r="C36" s="45" t="s">
        <v>117</v>
      </c>
      <c r="D36" s="45" t="s">
        <v>133</v>
      </c>
      <c r="E36" s="45" t="s">
        <v>128</v>
      </c>
      <c r="F36" s="47">
        <v>0.75</v>
      </c>
      <c r="G36" s="45">
        <f t="array" aca="1" ref="G36" ca="1">Sheet3!$W$2*$F36*(NETWORKDAYS(VLOOKUP(G$1,Sprints[],2,FALSE), VLOOKUP(G$1,Sprints[],3,FALSE))-SUMPRODUCT((OFFSET(INDIRECT(CELL("address",INDEX('Leave Tracker'!$A$8:$A$107,MATCH($A36,'Leave Tracker'!$A$8:$A$107,0)))),0,31*(VLOOKUP(G$1,Sprints[],5,FALSE))+DAY(VLOOKUP(G$1,Sprints[],2,FALSE)),1,VLOOKUP(G$1,Sprints[],4,FALSE))&lt;&gt;"")*(IF(OFFSET(INDIRECT(CELL("address",INDEX('Leave Tracker'!$A$8:$A$107,MATCH($A36,'Leave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36">
        <f t="array" aca="1" ref="H36" ca="1">Sheet3!$W$2*$F36*(NETWORKDAYS(VLOOKUP(H$1,Sprints[],2,FALSE), VLOOKUP(H$1,Sprints[],3,FALSE))-SUMPRODUCT((OFFSET(INDIRECT(CELL("address",INDEX('Leave Tracker'!$A$8:$A$107,MATCH($A36,'Leave Tracker'!$A$8:$A$107,0)))),0,31*(VLOOKUP(H$1,Sprints[],5,FALSE))+DAY(VLOOKUP(H$1,Sprints[],2,FALSE)),1,VLOOKUP(H$1,Sprints[],4,FALSE))&lt;&gt;"")*(IF(OFFSET(INDIRECT(CELL("address",INDEX('Leave Tracker'!$A$8:$A$107,MATCH($A36,'Leave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36">
        <f t="array" aca="1" ref="I36" ca="1">Sheet3!$W$2*$F36*(NETWORKDAYS(VLOOKUP(I$1,Sprints[],2,FALSE), VLOOKUP(I$1,Sprints[],3,FALSE))-SUMPRODUCT((OFFSET(INDIRECT(CELL("address",INDEX('Leave Tracker'!$A$8:$A$107,MATCH($A36,'Leave Tracker'!$A$8:$A$107,0)))),0,31*(VLOOKUP(I$1,Sprints[],5,FALSE))+DAY(VLOOKUP(I$1,Sprints[],2,FALSE)),1,VLOOKUP(I$1,Sprints[],4,FALSE))&lt;&gt;"")*(IF(OFFSET(INDIRECT(CELL("address",INDEX('Leave Tracker'!$A$8:$A$107,MATCH($A36,'Leave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36">
        <f t="array" aca="1" ref="J36" ca="1">Sheet3!$W$2*$F36*(NETWORKDAYS(VLOOKUP(J$1,Sprints[],2,FALSE), VLOOKUP(J$1,Sprints[],3,FALSE))-SUMPRODUCT((OFFSET(INDIRECT(CELL("address",INDEX('Leave Tracker'!$A$8:$A$107,MATCH($A36,'Leave Tracker'!$A$8:$A$107,0)))),0,31*(VLOOKUP(J$1,Sprints[],5,FALSE))+DAY(VLOOKUP(J$1,Sprints[],2,FALSE)),1,VLOOKUP(J$1,Sprints[],4,FALSE))&lt;&gt;"")*(IF(OFFSET(INDIRECT(CELL("address",INDEX('Leave Tracker'!$A$8:$A$107,MATCH($A36,'Leave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36">
        <f t="array" aca="1" ref="K36" ca="1">Sheet3!$W$2*$F36*(NETWORKDAYS(VLOOKUP(K$1,Sprints[],2,FALSE), VLOOKUP(K$1,Sprints[],3,FALSE))-SUMPRODUCT((OFFSET(INDIRECT(CELL("address",INDEX('Leave Tracker'!$A$8:$A$107,MATCH($A36,'Leave Tracker'!$A$8:$A$107,0)))),0,31*(VLOOKUP(K$1,Sprints[],5,FALSE))+DAY(VLOOKUP(K$1,Sprints[],2,FALSE)),1,VLOOKUP(K$1,Sprints[],4,FALSE))&lt;&gt;"")*(IF(OFFSET(INDIRECT(CELL("address",INDEX('Leave Tracker'!$A$8:$A$107,MATCH($A36,'Leave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36">
        <f t="array" aca="1" ref="L36" ca="1">Sheet3!$W$2*$F36*(NETWORKDAYS(VLOOKUP(L$1,Sprints[],2,FALSE), VLOOKUP(L$1,Sprints[],3,FALSE))-SUMPRODUCT((OFFSET(INDIRECT(CELL("address",INDEX('Leave Tracker'!$A$8:$A$107,MATCH($A36,'Leave Tracker'!$A$8:$A$107,0)))),0,31*(VLOOKUP(L$1,Sprints[],5,FALSE))+DAY(VLOOKUP(L$1,Sprints[],2,FALSE)),1,VLOOKUP(L$1,Sprints[],4,FALSE))&lt;&gt;"")*(IF(OFFSET(INDIRECT(CELL("address",INDEX('Leave Tracker'!$A$8:$A$107,MATCH($A36,'Leave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36" s="45">
        <f t="array" aca="1" ref="M36" ca="1">Sheet3!$W$2*$F36*(NETWORKDAYS(VLOOKUP(M$1,Sprints[],2,FALSE), VLOOKUP(M$1,Sprints[],3,FALSE))-SUMPRODUCT((OFFSET(INDIRECT(CELL("address",INDEX('Leave Tracker'!$A$8:$A$107,MATCH($A36,'Leave Tracker'!$A$8:$A$107,0)))),0,31*(VLOOKUP(M$1,Sprints[],5,FALSE))+DAY(VLOOKUP(M$1,Sprints[],2,FALSE)),1,VLOOKUP(M$1,Sprints[],4,FALSE))&lt;&gt;"")*(IF(OFFSET(INDIRECT(CELL("address",INDEX('Leave Tracker'!$A$8:$A$107,MATCH($A36,'Leave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36">
        <f t="array" aca="1" ref="N36" ca="1">Sheet3!$W$2*$F36*(NETWORKDAYS(VLOOKUP(N$1,Sprints[],2,FALSE), VLOOKUP(N$1,Sprints[],3,FALSE))-SUMPRODUCT((OFFSET(INDIRECT(CELL("address",INDEX('Leave Tracker'!$A$8:$A$107,MATCH($A36,'Leave Tracker'!$A$8:$A$107,0)))),0,31*(VLOOKUP(N$1,Sprints[],5,FALSE))+DAY(VLOOKUP(N$1,Sprints[],2,FALSE)),1,VLOOKUP(N$1,Sprints[],4,FALSE))&lt;&gt;"")*(IF(OFFSET(INDIRECT(CELL("address",INDEX('Leave Tracker'!$A$8:$A$107,MATCH($A36,'Leave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36">
        <f t="array" aca="1" ref="O36" ca="1">Sheet3!$W$2*$F36*(NETWORKDAYS(VLOOKUP(O$1,Sprints[],2,FALSE), VLOOKUP(O$1,Sprints[],3,FALSE))-SUMPRODUCT((OFFSET(INDIRECT(CELL("address",INDEX('Leave Tracker'!$A$8:$A$107,MATCH($A36,'Leave Tracker'!$A$8:$A$107,0)))),0,31*(VLOOKUP(O$1,Sprints[],5,FALSE))+DAY(VLOOKUP(O$1,Sprints[],2,FALSE)),1,VLOOKUP(O$1,Sprints[],4,FALSE))&lt;&gt;"")*(IF(OFFSET(INDIRECT(CELL("address",INDEX('Leave Tracker'!$A$8:$A$107,MATCH($A36,'Leave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4.8000000000000007</v>
      </c>
      <c r="P36">
        <f t="array" aca="1" ref="P36" ca="1">Sheet3!$W$2*$F36*(NETWORKDAYS(VLOOKUP(P$1,Sprints[],2,FALSE), VLOOKUP(P$1,Sprints[],3,FALSE))-SUMPRODUCT((OFFSET(INDIRECT(CELL("address",INDEX('Leave Tracker'!$A$8:$A$107,MATCH($A36,'Leave Tracker'!$A$8:$A$107,0)))),0,31*(VLOOKUP(P$1,Sprints[],5,FALSE))+DAY(VLOOKUP(P$1,Sprints[],2,FALSE)),1,VLOOKUP(P$1,Sprints[],4,FALSE))&lt;&gt;"")*(IF(OFFSET(INDIRECT(CELL("address",INDEX('Leave Tracker'!$A$8:$A$107,MATCH($A36,'Leave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1.8000000000000003</v>
      </c>
      <c r="Q36">
        <f t="array" aca="1" ref="Q36" ca="1">Sheet3!$W$2*$F36*(NETWORKDAYS(VLOOKUP(Q$1,Sprints[],2,FALSE), VLOOKUP(Q$1,Sprints[],3,FALSE))-SUMPRODUCT((OFFSET(INDIRECT(CELL("address",INDEX('Leave Tracker'!$A$8:$A$107,MATCH($A36,'Leave Tracker'!$A$8:$A$107,0)))),0,31*(VLOOKUP(Q$1,Sprints[],5,FALSE))+DAY(VLOOKUP(Q$1,Sprints[],2,FALSE)),1,VLOOKUP(Q$1,Sprints[],4,FALSE))&lt;&gt;"")*(IF(OFFSET(INDIRECT(CELL("address",INDEX('Leave Tracker'!$A$8:$A$107,MATCH($A36,'Leave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4.2000000000000011</v>
      </c>
      <c r="R36">
        <f t="array" aca="1" ref="R36" ca="1">Sheet3!$W$2*$F36*(NETWORKDAYS(VLOOKUP(R$1,Sprints[],2,FALSE), VLOOKUP(R$1,Sprints[],3,FALSE))-SUMPRODUCT((OFFSET(INDIRECT(CELL("address",INDEX('Leave Tracker'!$A$8:$A$107,MATCH($A36,'Leave Tracker'!$A$8:$A$107,0)))),0,31*(VLOOKUP(R$1,Sprints[],5,FALSE))+DAY(VLOOKUP(R$1,Sprints[],2,FALSE)),1,VLOOKUP(R$1,Sprints[],4,FALSE))&lt;&gt;"")*(IF(OFFSET(INDIRECT(CELL("address",INDEX('Leave Tracker'!$A$8:$A$107,MATCH($A36,'Leave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36" s="31">
        <f t="array" aca="1" ref="S36" ca="1">Sheet3!$W$2*$F36*(NETWORKDAYS(VLOOKUP(S$1,Sprints[],2,FALSE), VLOOKUP(S$1,Sprints[],3,FALSE))-SUMPRODUCT((OFFSET(INDIRECT(CELL("address",INDEX('Leave Tracker'!$A$8:$A$107,MATCH($A36,'Leave Tracker'!$A$8:$A$107,0)))),0,31*(VLOOKUP(S$1,Sprints[],5,FALSE))+DAY(VLOOKUP(S$1,Sprints[],2,FALSE)),1,VLOOKUP(S$1,Sprints[],4,FALSE))&lt;&gt;"")*(IF(OFFSET(INDIRECT(CELL("address",INDEX('Leave Tracker'!$A$8:$A$107,MATCH($A36,'Leave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36" s="31">
        <f t="array" aca="1" ref="T36" ca="1">Sheet3!$W$2*$F36*(NETWORKDAYS(VLOOKUP(T$1,Sprints[],2,FALSE), VLOOKUP(T$1,Sprints[],3,FALSE))-SUMPRODUCT((OFFSET(INDIRECT(CELL("address",INDEX('Leave Tracker'!$A$8:$A$107,MATCH($A36,'Leave Tracker'!$A$8:$A$107,0)))),0,31*(VLOOKUP(T$1,Sprints[],5,FALSE))+DAY(VLOOKUP(T$1,Sprints[],2,FALSE)),1,VLOOKUP(T$1,Sprints[],4,FALSE))&lt;&gt;"")*(IF(OFFSET(INDIRECT(CELL("address",INDEX('Leave Tracker'!$A$8:$A$107,MATCH($A36,'Leave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36" s="78">
        <f t="array" aca="1" ref="U36" ca="1">Sheet3!$W$2*$F36*(NETWORKDAYS(VLOOKUP(U$1,Sprints[],2,FALSE), VLOOKUP(U$1,Sprints[],3,FALSE))-SUMPRODUCT((OFFSET(INDIRECT(CELL("address",INDEX('Leave Tracker'!$A$8:$A$107,MATCH($A36,'Leave Tracker'!$A$8:$A$107,0)))),0,31*(VLOOKUP(U$1,Sprints[],5,FALSE))+DAY(VLOOKUP(U$1,Sprints[],2,FALSE)),1,VLOOKUP(U$1,Sprints[],4,FALSE))&lt;&gt;"")*(IF(OFFSET(INDIRECT(CELL("address",INDEX('Leave Tracker'!$A$8:$A$107,MATCH($A36,'Leave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11.400000000000002</v>
      </c>
    </row>
    <row r="37" spans="1:21" s="45" customFormat="1" x14ac:dyDescent="0.45">
      <c r="A37" s="66" t="s">
        <v>174</v>
      </c>
      <c r="B37" s="66" t="s">
        <v>113</v>
      </c>
      <c r="C37" s="66" t="s">
        <v>117</v>
      </c>
      <c r="D37" s="66" t="s">
        <v>133</v>
      </c>
      <c r="E37" s="66" t="s">
        <v>128</v>
      </c>
      <c r="F37" s="67">
        <v>0.4</v>
      </c>
      <c r="G37" s="68">
        <f t="array" aca="1" ref="G37" ca="1">Sheet3!$W$2*$F37*(NETWORKDAYS(VLOOKUP(G$1,Sprints[],2,FALSE), VLOOKUP(G$1,Sprints[],3,FALSE))-SUMPRODUCT((OFFSET(INDIRECT(CELL("address",INDEX('Leave Tracker'!$A$8:$A$107,MATCH($A37,'Leave Tracker'!$A$8:$A$107,0)))),0,31*(VLOOKUP(G$1,Sprints[],5,FALSE))+DAY(VLOOKUP(G$1,Sprints[],2,FALSE)),1,VLOOKUP(G$1,Sprints[],4,FALSE))&lt;&gt;"")*(IF(OFFSET(INDIRECT(CELL("address",INDEX('Leave Tracker'!$A$8:$A$107,MATCH($A37,'Leave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37" s="66">
        <f t="array" aca="1" ref="H37" ca="1">Sheet3!$W$2*$F37*(NETWORKDAYS(VLOOKUP(H$1,Sprints[],2,FALSE), VLOOKUP(H$1,Sprints[],3,FALSE))-SUMPRODUCT((OFFSET(INDIRECT(CELL("address",INDEX('Leave Tracker'!$A$8:$A$107,MATCH($A37,'Leave Tracker'!$A$8:$A$107,0)))),0,31*(VLOOKUP(H$1,Sprints[],5,FALSE))+DAY(VLOOKUP(H$1,Sprints[],2,FALSE)),1,VLOOKUP(H$1,Sprints[],4,FALSE))&lt;&gt;"")*(IF(OFFSET(INDIRECT(CELL("address",INDEX('Leave Tracker'!$A$8:$A$107,MATCH($A37,'Leave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7" s="68">
        <f t="array" aca="1" ref="I37" ca="1">Sheet3!$W$2*$F37*(NETWORKDAYS(VLOOKUP(I$1,Sprints[],2,FALSE), VLOOKUP(I$1,Sprints[],3,FALSE))-SUMPRODUCT((OFFSET(INDIRECT(CELL("address",INDEX('Leave Tracker'!$A$8:$A$107,MATCH($A37,'Leave Tracker'!$A$8:$A$107,0)))),0,31*(VLOOKUP(I$1,Sprints[],5,FALSE))+DAY(VLOOKUP(I$1,Sprints[],2,FALSE)),1,VLOOKUP(I$1,Sprints[],4,FALSE))&lt;&gt;"")*(IF(OFFSET(INDIRECT(CELL("address",INDEX('Leave Tracker'!$A$8:$A$107,MATCH($A37,'Leave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7" s="68">
        <f t="array" aca="1" ref="J37" ca="1">Sheet3!$W$2*$F37*(NETWORKDAYS(VLOOKUP(J$1,Sprints[],2,FALSE), VLOOKUP(J$1,Sprints[],3,FALSE))-SUMPRODUCT((OFFSET(INDIRECT(CELL("address",INDEX('Leave Tracker'!$A$8:$A$107,MATCH($A37,'Leave Tracker'!$A$8:$A$107,0)))),0,31*(VLOOKUP(J$1,Sprints[],5,FALSE))+DAY(VLOOKUP(J$1,Sprints[],2,FALSE)),1,VLOOKUP(J$1,Sprints[],4,FALSE))&lt;&gt;"")*(IF(OFFSET(INDIRECT(CELL("address",INDEX('Leave Tracker'!$A$8:$A$107,MATCH($A37,'Leave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2.0800000000000005</v>
      </c>
      <c r="K37" s="68">
        <f t="array" aca="1" ref="K37" ca="1">Sheet3!$W$2*$F37*(NETWORKDAYS(VLOOKUP(K$1,Sprints[],2,FALSE), VLOOKUP(K$1,Sprints[],3,FALSE))-SUMPRODUCT((OFFSET(INDIRECT(CELL("address",INDEX('Leave Tracker'!$A$8:$A$107,MATCH($A37,'Leave Tracker'!$A$8:$A$107,0)))),0,31*(VLOOKUP(K$1,Sprints[],5,FALSE))+DAY(VLOOKUP(K$1,Sprints[],2,FALSE)),1,VLOOKUP(K$1,Sprints[],4,FALSE))&lt;&gt;"")*(IF(OFFSET(INDIRECT(CELL("address",INDEX('Leave Tracker'!$A$8:$A$107,MATCH($A37,'Leave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3.2000000000000006</v>
      </c>
      <c r="L37" s="68">
        <f t="array" aca="1" ref="L37" ca="1">Sheet3!$W$2*$F37*(NETWORKDAYS(VLOOKUP(L$1,Sprints[],2,FALSE), VLOOKUP(L$1,Sprints[],3,FALSE))-SUMPRODUCT((OFFSET(INDIRECT(CELL("address",INDEX('Leave Tracker'!$A$8:$A$107,MATCH($A37,'Leave Tracker'!$A$8:$A$107,0)))),0,31*(VLOOKUP(L$1,Sprints[],5,FALSE))+DAY(VLOOKUP(L$1,Sprints[],2,FALSE)),1,VLOOKUP(L$1,Sprints[],4,FALSE))&lt;&gt;"")*(IF(OFFSET(INDIRECT(CELL("address",INDEX('Leave Tracker'!$A$8:$A$107,MATCH($A37,'Leave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3.2000000000000006</v>
      </c>
      <c r="M37" s="68">
        <f t="array" aca="1" ref="M37" ca="1">Sheet3!$W$2*$F37*(NETWORKDAYS(VLOOKUP(M$1,Sprints[],2,FALSE), VLOOKUP(M$1,Sprints[],3,FALSE))-SUMPRODUCT((OFFSET(INDIRECT(CELL("address",INDEX('Leave Tracker'!$A$8:$A$107,MATCH($A37,'Leave Tracker'!$A$8:$A$107,0)))),0,31*(VLOOKUP(M$1,Sprints[],5,FALSE))+DAY(VLOOKUP(M$1,Sprints[],2,FALSE)),1,VLOOKUP(M$1,Sprints[],4,FALSE))&lt;&gt;"")*(IF(OFFSET(INDIRECT(CELL("address",INDEX('Leave Tracker'!$A$8:$A$107,MATCH($A37,'Leave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2.8800000000000008</v>
      </c>
      <c r="N37" s="68">
        <f t="array" aca="1" ref="N37" ca="1">Sheet3!$W$2*$F37*(NETWORKDAYS(VLOOKUP(N$1,Sprints[],2,FALSE), VLOOKUP(N$1,Sprints[],3,FALSE))-SUMPRODUCT((OFFSET(INDIRECT(CELL("address",INDEX('Leave Tracker'!$A$8:$A$107,MATCH($A37,'Leave Tracker'!$A$8:$A$107,0)))),0,31*(VLOOKUP(N$1,Sprints[],5,FALSE))+DAY(VLOOKUP(N$1,Sprints[],2,FALSE)),1,VLOOKUP(N$1,Sprints[],4,FALSE))&lt;&gt;"")*(IF(OFFSET(INDIRECT(CELL("address",INDEX('Leave Tracker'!$A$8:$A$107,MATCH($A37,'Leave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1.6000000000000003</v>
      </c>
      <c r="O37" s="68">
        <f t="array" aca="1" ref="O37" ca="1">Sheet3!$W$2*$F37*(NETWORKDAYS(VLOOKUP(O$1,Sprints[],2,FALSE), VLOOKUP(O$1,Sprints[],3,FALSE))-SUMPRODUCT((OFFSET(INDIRECT(CELL("address",INDEX('Leave Tracker'!$A$8:$A$107,MATCH($A37,'Leave Tracker'!$A$8:$A$107,0)))),0,31*(VLOOKUP(O$1,Sprints[],5,FALSE))+DAY(VLOOKUP(O$1,Sprints[],2,FALSE)),1,VLOOKUP(O$1,Sprints[],4,FALSE))&lt;&gt;"")*(IF(OFFSET(INDIRECT(CELL("address",INDEX('Leave Tracker'!$A$8:$A$107,MATCH($A37,'Leave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2.8800000000000008</v>
      </c>
      <c r="P37" s="68">
        <f t="array" aca="1" ref="P37" ca="1">Sheet3!$W$2*$F37*(NETWORKDAYS(VLOOKUP(P$1,Sprints[],2,FALSE), VLOOKUP(P$1,Sprints[],3,FALSE))-SUMPRODUCT((OFFSET(INDIRECT(CELL("address",INDEX('Leave Tracker'!$A$8:$A$107,MATCH($A37,'Leave Tracker'!$A$8:$A$107,0)))),0,31*(VLOOKUP(P$1,Sprints[],5,FALSE))+DAY(VLOOKUP(P$1,Sprints[],2,FALSE)),1,VLOOKUP(P$1,Sprints[],4,FALSE))&lt;&gt;"")*(IF(OFFSET(INDIRECT(CELL("address",INDEX('Leave Tracker'!$A$8:$A$107,MATCH($A37,'Leave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2.8800000000000008</v>
      </c>
      <c r="Q37" s="68">
        <f t="array" aca="1" ref="Q37" ca="1">Sheet3!$W$2*$F37*(NETWORKDAYS(VLOOKUP(Q$1,Sprints[],2,FALSE), VLOOKUP(Q$1,Sprints[],3,FALSE))-SUMPRODUCT((OFFSET(INDIRECT(CELL("address",INDEX('Leave Tracker'!$A$8:$A$107,MATCH($A37,'Leave Tracker'!$A$8:$A$107,0)))),0,31*(VLOOKUP(Q$1,Sprints[],5,FALSE))+DAY(VLOOKUP(Q$1,Sprints[],2,FALSE)),1,VLOOKUP(Q$1,Sprints[],4,FALSE))&lt;&gt;"")*(IF(OFFSET(INDIRECT(CELL("address",INDEX('Leave Tracker'!$A$8:$A$107,MATCH($A37,'Leave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2.5600000000000005</v>
      </c>
      <c r="R37" s="68">
        <f t="array" aca="1" ref="R37" ca="1">Sheet3!$W$2*$F37*(NETWORKDAYS(VLOOKUP(R$1,Sprints[],2,FALSE), VLOOKUP(R$1,Sprints[],3,FALSE))-SUMPRODUCT((OFFSET(INDIRECT(CELL("address",INDEX('Leave Tracker'!$A$8:$A$107,MATCH($A37,'Leave Tracker'!$A$8:$A$107,0)))),0,31*(VLOOKUP(R$1,Sprints[],5,FALSE))+DAY(VLOOKUP(R$1,Sprints[],2,FALSE)),1,VLOOKUP(R$1,Sprints[],4,FALSE))&lt;&gt;"")*(IF(OFFSET(INDIRECT(CELL("address",INDEX('Leave Tracker'!$A$8:$A$107,MATCH($A37,'Leave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37" s="68">
        <f t="array" aca="1" ref="S37" ca="1">Sheet3!$W$2*$F37*(NETWORKDAYS(VLOOKUP(S$1,Sprints[],2,FALSE), VLOOKUP(S$1,Sprints[],3,FALSE))-SUMPRODUCT((OFFSET(INDIRECT(CELL("address",INDEX('Leave Tracker'!$A$8:$A$107,MATCH($A37,'Leave Tracker'!$A$8:$A$107,0)))),0,31*(VLOOKUP(S$1,Sprints[],5,FALSE))+DAY(VLOOKUP(S$1,Sprints[],2,FALSE)),1,VLOOKUP(S$1,Sprints[],4,FALSE))&lt;&gt;"")*(IF(OFFSET(INDIRECT(CELL("address",INDEX('Leave Tracker'!$A$8:$A$107,MATCH($A37,'Leave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37" s="68">
        <f t="array" aca="1" ref="T37" ca="1">Sheet3!$W$2*$F37*(NETWORKDAYS(VLOOKUP(T$1,Sprints[],2,FALSE), VLOOKUP(T$1,Sprints[],3,FALSE))-SUMPRODUCT((OFFSET(INDIRECT(CELL("address",INDEX('Leave Tracker'!$A$8:$A$107,MATCH($A37,'Leave Tracker'!$A$8:$A$107,0)))),0,31*(VLOOKUP(T$1,Sprints[],5,FALSE))+DAY(VLOOKUP(T$1,Sprints[],2,FALSE)),1,VLOOKUP(T$1,Sprints[],4,FALSE))&lt;&gt;"")*(IF(OFFSET(INDIRECT(CELL("address",INDEX('Leave Tracker'!$A$8:$A$107,MATCH($A37,'Leave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37" s="79">
        <f t="array" aca="1" ref="U37" ca="1">Sheet3!$W$2*$F37*(NETWORKDAYS(VLOOKUP(U$1,Sprints[],2,FALSE), VLOOKUP(U$1,Sprints[],3,FALSE))-SUMPRODUCT((OFFSET(INDIRECT(CELL("address",INDEX('Leave Tracker'!$A$8:$A$107,MATCH($A37,'Leave Tracker'!$A$8:$A$107,0)))),0,31*(VLOOKUP(U$1,Sprints[],5,FALSE))+DAY(VLOOKUP(U$1,Sprints[],2,FALSE)),1,VLOOKUP(U$1,Sprints[],4,FALSE))&lt;&gt;"")*(IF(OFFSET(INDIRECT(CELL("address",INDEX('Leave Tracker'!$A$8:$A$107,MATCH($A37,'Leave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8" spans="1:21" s="45" customFormat="1" x14ac:dyDescent="0.45">
      <c r="A38" s="45" t="s">
        <v>175</v>
      </c>
      <c r="B38" s="45" t="s">
        <v>119</v>
      </c>
      <c r="C38" s="45" t="s">
        <v>117</v>
      </c>
      <c r="D38" s="45" t="s">
        <v>132</v>
      </c>
      <c r="E38" s="45" t="s">
        <v>124</v>
      </c>
      <c r="F38" s="47">
        <v>0.4</v>
      </c>
      <c r="G38" s="31">
        <f t="array" aca="1" ref="G38" ca="1">Sheet3!$W$2*$F38*(NETWORKDAYS(VLOOKUP(G$1,Sprints[],2,FALSE), VLOOKUP(G$1,Sprints[],3,FALSE))-SUMPRODUCT((OFFSET(INDIRECT(CELL("address",INDEX('Leave Tracker'!$A$8:$A$107,MATCH($A38,'Leave Tracker'!$A$8:$A$107,0)))),0,31*(VLOOKUP(G$1,Sprints[],5,FALSE))+DAY(VLOOKUP(G$1,Sprints[],2,FALSE)),1,VLOOKUP(G$1,Sprints[],4,FALSE))&lt;&gt;"")*(IF(OFFSET(INDIRECT(CELL("address",INDEX('Leave Tracker'!$A$8:$A$107,MATCH($A38,'Leave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38" s="45">
        <f t="array" aca="1" ref="H38" ca="1">Sheet3!$W$2*$F38*(NETWORKDAYS(VLOOKUP(H$1,Sprints[],2,FALSE), VLOOKUP(H$1,Sprints[],3,FALSE))-SUMPRODUCT((OFFSET(INDIRECT(CELL("address",INDEX('Leave Tracker'!$A$8:$A$107,MATCH($A38,'Leave Tracker'!$A$8:$A$107,0)))),0,31*(VLOOKUP(H$1,Sprints[],5,FALSE))+DAY(VLOOKUP(H$1,Sprints[],2,FALSE)),1,VLOOKUP(H$1,Sprints[],4,FALSE))&lt;&gt;"")*(IF(OFFSET(INDIRECT(CELL("address",INDEX('Leave Tracker'!$A$8:$A$107,MATCH($A38,'Leave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8" s="31">
        <f t="array" aca="1" ref="I38" ca="1">Sheet3!$W$2*$F38*(NETWORKDAYS(VLOOKUP(I$1,Sprints[],2,FALSE), VLOOKUP(I$1,Sprints[],3,FALSE))-SUMPRODUCT((OFFSET(INDIRECT(CELL("address",INDEX('Leave Tracker'!$A$8:$A$107,MATCH($A38,'Leave Tracker'!$A$8:$A$107,0)))),0,31*(VLOOKUP(I$1,Sprints[],5,FALSE))+DAY(VLOOKUP(I$1,Sprints[],2,FALSE)),1,VLOOKUP(I$1,Sprints[],4,FALSE))&lt;&gt;"")*(IF(OFFSET(INDIRECT(CELL("address",INDEX('Leave Tracker'!$A$8:$A$107,MATCH($A38,'Leave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8" s="31">
        <f t="array" aca="1" ref="J38" ca="1">Sheet3!$W$2*$F38*(NETWORKDAYS(VLOOKUP(J$1,Sprints[],2,FALSE), VLOOKUP(J$1,Sprints[],3,FALSE))-SUMPRODUCT((OFFSET(INDIRECT(CELL("address",INDEX('Leave Tracker'!$A$8:$A$107,MATCH($A38,'Leave Tracker'!$A$8:$A$107,0)))),0,31*(VLOOKUP(J$1,Sprints[],5,FALSE))+DAY(VLOOKUP(J$1,Sprints[],2,FALSE)),1,VLOOKUP(J$1,Sprints[],4,FALSE))&lt;&gt;"")*(IF(OFFSET(INDIRECT(CELL("address",INDEX('Leave Tracker'!$A$8:$A$107,MATCH($A38,'Leave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2.0800000000000005</v>
      </c>
      <c r="K38" s="31">
        <f t="array" aca="1" ref="K38" ca="1">Sheet3!$W$2*$F38*(NETWORKDAYS(VLOOKUP(K$1,Sprints[],2,FALSE), VLOOKUP(K$1,Sprints[],3,FALSE))-SUMPRODUCT((OFFSET(INDIRECT(CELL("address",INDEX('Leave Tracker'!$A$8:$A$107,MATCH($A38,'Leave Tracker'!$A$8:$A$107,0)))),0,31*(VLOOKUP(K$1,Sprints[],5,FALSE))+DAY(VLOOKUP(K$1,Sprints[],2,FALSE)),1,VLOOKUP(K$1,Sprints[],4,FALSE))&lt;&gt;"")*(IF(OFFSET(INDIRECT(CELL("address",INDEX('Leave Tracker'!$A$8:$A$107,MATCH($A38,'Leave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3.2000000000000006</v>
      </c>
      <c r="L38" s="31">
        <f t="array" aca="1" ref="L38" ca="1">Sheet3!$W$2*$F38*(NETWORKDAYS(VLOOKUP(L$1,Sprints[],2,FALSE), VLOOKUP(L$1,Sprints[],3,FALSE))-SUMPRODUCT((OFFSET(INDIRECT(CELL("address",INDEX('Leave Tracker'!$A$8:$A$107,MATCH($A38,'Leave Tracker'!$A$8:$A$107,0)))),0,31*(VLOOKUP(L$1,Sprints[],5,FALSE))+DAY(VLOOKUP(L$1,Sprints[],2,FALSE)),1,VLOOKUP(L$1,Sprints[],4,FALSE))&lt;&gt;"")*(IF(OFFSET(INDIRECT(CELL("address",INDEX('Leave Tracker'!$A$8:$A$107,MATCH($A38,'Leave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3.2000000000000006</v>
      </c>
      <c r="M38" s="31">
        <f t="array" aca="1" ref="M38" ca="1">Sheet3!$W$2*$F38*(NETWORKDAYS(VLOOKUP(M$1,Sprints[],2,FALSE), VLOOKUP(M$1,Sprints[],3,FALSE))-SUMPRODUCT((OFFSET(INDIRECT(CELL("address",INDEX('Leave Tracker'!$A$8:$A$107,MATCH($A38,'Leave Tracker'!$A$8:$A$107,0)))),0,31*(VLOOKUP(M$1,Sprints[],5,FALSE))+DAY(VLOOKUP(M$1,Sprints[],2,FALSE)),1,VLOOKUP(M$1,Sprints[],4,FALSE))&lt;&gt;"")*(IF(OFFSET(INDIRECT(CELL("address",INDEX('Leave Tracker'!$A$8:$A$107,MATCH($A38,'Leave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2.8800000000000008</v>
      </c>
      <c r="N38" s="31">
        <f t="array" aca="1" ref="N38" ca="1">Sheet3!$W$2*$F38*(NETWORKDAYS(VLOOKUP(N$1,Sprints[],2,FALSE), VLOOKUP(N$1,Sprints[],3,FALSE))-SUMPRODUCT((OFFSET(INDIRECT(CELL("address",INDEX('Leave Tracker'!$A$8:$A$107,MATCH($A38,'Leave Tracker'!$A$8:$A$107,0)))),0,31*(VLOOKUP(N$1,Sprints[],5,FALSE))+DAY(VLOOKUP(N$1,Sprints[],2,FALSE)),1,VLOOKUP(N$1,Sprints[],4,FALSE))&lt;&gt;"")*(IF(OFFSET(INDIRECT(CELL("address",INDEX('Leave Tracker'!$A$8:$A$107,MATCH($A38,'Leave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1.6000000000000003</v>
      </c>
      <c r="O38" s="31">
        <f t="array" aca="1" ref="O38" ca="1">Sheet3!$W$2*$F38*(NETWORKDAYS(VLOOKUP(O$1,Sprints[],2,FALSE), VLOOKUP(O$1,Sprints[],3,FALSE))-SUMPRODUCT((OFFSET(INDIRECT(CELL("address",INDEX('Leave Tracker'!$A$8:$A$107,MATCH($A38,'Leave Tracker'!$A$8:$A$107,0)))),0,31*(VLOOKUP(O$1,Sprints[],5,FALSE))+DAY(VLOOKUP(O$1,Sprints[],2,FALSE)),1,VLOOKUP(O$1,Sprints[],4,FALSE))&lt;&gt;"")*(IF(OFFSET(INDIRECT(CELL("address",INDEX('Leave Tracker'!$A$8:$A$107,MATCH($A38,'Leave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2.8800000000000008</v>
      </c>
      <c r="P38" s="31">
        <f t="array" aca="1" ref="P38" ca="1">Sheet3!$W$2*$F38*(NETWORKDAYS(VLOOKUP(P$1,Sprints[],2,FALSE), VLOOKUP(P$1,Sprints[],3,FALSE))-SUMPRODUCT((OFFSET(INDIRECT(CELL("address",INDEX('Leave Tracker'!$A$8:$A$107,MATCH($A38,'Leave Tracker'!$A$8:$A$107,0)))),0,31*(VLOOKUP(P$1,Sprints[],5,FALSE))+DAY(VLOOKUP(P$1,Sprints[],2,FALSE)),1,VLOOKUP(P$1,Sprints[],4,FALSE))&lt;&gt;"")*(IF(OFFSET(INDIRECT(CELL("address",INDEX('Leave Tracker'!$A$8:$A$107,MATCH($A38,'Leave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2.5600000000000005</v>
      </c>
      <c r="Q38" s="31">
        <f t="array" aca="1" ref="Q38" ca="1">Sheet3!$W$2*$F38*(NETWORKDAYS(VLOOKUP(Q$1,Sprints[],2,FALSE), VLOOKUP(Q$1,Sprints[],3,FALSE))-SUMPRODUCT((OFFSET(INDIRECT(CELL("address",INDEX('Leave Tracker'!$A$8:$A$107,MATCH($A38,'Leave Tracker'!$A$8:$A$107,0)))),0,31*(VLOOKUP(Q$1,Sprints[],5,FALSE))+DAY(VLOOKUP(Q$1,Sprints[],2,FALSE)),1,VLOOKUP(Q$1,Sprints[],4,FALSE))&lt;&gt;"")*(IF(OFFSET(INDIRECT(CELL("address",INDEX('Leave Tracker'!$A$8:$A$107,MATCH($A38,'Leave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3.2000000000000006</v>
      </c>
      <c r="R38" s="31">
        <f t="array" aca="1" ref="R38" ca="1">Sheet3!$W$2*$F38*(NETWORKDAYS(VLOOKUP(R$1,Sprints[],2,FALSE), VLOOKUP(R$1,Sprints[],3,FALSE))-SUMPRODUCT((OFFSET(INDIRECT(CELL("address",INDEX('Leave Tracker'!$A$8:$A$107,MATCH($A38,'Leave Tracker'!$A$8:$A$107,0)))),0,31*(VLOOKUP(R$1,Sprints[],5,FALSE))+DAY(VLOOKUP(R$1,Sprints[],2,FALSE)),1,VLOOKUP(R$1,Sprints[],4,FALSE))&lt;&gt;"")*(IF(OFFSET(INDIRECT(CELL("address",INDEX('Leave Tracker'!$A$8:$A$107,MATCH($A38,'Leave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2.8800000000000008</v>
      </c>
      <c r="S38" s="31">
        <f t="array" aca="1" ref="S38" ca="1">Sheet3!$W$2*$F38*(NETWORKDAYS(VLOOKUP(S$1,Sprints[],2,FALSE), VLOOKUP(S$1,Sprints[],3,FALSE))-SUMPRODUCT((OFFSET(INDIRECT(CELL("address",INDEX('Leave Tracker'!$A$8:$A$107,MATCH($A38,'Leave Tracker'!$A$8:$A$107,0)))),0,31*(VLOOKUP(S$1,Sprints[],5,FALSE))+DAY(VLOOKUP(S$1,Sprints[],2,FALSE)),1,VLOOKUP(S$1,Sprints[],4,FALSE))&lt;&gt;"")*(IF(OFFSET(INDIRECT(CELL("address",INDEX('Leave Tracker'!$A$8:$A$107,MATCH($A38,'Leave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3.2000000000000006</v>
      </c>
      <c r="T38" s="31">
        <f t="array" aca="1" ref="T38" ca="1">Sheet3!$W$2*$F38*(NETWORKDAYS(VLOOKUP(T$1,Sprints[],2,FALSE), VLOOKUP(T$1,Sprints[],3,FALSE))-SUMPRODUCT((OFFSET(INDIRECT(CELL("address",INDEX('Leave Tracker'!$A$8:$A$107,MATCH($A38,'Leave Tracker'!$A$8:$A$107,0)))),0,31*(VLOOKUP(T$1,Sprints[],5,FALSE))+DAY(VLOOKUP(T$1,Sprints[],2,FALSE)),1,VLOOKUP(T$1,Sprints[],4,FALSE))&lt;&gt;"")*(IF(OFFSET(INDIRECT(CELL("address",INDEX('Leave Tracker'!$A$8:$A$107,MATCH($A38,'Leave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1.6000000000000003</v>
      </c>
      <c r="U38" s="78">
        <f t="array" aca="1" ref="U38" ca="1">Sheet3!$W$2*$F38*(NETWORKDAYS(VLOOKUP(U$1,Sprints[],2,FALSE), VLOOKUP(U$1,Sprints[],3,FALSE))-SUMPRODUCT((OFFSET(INDIRECT(CELL("address",INDEX('Leave Tracker'!$A$8:$A$107,MATCH($A38,'Leave Tracker'!$A$8:$A$107,0)))),0,31*(VLOOKUP(U$1,Sprints[],5,FALSE))+DAY(VLOOKUP(U$1,Sprints[],2,FALSE)),1,VLOOKUP(U$1,Sprints[],4,FALSE))&lt;&gt;"")*(IF(OFFSET(INDIRECT(CELL("address",INDEX('Leave Tracker'!$A$8:$A$107,MATCH($A38,'Leave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6.080000000000001</v>
      </c>
    </row>
    <row r="39" spans="1:21" s="45" customFormat="1" x14ac:dyDescent="0.45">
      <c r="A39" s="45" t="s">
        <v>183</v>
      </c>
      <c r="B39" s="45" t="s">
        <v>119</v>
      </c>
      <c r="C39" s="45" t="s">
        <v>117</v>
      </c>
      <c r="D39" s="45" t="s">
        <v>133</v>
      </c>
      <c r="E39" s="45" t="s">
        <v>128</v>
      </c>
      <c r="F39" s="47">
        <v>0.3</v>
      </c>
      <c r="G39" s="31">
        <f t="array" aca="1" ref="G39" ca="1">Sheet3!$W$2*$F39*(NETWORKDAYS(VLOOKUP(G$1,Sprints[],2,FALSE), VLOOKUP(G$1,Sprints[],3,FALSE))-SUMPRODUCT((OFFSET(INDIRECT(CELL("address",INDEX('Leave Tracker'!$A$8:$A$107,MATCH($A39,'Leave Tracker'!$A$8:$A$107,0)))),0,31*(VLOOKUP(G$1,Sprints[],5,FALSE))+DAY(VLOOKUP(G$1,Sprints[],2,FALSE)),1,VLOOKUP(G$1,Sprints[],4,FALSE))&lt;&gt;"")*(IF(OFFSET(INDIRECT(CELL("address",INDEX('Leave Tracker'!$A$8:$A$107,MATCH($A39,'Leave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39" s="31">
        <f t="array" aca="1" ref="H39" ca="1">Sheet3!$W$2*$F39*(NETWORKDAYS(VLOOKUP(H$1,Sprints[],2,FALSE), VLOOKUP(H$1,Sprints[],3,FALSE))-SUMPRODUCT((OFFSET(INDIRECT(CELL("address",INDEX('Leave Tracker'!$A$8:$A$107,MATCH($A39,'Leave Tracker'!$A$8:$A$107,0)))),0,31*(VLOOKUP(H$1,Sprints[],5,FALSE))+DAY(VLOOKUP(H$1,Sprints[],2,FALSE)),1,VLOOKUP(H$1,Sprints[],4,FALSE))&lt;&gt;"")*(IF(OFFSET(INDIRECT(CELL("address",INDEX('Leave Tracker'!$A$8:$A$107,MATCH($A39,'Leave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9" s="31">
        <f t="array" aca="1" ref="I39" ca="1">Sheet3!$W$2*$F39*(NETWORKDAYS(VLOOKUP(I$1,Sprints[],2,FALSE), VLOOKUP(I$1,Sprints[],3,FALSE))-SUMPRODUCT((OFFSET(INDIRECT(CELL("address",INDEX('Leave Tracker'!$A$8:$A$107,MATCH($A39,'Leave Tracker'!$A$8:$A$107,0)))),0,31*(VLOOKUP(I$1,Sprints[],5,FALSE))+DAY(VLOOKUP(I$1,Sprints[],2,FALSE)),1,VLOOKUP(I$1,Sprints[],4,FALSE))&lt;&gt;"")*(IF(OFFSET(INDIRECT(CELL("address",INDEX('Leave Tracker'!$A$8:$A$107,MATCH($A39,'Leave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9" s="31">
        <f t="array" aca="1" ref="J39" ca="1">Sheet3!$W$2*$F39*(NETWORKDAYS(VLOOKUP(J$1,Sprints[],2,FALSE), VLOOKUP(J$1,Sprints[],3,FALSE))-SUMPRODUCT((OFFSET(INDIRECT(CELL("address",INDEX('Leave Tracker'!$A$8:$A$107,MATCH($A39,'Leave Tracker'!$A$8:$A$107,0)))),0,31*(VLOOKUP(J$1,Sprints[],5,FALSE))+DAY(VLOOKUP(J$1,Sprints[],2,FALSE)),1,VLOOKUP(J$1,Sprints[],4,FALSE))&lt;&gt;"")*(IF(OFFSET(INDIRECT(CELL("address",INDEX('Leave Tracker'!$A$8:$A$107,MATCH($A39,'Leave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39" s="31">
        <f t="array" aca="1" ref="K39" ca="1">Sheet3!$W$2*$F39*(NETWORKDAYS(VLOOKUP(K$1,Sprints[],2,FALSE), VLOOKUP(K$1,Sprints[],3,FALSE))-SUMPRODUCT((OFFSET(INDIRECT(CELL("address",INDEX('Leave Tracker'!$A$8:$A$107,MATCH($A39,'Leave Tracker'!$A$8:$A$107,0)))),0,31*(VLOOKUP(K$1,Sprints[],5,FALSE))+DAY(VLOOKUP(K$1,Sprints[],2,FALSE)),1,VLOOKUP(K$1,Sprints[],4,FALSE))&lt;&gt;"")*(IF(OFFSET(INDIRECT(CELL("address",INDEX('Leave Tracker'!$A$8:$A$107,MATCH($A39,'Leave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39" s="31">
        <f t="array" aca="1" ref="L39" ca="1">Sheet3!$W$2*$F39*(NETWORKDAYS(VLOOKUP(L$1,Sprints[],2,FALSE), VLOOKUP(L$1,Sprints[],3,FALSE))-SUMPRODUCT((OFFSET(INDIRECT(CELL("address",INDEX('Leave Tracker'!$A$8:$A$107,MATCH($A39,'Leave Tracker'!$A$8:$A$107,0)))),0,31*(VLOOKUP(L$1,Sprints[],5,FALSE))+DAY(VLOOKUP(L$1,Sprints[],2,FALSE)),1,VLOOKUP(L$1,Sprints[],4,FALSE))&lt;&gt;"")*(IF(OFFSET(INDIRECT(CELL("address",INDEX('Leave Tracker'!$A$8:$A$107,MATCH($A39,'Leave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39" s="31">
        <f t="array" aca="1" ref="M39" ca="1">Sheet3!$W$2*$F39*(NETWORKDAYS(VLOOKUP(M$1,Sprints[],2,FALSE), VLOOKUP(M$1,Sprints[],3,FALSE))-SUMPRODUCT((OFFSET(INDIRECT(CELL("address",INDEX('Leave Tracker'!$A$8:$A$107,MATCH($A39,'Leave Tracker'!$A$8:$A$107,0)))),0,31*(VLOOKUP(M$1,Sprints[],5,FALSE))+DAY(VLOOKUP(M$1,Sprints[],2,FALSE)),1,VLOOKUP(M$1,Sprints[],4,FALSE))&lt;&gt;"")*(IF(OFFSET(INDIRECT(CELL("address",INDEX('Leave Tracker'!$A$8:$A$107,MATCH($A39,'Leave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39" s="31">
        <f t="array" aca="1" ref="N39" ca="1">Sheet3!$W$2*$F39*(NETWORKDAYS(VLOOKUP(N$1,Sprints[],2,FALSE), VLOOKUP(N$1,Sprints[],3,FALSE))-SUMPRODUCT((OFFSET(INDIRECT(CELL("address",INDEX('Leave Tracker'!$A$8:$A$107,MATCH($A39,'Leave Tracker'!$A$8:$A$107,0)))),0,31*(VLOOKUP(N$1,Sprints[],5,FALSE))+DAY(VLOOKUP(N$1,Sprints[],2,FALSE)),1,VLOOKUP(N$1,Sprints[],4,FALSE))&lt;&gt;"")*(IF(OFFSET(INDIRECT(CELL("address",INDEX('Leave Tracker'!$A$8:$A$107,MATCH($A39,'Leave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39" s="31">
        <f t="array" aca="1" ref="O39" ca="1">Sheet3!$W$2*$F39*(NETWORKDAYS(VLOOKUP(O$1,Sprints[],2,FALSE), VLOOKUP(O$1,Sprints[],3,FALSE))-SUMPRODUCT((OFFSET(INDIRECT(CELL("address",INDEX('Leave Tracker'!$A$8:$A$107,MATCH($A39,'Leave Tracker'!$A$8:$A$107,0)))),0,31*(VLOOKUP(O$1,Sprints[],5,FALSE))+DAY(VLOOKUP(O$1,Sprints[],2,FALSE)),1,VLOOKUP(O$1,Sprints[],4,FALSE))&lt;&gt;"")*(IF(OFFSET(INDIRECT(CELL("address",INDEX('Leave Tracker'!$A$8:$A$107,MATCH($A39,'Leave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9" s="31">
        <f t="array" aca="1" ref="P39" ca="1">Sheet3!$W$2*$F39*(NETWORKDAYS(VLOOKUP(P$1,Sprints[],2,FALSE), VLOOKUP(P$1,Sprints[],3,FALSE))-SUMPRODUCT((OFFSET(INDIRECT(CELL("address",INDEX('Leave Tracker'!$A$8:$A$107,MATCH($A39,'Leave Tracker'!$A$8:$A$107,0)))),0,31*(VLOOKUP(P$1,Sprints[],5,FALSE))+DAY(VLOOKUP(P$1,Sprints[],2,FALSE)),1,VLOOKUP(P$1,Sprints[],4,FALSE))&lt;&gt;"")*(IF(OFFSET(INDIRECT(CELL("address",INDEX('Leave Tracker'!$A$8:$A$107,MATCH($A39,'Leave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</v>
      </c>
      <c r="Q39" s="31">
        <f t="array" aca="1" ref="Q39" ca="1">Sheet3!$W$2*$F39*(NETWORKDAYS(VLOOKUP(Q$1,Sprints[],2,FALSE), VLOOKUP(Q$1,Sprints[],3,FALSE))-SUMPRODUCT((OFFSET(INDIRECT(CELL("address",INDEX('Leave Tracker'!$A$8:$A$107,MATCH($A39,'Leave Tracker'!$A$8:$A$107,0)))),0,31*(VLOOKUP(Q$1,Sprints[],5,FALSE))+DAY(VLOOKUP(Q$1,Sprints[],2,FALSE)),1,VLOOKUP(Q$1,Sprints[],4,FALSE))&lt;&gt;"")*(IF(OFFSET(INDIRECT(CELL("address",INDEX('Leave Tracker'!$A$8:$A$107,MATCH($A39,'Leave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2.4</v>
      </c>
      <c r="R39" s="31">
        <f t="array" aca="1" ref="R39" ca="1">Sheet3!$W$2*$F39*(NETWORKDAYS(VLOOKUP(R$1,Sprints[],2,FALSE), VLOOKUP(R$1,Sprints[],3,FALSE))-SUMPRODUCT((OFFSET(INDIRECT(CELL("address",INDEX('Leave Tracker'!$A$8:$A$107,MATCH($A39,'Leave Tracker'!$A$8:$A$107,0)))),0,31*(VLOOKUP(R$1,Sprints[],5,FALSE))+DAY(VLOOKUP(R$1,Sprints[],2,FALSE)),1,VLOOKUP(R$1,Sprints[],4,FALSE))&lt;&gt;"")*(IF(OFFSET(INDIRECT(CELL("address",INDEX('Leave Tracker'!$A$8:$A$107,MATCH($A39,'Leave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2.16</v>
      </c>
      <c r="S39" s="31">
        <f t="array" aca="1" ref="S39" ca="1">Sheet3!$W$2*$F39*(NETWORKDAYS(VLOOKUP(S$1,Sprints[],2,FALSE), VLOOKUP(S$1,Sprints[],3,FALSE))-SUMPRODUCT((OFFSET(INDIRECT(CELL("address",INDEX('Leave Tracker'!$A$8:$A$107,MATCH($A39,'Leave Tracker'!$A$8:$A$107,0)))),0,31*(VLOOKUP(S$1,Sprints[],5,FALSE))+DAY(VLOOKUP(S$1,Sprints[],2,FALSE)),1,VLOOKUP(S$1,Sprints[],4,FALSE))&lt;&gt;"")*(IF(OFFSET(INDIRECT(CELL("address",INDEX('Leave Tracker'!$A$8:$A$107,MATCH($A39,'Leave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2.4</v>
      </c>
      <c r="T39" s="31">
        <f t="array" aca="1" ref="T39" ca="1">Sheet3!$W$2*$F39*(NETWORKDAYS(VLOOKUP(T$1,Sprints[],2,FALSE), VLOOKUP(T$1,Sprints[],3,FALSE))-SUMPRODUCT((OFFSET(INDIRECT(CELL("address",INDEX('Leave Tracker'!$A$8:$A$107,MATCH($A39,'Leave Tracker'!$A$8:$A$107,0)))),0,31*(VLOOKUP(T$1,Sprints[],5,FALSE))+DAY(VLOOKUP(T$1,Sprints[],2,FALSE)),1,VLOOKUP(T$1,Sprints[],4,FALSE))&lt;&gt;"")*(IF(OFFSET(INDIRECT(CELL("address",INDEX('Leave Tracker'!$A$8:$A$107,MATCH($A39,'Leave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1.2</v>
      </c>
      <c r="U39" s="78">
        <f t="array" aca="1" ref="U39" ca="1">Sheet3!$W$2*$F39*(NETWORKDAYS(VLOOKUP(U$1,Sprints[],2,FALSE), VLOOKUP(U$1,Sprints[],3,FALSE))-SUMPRODUCT((OFFSET(INDIRECT(CELL("address",INDEX('Leave Tracker'!$A$8:$A$107,MATCH($A39,'Leave Tracker'!$A$8:$A$107,0)))),0,31*(VLOOKUP(U$1,Sprints[],5,FALSE))+DAY(VLOOKUP(U$1,Sprints[],2,FALSE)),1,VLOOKUP(U$1,Sprints[],4,FALSE))&lt;&gt;"")*(IF(OFFSET(INDIRECT(CELL("address",INDEX('Leave Tracker'!$A$8:$A$107,MATCH($A39,'Leave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4.5599999999999996</v>
      </c>
    </row>
    <row r="40" spans="1:21" x14ac:dyDescent="0.45">
      <c r="A40" s="45" t="s">
        <v>184</v>
      </c>
      <c r="B40" s="45" t="s">
        <v>113</v>
      </c>
      <c r="C40" s="45" t="s">
        <v>117</v>
      </c>
      <c r="D40" s="45" t="s">
        <v>133</v>
      </c>
      <c r="E40" s="45" t="s">
        <v>128</v>
      </c>
      <c r="F40" s="47">
        <v>0</v>
      </c>
      <c r="G40" s="31">
        <f t="array" aca="1" ref="G40" ca="1">Sheet3!$W$2*$F40*(NETWORKDAYS(VLOOKUP(G$1,Sprints[],2,FALSE), VLOOKUP(G$1,Sprints[],3,FALSE))-SUMPRODUCT((OFFSET(INDIRECT(CELL("address",INDEX('Leave Tracker'!$A$8:$A$107,MATCH($A40,'Leave Tracker'!$A$8:$A$107,0)))),0,31*(VLOOKUP(G$1,Sprints[],5,FALSE))+DAY(VLOOKUP(G$1,Sprints[],2,FALSE)),1,VLOOKUP(G$1,Sprints[],4,FALSE))&lt;&gt;"")*(IF(OFFSET(INDIRECT(CELL("address",INDEX('Leave Tracker'!$A$8:$A$107,MATCH($A40,'Leave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40" s="31">
        <f t="array" aca="1" ref="H40" ca="1">Sheet3!$W$2*$F40*(NETWORKDAYS(VLOOKUP(H$1,Sprints[],2,FALSE), VLOOKUP(H$1,Sprints[],3,FALSE))-SUMPRODUCT((OFFSET(INDIRECT(CELL("address",INDEX('Leave Tracker'!$A$8:$A$107,MATCH($A40,'Leave Tracker'!$A$8:$A$107,0)))),0,31*(VLOOKUP(H$1,Sprints[],5,FALSE))+DAY(VLOOKUP(H$1,Sprints[],2,FALSE)),1,VLOOKUP(H$1,Sprints[],4,FALSE))&lt;&gt;"")*(IF(OFFSET(INDIRECT(CELL("address",INDEX('Leave Tracker'!$A$8:$A$107,MATCH($A40,'Leave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40" s="31">
        <f t="array" aca="1" ref="I40" ca="1">Sheet3!$W$2*$F40*(NETWORKDAYS(VLOOKUP(I$1,Sprints[],2,FALSE), VLOOKUP(I$1,Sprints[],3,FALSE))-SUMPRODUCT((OFFSET(INDIRECT(CELL("address",INDEX('Leave Tracker'!$A$8:$A$107,MATCH($A40,'Leave Tracker'!$A$8:$A$107,0)))),0,31*(VLOOKUP(I$1,Sprints[],5,FALSE))+DAY(VLOOKUP(I$1,Sprints[],2,FALSE)),1,VLOOKUP(I$1,Sprints[],4,FALSE))&lt;&gt;"")*(IF(OFFSET(INDIRECT(CELL("address",INDEX('Leave Tracker'!$A$8:$A$107,MATCH($A40,'Leave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40" s="31">
        <f t="array" aca="1" ref="J40" ca="1">Sheet3!$W$2*$F40*(NETWORKDAYS(VLOOKUP(J$1,Sprints[],2,FALSE), VLOOKUP(J$1,Sprints[],3,FALSE))-SUMPRODUCT((OFFSET(INDIRECT(CELL("address",INDEX('Leave Tracker'!$A$8:$A$107,MATCH($A40,'Leave Tracker'!$A$8:$A$107,0)))),0,31*(VLOOKUP(J$1,Sprints[],5,FALSE))+DAY(VLOOKUP(J$1,Sprints[],2,FALSE)),1,VLOOKUP(J$1,Sprints[],4,FALSE))&lt;&gt;"")*(IF(OFFSET(INDIRECT(CELL("address",INDEX('Leave Tracker'!$A$8:$A$107,MATCH($A40,'Leave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40" s="31">
        <f t="array" aca="1" ref="K40" ca="1">Sheet3!$W$2*$F40*(NETWORKDAYS(VLOOKUP(K$1,Sprints[],2,FALSE), VLOOKUP(K$1,Sprints[],3,FALSE))-SUMPRODUCT((OFFSET(INDIRECT(CELL("address",INDEX('Leave Tracker'!$A$8:$A$107,MATCH($A40,'Leave Tracker'!$A$8:$A$107,0)))),0,31*(VLOOKUP(K$1,Sprints[],5,FALSE))+DAY(VLOOKUP(K$1,Sprints[],2,FALSE)),1,VLOOKUP(K$1,Sprints[],4,FALSE))&lt;&gt;"")*(IF(OFFSET(INDIRECT(CELL("address",INDEX('Leave Tracker'!$A$8:$A$107,MATCH($A40,'Leave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40" s="31">
        <f t="array" aca="1" ref="L40" ca="1">Sheet3!$W$2*$F40*(NETWORKDAYS(VLOOKUP(L$1,Sprints[],2,FALSE), VLOOKUP(L$1,Sprints[],3,FALSE))-SUMPRODUCT((OFFSET(INDIRECT(CELL("address",INDEX('Leave Tracker'!$A$8:$A$107,MATCH($A40,'Leave Tracker'!$A$8:$A$107,0)))),0,31*(VLOOKUP(L$1,Sprints[],5,FALSE))+DAY(VLOOKUP(L$1,Sprints[],2,FALSE)),1,VLOOKUP(L$1,Sprints[],4,FALSE))&lt;&gt;"")*(IF(OFFSET(INDIRECT(CELL("address",INDEX('Leave Tracker'!$A$8:$A$107,MATCH($A40,'Leave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40" s="31">
        <f t="array" aca="1" ref="M40" ca="1">Sheet3!$W$2*$F40*(NETWORKDAYS(VLOOKUP(M$1,Sprints[],2,FALSE), VLOOKUP(M$1,Sprints[],3,FALSE))-SUMPRODUCT((OFFSET(INDIRECT(CELL("address",INDEX('Leave Tracker'!$A$8:$A$107,MATCH($A40,'Leave Tracker'!$A$8:$A$107,0)))),0,31*(VLOOKUP(M$1,Sprints[],5,FALSE))+DAY(VLOOKUP(M$1,Sprints[],2,FALSE)),1,VLOOKUP(M$1,Sprints[],4,FALSE))&lt;&gt;"")*(IF(OFFSET(INDIRECT(CELL("address",INDEX('Leave Tracker'!$A$8:$A$107,MATCH($A40,'Leave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40" s="31">
        <f t="array" aca="1" ref="N40" ca="1">Sheet3!$W$2*$F40*(NETWORKDAYS(VLOOKUP(N$1,Sprints[],2,FALSE), VLOOKUP(N$1,Sprints[],3,FALSE))-SUMPRODUCT((OFFSET(INDIRECT(CELL("address",INDEX('Leave Tracker'!$A$8:$A$107,MATCH($A40,'Leave Tracker'!$A$8:$A$107,0)))),0,31*(VLOOKUP(N$1,Sprints[],5,FALSE))+DAY(VLOOKUP(N$1,Sprints[],2,FALSE)),1,VLOOKUP(N$1,Sprints[],4,FALSE))&lt;&gt;"")*(IF(OFFSET(INDIRECT(CELL("address",INDEX('Leave Tracker'!$A$8:$A$107,MATCH($A40,'Leave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40" s="31">
        <f t="array" aca="1" ref="O40" ca="1">Sheet3!$W$2*$F40*(NETWORKDAYS(VLOOKUP(O$1,Sprints[],2,FALSE), VLOOKUP(O$1,Sprints[],3,FALSE))-SUMPRODUCT((OFFSET(INDIRECT(CELL("address",INDEX('Leave Tracker'!$A$8:$A$107,MATCH($A40,'Leave Tracker'!$A$8:$A$107,0)))),0,31*(VLOOKUP(O$1,Sprints[],5,FALSE))+DAY(VLOOKUP(O$1,Sprints[],2,FALSE)),1,VLOOKUP(O$1,Sprints[],4,FALSE))&lt;&gt;"")*(IF(OFFSET(INDIRECT(CELL("address",INDEX('Leave Tracker'!$A$8:$A$107,MATCH($A40,'Leave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40" s="31">
        <f t="array" aca="1" ref="P40" ca="1">Sheet3!$W$2*$F40*(NETWORKDAYS(VLOOKUP(P$1,Sprints[],2,FALSE), VLOOKUP(P$1,Sprints[],3,FALSE))-SUMPRODUCT((OFFSET(INDIRECT(CELL("address",INDEX('Leave Tracker'!$A$8:$A$107,MATCH($A40,'Leave Tracker'!$A$8:$A$107,0)))),0,31*(VLOOKUP(P$1,Sprints[],5,FALSE))+DAY(VLOOKUP(P$1,Sprints[],2,FALSE)),1,VLOOKUP(P$1,Sprints[],4,FALSE))&lt;&gt;"")*(IF(OFFSET(INDIRECT(CELL("address",INDEX('Leave Tracker'!$A$8:$A$107,MATCH($A40,'Leave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40" s="31">
        <f t="array" aca="1" ref="Q40" ca="1">Sheet3!$W$2*$F40*(NETWORKDAYS(VLOOKUP(Q$1,Sprints[],2,FALSE), VLOOKUP(Q$1,Sprints[],3,FALSE))-SUMPRODUCT((OFFSET(INDIRECT(CELL("address",INDEX('Leave Tracker'!$A$8:$A$107,MATCH($A40,'Leave Tracker'!$A$8:$A$107,0)))),0,31*(VLOOKUP(Q$1,Sprints[],5,FALSE))+DAY(VLOOKUP(Q$1,Sprints[],2,FALSE)),1,VLOOKUP(Q$1,Sprints[],4,FALSE))&lt;&gt;"")*(IF(OFFSET(INDIRECT(CELL("address",INDEX('Leave Tracker'!$A$8:$A$107,MATCH($A40,'Leave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40" s="31">
        <f t="array" aca="1" ref="R40" ca="1">Sheet3!$W$2*$F40*(NETWORKDAYS(VLOOKUP(R$1,Sprints[],2,FALSE), VLOOKUP(R$1,Sprints[],3,FALSE))-SUMPRODUCT((OFFSET(INDIRECT(CELL("address",INDEX('Leave Tracker'!$A$8:$A$107,MATCH($A40,'Leave Tracker'!$A$8:$A$107,0)))),0,31*(VLOOKUP(R$1,Sprints[],5,FALSE))+DAY(VLOOKUP(R$1,Sprints[],2,FALSE)),1,VLOOKUP(R$1,Sprints[],4,FALSE))&lt;&gt;"")*(IF(OFFSET(INDIRECT(CELL("address",INDEX('Leave Tracker'!$A$8:$A$107,MATCH($A40,'Leave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40" s="31">
        <f t="array" aca="1" ref="S40" ca="1">Sheet3!$W$2*$F40*(NETWORKDAYS(VLOOKUP(S$1,Sprints[],2,FALSE), VLOOKUP(S$1,Sprints[],3,FALSE))-SUMPRODUCT((OFFSET(INDIRECT(CELL("address",INDEX('Leave Tracker'!$A$8:$A$107,MATCH($A40,'Leave Tracker'!$A$8:$A$107,0)))),0,31*(VLOOKUP(S$1,Sprints[],5,FALSE))+DAY(VLOOKUP(S$1,Sprints[],2,FALSE)),1,VLOOKUP(S$1,Sprints[],4,FALSE))&lt;&gt;"")*(IF(OFFSET(INDIRECT(CELL("address",INDEX('Leave Tracker'!$A$8:$A$107,MATCH($A40,'Leave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40" s="31">
        <f t="array" aca="1" ref="T40" ca="1">Sheet3!$W$2*$F40*(NETWORKDAYS(VLOOKUP(T$1,Sprints[],2,FALSE), VLOOKUP(T$1,Sprints[],3,FALSE))-SUMPRODUCT((OFFSET(INDIRECT(CELL("address",INDEX('Leave Tracker'!$A$8:$A$107,MATCH($A40,'Leave Tracker'!$A$8:$A$107,0)))),0,31*(VLOOKUP(T$1,Sprints[],5,FALSE))+DAY(VLOOKUP(T$1,Sprints[],2,FALSE)),1,VLOOKUP(T$1,Sprints[],4,FALSE))&lt;&gt;"")*(IF(OFFSET(INDIRECT(CELL("address",INDEX('Leave Tracker'!$A$8:$A$107,MATCH($A40,'Leave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40" s="78">
        <f t="array" aca="1" ref="U40" ca="1">Sheet3!$W$2*$F40*(NETWORKDAYS(VLOOKUP(U$1,Sprints[],2,FALSE), VLOOKUP(U$1,Sprints[],3,FALSE))-SUMPRODUCT((OFFSET(INDIRECT(CELL("address",INDEX('Leave Tracker'!$A$8:$A$107,MATCH($A40,'Leave Tracker'!$A$8:$A$107,0)))),0,31*(VLOOKUP(U$1,Sprints[],5,FALSE))+DAY(VLOOKUP(U$1,Sprints[],2,FALSE)),1,VLOOKUP(U$1,Sprints[],4,FALSE))&lt;&gt;"")*(IF(OFFSET(INDIRECT(CELL("address",INDEX('Leave Tracker'!$A$8:$A$107,MATCH($A40,'Leave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41" spans="1:21" x14ac:dyDescent="0.45">
      <c r="A41" t="s">
        <v>93</v>
      </c>
      <c r="B41" s="45" t="s">
        <v>116</v>
      </c>
      <c r="C41" s="45" t="s">
        <v>117</v>
      </c>
      <c r="D41" s="45" t="s">
        <v>121</v>
      </c>
      <c r="E41" s="45" t="s">
        <v>126</v>
      </c>
      <c r="F41" s="47">
        <v>0.2</v>
      </c>
      <c r="G41" s="45">
        <f t="array" aca="1" ref="G41" ca="1">Sheet3!$W$2*$F41*(NETWORKDAYS(VLOOKUP(G$1,Sprints[],2,FALSE), VLOOKUP(G$1,Sprints[],3,FALSE))-SUMPRODUCT((OFFSET(INDIRECT(CELL("address",INDEX('Leave Tracker'!$A$8:$A$107,MATCH($A41,'Leave Tracker'!$A$8:$A$107,0)))),0,31*(VLOOKUP(G$1,Sprints[],5,FALSE))+DAY(VLOOKUP(G$1,Sprints[],2,FALSE)),1,VLOOKUP(G$1,Sprints[],4,FALSE))&lt;&gt;"")*(IF(OFFSET(INDIRECT(CELL("address",INDEX('Leave Tracker'!$A$8:$A$107,MATCH($A41,'Leave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0.80000000000000016</v>
      </c>
      <c r="H41">
        <f t="array" aca="1" ref="H41" ca="1">Sheet3!$W$2*$F41*(NETWORKDAYS(VLOOKUP(H$1,Sprints[],2,FALSE), VLOOKUP(H$1,Sprints[],3,FALSE))-SUMPRODUCT((OFFSET(INDIRECT(CELL("address",INDEX('Leave Tracker'!$A$8:$A$107,MATCH($A41,'Leave Tracker'!$A$8:$A$107,0)))),0,31*(VLOOKUP(H$1,Sprints[],5,FALSE))+DAY(VLOOKUP(H$1,Sprints[],2,FALSE)),1,VLOOKUP(H$1,Sprints[],4,FALSE))&lt;&gt;"")*(IF(OFFSET(INDIRECT(CELL("address",INDEX('Leave Tracker'!$A$8:$A$107,MATCH($A41,'Leave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1.6000000000000003</v>
      </c>
      <c r="I41">
        <f t="array" aca="1" ref="I41" ca="1">Sheet3!$W$2*$F41*(NETWORKDAYS(VLOOKUP(I$1,Sprints[],2,FALSE), VLOOKUP(I$1,Sprints[],3,FALSE))-SUMPRODUCT((OFFSET(INDIRECT(CELL("address",INDEX('Leave Tracker'!$A$8:$A$107,MATCH($A41,'Leave Tracker'!$A$8:$A$107,0)))),0,31*(VLOOKUP(I$1,Sprints[],5,FALSE))+DAY(VLOOKUP(I$1,Sprints[],2,FALSE)),1,VLOOKUP(I$1,Sprints[],4,FALSE))&lt;&gt;"")*(IF(OFFSET(INDIRECT(CELL("address",INDEX('Leave Tracker'!$A$8:$A$107,MATCH($A41,'Leave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1.6000000000000003</v>
      </c>
      <c r="J41">
        <f t="array" aca="1" ref="J41" ca="1">Sheet3!$W$2*$F41*(NETWORKDAYS(VLOOKUP(J$1,Sprints[],2,FALSE), VLOOKUP(J$1,Sprints[],3,FALSE))-SUMPRODUCT((OFFSET(INDIRECT(CELL("address",INDEX('Leave Tracker'!$A$8:$A$107,MATCH($A41,'Leave Tracker'!$A$8:$A$107,0)))),0,31*(VLOOKUP(J$1,Sprints[],5,FALSE))+DAY(VLOOKUP(J$1,Sprints[],2,FALSE)),1,VLOOKUP(J$1,Sprints[],4,FALSE))&lt;&gt;"")*(IF(OFFSET(INDIRECT(CELL("address",INDEX('Leave Tracker'!$A$8:$A$107,MATCH($A41,'Leave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1.1200000000000001</v>
      </c>
      <c r="K41">
        <f t="array" aca="1" ref="K41" ca="1">Sheet3!$W$2*$F41*(NETWORKDAYS(VLOOKUP(K$1,Sprints[],2,FALSE), VLOOKUP(K$1,Sprints[],3,FALSE))-SUMPRODUCT((OFFSET(INDIRECT(CELL("address",INDEX('Leave Tracker'!$A$8:$A$107,MATCH($A41,'Leave Tracker'!$A$8:$A$107,0)))),0,31*(VLOOKUP(K$1,Sprints[],5,FALSE))+DAY(VLOOKUP(K$1,Sprints[],2,FALSE)),1,VLOOKUP(K$1,Sprints[],4,FALSE))&lt;&gt;"")*(IF(OFFSET(INDIRECT(CELL("address",INDEX('Leave Tracker'!$A$8:$A$107,MATCH($A41,'Leave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1.6000000000000003</v>
      </c>
      <c r="L41">
        <f t="array" aca="1" ref="L41" ca="1">Sheet3!$W$2*$F41*(NETWORKDAYS(VLOOKUP(L$1,Sprints[],2,FALSE), VLOOKUP(L$1,Sprints[],3,FALSE))-SUMPRODUCT((OFFSET(INDIRECT(CELL("address",INDEX('Leave Tracker'!$A$8:$A$107,MATCH($A41,'Leave Tracker'!$A$8:$A$107,0)))),0,31*(VLOOKUP(L$1,Sprints[],5,FALSE))+DAY(VLOOKUP(L$1,Sprints[],2,FALSE)),1,VLOOKUP(L$1,Sprints[],4,FALSE))&lt;&gt;"")*(IF(OFFSET(INDIRECT(CELL("address",INDEX('Leave Tracker'!$A$8:$A$107,MATCH($A41,'Leave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1.3600000000000003</v>
      </c>
      <c r="M41" s="45">
        <f t="array" aca="1" ref="M41" ca="1">Sheet3!$W$2*$F41*(NETWORKDAYS(VLOOKUP(M$1,Sprints[],2,FALSE), VLOOKUP(M$1,Sprints[],3,FALSE))-SUMPRODUCT((OFFSET(INDIRECT(CELL("address",INDEX('Leave Tracker'!$A$8:$A$107,MATCH($A41,'Leave Tracker'!$A$8:$A$107,0)))),0,31*(VLOOKUP(M$1,Sprints[],5,FALSE))+DAY(VLOOKUP(M$1,Sprints[],2,FALSE)),1,VLOOKUP(M$1,Sprints[],4,FALSE))&lt;&gt;"")*(IF(OFFSET(INDIRECT(CELL("address",INDEX('Leave Tracker'!$A$8:$A$107,MATCH($A41,'Leave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1.4400000000000004</v>
      </c>
      <c r="N41">
        <f t="array" aca="1" ref="N41" ca="1">Sheet3!$W$2*$F41*(NETWORKDAYS(VLOOKUP(N$1,Sprints[],2,FALSE), VLOOKUP(N$1,Sprints[],3,FALSE))-SUMPRODUCT((OFFSET(INDIRECT(CELL("address",INDEX('Leave Tracker'!$A$8:$A$107,MATCH($A41,'Leave Tracker'!$A$8:$A$107,0)))),0,31*(VLOOKUP(N$1,Sprints[],5,FALSE))+DAY(VLOOKUP(N$1,Sprints[],2,FALSE)),1,VLOOKUP(N$1,Sprints[],4,FALSE))&lt;&gt;"")*(IF(OFFSET(INDIRECT(CELL("address",INDEX('Leave Tracker'!$A$8:$A$107,MATCH($A41,'Leave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0.40000000000000008</v>
      </c>
      <c r="O41">
        <f t="array" aca="1" ref="O41" ca="1">Sheet3!$W$2*$F41*(NETWORKDAYS(VLOOKUP(O$1,Sprints[],2,FALSE), VLOOKUP(O$1,Sprints[],3,FALSE))-SUMPRODUCT((OFFSET(INDIRECT(CELL("address",INDEX('Leave Tracker'!$A$8:$A$107,MATCH($A41,'Leave Tracker'!$A$8:$A$107,0)))),0,31*(VLOOKUP(O$1,Sprints[],5,FALSE))+DAY(VLOOKUP(O$1,Sprints[],2,FALSE)),1,VLOOKUP(O$1,Sprints[],4,FALSE))&lt;&gt;"")*(IF(OFFSET(INDIRECT(CELL("address",INDEX('Leave Tracker'!$A$8:$A$107,MATCH($A41,'Leave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1.3600000000000003</v>
      </c>
      <c r="P41">
        <f t="array" aca="1" ref="P41" ca="1">Sheet3!$W$2*$F41*(NETWORKDAYS(VLOOKUP(P$1,Sprints[],2,FALSE), VLOOKUP(P$1,Sprints[],3,FALSE))-SUMPRODUCT((OFFSET(INDIRECT(CELL("address",INDEX('Leave Tracker'!$A$8:$A$107,MATCH($A41,'Leave Tracker'!$A$8:$A$107,0)))),0,31*(VLOOKUP(P$1,Sprints[],5,FALSE))+DAY(VLOOKUP(P$1,Sprints[],2,FALSE)),1,VLOOKUP(P$1,Sprints[],4,FALSE))&lt;&gt;"")*(IF(OFFSET(INDIRECT(CELL("address",INDEX('Leave Tracker'!$A$8:$A$107,MATCH($A41,'Leave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1.4400000000000004</v>
      </c>
      <c r="Q41">
        <f t="array" aca="1" ref="Q41" ca="1">Sheet3!$W$2*$F41*(NETWORKDAYS(VLOOKUP(Q$1,Sprints[],2,FALSE), VLOOKUP(Q$1,Sprints[],3,FALSE))-SUMPRODUCT((OFFSET(INDIRECT(CELL("address",INDEX('Leave Tracker'!$A$8:$A$107,MATCH($A41,'Leave Tracker'!$A$8:$A$107,0)))),0,31*(VLOOKUP(Q$1,Sprints[],5,FALSE))+DAY(VLOOKUP(Q$1,Sprints[],2,FALSE)),1,VLOOKUP(Q$1,Sprints[],4,FALSE))&lt;&gt;"")*(IF(OFFSET(INDIRECT(CELL("address",INDEX('Leave Tracker'!$A$8:$A$107,MATCH($A41,'Leave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1.4400000000000004</v>
      </c>
      <c r="R41">
        <f t="array" aca="1" ref="R41" ca="1">Sheet3!$W$2*$F41*(NETWORKDAYS(VLOOKUP(R$1,Sprints[],2,FALSE), VLOOKUP(R$1,Sprints[],3,FALSE))-SUMPRODUCT((OFFSET(INDIRECT(CELL("address",INDEX('Leave Tracker'!$A$8:$A$107,MATCH($A41,'Leave Tracker'!$A$8:$A$107,0)))),0,31*(VLOOKUP(R$1,Sprints[],5,FALSE))+DAY(VLOOKUP(R$1,Sprints[],2,FALSE)),1,VLOOKUP(R$1,Sprints[],4,FALSE))&lt;&gt;"")*(IF(OFFSET(INDIRECT(CELL("address",INDEX('Leave Tracker'!$A$8:$A$107,MATCH($A41,'Leave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1.4400000000000004</v>
      </c>
      <c r="S41" s="31">
        <f t="array" aca="1" ref="S41" ca="1">Sheet3!$W$2*$F41*(NETWORKDAYS(VLOOKUP(S$1,Sprints[],2,FALSE), VLOOKUP(S$1,Sprints[],3,FALSE))-SUMPRODUCT((OFFSET(INDIRECT(CELL("address",INDEX('Leave Tracker'!$A$8:$A$107,MATCH($A41,'Leave Tracker'!$A$8:$A$107,0)))),0,31*(VLOOKUP(S$1,Sprints[],5,FALSE))+DAY(VLOOKUP(S$1,Sprints[],2,FALSE)),1,VLOOKUP(S$1,Sprints[],4,FALSE))&lt;&gt;"")*(IF(OFFSET(INDIRECT(CELL("address",INDEX('Leave Tracker'!$A$8:$A$107,MATCH($A41,'Leave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1.6000000000000003</v>
      </c>
      <c r="T41" s="31">
        <f t="array" aca="1" ref="T41" ca="1">Sheet3!$W$2*$F41*(NETWORKDAYS(VLOOKUP(T$1,Sprints[],2,FALSE), VLOOKUP(T$1,Sprints[],3,FALSE))-SUMPRODUCT((OFFSET(INDIRECT(CELL("address",INDEX('Leave Tracker'!$A$8:$A$107,MATCH($A41,'Leave Tracker'!$A$8:$A$107,0)))),0,31*(VLOOKUP(T$1,Sprints[],5,FALSE))+DAY(VLOOKUP(T$1,Sprints[],2,FALSE)),1,VLOOKUP(T$1,Sprints[],4,FALSE))&lt;&gt;"")*(IF(OFFSET(INDIRECT(CELL("address",INDEX('Leave Tracker'!$A$8:$A$107,MATCH($A41,'Leave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0.80000000000000016</v>
      </c>
      <c r="U41" s="78">
        <f t="array" aca="1" ref="U41" ca="1">Sheet3!$W$2*$F41*(NETWORKDAYS(VLOOKUP(U$1,Sprints[],2,FALSE), VLOOKUP(U$1,Sprints[],3,FALSE))-SUMPRODUCT((OFFSET(INDIRECT(CELL("address",INDEX('Leave Tracker'!$A$8:$A$107,MATCH($A41,'Leave Tracker'!$A$8:$A$107,0)))),0,31*(VLOOKUP(U$1,Sprints[],5,FALSE))+DAY(VLOOKUP(U$1,Sprints[],2,FALSE)),1,VLOOKUP(U$1,Sprints[],4,FALSE))&lt;&gt;"")*(IF(OFFSET(INDIRECT(CELL("address",INDEX('Leave Tracker'!$A$8:$A$107,MATCH($A41,'Leave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3.0400000000000005</v>
      </c>
    </row>
    <row r="42" spans="1:21" x14ac:dyDescent="0.45">
      <c r="A42" t="s">
        <v>94</v>
      </c>
      <c r="B42" s="45" t="s">
        <v>116</v>
      </c>
      <c r="C42" s="45" t="s">
        <v>118</v>
      </c>
      <c r="D42" s="45" t="s">
        <v>123</v>
      </c>
      <c r="E42" s="45" t="s">
        <v>125</v>
      </c>
      <c r="F42" s="47">
        <v>0.6</v>
      </c>
      <c r="G42" s="45">
        <f t="array" aca="1" ref="G42" ca="1">Sheet3!$W$2*$F42*(NETWORKDAYS(VLOOKUP(G$1,Sprints[],2,FALSE), VLOOKUP(G$1,Sprints[],3,FALSE))-SUMPRODUCT((OFFSET(INDIRECT(CELL("address",INDEX('Leave Tracker'!$A$8:$A$107,MATCH($A42,'Leave Tracker'!$A$8:$A$107,0)))),0,31*(VLOOKUP(G$1,Sprints[],5,FALSE))+DAY(VLOOKUP(G$1,Sprints[],2,FALSE)),1,VLOOKUP(G$1,Sprints[],4,FALSE))&lt;&gt;"")*(IF(OFFSET(INDIRECT(CELL("address",INDEX('Leave Tracker'!$A$8:$A$107,MATCH($A42,'Leave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2">
        <f t="array" aca="1" ref="H42" ca="1">Sheet3!$W$2*$F42*(NETWORKDAYS(VLOOKUP(H$1,Sprints[],2,FALSE), VLOOKUP(H$1,Sprints[],3,FALSE))-SUMPRODUCT((OFFSET(INDIRECT(CELL("address",INDEX('Leave Tracker'!$A$8:$A$107,MATCH($A42,'Leave Tracker'!$A$8:$A$107,0)))),0,31*(VLOOKUP(H$1,Sprints[],5,FALSE))+DAY(VLOOKUP(H$1,Sprints[],2,FALSE)),1,VLOOKUP(H$1,Sprints[],4,FALSE))&lt;&gt;"")*(IF(OFFSET(INDIRECT(CELL("address",INDEX('Leave Tracker'!$A$8:$A$107,MATCH($A42,'Leave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2">
        <f t="array" aca="1" ref="I42" ca="1">Sheet3!$W$2*$F42*(NETWORKDAYS(VLOOKUP(I$1,Sprints[],2,FALSE), VLOOKUP(I$1,Sprints[],3,FALSE))-SUMPRODUCT((OFFSET(INDIRECT(CELL("address",INDEX('Leave Tracker'!$A$8:$A$107,MATCH($A42,'Leave Tracker'!$A$8:$A$107,0)))),0,31*(VLOOKUP(I$1,Sprints[],5,FALSE))+DAY(VLOOKUP(I$1,Sprints[],2,FALSE)),1,VLOOKUP(I$1,Sprints[],4,FALSE))&lt;&gt;"")*(IF(OFFSET(INDIRECT(CELL("address",INDEX('Leave Tracker'!$A$8:$A$107,MATCH($A42,'Leave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1.44</v>
      </c>
      <c r="J42">
        <f t="array" aca="1" ref="J42" ca="1">Sheet3!$W$2*$F42*(NETWORKDAYS(VLOOKUP(J$1,Sprints[],2,FALSE), VLOOKUP(J$1,Sprints[],3,FALSE))-SUMPRODUCT((OFFSET(INDIRECT(CELL("address",INDEX('Leave Tracker'!$A$8:$A$107,MATCH($A42,'Leave Tracker'!$A$8:$A$107,0)))),0,31*(VLOOKUP(J$1,Sprints[],5,FALSE))+DAY(VLOOKUP(J$1,Sprints[],2,FALSE)),1,VLOOKUP(J$1,Sprints[],4,FALSE))&lt;&gt;"")*(IF(OFFSET(INDIRECT(CELL("address",INDEX('Leave Tracker'!$A$8:$A$107,MATCH($A42,'Leave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3.36</v>
      </c>
      <c r="K42">
        <f t="array" aca="1" ref="K42" ca="1">Sheet3!$W$2*$F42*(NETWORKDAYS(VLOOKUP(K$1,Sprints[],2,FALSE), VLOOKUP(K$1,Sprints[],3,FALSE))-SUMPRODUCT((OFFSET(INDIRECT(CELL("address",INDEX('Leave Tracker'!$A$8:$A$107,MATCH($A42,'Leave Tracker'!$A$8:$A$107,0)))),0,31*(VLOOKUP(K$1,Sprints[],5,FALSE))+DAY(VLOOKUP(K$1,Sprints[],2,FALSE)),1,VLOOKUP(K$1,Sprints[],4,FALSE))&lt;&gt;"")*(IF(OFFSET(INDIRECT(CELL("address",INDEX('Leave Tracker'!$A$8:$A$107,MATCH($A42,'Leave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2">
        <f t="array" aca="1" ref="L42" ca="1">Sheet3!$W$2*$F42*(NETWORKDAYS(VLOOKUP(L$1,Sprints[],2,FALSE), VLOOKUP(L$1,Sprints[],3,FALSE))-SUMPRODUCT((OFFSET(INDIRECT(CELL("address",INDEX('Leave Tracker'!$A$8:$A$107,MATCH($A42,'Leave Tracker'!$A$8:$A$107,0)))),0,31*(VLOOKUP(L$1,Sprints[],5,FALSE))+DAY(VLOOKUP(L$1,Sprints[],2,FALSE)),1,VLOOKUP(L$1,Sprints[],4,FALSE))&lt;&gt;"")*(IF(OFFSET(INDIRECT(CELL("address",INDEX('Leave Tracker'!$A$8:$A$107,MATCH($A42,'Leave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2" s="45">
        <f t="array" aca="1" ref="M42" ca="1">Sheet3!$W$2*$F42*(NETWORKDAYS(VLOOKUP(M$1,Sprints[],2,FALSE), VLOOKUP(M$1,Sprints[],3,FALSE))-SUMPRODUCT((OFFSET(INDIRECT(CELL("address",INDEX('Leave Tracker'!$A$8:$A$107,MATCH($A42,'Leave Tracker'!$A$8:$A$107,0)))),0,31*(VLOOKUP(M$1,Sprints[],5,FALSE))+DAY(VLOOKUP(M$1,Sprints[],2,FALSE)),1,VLOOKUP(M$1,Sprints[],4,FALSE))&lt;&gt;"")*(IF(OFFSET(INDIRECT(CELL("address",INDEX('Leave Tracker'!$A$8:$A$107,MATCH($A42,'Leave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2">
        <f t="array" aca="1" ref="N42" ca="1">Sheet3!$W$2*$F42*(NETWORKDAYS(VLOOKUP(N$1,Sprints[],2,FALSE), VLOOKUP(N$1,Sprints[],3,FALSE))-SUMPRODUCT((OFFSET(INDIRECT(CELL("address",INDEX('Leave Tracker'!$A$8:$A$107,MATCH($A42,'Leave Tracker'!$A$8:$A$107,0)))),0,31*(VLOOKUP(N$1,Sprints[],5,FALSE))+DAY(VLOOKUP(N$1,Sprints[],2,FALSE)),1,VLOOKUP(N$1,Sprints[],4,FALSE))&lt;&gt;"")*(IF(OFFSET(INDIRECT(CELL("address",INDEX('Leave Tracker'!$A$8:$A$107,MATCH($A42,'Leave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2">
        <f t="array" aca="1" ref="O42" ca="1">Sheet3!$W$2*$F42*(NETWORKDAYS(VLOOKUP(O$1,Sprints[],2,FALSE), VLOOKUP(O$1,Sprints[],3,FALSE))-SUMPRODUCT((OFFSET(INDIRECT(CELL("address",INDEX('Leave Tracker'!$A$8:$A$107,MATCH($A42,'Leave Tracker'!$A$8:$A$107,0)))),0,31*(VLOOKUP(O$1,Sprints[],5,FALSE))+DAY(VLOOKUP(O$1,Sprints[],2,FALSE)),1,VLOOKUP(O$1,Sprints[],4,FALSE))&lt;&gt;"")*(IF(OFFSET(INDIRECT(CELL("address",INDEX('Leave Tracker'!$A$8:$A$107,MATCH($A42,'Leave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2">
        <f t="array" aca="1" ref="P42" ca="1">Sheet3!$W$2*$F42*(NETWORKDAYS(VLOOKUP(P$1,Sprints[],2,FALSE), VLOOKUP(P$1,Sprints[],3,FALSE))-SUMPRODUCT((OFFSET(INDIRECT(CELL("address",INDEX('Leave Tracker'!$A$8:$A$107,MATCH($A42,'Leave Tracker'!$A$8:$A$107,0)))),0,31*(VLOOKUP(P$1,Sprints[],5,FALSE))+DAY(VLOOKUP(P$1,Sprints[],2,FALSE)),1,VLOOKUP(P$1,Sprints[],4,FALSE))&lt;&gt;"")*(IF(OFFSET(INDIRECT(CELL("address",INDEX('Leave Tracker'!$A$8:$A$107,MATCH($A42,'Leave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4.8</v>
      </c>
      <c r="Q42">
        <f t="array" aca="1" ref="Q42" ca="1">Sheet3!$W$2*$F42*(NETWORKDAYS(VLOOKUP(Q$1,Sprints[],2,FALSE), VLOOKUP(Q$1,Sprints[],3,FALSE))-SUMPRODUCT((OFFSET(INDIRECT(CELL("address",INDEX('Leave Tracker'!$A$8:$A$107,MATCH($A42,'Leave Tracker'!$A$8:$A$107,0)))),0,31*(VLOOKUP(Q$1,Sprints[],5,FALSE))+DAY(VLOOKUP(Q$1,Sprints[],2,FALSE)),1,VLOOKUP(Q$1,Sprints[],4,FALSE))&lt;&gt;"")*(IF(OFFSET(INDIRECT(CELL("address",INDEX('Leave Tracker'!$A$8:$A$107,MATCH($A42,'Leave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4.8</v>
      </c>
      <c r="R42">
        <f t="array" aca="1" ref="R42" ca="1">Sheet3!$W$2*$F42*(NETWORKDAYS(VLOOKUP(R$1,Sprints[],2,FALSE), VLOOKUP(R$1,Sprints[],3,FALSE))-SUMPRODUCT((OFFSET(INDIRECT(CELL("address",INDEX('Leave Tracker'!$A$8:$A$107,MATCH($A42,'Leave Tracker'!$A$8:$A$107,0)))),0,31*(VLOOKUP(R$1,Sprints[],5,FALSE))+DAY(VLOOKUP(R$1,Sprints[],2,FALSE)),1,VLOOKUP(R$1,Sprints[],4,FALSE))&lt;&gt;"")*(IF(OFFSET(INDIRECT(CELL("address",INDEX('Leave Tracker'!$A$8:$A$107,MATCH($A42,'Leave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2" s="31">
        <f t="array" aca="1" ref="S42" ca="1">Sheet3!$W$2*$F42*(NETWORKDAYS(VLOOKUP(S$1,Sprints[],2,FALSE), VLOOKUP(S$1,Sprints[],3,FALSE))-SUMPRODUCT((OFFSET(INDIRECT(CELL("address",INDEX('Leave Tracker'!$A$8:$A$107,MATCH($A42,'Leave Tracker'!$A$8:$A$107,0)))),0,31*(VLOOKUP(S$1,Sprints[],5,FALSE))+DAY(VLOOKUP(S$1,Sprints[],2,FALSE)),1,VLOOKUP(S$1,Sprints[],4,FALSE))&lt;&gt;"")*(IF(OFFSET(INDIRECT(CELL("address",INDEX('Leave Tracker'!$A$8:$A$107,MATCH($A42,'Leave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2" s="31">
        <f t="array" aca="1" ref="T42" ca="1">Sheet3!$W$2*$F42*(NETWORKDAYS(VLOOKUP(T$1,Sprints[],2,FALSE), VLOOKUP(T$1,Sprints[],3,FALSE))-SUMPRODUCT((OFFSET(INDIRECT(CELL("address",INDEX('Leave Tracker'!$A$8:$A$107,MATCH($A42,'Leave Tracker'!$A$8:$A$107,0)))),0,31*(VLOOKUP(T$1,Sprints[],5,FALSE))+DAY(VLOOKUP(T$1,Sprints[],2,FALSE)),1,VLOOKUP(T$1,Sprints[],4,FALSE))&lt;&gt;"")*(IF(OFFSET(INDIRECT(CELL("address",INDEX('Leave Tracker'!$A$8:$A$107,MATCH($A42,'Leave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2" s="78">
        <f t="array" aca="1" ref="U42" ca="1">Sheet3!$W$2*$F42*(NETWORKDAYS(VLOOKUP(U$1,Sprints[],2,FALSE), VLOOKUP(U$1,Sprints[],3,FALSE))-SUMPRODUCT((OFFSET(INDIRECT(CELL("address",INDEX('Leave Tracker'!$A$8:$A$107,MATCH($A42,'Leave Tracker'!$A$8:$A$107,0)))),0,31*(VLOOKUP(U$1,Sprints[],5,FALSE))+DAY(VLOOKUP(U$1,Sprints[],2,FALSE)),1,VLOOKUP(U$1,Sprints[],4,FALSE))&lt;&gt;"")*(IF(OFFSET(INDIRECT(CELL("address",INDEX('Leave Tracker'!$A$8:$A$107,MATCH($A42,'Leave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9.1199999999999992</v>
      </c>
    </row>
    <row r="43" spans="1:21" x14ac:dyDescent="0.45">
      <c r="A43" s="66" t="s">
        <v>95</v>
      </c>
      <c r="B43" s="66" t="s">
        <v>116</v>
      </c>
      <c r="C43" s="66" t="s">
        <v>118</v>
      </c>
      <c r="D43" s="66" t="s">
        <v>123</v>
      </c>
      <c r="E43" s="66" t="s">
        <v>125</v>
      </c>
      <c r="F43" s="67">
        <v>0.6</v>
      </c>
      <c r="G43" s="66">
        <f t="array" aca="1" ref="G43" ca="1">Sheet3!$W$2*$F43*(NETWORKDAYS(VLOOKUP(G$1,Sprints[],2,FALSE), VLOOKUP(G$1,Sprints[],3,FALSE))-SUMPRODUCT((OFFSET(INDIRECT(CELL("address",INDEX('Leave Tracker'!$A$8:$A$107,MATCH($A43,'Leave Tracker'!$A$8:$A$107,0)))),0,31*(VLOOKUP(G$1,Sprints[],5,FALSE))+DAY(VLOOKUP(G$1,Sprints[],2,FALSE)),1,VLOOKUP(G$1,Sprints[],4,FALSE))&lt;&gt;"")*(IF(OFFSET(INDIRECT(CELL("address",INDEX('Leave Tracker'!$A$8:$A$107,MATCH($A43,'Leave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3" s="66">
        <f t="array" aca="1" ref="H43" ca="1">Sheet3!$W$2*$F43*(NETWORKDAYS(VLOOKUP(H$1,Sprints[],2,FALSE), VLOOKUP(H$1,Sprints[],3,FALSE))-SUMPRODUCT((OFFSET(INDIRECT(CELL("address",INDEX('Leave Tracker'!$A$8:$A$107,MATCH($A43,'Leave Tracker'!$A$8:$A$107,0)))),0,31*(VLOOKUP(H$1,Sprints[],5,FALSE))+DAY(VLOOKUP(H$1,Sprints[],2,FALSE)),1,VLOOKUP(H$1,Sprints[],4,FALSE))&lt;&gt;"")*(IF(OFFSET(INDIRECT(CELL("address",INDEX('Leave Tracker'!$A$8:$A$107,MATCH($A43,'Leave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3" s="66">
        <f t="array" aca="1" ref="I43" ca="1">Sheet3!$W$2*$F43*(NETWORKDAYS(VLOOKUP(I$1,Sprints[],2,FALSE), VLOOKUP(I$1,Sprints[],3,FALSE))-SUMPRODUCT((OFFSET(INDIRECT(CELL("address",INDEX('Leave Tracker'!$A$8:$A$107,MATCH($A43,'Leave Tracker'!$A$8:$A$107,0)))),0,31*(VLOOKUP(I$1,Sprints[],5,FALSE))+DAY(VLOOKUP(I$1,Sprints[],2,FALSE)),1,VLOOKUP(I$1,Sprints[],4,FALSE))&lt;&gt;"")*(IF(OFFSET(INDIRECT(CELL("address",INDEX('Leave Tracker'!$A$8:$A$107,MATCH($A43,'Leave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4.32</v>
      </c>
      <c r="J43" s="66">
        <f t="array" aca="1" ref="J43" ca="1">Sheet3!$W$2*$F43*(NETWORKDAYS(VLOOKUP(J$1,Sprints[],2,FALSE), VLOOKUP(J$1,Sprints[],3,FALSE))-SUMPRODUCT((OFFSET(INDIRECT(CELL("address",INDEX('Leave Tracker'!$A$8:$A$107,MATCH($A43,'Leave Tracker'!$A$8:$A$107,0)))),0,31*(VLOOKUP(J$1,Sprints[],5,FALSE))+DAY(VLOOKUP(J$1,Sprints[],2,FALSE)),1,VLOOKUP(J$1,Sprints[],4,FALSE))&lt;&gt;"")*(IF(OFFSET(INDIRECT(CELL("address",INDEX('Leave Tracker'!$A$8:$A$107,MATCH($A43,'Leave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2.4</v>
      </c>
      <c r="K43" s="66">
        <f t="array" aca="1" ref="K43" ca="1">Sheet3!$W$2*$F43*(NETWORKDAYS(VLOOKUP(K$1,Sprints[],2,FALSE), VLOOKUP(K$1,Sprints[],3,FALSE))-SUMPRODUCT((OFFSET(INDIRECT(CELL("address",INDEX('Leave Tracker'!$A$8:$A$107,MATCH($A43,'Leave Tracker'!$A$8:$A$107,0)))),0,31*(VLOOKUP(K$1,Sprints[],5,FALSE))+DAY(VLOOKUP(K$1,Sprints[],2,FALSE)),1,VLOOKUP(K$1,Sprints[],4,FALSE))&lt;&gt;"")*(IF(OFFSET(INDIRECT(CELL("address",INDEX('Leave Tracker'!$A$8:$A$107,MATCH($A43,'Leave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3" s="66">
        <f t="array" aca="1" ref="L43" ca="1">Sheet3!$W$2*$F43*(NETWORKDAYS(VLOOKUP(L$1,Sprints[],2,FALSE), VLOOKUP(L$1,Sprints[],3,FALSE))-SUMPRODUCT((OFFSET(INDIRECT(CELL("address",INDEX('Leave Tracker'!$A$8:$A$107,MATCH($A43,'Leave Tracker'!$A$8:$A$107,0)))),0,31*(VLOOKUP(L$1,Sprints[],5,FALSE))+DAY(VLOOKUP(L$1,Sprints[],2,FALSE)),1,VLOOKUP(L$1,Sprints[],4,FALSE))&lt;&gt;"")*(IF(OFFSET(INDIRECT(CELL("address",INDEX('Leave Tracker'!$A$8:$A$107,MATCH($A43,'Leave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43" s="66">
        <f t="array" aca="1" ref="M43" ca="1">Sheet3!$W$2*$F43*(NETWORKDAYS(VLOOKUP(M$1,Sprints[],2,FALSE), VLOOKUP(M$1,Sprints[],3,FALSE))-SUMPRODUCT((OFFSET(INDIRECT(CELL("address",INDEX('Leave Tracker'!$A$8:$A$107,MATCH($A43,'Leave Tracker'!$A$8:$A$107,0)))),0,31*(VLOOKUP(M$1,Sprints[],5,FALSE))+DAY(VLOOKUP(M$1,Sprints[],2,FALSE)),1,VLOOKUP(M$1,Sprints[],4,FALSE))&lt;&gt;"")*(IF(OFFSET(INDIRECT(CELL("address",INDEX('Leave Tracker'!$A$8:$A$107,MATCH($A43,'Leave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43" s="66">
        <f t="array" aca="1" ref="N43" ca="1">Sheet3!$W$2*$F43*(NETWORKDAYS(VLOOKUP(N$1,Sprints[],2,FALSE), VLOOKUP(N$1,Sprints[],3,FALSE))-SUMPRODUCT((OFFSET(INDIRECT(CELL("address",INDEX('Leave Tracker'!$A$8:$A$107,MATCH($A43,'Leave Tracker'!$A$8:$A$107,0)))),0,31*(VLOOKUP(N$1,Sprints[],5,FALSE))+DAY(VLOOKUP(N$1,Sprints[],2,FALSE)),1,VLOOKUP(N$1,Sprints[],4,FALSE))&lt;&gt;"")*(IF(OFFSET(INDIRECT(CELL("address",INDEX('Leave Tracker'!$A$8:$A$107,MATCH($A43,'Leave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43" s="66">
        <f t="array" aca="1" ref="O43" ca="1">Sheet3!$W$2*$F43*(NETWORKDAYS(VLOOKUP(O$1,Sprints[],2,FALSE), VLOOKUP(O$1,Sprints[],3,FALSE))-SUMPRODUCT((OFFSET(INDIRECT(CELL("address",INDEX('Leave Tracker'!$A$8:$A$107,MATCH($A43,'Leave Tracker'!$A$8:$A$107,0)))),0,31*(VLOOKUP(O$1,Sprints[],5,FALSE))+DAY(VLOOKUP(O$1,Sprints[],2,FALSE)),1,VLOOKUP(O$1,Sprints[],4,FALSE))&lt;&gt;"")*(IF(OFFSET(INDIRECT(CELL("address",INDEX('Leave Tracker'!$A$8:$A$107,MATCH($A43,'Leave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43" s="66">
        <f t="array" aca="1" ref="P43" ca="1">Sheet3!$W$2*$F43*(NETWORKDAYS(VLOOKUP(P$1,Sprints[],2,FALSE), VLOOKUP(P$1,Sprints[],3,FALSE))-SUMPRODUCT((OFFSET(INDIRECT(CELL("address",INDEX('Leave Tracker'!$A$8:$A$107,MATCH($A43,'Leave Tracker'!$A$8:$A$107,0)))),0,31*(VLOOKUP(P$1,Sprints[],5,FALSE))+DAY(VLOOKUP(P$1,Sprints[],2,FALSE)),1,VLOOKUP(P$1,Sprints[],4,FALSE))&lt;&gt;"")*(IF(OFFSET(INDIRECT(CELL("address",INDEX('Leave Tracker'!$A$8:$A$107,MATCH($A43,'Leave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43" s="66">
        <f t="array" aca="1" ref="Q43" ca="1">Sheet3!$W$2*$F43*(NETWORKDAYS(VLOOKUP(Q$1,Sprints[],2,FALSE), VLOOKUP(Q$1,Sprints[],3,FALSE))-SUMPRODUCT((OFFSET(INDIRECT(CELL("address",INDEX('Leave Tracker'!$A$8:$A$107,MATCH($A43,'Leave Tracker'!$A$8:$A$107,0)))),0,31*(VLOOKUP(Q$1,Sprints[],5,FALSE))+DAY(VLOOKUP(Q$1,Sprints[],2,FALSE)),1,VLOOKUP(Q$1,Sprints[],4,FALSE))&lt;&gt;"")*(IF(OFFSET(INDIRECT(CELL("address",INDEX('Leave Tracker'!$A$8:$A$107,MATCH($A43,'Leave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43" s="66">
        <f t="array" aca="1" ref="R43" ca="1">Sheet3!$W$2*$F43*(NETWORKDAYS(VLOOKUP(R$1,Sprints[],2,FALSE), VLOOKUP(R$1,Sprints[],3,FALSE))-SUMPRODUCT((OFFSET(INDIRECT(CELL("address",INDEX('Leave Tracker'!$A$8:$A$107,MATCH($A43,'Leave Tracker'!$A$8:$A$107,0)))),0,31*(VLOOKUP(R$1,Sprints[],5,FALSE))+DAY(VLOOKUP(R$1,Sprints[],2,FALSE)),1,VLOOKUP(R$1,Sprints[],4,FALSE))&lt;&gt;"")*(IF(OFFSET(INDIRECT(CELL("address",INDEX('Leave Tracker'!$A$8:$A$107,MATCH($A43,'Leave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43" s="68">
        <f t="array" aca="1" ref="S43" ca="1">Sheet3!$W$2*$F43*(NETWORKDAYS(VLOOKUP(S$1,Sprints[],2,FALSE), VLOOKUP(S$1,Sprints[],3,FALSE))-SUMPRODUCT((OFFSET(INDIRECT(CELL("address",INDEX('Leave Tracker'!$A$8:$A$107,MATCH($A43,'Leave Tracker'!$A$8:$A$107,0)))),0,31*(VLOOKUP(S$1,Sprints[],5,FALSE))+DAY(VLOOKUP(S$1,Sprints[],2,FALSE)),1,VLOOKUP(S$1,Sprints[],4,FALSE))&lt;&gt;"")*(IF(OFFSET(INDIRECT(CELL("address",INDEX('Leave Tracker'!$A$8:$A$107,MATCH($A43,'Leave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43" s="68">
        <f t="array" aca="1" ref="T43" ca="1">Sheet3!$W$2*$F43*(NETWORKDAYS(VLOOKUP(T$1,Sprints[],2,FALSE), VLOOKUP(T$1,Sprints[],3,FALSE))-SUMPRODUCT((OFFSET(INDIRECT(CELL("address",INDEX('Leave Tracker'!$A$8:$A$107,MATCH($A43,'Leave Tracker'!$A$8:$A$107,0)))),0,31*(VLOOKUP(T$1,Sprints[],5,FALSE))+DAY(VLOOKUP(T$1,Sprints[],2,FALSE)),1,VLOOKUP(T$1,Sprints[],4,FALSE))&lt;&gt;"")*(IF(OFFSET(INDIRECT(CELL("address",INDEX('Leave Tracker'!$A$8:$A$107,MATCH($A43,'Leave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43" s="79">
        <f t="array" aca="1" ref="U43" ca="1">Sheet3!$W$2*$F43*(NETWORKDAYS(VLOOKUP(U$1,Sprints[],2,FALSE), VLOOKUP(U$1,Sprints[],3,FALSE))-SUMPRODUCT((OFFSET(INDIRECT(CELL("address",INDEX('Leave Tracker'!$A$8:$A$107,MATCH($A43,'Leave Tracker'!$A$8:$A$107,0)))),0,31*(VLOOKUP(U$1,Sprints[],5,FALSE))+DAY(VLOOKUP(U$1,Sprints[],2,FALSE)),1,VLOOKUP(U$1,Sprints[],4,FALSE))&lt;&gt;"")*(IF(OFFSET(INDIRECT(CELL("address",INDEX('Leave Tracker'!$A$8:$A$107,MATCH($A43,'Leave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44" spans="1:21" x14ac:dyDescent="0.45">
      <c r="A44" t="s">
        <v>96</v>
      </c>
      <c r="B44" s="45" t="s">
        <v>116</v>
      </c>
      <c r="C44" s="45" t="s">
        <v>118</v>
      </c>
      <c r="D44" s="45" t="s">
        <v>132</v>
      </c>
      <c r="E44" s="45" t="s">
        <v>125</v>
      </c>
      <c r="F44" s="47">
        <v>0.75</v>
      </c>
      <c r="G44" s="45">
        <f t="array" aca="1" ref="G44" ca="1">Sheet3!$W$2*$F44*(NETWORKDAYS(VLOOKUP(G$1,Sprints[],2,FALSE), VLOOKUP(G$1,Sprints[],3,FALSE))-SUMPRODUCT((OFFSET(INDIRECT(CELL("address",INDEX('Leave Tracker'!$A$8:$A$107,MATCH($A44,'Leave Tracker'!$A$8:$A$107,0)))),0,31*(VLOOKUP(G$1,Sprints[],5,FALSE))+DAY(VLOOKUP(G$1,Sprints[],2,FALSE)),1,VLOOKUP(G$1,Sprints[],4,FALSE))&lt;&gt;"")*(IF(OFFSET(INDIRECT(CELL("address",INDEX('Leave Tracker'!$A$8:$A$107,MATCH($A44,'Leave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4">
        <f t="array" aca="1" ref="H44" ca="1">Sheet3!$W$2*$F44*(NETWORKDAYS(VLOOKUP(H$1,Sprints[],2,FALSE), VLOOKUP(H$1,Sprints[],3,FALSE))-SUMPRODUCT((OFFSET(INDIRECT(CELL("address",INDEX('Leave Tracker'!$A$8:$A$107,MATCH($A44,'Leave Tracker'!$A$8:$A$107,0)))),0,31*(VLOOKUP(H$1,Sprints[],5,FALSE))+DAY(VLOOKUP(H$1,Sprints[],2,FALSE)),1,VLOOKUP(H$1,Sprints[],4,FALSE))&lt;&gt;"")*(IF(OFFSET(INDIRECT(CELL("address",INDEX('Leave Tracker'!$A$8:$A$107,MATCH($A44,'Leave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4">
        <f t="array" aca="1" ref="I44" ca="1">Sheet3!$W$2*$F44*(NETWORKDAYS(VLOOKUP(I$1,Sprints[],2,FALSE), VLOOKUP(I$1,Sprints[],3,FALSE))-SUMPRODUCT((OFFSET(INDIRECT(CELL("address",INDEX('Leave Tracker'!$A$8:$A$107,MATCH($A44,'Leave Tracker'!$A$8:$A$107,0)))),0,31*(VLOOKUP(I$1,Sprints[],5,FALSE))+DAY(VLOOKUP(I$1,Sprints[],2,FALSE)),1,VLOOKUP(I$1,Sprints[],4,FALSE))&lt;&gt;"")*(IF(OFFSET(INDIRECT(CELL("address",INDEX('Leave Tracker'!$A$8:$A$107,MATCH($A44,'Leave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4">
        <f t="array" aca="1" ref="J44" ca="1">Sheet3!$W$2*$F44*(NETWORKDAYS(VLOOKUP(J$1,Sprints[],2,FALSE), VLOOKUP(J$1,Sprints[],3,FALSE))-SUMPRODUCT((OFFSET(INDIRECT(CELL("address",INDEX('Leave Tracker'!$A$8:$A$107,MATCH($A44,'Leave Tracker'!$A$8:$A$107,0)))),0,31*(VLOOKUP(J$1,Sprints[],5,FALSE))+DAY(VLOOKUP(J$1,Sprints[],2,FALSE)),1,VLOOKUP(J$1,Sprints[],4,FALSE))&lt;&gt;"")*(IF(OFFSET(INDIRECT(CELL("address",INDEX('Leave Tracker'!$A$8:$A$107,MATCH($A44,'Leave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4">
        <f t="array" aca="1" ref="K44" ca="1">Sheet3!$W$2*$F44*(NETWORKDAYS(VLOOKUP(K$1,Sprints[],2,FALSE), VLOOKUP(K$1,Sprints[],3,FALSE))-SUMPRODUCT((OFFSET(INDIRECT(CELL("address",INDEX('Leave Tracker'!$A$8:$A$107,MATCH($A44,'Leave Tracker'!$A$8:$A$107,0)))),0,31*(VLOOKUP(K$1,Sprints[],5,FALSE))+DAY(VLOOKUP(K$1,Sprints[],2,FALSE)),1,VLOOKUP(K$1,Sprints[],4,FALSE))&lt;&gt;"")*(IF(OFFSET(INDIRECT(CELL("address",INDEX('Leave Tracker'!$A$8:$A$107,MATCH($A44,'Leave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4">
        <f t="array" aca="1" ref="L44" ca="1">Sheet3!$W$2*$F44*(NETWORKDAYS(VLOOKUP(L$1,Sprints[],2,FALSE), VLOOKUP(L$1,Sprints[],3,FALSE))-SUMPRODUCT((OFFSET(INDIRECT(CELL("address",INDEX('Leave Tracker'!$A$8:$A$107,MATCH($A44,'Leave Tracker'!$A$8:$A$107,0)))),0,31*(VLOOKUP(L$1,Sprints[],5,FALSE))+DAY(VLOOKUP(L$1,Sprints[],2,FALSE)),1,VLOOKUP(L$1,Sprints[],4,FALSE))&lt;&gt;"")*(IF(OFFSET(INDIRECT(CELL("address",INDEX('Leave Tracker'!$A$8:$A$107,MATCH($A44,'Leave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44" s="45">
        <f t="array" aca="1" ref="M44" ca="1">Sheet3!$W$2*$F44*(NETWORKDAYS(VLOOKUP(M$1,Sprints[],2,FALSE), VLOOKUP(M$1,Sprints[],3,FALSE))-SUMPRODUCT((OFFSET(INDIRECT(CELL("address",INDEX('Leave Tracker'!$A$8:$A$107,MATCH($A44,'Leave Tracker'!$A$8:$A$107,0)))),0,31*(VLOOKUP(M$1,Sprints[],5,FALSE))+DAY(VLOOKUP(M$1,Sprints[],2,FALSE)),1,VLOOKUP(M$1,Sprints[],4,FALSE))&lt;&gt;"")*(IF(OFFSET(INDIRECT(CELL("address",INDEX('Leave Tracker'!$A$8:$A$107,MATCH($A44,'Leave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44">
        <f t="array" aca="1" ref="N44" ca="1">Sheet3!$W$2*$F44*(NETWORKDAYS(VLOOKUP(N$1,Sprints[],2,FALSE), VLOOKUP(N$1,Sprints[],3,FALSE))-SUMPRODUCT((OFFSET(INDIRECT(CELL("address",INDEX('Leave Tracker'!$A$8:$A$107,MATCH($A44,'Leave Tracker'!$A$8:$A$107,0)))),0,31*(VLOOKUP(N$1,Sprints[],5,FALSE))+DAY(VLOOKUP(N$1,Sprints[],2,FALSE)),1,VLOOKUP(N$1,Sprints[],4,FALSE))&lt;&gt;"")*(IF(OFFSET(INDIRECT(CELL("address",INDEX('Leave Tracker'!$A$8:$A$107,MATCH($A44,'Leave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44">
        <f t="array" aca="1" ref="O44" ca="1">Sheet3!$W$2*$F44*(NETWORKDAYS(VLOOKUP(O$1,Sprints[],2,FALSE), VLOOKUP(O$1,Sprints[],3,FALSE))-SUMPRODUCT((OFFSET(INDIRECT(CELL("address",INDEX('Leave Tracker'!$A$8:$A$107,MATCH($A44,'Leave Tracker'!$A$8:$A$107,0)))),0,31*(VLOOKUP(O$1,Sprints[],5,FALSE))+DAY(VLOOKUP(O$1,Sprints[],2,FALSE)),1,VLOOKUP(O$1,Sprints[],4,FALSE))&lt;&gt;"")*(IF(OFFSET(INDIRECT(CELL("address",INDEX('Leave Tracker'!$A$8:$A$107,MATCH($A44,'Leave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44">
        <f t="array" aca="1" ref="P44" ca="1">Sheet3!$W$2*$F44*(NETWORKDAYS(VLOOKUP(P$1,Sprints[],2,FALSE), VLOOKUP(P$1,Sprints[],3,FALSE))-SUMPRODUCT((OFFSET(INDIRECT(CELL("address",INDEX('Leave Tracker'!$A$8:$A$107,MATCH($A44,'Leave Tracker'!$A$8:$A$107,0)))),0,31*(VLOOKUP(P$1,Sprints[],5,FALSE))+DAY(VLOOKUP(P$1,Sprints[],2,FALSE)),1,VLOOKUP(P$1,Sprints[],4,FALSE))&lt;&gt;"")*(IF(OFFSET(INDIRECT(CELL("address",INDEX('Leave Tracker'!$A$8:$A$107,MATCH($A44,'Leave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44">
        <f t="array" aca="1" ref="Q44" ca="1">Sheet3!$W$2*$F44*(NETWORKDAYS(VLOOKUP(Q$1,Sprints[],2,FALSE), VLOOKUP(Q$1,Sprints[],3,FALSE))-SUMPRODUCT((OFFSET(INDIRECT(CELL("address",INDEX('Leave Tracker'!$A$8:$A$107,MATCH($A44,'Leave Tracker'!$A$8:$A$107,0)))),0,31*(VLOOKUP(Q$1,Sprints[],5,FALSE))+DAY(VLOOKUP(Q$1,Sprints[],2,FALSE)),1,VLOOKUP(Q$1,Sprints[],4,FALSE))&lt;&gt;"")*(IF(OFFSET(INDIRECT(CELL("address",INDEX('Leave Tracker'!$A$8:$A$107,MATCH($A44,'Leave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44">
        <f t="array" aca="1" ref="R44" ca="1">Sheet3!$W$2*$F44*(NETWORKDAYS(VLOOKUP(R$1,Sprints[],2,FALSE), VLOOKUP(R$1,Sprints[],3,FALSE))-SUMPRODUCT((OFFSET(INDIRECT(CELL("address",INDEX('Leave Tracker'!$A$8:$A$107,MATCH($A44,'Leave Tracker'!$A$8:$A$107,0)))),0,31*(VLOOKUP(R$1,Sprints[],5,FALSE))+DAY(VLOOKUP(R$1,Sprints[],2,FALSE)),1,VLOOKUP(R$1,Sprints[],4,FALSE))&lt;&gt;"")*(IF(OFFSET(INDIRECT(CELL("address",INDEX('Leave Tracker'!$A$8:$A$107,MATCH($A44,'Leave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1.8000000000000003</v>
      </c>
      <c r="S44" s="31">
        <f t="array" aca="1" ref="S44" ca="1">Sheet3!$W$2*$F44*(NETWORKDAYS(VLOOKUP(S$1,Sprints[],2,FALSE), VLOOKUP(S$1,Sprints[],3,FALSE))-SUMPRODUCT((OFFSET(INDIRECT(CELL("address",INDEX('Leave Tracker'!$A$8:$A$107,MATCH($A44,'Leave Tracker'!$A$8:$A$107,0)))),0,31*(VLOOKUP(S$1,Sprints[],5,FALSE))+DAY(VLOOKUP(S$1,Sprints[],2,FALSE)),1,VLOOKUP(S$1,Sprints[],4,FALSE))&lt;&gt;"")*(IF(OFFSET(INDIRECT(CELL("address",INDEX('Leave Tracker'!$A$8:$A$107,MATCH($A44,'Leave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44" s="31">
        <f t="array" aca="1" ref="T44" ca="1">Sheet3!$W$2*$F44*(NETWORKDAYS(VLOOKUP(T$1,Sprints[],2,FALSE), VLOOKUP(T$1,Sprints[],3,FALSE))-SUMPRODUCT((OFFSET(INDIRECT(CELL("address",INDEX('Leave Tracker'!$A$8:$A$107,MATCH($A44,'Leave Tracker'!$A$8:$A$107,0)))),0,31*(VLOOKUP(T$1,Sprints[],5,FALSE))+DAY(VLOOKUP(T$1,Sprints[],2,FALSE)),1,VLOOKUP(T$1,Sprints[],4,FALSE))&lt;&gt;"")*(IF(OFFSET(INDIRECT(CELL("address",INDEX('Leave Tracker'!$A$8:$A$107,MATCH($A44,'Leave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44" s="78">
        <f t="array" aca="1" ref="U44" ca="1">Sheet3!$W$2*$F44*(NETWORKDAYS(VLOOKUP(U$1,Sprints[],2,FALSE), VLOOKUP(U$1,Sprints[],3,FALSE))-SUMPRODUCT((OFFSET(INDIRECT(CELL("address",INDEX('Leave Tracker'!$A$8:$A$107,MATCH($A44,'Leave Tracker'!$A$8:$A$107,0)))),0,31*(VLOOKUP(U$1,Sprints[],5,FALSE))+DAY(VLOOKUP(U$1,Sprints[],2,FALSE)),1,VLOOKUP(U$1,Sprints[],4,FALSE))&lt;&gt;"")*(IF(OFFSET(INDIRECT(CELL("address",INDEX('Leave Tracker'!$A$8:$A$107,MATCH($A44,'Leave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6.0000000000000009</v>
      </c>
    </row>
    <row r="45" spans="1:21" x14ac:dyDescent="0.45">
      <c r="A45" t="s">
        <v>97</v>
      </c>
      <c r="B45" s="45" t="s">
        <v>116</v>
      </c>
      <c r="C45" s="45" t="s">
        <v>118</v>
      </c>
      <c r="D45" s="45" t="s">
        <v>122</v>
      </c>
      <c r="E45" s="45" t="s">
        <v>124</v>
      </c>
      <c r="F45" s="47">
        <v>0.6</v>
      </c>
      <c r="G45" s="45">
        <f t="array" aca="1" ref="G45" ca="1">Sheet3!$W$2*$F45*(NETWORKDAYS(VLOOKUP(G$1,Sprints[],2,FALSE), VLOOKUP(G$1,Sprints[],3,FALSE))-SUMPRODUCT((OFFSET(INDIRECT(CELL("address",INDEX('Leave Tracker'!$A$8:$A$107,MATCH($A45,'Leave Tracker'!$A$8:$A$107,0)))),0,31*(VLOOKUP(G$1,Sprints[],5,FALSE))+DAY(VLOOKUP(G$1,Sprints[],2,FALSE)),1,VLOOKUP(G$1,Sprints[],4,FALSE))&lt;&gt;"")*(IF(OFFSET(INDIRECT(CELL("address",INDEX('Leave Tracker'!$A$8:$A$107,MATCH($A45,'Leave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5">
        <f t="array" aca="1" ref="H45" ca="1">Sheet3!$W$2*$F45*(NETWORKDAYS(VLOOKUP(H$1,Sprints[],2,FALSE), VLOOKUP(H$1,Sprints[],3,FALSE))-SUMPRODUCT((OFFSET(INDIRECT(CELL("address",INDEX('Leave Tracker'!$A$8:$A$107,MATCH($A45,'Leave Tracker'!$A$8:$A$107,0)))),0,31*(VLOOKUP(H$1,Sprints[],5,FALSE))+DAY(VLOOKUP(H$1,Sprints[],2,FALSE)),1,VLOOKUP(H$1,Sprints[],4,FALSE))&lt;&gt;"")*(IF(OFFSET(INDIRECT(CELL("address",INDEX('Leave Tracker'!$A$8:$A$107,MATCH($A45,'Leave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5">
        <f t="array" aca="1" ref="I45" ca="1">Sheet3!$W$2*$F45*(NETWORKDAYS(VLOOKUP(I$1,Sprints[],2,FALSE), VLOOKUP(I$1,Sprints[],3,FALSE))-SUMPRODUCT((OFFSET(INDIRECT(CELL("address",INDEX('Leave Tracker'!$A$8:$A$107,MATCH($A45,'Leave Tracker'!$A$8:$A$107,0)))),0,31*(VLOOKUP(I$1,Sprints[],5,FALSE))+DAY(VLOOKUP(I$1,Sprints[],2,FALSE)),1,VLOOKUP(I$1,Sprints[],4,FALSE))&lt;&gt;"")*(IF(OFFSET(INDIRECT(CELL("address",INDEX('Leave Tracker'!$A$8:$A$107,MATCH($A45,'Leave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4.32</v>
      </c>
      <c r="J45">
        <f t="array" aca="1" ref="J45" ca="1">Sheet3!$W$2*$F45*(NETWORKDAYS(VLOOKUP(J$1,Sprints[],2,FALSE), VLOOKUP(J$1,Sprints[],3,FALSE))-SUMPRODUCT((OFFSET(INDIRECT(CELL("address",INDEX('Leave Tracker'!$A$8:$A$107,MATCH($A45,'Leave Tracker'!$A$8:$A$107,0)))),0,31*(VLOOKUP(J$1,Sprints[],5,FALSE))+DAY(VLOOKUP(J$1,Sprints[],2,FALSE)),1,VLOOKUP(J$1,Sprints[],4,FALSE))&lt;&gt;"")*(IF(OFFSET(INDIRECT(CELL("address",INDEX('Leave Tracker'!$A$8:$A$107,MATCH($A45,'Leave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4.8</v>
      </c>
      <c r="K45">
        <f t="array" aca="1" ref="K45" ca="1">Sheet3!$W$2*$F45*(NETWORKDAYS(VLOOKUP(K$1,Sprints[],2,FALSE), VLOOKUP(K$1,Sprints[],3,FALSE))-SUMPRODUCT((OFFSET(INDIRECT(CELL("address",INDEX('Leave Tracker'!$A$8:$A$107,MATCH($A45,'Leave Tracker'!$A$8:$A$107,0)))),0,31*(VLOOKUP(K$1,Sprints[],5,FALSE))+DAY(VLOOKUP(K$1,Sprints[],2,FALSE)),1,VLOOKUP(K$1,Sprints[],4,FALSE))&lt;&gt;"")*(IF(OFFSET(INDIRECT(CELL("address",INDEX('Leave Tracker'!$A$8:$A$107,MATCH($A45,'Leave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5">
        <f t="array" aca="1" ref="L45" ca="1">Sheet3!$W$2*$F45*(NETWORKDAYS(VLOOKUP(L$1,Sprints[],2,FALSE), VLOOKUP(L$1,Sprints[],3,FALSE))-SUMPRODUCT((OFFSET(INDIRECT(CELL("address",INDEX('Leave Tracker'!$A$8:$A$107,MATCH($A45,'Leave Tracker'!$A$8:$A$107,0)))),0,31*(VLOOKUP(L$1,Sprints[],5,FALSE))+DAY(VLOOKUP(L$1,Sprints[],2,FALSE)),1,VLOOKUP(L$1,Sprints[],4,FALSE))&lt;&gt;"")*(IF(OFFSET(INDIRECT(CELL("address",INDEX('Leave Tracker'!$A$8:$A$107,MATCH($A45,'Leave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5" s="45">
        <f t="array" aca="1" ref="M45" ca="1">Sheet3!$W$2*$F45*(NETWORKDAYS(VLOOKUP(M$1,Sprints[],2,FALSE), VLOOKUP(M$1,Sprints[],3,FALSE))-SUMPRODUCT((OFFSET(INDIRECT(CELL("address",INDEX('Leave Tracker'!$A$8:$A$107,MATCH($A45,'Leave Tracker'!$A$8:$A$107,0)))),0,31*(VLOOKUP(M$1,Sprints[],5,FALSE))+DAY(VLOOKUP(M$1,Sprints[],2,FALSE)),1,VLOOKUP(M$1,Sprints[],4,FALSE))&lt;&gt;"")*(IF(OFFSET(INDIRECT(CELL("address",INDEX('Leave Tracker'!$A$8:$A$107,MATCH($A45,'Leave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5">
        <f t="array" aca="1" ref="N45" ca="1">Sheet3!$W$2*$F45*(NETWORKDAYS(VLOOKUP(N$1,Sprints[],2,FALSE), VLOOKUP(N$1,Sprints[],3,FALSE))-SUMPRODUCT((OFFSET(INDIRECT(CELL("address",INDEX('Leave Tracker'!$A$8:$A$107,MATCH($A45,'Leave Tracker'!$A$8:$A$107,0)))),0,31*(VLOOKUP(N$1,Sprints[],5,FALSE))+DAY(VLOOKUP(N$1,Sprints[],2,FALSE)),1,VLOOKUP(N$1,Sprints[],4,FALSE))&lt;&gt;"")*(IF(OFFSET(INDIRECT(CELL("address",INDEX('Leave Tracker'!$A$8:$A$107,MATCH($A45,'Leave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5">
        <f t="array" aca="1" ref="O45" ca="1">Sheet3!$W$2*$F45*(NETWORKDAYS(VLOOKUP(O$1,Sprints[],2,FALSE), VLOOKUP(O$1,Sprints[],3,FALSE))-SUMPRODUCT((OFFSET(INDIRECT(CELL("address",INDEX('Leave Tracker'!$A$8:$A$107,MATCH($A45,'Leave Tracker'!$A$8:$A$107,0)))),0,31*(VLOOKUP(O$1,Sprints[],5,FALSE))+DAY(VLOOKUP(O$1,Sprints[],2,FALSE)),1,VLOOKUP(O$1,Sprints[],4,FALSE))&lt;&gt;"")*(IF(OFFSET(INDIRECT(CELL("address",INDEX('Leave Tracker'!$A$8:$A$107,MATCH($A45,'Leave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5">
        <f t="array" aca="1" ref="P45" ca="1">Sheet3!$W$2*$F45*(NETWORKDAYS(VLOOKUP(P$1,Sprints[],2,FALSE), VLOOKUP(P$1,Sprints[],3,FALSE))-SUMPRODUCT((OFFSET(INDIRECT(CELL("address",INDEX('Leave Tracker'!$A$8:$A$107,MATCH($A45,'Leave Tracker'!$A$8:$A$107,0)))),0,31*(VLOOKUP(P$1,Sprints[],5,FALSE))+DAY(VLOOKUP(P$1,Sprints[],2,FALSE)),1,VLOOKUP(P$1,Sprints[],4,FALSE))&lt;&gt;"")*(IF(OFFSET(INDIRECT(CELL("address",INDEX('Leave Tracker'!$A$8:$A$107,MATCH($A45,'Leave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3.84</v>
      </c>
      <c r="Q45">
        <f t="array" aca="1" ref="Q45" ca="1">Sheet3!$W$2*$F45*(NETWORKDAYS(VLOOKUP(Q$1,Sprints[],2,FALSE), VLOOKUP(Q$1,Sprints[],3,FALSE))-SUMPRODUCT((OFFSET(INDIRECT(CELL("address",INDEX('Leave Tracker'!$A$8:$A$107,MATCH($A45,'Leave Tracker'!$A$8:$A$107,0)))),0,31*(VLOOKUP(Q$1,Sprints[],5,FALSE))+DAY(VLOOKUP(Q$1,Sprints[],2,FALSE)),1,VLOOKUP(Q$1,Sprints[],4,FALSE))&lt;&gt;"")*(IF(OFFSET(INDIRECT(CELL("address",INDEX('Leave Tracker'!$A$8:$A$107,MATCH($A45,'Leave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0.96</v>
      </c>
      <c r="R45">
        <f t="array" aca="1" ref="R45" ca="1">Sheet3!$W$2*$F45*(NETWORKDAYS(VLOOKUP(R$1,Sprints[],2,FALSE), VLOOKUP(R$1,Sprints[],3,FALSE))-SUMPRODUCT((OFFSET(INDIRECT(CELL("address",INDEX('Leave Tracker'!$A$8:$A$107,MATCH($A45,'Leave Tracker'!$A$8:$A$107,0)))),0,31*(VLOOKUP(R$1,Sprints[],5,FALSE))+DAY(VLOOKUP(R$1,Sprints[],2,FALSE)),1,VLOOKUP(R$1,Sprints[],4,FALSE))&lt;&gt;"")*(IF(OFFSET(INDIRECT(CELL("address",INDEX('Leave Tracker'!$A$8:$A$107,MATCH($A45,'Leave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5" s="31">
        <f t="array" aca="1" ref="S45" ca="1">Sheet3!$W$2*$F45*(NETWORKDAYS(VLOOKUP(S$1,Sprints[],2,FALSE), VLOOKUP(S$1,Sprints[],3,FALSE))-SUMPRODUCT((OFFSET(INDIRECT(CELL("address",INDEX('Leave Tracker'!$A$8:$A$107,MATCH($A45,'Leave Tracker'!$A$8:$A$107,0)))),0,31*(VLOOKUP(S$1,Sprints[],5,FALSE))+DAY(VLOOKUP(S$1,Sprints[],2,FALSE)),1,VLOOKUP(S$1,Sprints[],4,FALSE))&lt;&gt;"")*(IF(OFFSET(INDIRECT(CELL("address",INDEX('Leave Tracker'!$A$8:$A$107,MATCH($A45,'Leave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5" s="31">
        <f t="array" aca="1" ref="T45" ca="1">Sheet3!$W$2*$F45*(NETWORKDAYS(VLOOKUP(T$1,Sprints[],2,FALSE), VLOOKUP(T$1,Sprints[],3,FALSE))-SUMPRODUCT((OFFSET(INDIRECT(CELL("address",INDEX('Leave Tracker'!$A$8:$A$107,MATCH($A45,'Leave Tracker'!$A$8:$A$107,0)))),0,31*(VLOOKUP(T$1,Sprints[],5,FALSE))+DAY(VLOOKUP(T$1,Sprints[],2,FALSE)),1,VLOOKUP(T$1,Sprints[],4,FALSE))&lt;&gt;"")*(IF(OFFSET(INDIRECT(CELL("address",INDEX('Leave Tracker'!$A$8:$A$107,MATCH($A45,'Leave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5" s="78">
        <f t="array" aca="1" ref="U45" ca="1">Sheet3!$W$2*$F45*(NETWORKDAYS(VLOOKUP(U$1,Sprints[],2,FALSE), VLOOKUP(U$1,Sprints[],3,FALSE))-SUMPRODUCT((OFFSET(INDIRECT(CELL("address",INDEX('Leave Tracker'!$A$8:$A$107,MATCH($A45,'Leave Tracker'!$A$8:$A$107,0)))),0,31*(VLOOKUP(U$1,Sprints[],5,FALSE))+DAY(VLOOKUP(U$1,Sprints[],2,FALSE)),1,VLOOKUP(U$1,Sprints[],4,FALSE))&lt;&gt;"")*(IF(OFFSET(INDIRECT(CELL("address",INDEX('Leave Tracker'!$A$8:$A$107,MATCH($A45,'Leave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9.1199999999999992</v>
      </c>
    </row>
    <row r="46" spans="1:21" x14ac:dyDescent="0.45">
      <c r="A46" t="s">
        <v>98</v>
      </c>
      <c r="B46" s="45" t="s">
        <v>116</v>
      </c>
      <c r="C46" s="45" t="s">
        <v>118</v>
      </c>
      <c r="D46" s="45" t="s">
        <v>133</v>
      </c>
      <c r="E46" s="45" t="s">
        <v>127</v>
      </c>
      <c r="F46" s="47">
        <v>0.75</v>
      </c>
      <c r="G46" s="45">
        <f t="array" aca="1" ref="G46" ca="1">Sheet3!$W$2*$F46*(NETWORKDAYS(VLOOKUP(G$1,Sprints[],2,FALSE), VLOOKUP(G$1,Sprints[],3,FALSE))-SUMPRODUCT((OFFSET(INDIRECT(CELL("address",INDEX('Leave Tracker'!$A$8:$A$107,MATCH($A46,'Leave Tracker'!$A$8:$A$107,0)))),0,31*(VLOOKUP(G$1,Sprints[],5,FALSE))+DAY(VLOOKUP(G$1,Sprints[],2,FALSE)),1,VLOOKUP(G$1,Sprints[],4,FALSE))&lt;&gt;"")*(IF(OFFSET(INDIRECT(CELL("address",INDEX('Leave Tracker'!$A$8:$A$107,MATCH($A46,'Leave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6">
        <f t="array" aca="1" ref="H46" ca="1">Sheet3!$W$2*$F46*(NETWORKDAYS(VLOOKUP(H$1,Sprints[],2,FALSE), VLOOKUP(H$1,Sprints[],3,FALSE))-SUMPRODUCT((OFFSET(INDIRECT(CELL("address",INDEX('Leave Tracker'!$A$8:$A$107,MATCH($A46,'Leave Tracker'!$A$8:$A$107,0)))),0,31*(VLOOKUP(H$1,Sprints[],5,FALSE))+DAY(VLOOKUP(H$1,Sprints[],2,FALSE)),1,VLOOKUP(H$1,Sprints[],4,FALSE))&lt;&gt;"")*(IF(OFFSET(INDIRECT(CELL("address",INDEX('Leave Tracker'!$A$8:$A$107,MATCH($A46,'Leave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6">
        <f t="array" aca="1" ref="I46" ca="1">Sheet3!$W$2*$F46*(NETWORKDAYS(VLOOKUP(I$1,Sprints[],2,FALSE), VLOOKUP(I$1,Sprints[],3,FALSE))-SUMPRODUCT((OFFSET(INDIRECT(CELL("address",INDEX('Leave Tracker'!$A$8:$A$107,MATCH($A46,'Leave Tracker'!$A$8:$A$107,0)))),0,31*(VLOOKUP(I$1,Sprints[],5,FALSE))+DAY(VLOOKUP(I$1,Sprints[],2,FALSE)),1,VLOOKUP(I$1,Sprints[],4,FALSE))&lt;&gt;"")*(IF(OFFSET(INDIRECT(CELL("address",INDEX('Leave Tracker'!$A$8:$A$107,MATCH($A46,'Leave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6">
        <f t="array" aca="1" ref="J46" ca="1">Sheet3!$W$2*$F46*(NETWORKDAYS(VLOOKUP(J$1,Sprints[],2,FALSE), VLOOKUP(J$1,Sprints[],3,FALSE))-SUMPRODUCT((OFFSET(INDIRECT(CELL("address",INDEX('Leave Tracker'!$A$8:$A$107,MATCH($A46,'Leave Tracker'!$A$8:$A$107,0)))),0,31*(VLOOKUP(J$1,Sprints[],5,FALSE))+DAY(VLOOKUP(J$1,Sprints[],2,FALSE)),1,VLOOKUP(J$1,Sprints[],4,FALSE))&lt;&gt;"")*(IF(OFFSET(INDIRECT(CELL("address",INDEX('Leave Tracker'!$A$8:$A$107,MATCH($A46,'Leave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6">
        <f t="array" aca="1" ref="K46" ca="1">Sheet3!$W$2*$F46*(NETWORKDAYS(VLOOKUP(K$1,Sprints[],2,FALSE), VLOOKUP(K$1,Sprints[],3,FALSE))-SUMPRODUCT((OFFSET(INDIRECT(CELL("address",INDEX('Leave Tracker'!$A$8:$A$107,MATCH($A46,'Leave Tracker'!$A$8:$A$107,0)))),0,31*(VLOOKUP(K$1,Sprints[],5,FALSE))+DAY(VLOOKUP(K$1,Sprints[],2,FALSE)),1,VLOOKUP(K$1,Sprints[],4,FALSE))&lt;&gt;"")*(IF(OFFSET(INDIRECT(CELL("address",INDEX('Leave Tracker'!$A$8:$A$107,MATCH($A46,'Leave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6">
        <f t="array" aca="1" ref="L46" ca="1">Sheet3!$W$2*$F46*(NETWORKDAYS(VLOOKUP(L$1,Sprints[],2,FALSE), VLOOKUP(L$1,Sprints[],3,FALSE))-SUMPRODUCT((OFFSET(INDIRECT(CELL("address",INDEX('Leave Tracker'!$A$8:$A$107,MATCH($A46,'Leave Tracker'!$A$8:$A$107,0)))),0,31*(VLOOKUP(L$1,Sprints[],5,FALSE))+DAY(VLOOKUP(L$1,Sprints[],2,FALSE)),1,VLOOKUP(L$1,Sprints[],4,FALSE))&lt;&gt;"")*(IF(OFFSET(INDIRECT(CELL("address",INDEX('Leave Tracker'!$A$8:$A$107,MATCH($A46,'Leave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46" s="45">
        <f t="array" aca="1" ref="M46" ca="1">Sheet3!$W$2*$F46*(NETWORKDAYS(VLOOKUP(M$1,Sprints[],2,FALSE), VLOOKUP(M$1,Sprints[],3,FALSE))-SUMPRODUCT((OFFSET(INDIRECT(CELL("address",INDEX('Leave Tracker'!$A$8:$A$107,MATCH($A46,'Leave Tracker'!$A$8:$A$107,0)))),0,31*(VLOOKUP(M$1,Sprints[],5,FALSE))+DAY(VLOOKUP(M$1,Sprints[],2,FALSE)),1,VLOOKUP(M$1,Sprints[],4,FALSE))&lt;&gt;"")*(IF(OFFSET(INDIRECT(CELL("address",INDEX('Leave Tracker'!$A$8:$A$107,MATCH($A46,'Leave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46">
        <f t="array" aca="1" ref="N46" ca="1">Sheet3!$W$2*$F46*(NETWORKDAYS(VLOOKUP(N$1,Sprints[],2,FALSE), VLOOKUP(N$1,Sprints[],3,FALSE))-SUMPRODUCT((OFFSET(INDIRECT(CELL("address",INDEX('Leave Tracker'!$A$8:$A$107,MATCH($A46,'Leave Tracker'!$A$8:$A$107,0)))),0,31*(VLOOKUP(N$1,Sprints[],5,FALSE))+DAY(VLOOKUP(N$1,Sprints[],2,FALSE)),1,VLOOKUP(N$1,Sprints[],4,FALSE))&lt;&gt;"")*(IF(OFFSET(INDIRECT(CELL("address",INDEX('Leave Tracker'!$A$8:$A$107,MATCH($A46,'Leave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46">
        <f t="array" aca="1" ref="O46" ca="1">Sheet3!$W$2*$F46*(NETWORKDAYS(VLOOKUP(O$1,Sprints[],2,FALSE), VLOOKUP(O$1,Sprints[],3,FALSE))-SUMPRODUCT((OFFSET(INDIRECT(CELL("address",INDEX('Leave Tracker'!$A$8:$A$107,MATCH($A46,'Leave Tracker'!$A$8:$A$107,0)))),0,31*(VLOOKUP(O$1,Sprints[],5,FALSE))+DAY(VLOOKUP(O$1,Sprints[],2,FALSE)),1,VLOOKUP(O$1,Sprints[],4,FALSE))&lt;&gt;"")*(IF(OFFSET(INDIRECT(CELL("address",INDEX('Leave Tracker'!$A$8:$A$107,MATCH($A46,'Leave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4.8000000000000007</v>
      </c>
      <c r="P46">
        <f t="array" aca="1" ref="P46" ca="1">Sheet3!$W$2*$F46*(NETWORKDAYS(VLOOKUP(P$1,Sprints[],2,FALSE), VLOOKUP(P$1,Sprints[],3,FALSE))-SUMPRODUCT((OFFSET(INDIRECT(CELL("address",INDEX('Leave Tracker'!$A$8:$A$107,MATCH($A46,'Leave Tracker'!$A$8:$A$107,0)))),0,31*(VLOOKUP(P$1,Sprints[],5,FALSE))+DAY(VLOOKUP(P$1,Sprints[],2,FALSE)),1,VLOOKUP(P$1,Sprints[],4,FALSE))&lt;&gt;"")*(IF(OFFSET(INDIRECT(CELL("address",INDEX('Leave Tracker'!$A$8:$A$107,MATCH($A46,'Leave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1.2000000000000002</v>
      </c>
      <c r="Q46">
        <f t="array" aca="1" ref="Q46" ca="1">Sheet3!$W$2*$F46*(NETWORKDAYS(VLOOKUP(Q$1,Sprints[],2,FALSE), VLOOKUP(Q$1,Sprints[],3,FALSE))-SUMPRODUCT((OFFSET(INDIRECT(CELL("address",INDEX('Leave Tracker'!$A$8:$A$107,MATCH($A46,'Leave Tracker'!$A$8:$A$107,0)))),0,31*(VLOOKUP(Q$1,Sprints[],5,FALSE))+DAY(VLOOKUP(Q$1,Sprints[],2,FALSE)),1,VLOOKUP(Q$1,Sprints[],4,FALSE))&lt;&gt;"")*(IF(OFFSET(INDIRECT(CELL("address",INDEX('Leave Tracker'!$A$8:$A$107,MATCH($A46,'Leave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46">
        <f t="array" aca="1" ref="R46" ca="1">Sheet3!$W$2*$F46*(NETWORKDAYS(VLOOKUP(R$1,Sprints[],2,FALSE), VLOOKUP(R$1,Sprints[],3,FALSE))-SUMPRODUCT((OFFSET(INDIRECT(CELL("address",INDEX('Leave Tracker'!$A$8:$A$107,MATCH($A46,'Leave Tracker'!$A$8:$A$107,0)))),0,31*(VLOOKUP(R$1,Sprints[],5,FALSE))+DAY(VLOOKUP(R$1,Sprints[],2,FALSE)),1,VLOOKUP(R$1,Sprints[],4,FALSE))&lt;&gt;"")*(IF(OFFSET(INDIRECT(CELL("address",INDEX('Leave Tracker'!$A$8:$A$107,MATCH($A46,'Leave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46" s="31">
        <f t="array" aca="1" ref="S46" ca="1">Sheet3!$W$2*$F46*(NETWORKDAYS(VLOOKUP(S$1,Sprints[],2,FALSE), VLOOKUP(S$1,Sprints[],3,FALSE))-SUMPRODUCT((OFFSET(INDIRECT(CELL("address",INDEX('Leave Tracker'!$A$8:$A$107,MATCH($A46,'Leave Tracker'!$A$8:$A$107,0)))),0,31*(VLOOKUP(S$1,Sprints[],5,FALSE))+DAY(VLOOKUP(S$1,Sprints[],2,FALSE)),1,VLOOKUP(S$1,Sprints[],4,FALSE))&lt;&gt;"")*(IF(OFFSET(INDIRECT(CELL("address",INDEX('Leave Tracker'!$A$8:$A$107,MATCH($A46,'Leave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46" s="31">
        <f t="array" aca="1" ref="T46" ca="1">Sheet3!$W$2*$F46*(NETWORKDAYS(VLOOKUP(T$1,Sprints[],2,FALSE), VLOOKUP(T$1,Sprints[],3,FALSE))-SUMPRODUCT((OFFSET(INDIRECT(CELL("address",INDEX('Leave Tracker'!$A$8:$A$107,MATCH($A46,'Leave Tracker'!$A$8:$A$107,0)))),0,31*(VLOOKUP(T$1,Sprints[],5,FALSE))+DAY(VLOOKUP(T$1,Sprints[],2,FALSE)),1,VLOOKUP(T$1,Sprints[],4,FALSE))&lt;&gt;"")*(IF(OFFSET(INDIRECT(CELL("address",INDEX('Leave Tracker'!$A$8:$A$107,MATCH($A46,'Leave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46" s="78">
        <f t="array" aca="1" ref="U46" ca="1">Sheet3!$W$2*$F46*(NETWORKDAYS(VLOOKUP(U$1,Sprints[],2,FALSE), VLOOKUP(U$1,Sprints[],3,FALSE))-SUMPRODUCT((OFFSET(INDIRECT(CELL("address",INDEX('Leave Tracker'!$A$8:$A$107,MATCH($A46,'Leave Tracker'!$A$8:$A$107,0)))),0,31*(VLOOKUP(U$1,Sprints[],5,FALSE))+DAY(VLOOKUP(U$1,Sprints[],2,FALSE)),1,VLOOKUP(U$1,Sprints[],4,FALSE))&lt;&gt;"")*(IF(OFFSET(INDIRECT(CELL("address",INDEX('Leave Tracker'!$A$8:$A$107,MATCH($A46,'Leave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11.400000000000002</v>
      </c>
    </row>
    <row r="47" spans="1:21" x14ac:dyDescent="0.45">
      <c r="A47" t="s">
        <v>99</v>
      </c>
      <c r="B47" s="45" t="s">
        <v>116</v>
      </c>
      <c r="C47" s="45" t="s">
        <v>118</v>
      </c>
      <c r="D47" s="45" t="s">
        <v>129</v>
      </c>
      <c r="E47" s="45" t="s">
        <v>128</v>
      </c>
      <c r="F47" s="47">
        <v>0.6</v>
      </c>
      <c r="G47" s="45">
        <f t="array" aca="1" ref="G47" ca="1">Sheet3!$W$2*$F47*(NETWORKDAYS(VLOOKUP(G$1,Sprints[],2,FALSE), VLOOKUP(G$1,Sprints[],3,FALSE))-SUMPRODUCT((OFFSET(INDIRECT(CELL("address",INDEX('Leave Tracker'!$A$8:$A$107,MATCH($A47,'Leave Tracker'!$A$8:$A$107,0)))),0,31*(VLOOKUP(G$1,Sprints[],5,FALSE))+DAY(VLOOKUP(G$1,Sprints[],2,FALSE)),1,VLOOKUP(G$1,Sprints[],4,FALSE))&lt;&gt;"")*(IF(OFFSET(INDIRECT(CELL("address",INDEX('Leave Tracker'!$A$8:$A$107,MATCH($A47,'Leave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7">
        <f t="array" aca="1" ref="H47" ca="1">Sheet3!$W$2*$F47*(NETWORKDAYS(VLOOKUP(H$1,Sprints[],2,FALSE), VLOOKUP(H$1,Sprints[],3,FALSE))-SUMPRODUCT((OFFSET(INDIRECT(CELL("address",INDEX('Leave Tracker'!$A$8:$A$107,MATCH($A47,'Leave Tracker'!$A$8:$A$107,0)))),0,31*(VLOOKUP(H$1,Sprints[],5,FALSE))+DAY(VLOOKUP(H$1,Sprints[],2,FALSE)),1,VLOOKUP(H$1,Sprints[],4,FALSE))&lt;&gt;"")*(IF(OFFSET(INDIRECT(CELL("address",INDEX('Leave Tracker'!$A$8:$A$107,MATCH($A47,'Leave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7">
        <f t="array" aca="1" ref="I47" ca="1">Sheet3!$W$2*$F47*(NETWORKDAYS(VLOOKUP(I$1,Sprints[],2,FALSE), VLOOKUP(I$1,Sprints[],3,FALSE))-SUMPRODUCT((OFFSET(INDIRECT(CELL("address",INDEX('Leave Tracker'!$A$8:$A$107,MATCH($A47,'Leave Tracker'!$A$8:$A$107,0)))),0,31*(VLOOKUP(I$1,Sprints[],5,FALSE))+DAY(VLOOKUP(I$1,Sprints[],2,FALSE)),1,VLOOKUP(I$1,Sprints[],4,FALSE))&lt;&gt;"")*(IF(OFFSET(INDIRECT(CELL("address",INDEX('Leave Tracker'!$A$8:$A$107,MATCH($A47,'Leave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1.44</v>
      </c>
      <c r="J47">
        <f t="array" aca="1" ref="J47" ca="1">Sheet3!$W$2*$F47*(NETWORKDAYS(VLOOKUP(J$1,Sprints[],2,FALSE), VLOOKUP(J$1,Sprints[],3,FALSE))-SUMPRODUCT((OFFSET(INDIRECT(CELL("address",INDEX('Leave Tracker'!$A$8:$A$107,MATCH($A47,'Leave Tracker'!$A$8:$A$107,0)))),0,31*(VLOOKUP(J$1,Sprints[],5,FALSE))+DAY(VLOOKUP(J$1,Sprints[],2,FALSE)),1,VLOOKUP(J$1,Sprints[],4,FALSE))&lt;&gt;"")*(IF(OFFSET(INDIRECT(CELL("address",INDEX('Leave Tracker'!$A$8:$A$107,MATCH($A47,'Leave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2.88</v>
      </c>
      <c r="K47">
        <f t="array" aca="1" ref="K47" ca="1">Sheet3!$W$2*$F47*(NETWORKDAYS(VLOOKUP(K$1,Sprints[],2,FALSE), VLOOKUP(K$1,Sprints[],3,FALSE))-SUMPRODUCT((OFFSET(INDIRECT(CELL("address",INDEX('Leave Tracker'!$A$8:$A$107,MATCH($A47,'Leave Tracker'!$A$8:$A$107,0)))),0,31*(VLOOKUP(K$1,Sprints[],5,FALSE))+DAY(VLOOKUP(K$1,Sprints[],2,FALSE)),1,VLOOKUP(K$1,Sprints[],4,FALSE))&lt;&gt;"")*(IF(OFFSET(INDIRECT(CELL("address",INDEX('Leave Tracker'!$A$8:$A$107,MATCH($A47,'Leave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7">
        <f t="array" aca="1" ref="L47" ca="1">Sheet3!$W$2*$F47*(NETWORKDAYS(VLOOKUP(L$1,Sprints[],2,FALSE), VLOOKUP(L$1,Sprints[],3,FALSE))-SUMPRODUCT((OFFSET(INDIRECT(CELL("address",INDEX('Leave Tracker'!$A$8:$A$107,MATCH($A47,'Leave Tracker'!$A$8:$A$107,0)))),0,31*(VLOOKUP(L$1,Sprints[],5,FALSE))+DAY(VLOOKUP(L$1,Sprints[],2,FALSE)),1,VLOOKUP(L$1,Sprints[],4,FALSE))&lt;&gt;"")*(IF(OFFSET(INDIRECT(CELL("address",INDEX('Leave Tracker'!$A$8:$A$107,MATCH($A47,'Leave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7" s="45">
        <f t="array" aca="1" ref="M47" ca="1">Sheet3!$W$2*$F47*(NETWORKDAYS(VLOOKUP(M$1,Sprints[],2,FALSE), VLOOKUP(M$1,Sprints[],3,FALSE))-SUMPRODUCT((OFFSET(INDIRECT(CELL("address",INDEX('Leave Tracker'!$A$8:$A$107,MATCH($A47,'Leave Tracker'!$A$8:$A$107,0)))),0,31*(VLOOKUP(M$1,Sprints[],5,FALSE))+DAY(VLOOKUP(M$1,Sprints[],2,FALSE)),1,VLOOKUP(M$1,Sprints[],4,FALSE))&lt;&gt;"")*(IF(OFFSET(INDIRECT(CELL("address",INDEX('Leave Tracker'!$A$8:$A$107,MATCH($A47,'Leave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7">
        <f t="array" aca="1" ref="N47" ca="1">Sheet3!$W$2*$F47*(NETWORKDAYS(VLOOKUP(N$1,Sprints[],2,FALSE), VLOOKUP(N$1,Sprints[],3,FALSE))-SUMPRODUCT((OFFSET(INDIRECT(CELL("address",INDEX('Leave Tracker'!$A$8:$A$107,MATCH($A47,'Leave Tracker'!$A$8:$A$107,0)))),0,31*(VLOOKUP(N$1,Sprints[],5,FALSE))+DAY(VLOOKUP(N$1,Sprints[],2,FALSE)),1,VLOOKUP(N$1,Sprints[],4,FALSE))&lt;&gt;"")*(IF(OFFSET(INDIRECT(CELL("address",INDEX('Leave Tracker'!$A$8:$A$107,MATCH($A47,'Leave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7">
        <f t="array" aca="1" ref="O47" ca="1">Sheet3!$W$2*$F47*(NETWORKDAYS(VLOOKUP(O$1,Sprints[],2,FALSE), VLOOKUP(O$1,Sprints[],3,FALSE))-SUMPRODUCT((OFFSET(INDIRECT(CELL("address",INDEX('Leave Tracker'!$A$8:$A$107,MATCH($A47,'Leave Tracker'!$A$8:$A$107,0)))),0,31*(VLOOKUP(O$1,Sprints[],5,FALSE))+DAY(VLOOKUP(O$1,Sprints[],2,FALSE)),1,VLOOKUP(O$1,Sprints[],4,FALSE))&lt;&gt;"")*(IF(OFFSET(INDIRECT(CELL("address",INDEX('Leave Tracker'!$A$8:$A$107,MATCH($A47,'Leave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7">
        <f t="array" aca="1" ref="P47" ca="1">Sheet3!$W$2*$F47*(NETWORKDAYS(VLOOKUP(P$1,Sprints[],2,FALSE), VLOOKUP(P$1,Sprints[],3,FALSE))-SUMPRODUCT((OFFSET(INDIRECT(CELL("address",INDEX('Leave Tracker'!$A$8:$A$107,MATCH($A47,'Leave Tracker'!$A$8:$A$107,0)))),0,31*(VLOOKUP(P$1,Sprints[],5,FALSE))+DAY(VLOOKUP(P$1,Sprints[],2,FALSE)),1,VLOOKUP(P$1,Sprints[],4,FALSE))&lt;&gt;"")*(IF(OFFSET(INDIRECT(CELL("address",INDEX('Leave Tracker'!$A$8:$A$107,MATCH($A47,'Leave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</v>
      </c>
      <c r="Q47">
        <f t="array" aca="1" ref="Q47" ca="1">Sheet3!$W$2*$F47*(NETWORKDAYS(VLOOKUP(Q$1,Sprints[],2,FALSE), VLOOKUP(Q$1,Sprints[],3,FALSE))-SUMPRODUCT((OFFSET(INDIRECT(CELL("address",INDEX('Leave Tracker'!$A$8:$A$107,MATCH($A47,'Leave Tracker'!$A$8:$A$107,0)))),0,31*(VLOOKUP(Q$1,Sprints[],5,FALSE))+DAY(VLOOKUP(Q$1,Sprints[],2,FALSE)),1,VLOOKUP(Q$1,Sprints[],4,FALSE))&lt;&gt;"")*(IF(OFFSET(INDIRECT(CELL("address",INDEX('Leave Tracker'!$A$8:$A$107,MATCH($A47,'Leave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3.36</v>
      </c>
      <c r="R47">
        <f t="array" aca="1" ref="R47" ca="1">Sheet3!$W$2*$F47*(NETWORKDAYS(VLOOKUP(R$1,Sprints[],2,FALSE), VLOOKUP(R$1,Sprints[],3,FALSE))-SUMPRODUCT((OFFSET(INDIRECT(CELL("address",INDEX('Leave Tracker'!$A$8:$A$107,MATCH($A47,'Leave Tracker'!$A$8:$A$107,0)))),0,31*(VLOOKUP(R$1,Sprints[],5,FALSE))+DAY(VLOOKUP(R$1,Sprints[],2,FALSE)),1,VLOOKUP(R$1,Sprints[],4,FALSE))&lt;&gt;"")*(IF(OFFSET(INDIRECT(CELL("address",INDEX('Leave Tracker'!$A$8:$A$107,MATCH($A47,'Leave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7" s="31">
        <f t="array" aca="1" ref="S47" ca="1">Sheet3!$W$2*$F47*(NETWORKDAYS(VLOOKUP(S$1,Sprints[],2,FALSE), VLOOKUP(S$1,Sprints[],3,FALSE))-SUMPRODUCT((OFFSET(INDIRECT(CELL("address",INDEX('Leave Tracker'!$A$8:$A$107,MATCH($A47,'Leave Tracker'!$A$8:$A$107,0)))),0,31*(VLOOKUP(S$1,Sprints[],5,FALSE))+DAY(VLOOKUP(S$1,Sprints[],2,FALSE)),1,VLOOKUP(S$1,Sprints[],4,FALSE))&lt;&gt;"")*(IF(OFFSET(INDIRECT(CELL("address",INDEX('Leave Tracker'!$A$8:$A$107,MATCH($A47,'Leave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7" s="31">
        <f t="array" aca="1" ref="T47" ca="1">Sheet3!$W$2*$F47*(NETWORKDAYS(VLOOKUP(T$1,Sprints[],2,FALSE), VLOOKUP(T$1,Sprints[],3,FALSE))-SUMPRODUCT((OFFSET(INDIRECT(CELL("address",INDEX('Leave Tracker'!$A$8:$A$107,MATCH($A47,'Leave Tracker'!$A$8:$A$107,0)))),0,31*(VLOOKUP(T$1,Sprints[],5,FALSE))+DAY(VLOOKUP(T$1,Sprints[],2,FALSE)),1,VLOOKUP(T$1,Sprints[],4,FALSE))&lt;&gt;"")*(IF(OFFSET(INDIRECT(CELL("address",INDEX('Leave Tracker'!$A$8:$A$107,MATCH($A47,'Leave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7" s="78">
        <f t="array" aca="1" ref="U47" ca="1">Sheet3!$W$2*$F47*(NETWORKDAYS(VLOOKUP(U$1,Sprints[],2,FALSE), VLOOKUP(U$1,Sprints[],3,FALSE))-SUMPRODUCT((OFFSET(INDIRECT(CELL("address",INDEX('Leave Tracker'!$A$8:$A$107,MATCH($A47,'Leave Tracker'!$A$8:$A$107,0)))),0,31*(VLOOKUP(U$1,Sprints[],5,FALSE))+DAY(VLOOKUP(U$1,Sprints[],2,FALSE)),1,VLOOKUP(U$1,Sprints[],4,FALSE))&lt;&gt;"")*(IF(OFFSET(INDIRECT(CELL("address",INDEX('Leave Tracker'!$A$8:$A$107,MATCH($A47,'Leave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9.1199999999999992</v>
      </c>
    </row>
    <row r="48" spans="1:21" x14ac:dyDescent="0.45">
      <c r="A48" t="s">
        <v>100</v>
      </c>
      <c r="B48" s="45" t="s">
        <v>116</v>
      </c>
      <c r="C48" s="45" t="s">
        <v>118</v>
      </c>
      <c r="D48" s="45" t="s">
        <v>129</v>
      </c>
      <c r="E48" s="45" t="s">
        <v>128</v>
      </c>
      <c r="F48" s="47">
        <v>0.6</v>
      </c>
      <c r="G48" s="45">
        <f t="array" aca="1" ref="G48" ca="1">Sheet3!$W$2*$F48*(NETWORKDAYS(VLOOKUP(G$1,Sprints[],2,FALSE), VLOOKUP(G$1,Sprints[],3,FALSE))-SUMPRODUCT((OFFSET(INDIRECT(CELL("address",INDEX('Leave Tracker'!$A$8:$A$107,MATCH($A48,'Leave Tracker'!$A$8:$A$107,0)))),0,31*(VLOOKUP(G$1,Sprints[],5,FALSE))+DAY(VLOOKUP(G$1,Sprints[],2,FALSE)),1,VLOOKUP(G$1,Sprints[],4,FALSE))&lt;&gt;"")*(IF(OFFSET(INDIRECT(CELL("address",INDEX('Leave Tracker'!$A$8:$A$107,MATCH($A48,'Leave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8">
        <f t="array" aca="1" ref="H48" ca="1">Sheet3!$W$2*$F48*(NETWORKDAYS(VLOOKUP(H$1,Sprints[],2,FALSE), VLOOKUP(H$1,Sprints[],3,FALSE))-SUMPRODUCT((OFFSET(INDIRECT(CELL("address",INDEX('Leave Tracker'!$A$8:$A$107,MATCH($A48,'Leave Tracker'!$A$8:$A$107,0)))),0,31*(VLOOKUP(H$1,Sprints[],5,FALSE))+DAY(VLOOKUP(H$1,Sprints[],2,FALSE)),1,VLOOKUP(H$1,Sprints[],4,FALSE))&lt;&gt;"")*(IF(OFFSET(INDIRECT(CELL("address",INDEX('Leave Tracker'!$A$8:$A$107,MATCH($A48,'Leave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8">
        <f t="array" aca="1" ref="I48" ca="1">Sheet3!$W$2*$F48*(NETWORKDAYS(VLOOKUP(I$1,Sprints[],2,FALSE), VLOOKUP(I$1,Sprints[],3,FALSE))-SUMPRODUCT((OFFSET(INDIRECT(CELL("address",INDEX('Leave Tracker'!$A$8:$A$107,MATCH($A48,'Leave Tracker'!$A$8:$A$107,0)))),0,31*(VLOOKUP(I$1,Sprints[],5,FALSE))+DAY(VLOOKUP(I$1,Sprints[],2,FALSE)),1,VLOOKUP(I$1,Sprints[],4,FALSE))&lt;&gt;"")*(IF(OFFSET(INDIRECT(CELL("address",INDEX('Leave Tracker'!$A$8:$A$107,MATCH($A48,'Leave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4.32</v>
      </c>
      <c r="J48">
        <f t="array" aca="1" ref="J48" ca="1">Sheet3!$W$2*$F48*(NETWORKDAYS(VLOOKUP(J$1,Sprints[],2,FALSE), VLOOKUP(J$1,Sprints[],3,FALSE))-SUMPRODUCT((OFFSET(INDIRECT(CELL("address",INDEX('Leave Tracker'!$A$8:$A$107,MATCH($A48,'Leave Tracker'!$A$8:$A$107,0)))),0,31*(VLOOKUP(J$1,Sprints[],5,FALSE))+DAY(VLOOKUP(J$1,Sprints[],2,FALSE)),1,VLOOKUP(J$1,Sprints[],4,FALSE))&lt;&gt;"")*(IF(OFFSET(INDIRECT(CELL("address",INDEX('Leave Tracker'!$A$8:$A$107,MATCH($A48,'Leave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4.8</v>
      </c>
      <c r="K48">
        <f t="array" aca="1" ref="K48" ca="1">Sheet3!$W$2*$F48*(NETWORKDAYS(VLOOKUP(K$1,Sprints[],2,FALSE), VLOOKUP(K$1,Sprints[],3,FALSE))-SUMPRODUCT((OFFSET(INDIRECT(CELL("address",INDEX('Leave Tracker'!$A$8:$A$107,MATCH($A48,'Leave Tracker'!$A$8:$A$107,0)))),0,31*(VLOOKUP(K$1,Sprints[],5,FALSE))+DAY(VLOOKUP(K$1,Sprints[],2,FALSE)),1,VLOOKUP(K$1,Sprints[],4,FALSE))&lt;&gt;"")*(IF(OFFSET(INDIRECT(CELL("address",INDEX('Leave Tracker'!$A$8:$A$107,MATCH($A48,'Leave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8">
        <f t="array" aca="1" ref="L48" ca="1">Sheet3!$W$2*$F48*(NETWORKDAYS(VLOOKUP(L$1,Sprints[],2,FALSE), VLOOKUP(L$1,Sprints[],3,FALSE))-SUMPRODUCT((OFFSET(INDIRECT(CELL("address",INDEX('Leave Tracker'!$A$8:$A$107,MATCH($A48,'Leave Tracker'!$A$8:$A$107,0)))),0,31*(VLOOKUP(L$1,Sprints[],5,FALSE))+DAY(VLOOKUP(L$1,Sprints[],2,FALSE)),1,VLOOKUP(L$1,Sprints[],4,FALSE))&lt;&gt;"")*(IF(OFFSET(INDIRECT(CELL("address",INDEX('Leave Tracker'!$A$8:$A$107,MATCH($A48,'Leave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8" s="45">
        <f t="array" aca="1" ref="M48" ca="1">Sheet3!$W$2*$F48*(NETWORKDAYS(VLOOKUP(M$1,Sprints[],2,FALSE), VLOOKUP(M$1,Sprints[],3,FALSE))-SUMPRODUCT((OFFSET(INDIRECT(CELL("address",INDEX('Leave Tracker'!$A$8:$A$107,MATCH($A48,'Leave Tracker'!$A$8:$A$107,0)))),0,31*(VLOOKUP(M$1,Sprints[],5,FALSE))+DAY(VLOOKUP(M$1,Sprints[],2,FALSE)),1,VLOOKUP(M$1,Sprints[],4,FALSE))&lt;&gt;"")*(IF(OFFSET(INDIRECT(CELL("address",INDEX('Leave Tracker'!$A$8:$A$107,MATCH($A48,'Leave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8">
        <f t="array" aca="1" ref="N48" ca="1">Sheet3!$W$2*$F48*(NETWORKDAYS(VLOOKUP(N$1,Sprints[],2,FALSE), VLOOKUP(N$1,Sprints[],3,FALSE))-SUMPRODUCT((OFFSET(INDIRECT(CELL("address",INDEX('Leave Tracker'!$A$8:$A$107,MATCH($A48,'Leave Tracker'!$A$8:$A$107,0)))),0,31*(VLOOKUP(N$1,Sprints[],5,FALSE))+DAY(VLOOKUP(N$1,Sprints[],2,FALSE)),1,VLOOKUP(N$1,Sprints[],4,FALSE))&lt;&gt;"")*(IF(OFFSET(INDIRECT(CELL("address",INDEX('Leave Tracker'!$A$8:$A$107,MATCH($A48,'Leave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8">
        <f t="array" aca="1" ref="O48" ca="1">Sheet3!$W$2*$F48*(NETWORKDAYS(VLOOKUP(O$1,Sprints[],2,FALSE), VLOOKUP(O$1,Sprints[],3,FALSE))-SUMPRODUCT((OFFSET(INDIRECT(CELL("address",INDEX('Leave Tracker'!$A$8:$A$107,MATCH($A48,'Leave Tracker'!$A$8:$A$107,0)))),0,31*(VLOOKUP(O$1,Sprints[],5,FALSE))+DAY(VLOOKUP(O$1,Sprints[],2,FALSE)),1,VLOOKUP(O$1,Sprints[],4,FALSE))&lt;&gt;"")*(IF(OFFSET(INDIRECT(CELL("address",INDEX('Leave Tracker'!$A$8:$A$107,MATCH($A48,'Leave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8">
        <f t="array" aca="1" ref="P48" ca="1">Sheet3!$W$2*$F48*(NETWORKDAYS(VLOOKUP(P$1,Sprints[],2,FALSE), VLOOKUP(P$1,Sprints[],3,FALSE))-SUMPRODUCT((OFFSET(INDIRECT(CELL("address",INDEX('Leave Tracker'!$A$8:$A$107,MATCH($A48,'Leave Tracker'!$A$8:$A$107,0)))),0,31*(VLOOKUP(P$1,Sprints[],5,FALSE))+DAY(VLOOKUP(P$1,Sprints[],2,FALSE)),1,VLOOKUP(P$1,Sprints[],4,FALSE))&lt;&gt;"")*(IF(OFFSET(INDIRECT(CELL("address",INDEX('Leave Tracker'!$A$8:$A$107,MATCH($A48,'Leave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3.84</v>
      </c>
      <c r="Q48">
        <f t="array" aca="1" ref="Q48" ca="1">Sheet3!$W$2*$F48*(NETWORKDAYS(VLOOKUP(Q$1,Sprints[],2,FALSE), VLOOKUP(Q$1,Sprints[],3,FALSE))-SUMPRODUCT((OFFSET(INDIRECT(CELL("address",INDEX('Leave Tracker'!$A$8:$A$107,MATCH($A48,'Leave Tracker'!$A$8:$A$107,0)))),0,31*(VLOOKUP(Q$1,Sprints[],5,FALSE))+DAY(VLOOKUP(Q$1,Sprints[],2,FALSE)),1,VLOOKUP(Q$1,Sprints[],4,FALSE))&lt;&gt;"")*(IF(OFFSET(INDIRECT(CELL("address",INDEX('Leave Tracker'!$A$8:$A$107,MATCH($A48,'Leave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0.96</v>
      </c>
      <c r="R48">
        <f t="array" aca="1" ref="R48" ca="1">Sheet3!$W$2*$F48*(NETWORKDAYS(VLOOKUP(R$1,Sprints[],2,FALSE), VLOOKUP(R$1,Sprints[],3,FALSE))-SUMPRODUCT((OFFSET(INDIRECT(CELL("address",INDEX('Leave Tracker'!$A$8:$A$107,MATCH($A48,'Leave Tracker'!$A$8:$A$107,0)))),0,31*(VLOOKUP(R$1,Sprints[],5,FALSE))+DAY(VLOOKUP(R$1,Sprints[],2,FALSE)),1,VLOOKUP(R$1,Sprints[],4,FALSE))&lt;&gt;"")*(IF(OFFSET(INDIRECT(CELL("address",INDEX('Leave Tracker'!$A$8:$A$107,MATCH($A48,'Leave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8" s="31">
        <f t="array" aca="1" ref="S48" ca="1">Sheet3!$W$2*$F48*(NETWORKDAYS(VLOOKUP(S$1,Sprints[],2,FALSE), VLOOKUP(S$1,Sprints[],3,FALSE))-SUMPRODUCT((OFFSET(INDIRECT(CELL("address",INDEX('Leave Tracker'!$A$8:$A$107,MATCH($A48,'Leave Tracker'!$A$8:$A$107,0)))),0,31*(VLOOKUP(S$1,Sprints[],5,FALSE))+DAY(VLOOKUP(S$1,Sprints[],2,FALSE)),1,VLOOKUP(S$1,Sprints[],4,FALSE))&lt;&gt;"")*(IF(OFFSET(INDIRECT(CELL("address",INDEX('Leave Tracker'!$A$8:$A$107,MATCH($A48,'Leave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8" s="31">
        <f t="array" aca="1" ref="T48" ca="1">Sheet3!$W$2*$F48*(NETWORKDAYS(VLOOKUP(T$1,Sprints[],2,FALSE), VLOOKUP(T$1,Sprints[],3,FALSE))-SUMPRODUCT((OFFSET(INDIRECT(CELL("address",INDEX('Leave Tracker'!$A$8:$A$107,MATCH($A48,'Leave Tracker'!$A$8:$A$107,0)))),0,31*(VLOOKUP(T$1,Sprints[],5,FALSE))+DAY(VLOOKUP(T$1,Sprints[],2,FALSE)),1,VLOOKUP(T$1,Sprints[],4,FALSE))&lt;&gt;"")*(IF(OFFSET(INDIRECT(CELL("address",INDEX('Leave Tracker'!$A$8:$A$107,MATCH($A48,'Leave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8" s="78">
        <f t="array" aca="1" ref="U48" ca="1">Sheet3!$W$2*$F48*(NETWORKDAYS(VLOOKUP(U$1,Sprints[],2,FALSE), VLOOKUP(U$1,Sprints[],3,FALSE))-SUMPRODUCT((OFFSET(INDIRECT(CELL("address",INDEX('Leave Tracker'!$A$8:$A$107,MATCH($A48,'Leave Tracker'!$A$8:$A$107,0)))),0,31*(VLOOKUP(U$1,Sprints[],5,FALSE))+DAY(VLOOKUP(U$1,Sprints[],2,FALSE)),1,VLOOKUP(U$1,Sprints[],4,FALSE))&lt;&gt;"")*(IF(OFFSET(INDIRECT(CELL("address",INDEX('Leave Tracker'!$A$8:$A$107,MATCH($A48,'Leave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9.1199999999999992</v>
      </c>
    </row>
    <row r="49" spans="1:21" x14ac:dyDescent="0.45">
      <c r="A49" s="66" t="s">
        <v>101</v>
      </c>
      <c r="B49" s="66" t="s">
        <v>116</v>
      </c>
      <c r="C49" s="66" t="s">
        <v>118</v>
      </c>
      <c r="D49" s="66" t="s">
        <v>132</v>
      </c>
      <c r="E49" s="66" t="s">
        <v>124</v>
      </c>
      <c r="F49" s="67">
        <v>0.75</v>
      </c>
      <c r="G49" s="66">
        <f t="array" aca="1" ref="G49" ca="1">Sheet3!$W$2*$F49*(NETWORKDAYS(VLOOKUP(G$1,Sprints[],2,FALSE), VLOOKUP(G$1,Sprints[],3,FALSE))-SUMPRODUCT((OFFSET(INDIRECT(CELL("address",INDEX('Leave Tracker'!$A$8:$A$107,MATCH($A49,'Leave Tracker'!$A$8:$A$107,0)))),0,31*(VLOOKUP(G$1,Sprints[],5,FALSE))+DAY(VLOOKUP(G$1,Sprints[],2,FALSE)),1,VLOOKUP(G$1,Sprints[],4,FALSE))&lt;&gt;"")*(IF(OFFSET(INDIRECT(CELL("address",INDEX('Leave Tracker'!$A$8:$A$107,MATCH($A49,'Leave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9" s="66">
        <f t="array" aca="1" ref="H49" ca="1">Sheet3!$W$2*$F49*(NETWORKDAYS(VLOOKUP(H$1,Sprints[],2,FALSE), VLOOKUP(H$1,Sprints[],3,FALSE))-SUMPRODUCT((OFFSET(INDIRECT(CELL("address",INDEX('Leave Tracker'!$A$8:$A$107,MATCH($A49,'Leave Tracker'!$A$8:$A$107,0)))),0,31*(VLOOKUP(H$1,Sprints[],5,FALSE))+DAY(VLOOKUP(H$1,Sprints[],2,FALSE)),1,VLOOKUP(H$1,Sprints[],4,FALSE))&lt;&gt;"")*(IF(OFFSET(INDIRECT(CELL("address",INDEX('Leave Tracker'!$A$8:$A$107,MATCH($A49,'Leave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9" s="66">
        <f t="array" aca="1" ref="I49" ca="1">Sheet3!$W$2*$F49*(NETWORKDAYS(VLOOKUP(I$1,Sprints[],2,FALSE), VLOOKUP(I$1,Sprints[],3,FALSE))-SUMPRODUCT((OFFSET(INDIRECT(CELL("address",INDEX('Leave Tracker'!$A$8:$A$107,MATCH($A49,'Leave Tracker'!$A$8:$A$107,0)))),0,31*(VLOOKUP(I$1,Sprints[],5,FALSE))+DAY(VLOOKUP(I$1,Sprints[],2,FALSE)),1,VLOOKUP(I$1,Sprints[],4,FALSE))&lt;&gt;"")*(IF(OFFSET(INDIRECT(CELL("address",INDEX('Leave Tracker'!$A$8:$A$107,MATCH($A49,'Leave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9" s="66">
        <f t="array" aca="1" ref="J49" ca="1">Sheet3!$W$2*$F49*(NETWORKDAYS(VLOOKUP(J$1,Sprints[],2,FALSE), VLOOKUP(J$1,Sprints[],3,FALSE))-SUMPRODUCT((OFFSET(INDIRECT(CELL("address",INDEX('Leave Tracker'!$A$8:$A$107,MATCH($A49,'Leave Tracker'!$A$8:$A$107,0)))),0,31*(VLOOKUP(J$1,Sprints[],5,FALSE))+DAY(VLOOKUP(J$1,Sprints[],2,FALSE)),1,VLOOKUP(J$1,Sprints[],4,FALSE))&lt;&gt;"")*(IF(OFFSET(INDIRECT(CELL("address",INDEX('Leave Tracker'!$A$8:$A$107,MATCH($A49,'Leave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9" s="66">
        <f t="array" aca="1" ref="K49" ca="1">Sheet3!$W$2*$F49*(NETWORKDAYS(VLOOKUP(K$1,Sprints[],2,FALSE), VLOOKUP(K$1,Sprints[],3,FALSE))-SUMPRODUCT((OFFSET(INDIRECT(CELL("address",INDEX('Leave Tracker'!$A$8:$A$107,MATCH($A49,'Leave Tracker'!$A$8:$A$107,0)))),0,31*(VLOOKUP(K$1,Sprints[],5,FALSE))+DAY(VLOOKUP(K$1,Sprints[],2,FALSE)),1,VLOOKUP(K$1,Sprints[],4,FALSE))&lt;&gt;"")*(IF(OFFSET(INDIRECT(CELL("address",INDEX('Leave Tracker'!$A$8:$A$107,MATCH($A49,'Leave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9" s="66">
        <f t="array" aca="1" ref="L49" ca="1">Sheet3!$W$2*$F49*(NETWORKDAYS(VLOOKUP(L$1,Sprints[],2,FALSE), VLOOKUP(L$1,Sprints[],3,FALSE))-SUMPRODUCT((OFFSET(INDIRECT(CELL("address",INDEX('Leave Tracker'!$A$8:$A$107,MATCH($A49,'Leave Tracker'!$A$8:$A$107,0)))),0,31*(VLOOKUP(L$1,Sprints[],5,FALSE))+DAY(VLOOKUP(L$1,Sprints[],2,FALSE)),1,VLOOKUP(L$1,Sprints[],4,FALSE))&lt;&gt;"")*(IF(OFFSET(INDIRECT(CELL("address",INDEX('Leave Tracker'!$A$8:$A$107,MATCH($A49,'Leave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49" s="66">
        <f t="array" aca="1" ref="M49" ca="1">Sheet3!$W$2*$F49*(NETWORKDAYS(VLOOKUP(M$1,Sprints[],2,FALSE), VLOOKUP(M$1,Sprints[],3,FALSE))-SUMPRODUCT((OFFSET(INDIRECT(CELL("address",INDEX('Leave Tracker'!$A$8:$A$107,MATCH($A49,'Leave Tracker'!$A$8:$A$107,0)))),0,31*(VLOOKUP(M$1,Sprints[],5,FALSE))+DAY(VLOOKUP(M$1,Sprints[],2,FALSE)),1,VLOOKUP(M$1,Sprints[],4,FALSE))&lt;&gt;"")*(IF(OFFSET(INDIRECT(CELL("address",INDEX('Leave Tracker'!$A$8:$A$107,MATCH($A49,'Leave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49" s="66">
        <f t="array" aca="1" ref="N49" ca="1">Sheet3!$W$2*$F49*(NETWORKDAYS(VLOOKUP(N$1,Sprints[],2,FALSE), VLOOKUP(N$1,Sprints[],3,FALSE))-SUMPRODUCT((OFFSET(INDIRECT(CELL("address",INDEX('Leave Tracker'!$A$8:$A$107,MATCH($A49,'Leave Tracker'!$A$8:$A$107,0)))),0,31*(VLOOKUP(N$1,Sprints[],5,FALSE))+DAY(VLOOKUP(N$1,Sprints[],2,FALSE)),1,VLOOKUP(N$1,Sprints[],4,FALSE))&lt;&gt;"")*(IF(OFFSET(INDIRECT(CELL("address",INDEX('Leave Tracker'!$A$8:$A$107,MATCH($A49,'Leave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49" s="66">
        <f t="array" aca="1" ref="O49" ca="1">Sheet3!$W$2*$F49*(NETWORKDAYS(VLOOKUP(O$1,Sprints[],2,FALSE), VLOOKUP(O$1,Sprints[],3,FALSE))-SUMPRODUCT((OFFSET(INDIRECT(CELL("address",INDEX('Leave Tracker'!$A$8:$A$107,MATCH($A49,'Leave Tracker'!$A$8:$A$107,0)))),0,31*(VLOOKUP(O$1,Sprints[],5,FALSE))+DAY(VLOOKUP(O$1,Sprints[],2,FALSE)),1,VLOOKUP(O$1,Sprints[],4,FALSE))&lt;&gt;"")*(IF(OFFSET(INDIRECT(CELL("address",INDEX('Leave Tracker'!$A$8:$A$107,MATCH($A49,'Leave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49" s="66">
        <f t="array" aca="1" ref="P49" ca="1">Sheet3!$W$2*$F49*(NETWORKDAYS(VLOOKUP(P$1,Sprints[],2,FALSE), VLOOKUP(P$1,Sprints[],3,FALSE))-SUMPRODUCT((OFFSET(INDIRECT(CELL("address",INDEX('Leave Tracker'!$A$8:$A$107,MATCH($A49,'Leave Tracker'!$A$8:$A$107,0)))),0,31*(VLOOKUP(P$1,Sprints[],5,FALSE))+DAY(VLOOKUP(P$1,Sprints[],2,FALSE)),1,VLOOKUP(P$1,Sprints[],4,FALSE))&lt;&gt;"")*(IF(OFFSET(INDIRECT(CELL("address",INDEX('Leave Tracker'!$A$8:$A$107,MATCH($A49,'Leave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49" s="66">
        <f t="array" aca="1" ref="Q49" ca="1">Sheet3!$W$2*$F49*(NETWORKDAYS(VLOOKUP(Q$1,Sprints[],2,FALSE), VLOOKUP(Q$1,Sprints[],3,FALSE))-SUMPRODUCT((OFFSET(INDIRECT(CELL("address",INDEX('Leave Tracker'!$A$8:$A$107,MATCH($A49,'Leave Tracker'!$A$8:$A$107,0)))),0,31*(VLOOKUP(Q$1,Sprints[],5,FALSE))+DAY(VLOOKUP(Q$1,Sprints[],2,FALSE)),1,VLOOKUP(Q$1,Sprints[],4,FALSE))&lt;&gt;"")*(IF(OFFSET(INDIRECT(CELL("address",INDEX('Leave Tracker'!$A$8:$A$107,MATCH($A49,'Leave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49" s="66">
        <f t="array" aca="1" ref="R49" ca="1">Sheet3!$W$2*$F49*(NETWORKDAYS(VLOOKUP(R$1,Sprints[],2,FALSE), VLOOKUP(R$1,Sprints[],3,FALSE))-SUMPRODUCT((OFFSET(INDIRECT(CELL("address",INDEX('Leave Tracker'!$A$8:$A$107,MATCH($A49,'Leave Tracker'!$A$8:$A$107,0)))),0,31*(VLOOKUP(R$1,Sprints[],5,FALSE))+DAY(VLOOKUP(R$1,Sprints[],2,FALSE)),1,VLOOKUP(R$1,Sprints[],4,FALSE))&lt;&gt;"")*(IF(OFFSET(INDIRECT(CELL("address",INDEX('Leave Tracker'!$A$8:$A$107,MATCH($A49,'Leave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49" s="68">
        <f t="array" aca="1" ref="S49" ca="1">Sheet3!$W$2*$F49*(NETWORKDAYS(VLOOKUP(S$1,Sprints[],2,FALSE), VLOOKUP(S$1,Sprints[],3,FALSE))-SUMPRODUCT((OFFSET(INDIRECT(CELL("address",INDEX('Leave Tracker'!$A$8:$A$107,MATCH($A49,'Leave Tracker'!$A$8:$A$107,0)))),0,31*(VLOOKUP(S$1,Sprints[],5,FALSE))+DAY(VLOOKUP(S$1,Sprints[],2,FALSE)),1,VLOOKUP(S$1,Sprints[],4,FALSE))&lt;&gt;"")*(IF(OFFSET(INDIRECT(CELL("address",INDEX('Leave Tracker'!$A$8:$A$107,MATCH($A49,'Leave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49" s="68">
        <f t="array" aca="1" ref="T49" ca="1">Sheet3!$W$2*$F49*(NETWORKDAYS(VLOOKUP(T$1,Sprints[],2,FALSE), VLOOKUP(T$1,Sprints[],3,FALSE))-SUMPRODUCT((OFFSET(INDIRECT(CELL("address",INDEX('Leave Tracker'!$A$8:$A$107,MATCH($A49,'Leave Tracker'!$A$8:$A$107,0)))),0,31*(VLOOKUP(T$1,Sprints[],5,FALSE))+DAY(VLOOKUP(T$1,Sprints[],2,FALSE)),1,VLOOKUP(T$1,Sprints[],4,FALSE))&lt;&gt;"")*(IF(OFFSET(INDIRECT(CELL("address",INDEX('Leave Tracker'!$A$8:$A$107,MATCH($A49,'Leave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49" s="79">
        <f t="array" aca="1" ref="U49" ca="1">Sheet3!$W$2*$F49*(NETWORKDAYS(VLOOKUP(U$1,Sprints[],2,FALSE), VLOOKUP(U$1,Sprints[],3,FALSE))-SUMPRODUCT((OFFSET(INDIRECT(CELL("address",INDEX('Leave Tracker'!$A$8:$A$107,MATCH($A49,'Leave Tracker'!$A$8:$A$107,0)))),0,31*(VLOOKUP(U$1,Sprints[],5,FALSE))+DAY(VLOOKUP(U$1,Sprints[],2,FALSE)),1,VLOOKUP(U$1,Sprints[],4,FALSE))&lt;&gt;"")*(IF(OFFSET(INDIRECT(CELL("address",INDEX('Leave Tracker'!$A$8:$A$107,MATCH($A49,'Leave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50" spans="1:21" x14ac:dyDescent="0.45">
      <c r="A50" t="s">
        <v>102</v>
      </c>
      <c r="B50" s="45" t="s">
        <v>116</v>
      </c>
      <c r="C50" s="45" t="s">
        <v>118</v>
      </c>
      <c r="D50" s="45" t="s">
        <v>132</v>
      </c>
      <c r="E50" s="45" t="s">
        <v>125</v>
      </c>
      <c r="F50" s="47">
        <v>0.75</v>
      </c>
      <c r="G50" s="45">
        <f t="array" aca="1" ref="G50" ca="1">Sheet3!$W$2*$F50*(NETWORKDAYS(VLOOKUP(G$1,Sprints[],2,FALSE), VLOOKUP(G$1,Sprints[],3,FALSE))-SUMPRODUCT((OFFSET(INDIRECT(CELL("address",INDEX('Leave Tracker'!$A$8:$A$107,MATCH($A50,'Leave Tracker'!$A$8:$A$107,0)))),0,31*(VLOOKUP(G$1,Sprints[],5,FALSE))+DAY(VLOOKUP(G$1,Sprints[],2,FALSE)),1,VLOOKUP(G$1,Sprints[],4,FALSE))&lt;&gt;"")*(IF(OFFSET(INDIRECT(CELL("address",INDEX('Leave Tracker'!$A$8:$A$107,MATCH($A50,'Leave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0">
        <f t="array" aca="1" ref="H50" ca="1">Sheet3!$W$2*$F50*(NETWORKDAYS(VLOOKUP(H$1,Sprints[],2,FALSE), VLOOKUP(H$1,Sprints[],3,FALSE))-SUMPRODUCT((OFFSET(INDIRECT(CELL("address",INDEX('Leave Tracker'!$A$8:$A$107,MATCH($A50,'Leave Tracker'!$A$8:$A$107,0)))),0,31*(VLOOKUP(H$1,Sprints[],5,FALSE))+DAY(VLOOKUP(H$1,Sprints[],2,FALSE)),1,VLOOKUP(H$1,Sprints[],4,FALSE))&lt;&gt;"")*(IF(OFFSET(INDIRECT(CELL("address",INDEX('Leave Tracker'!$A$8:$A$107,MATCH($A50,'Leave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0">
        <f t="array" aca="1" ref="I50" ca="1">Sheet3!$W$2*$F50*(NETWORKDAYS(VLOOKUP(I$1,Sprints[],2,FALSE), VLOOKUP(I$1,Sprints[],3,FALSE))-SUMPRODUCT((OFFSET(INDIRECT(CELL("address",INDEX('Leave Tracker'!$A$8:$A$107,MATCH($A50,'Leave Tracker'!$A$8:$A$107,0)))),0,31*(VLOOKUP(I$1,Sprints[],5,FALSE))+DAY(VLOOKUP(I$1,Sprints[],2,FALSE)),1,VLOOKUP(I$1,Sprints[],4,FALSE))&lt;&gt;"")*(IF(OFFSET(INDIRECT(CELL("address",INDEX('Leave Tracker'!$A$8:$A$107,MATCH($A50,'Leave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0">
        <f t="array" aca="1" ref="J50" ca="1">Sheet3!$W$2*$F50*(NETWORKDAYS(VLOOKUP(J$1,Sprints[],2,FALSE), VLOOKUP(J$1,Sprints[],3,FALSE))-SUMPRODUCT((OFFSET(INDIRECT(CELL("address",INDEX('Leave Tracker'!$A$8:$A$107,MATCH($A50,'Leave Tracker'!$A$8:$A$107,0)))),0,31*(VLOOKUP(J$1,Sprints[],5,FALSE))+DAY(VLOOKUP(J$1,Sprints[],2,FALSE)),1,VLOOKUP(J$1,Sprints[],4,FALSE))&lt;&gt;"")*(IF(OFFSET(INDIRECT(CELL("address",INDEX('Leave Tracker'!$A$8:$A$107,MATCH($A50,'Leave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0">
        <f t="array" aca="1" ref="K50" ca="1">Sheet3!$W$2*$F50*(NETWORKDAYS(VLOOKUP(K$1,Sprints[],2,FALSE), VLOOKUP(K$1,Sprints[],3,FALSE))-SUMPRODUCT((OFFSET(INDIRECT(CELL("address",INDEX('Leave Tracker'!$A$8:$A$107,MATCH($A50,'Leave Tracker'!$A$8:$A$107,0)))),0,31*(VLOOKUP(K$1,Sprints[],5,FALSE))+DAY(VLOOKUP(K$1,Sprints[],2,FALSE)),1,VLOOKUP(K$1,Sprints[],4,FALSE))&lt;&gt;"")*(IF(OFFSET(INDIRECT(CELL("address",INDEX('Leave Tracker'!$A$8:$A$107,MATCH($A50,'Leave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0">
        <f t="array" aca="1" ref="L50" ca="1">Sheet3!$W$2*$F50*(NETWORKDAYS(VLOOKUP(L$1,Sprints[],2,FALSE), VLOOKUP(L$1,Sprints[],3,FALSE))-SUMPRODUCT((OFFSET(INDIRECT(CELL("address",INDEX('Leave Tracker'!$A$8:$A$107,MATCH($A50,'Leave Tracker'!$A$8:$A$107,0)))),0,31*(VLOOKUP(L$1,Sprints[],5,FALSE))+DAY(VLOOKUP(L$1,Sprints[],2,FALSE)),1,VLOOKUP(L$1,Sprints[],4,FALSE))&lt;&gt;"")*(IF(OFFSET(INDIRECT(CELL("address",INDEX('Leave Tracker'!$A$8:$A$107,MATCH($A50,'Leave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0" s="45">
        <f t="array" aca="1" ref="M50" ca="1">Sheet3!$W$2*$F50*(NETWORKDAYS(VLOOKUP(M$1,Sprints[],2,FALSE), VLOOKUP(M$1,Sprints[],3,FALSE))-SUMPRODUCT((OFFSET(INDIRECT(CELL("address",INDEX('Leave Tracker'!$A$8:$A$107,MATCH($A50,'Leave Tracker'!$A$8:$A$107,0)))),0,31*(VLOOKUP(M$1,Sprints[],5,FALSE))+DAY(VLOOKUP(M$1,Sprints[],2,FALSE)),1,VLOOKUP(M$1,Sprints[],4,FALSE))&lt;&gt;"")*(IF(OFFSET(INDIRECT(CELL("address",INDEX('Leave Tracker'!$A$8:$A$107,MATCH($A50,'Leave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0">
        <f t="array" aca="1" ref="N50" ca="1">Sheet3!$W$2*$F50*(NETWORKDAYS(VLOOKUP(N$1,Sprints[],2,FALSE), VLOOKUP(N$1,Sprints[],3,FALSE))-SUMPRODUCT((OFFSET(INDIRECT(CELL("address",INDEX('Leave Tracker'!$A$8:$A$107,MATCH($A50,'Leave Tracker'!$A$8:$A$107,0)))),0,31*(VLOOKUP(N$1,Sprints[],5,FALSE))+DAY(VLOOKUP(N$1,Sprints[],2,FALSE)),1,VLOOKUP(N$1,Sprints[],4,FALSE))&lt;&gt;"")*(IF(OFFSET(INDIRECT(CELL("address",INDEX('Leave Tracker'!$A$8:$A$107,MATCH($A50,'Leave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0">
        <f t="array" aca="1" ref="O50" ca="1">Sheet3!$W$2*$F50*(NETWORKDAYS(VLOOKUP(O$1,Sprints[],2,FALSE), VLOOKUP(O$1,Sprints[],3,FALSE))-SUMPRODUCT((OFFSET(INDIRECT(CELL("address",INDEX('Leave Tracker'!$A$8:$A$107,MATCH($A50,'Leave Tracker'!$A$8:$A$107,0)))),0,31*(VLOOKUP(O$1,Sprints[],5,FALSE))+DAY(VLOOKUP(O$1,Sprints[],2,FALSE)),1,VLOOKUP(O$1,Sprints[],4,FALSE))&lt;&gt;"")*(IF(OFFSET(INDIRECT(CELL("address",INDEX('Leave Tracker'!$A$8:$A$107,MATCH($A50,'Leave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4.2000000000000011</v>
      </c>
      <c r="P50">
        <f t="array" aca="1" ref="P50" ca="1">Sheet3!$W$2*$F50*(NETWORKDAYS(VLOOKUP(P$1,Sprints[],2,FALSE), VLOOKUP(P$1,Sprints[],3,FALSE))-SUMPRODUCT((OFFSET(INDIRECT(CELL("address",INDEX('Leave Tracker'!$A$8:$A$107,MATCH($A50,'Leave Tracker'!$A$8:$A$107,0)))),0,31*(VLOOKUP(P$1,Sprints[],5,FALSE))+DAY(VLOOKUP(P$1,Sprints[],2,FALSE)),1,VLOOKUP(P$1,Sprints[],4,FALSE))&lt;&gt;"")*(IF(OFFSET(INDIRECT(CELL("address",INDEX('Leave Tracker'!$A$8:$A$107,MATCH($A50,'Leave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1.2000000000000002</v>
      </c>
      <c r="Q50">
        <f t="array" aca="1" ref="Q50" ca="1">Sheet3!$W$2*$F50*(NETWORKDAYS(VLOOKUP(Q$1,Sprints[],2,FALSE), VLOOKUP(Q$1,Sprints[],3,FALSE))-SUMPRODUCT((OFFSET(INDIRECT(CELL("address",INDEX('Leave Tracker'!$A$8:$A$107,MATCH($A50,'Leave Tracker'!$A$8:$A$107,0)))),0,31*(VLOOKUP(Q$1,Sprints[],5,FALSE))+DAY(VLOOKUP(Q$1,Sprints[],2,FALSE)),1,VLOOKUP(Q$1,Sprints[],4,FALSE))&lt;&gt;"")*(IF(OFFSET(INDIRECT(CELL("address",INDEX('Leave Tracker'!$A$8:$A$107,MATCH($A50,'Leave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0">
        <f t="array" aca="1" ref="R50" ca="1">Sheet3!$W$2*$F50*(NETWORKDAYS(VLOOKUP(R$1,Sprints[],2,FALSE), VLOOKUP(R$1,Sprints[],3,FALSE))-SUMPRODUCT((OFFSET(INDIRECT(CELL("address",INDEX('Leave Tracker'!$A$8:$A$107,MATCH($A50,'Leave Tracker'!$A$8:$A$107,0)))),0,31*(VLOOKUP(R$1,Sprints[],5,FALSE))+DAY(VLOOKUP(R$1,Sprints[],2,FALSE)),1,VLOOKUP(R$1,Sprints[],4,FALSE))&lt;&gt;"")*(IF(OFFSET(INDIRECT(CELL("address",INDEX('Leave Tracker'!$A$8:$A$107,MATCH($A50,'Leave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0" s="31">
        <f t="array" aca="1" ref="S50" ca="1">Sheet3!$W$2*$F50*(NETWORKDAYS(VLOOKUP(S$1,Sprints[],2,FALSE), VLOOKUP(S$1,Sprints[],3,FALSE))-SUMPRODUCT((OFFSET(INDIRECT(CELL("address",INDEX('Leave Tracker'!$A$8:$A$107,MATCH($A50,'Leave Tracker'!$A$8:$A$107,0)))),0,31*(VLOOKUP(S$1,Sprints[],5,FALSE))+DAY(VLOOKUP(S$1,Sprints[],2,FALSE)),1,VLOOKUP(S$1,Sprints[],4,FALSE))&lt;&gt;"")*(IF(OFFSET(INDIRECT(CELL("address",INDEX('Leave Tracker'!$A$8:$A$107,MATCH($A50,'Leave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0" s="31">
        <f t="array" aca="1" ref="T50" ca="1">Sheet3!$W$2*$F50*(NETWORKDAYS(VLOOKUP(T$1,Sprints[],2,FALSE), VLOOKUP(T$1,Sprints[],3,FALSE))-SUMPRODUCT((OFFSET(INDIRECT(CELL("address",INDEX('Leave Tracker'!$A$8:$A$107,MATCH($A50,'Leave Tracker'!$A$8:$A$107,0)))),0,31*(VLOOKUP(T$1,Sprints[],5,FALSE))+DAY(VLOOKUP(T$1,Sprints[],2,FALSE)),1,VLOOKUP(T$1,Sprints[],4,FALSE))&lt;&gt;"")*(IF(OFFSET(INDIRECT(CELL("address",INDEX('Leave Tracker'!$A$8:$A$107,MATCH($A50,'Leave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0" s="78">
        <f t="array" aca="1" ref="U50" ca="1">Sheet3!$W$2*$F50*(NETWORKDAYS(VLOOKUP(U$1,Sprints[],2,FALSE), VLOOKUP(U$1,Sprints[],3,FALSE))-SUMPRODUCT((OFFSET(INDIRECT(CELL("address",INDEX('Leave Tracker'!$A$8:$A$107,MATCH($A50,'Leave Tracker'!$A$8:$A$107,0)))),0,31*(VLOOKUP(U$1,Sprints[],5,FALSE))+DAY(VLOOKUP(U$1,Sprints[],2,FALSE)),1,VLOOKUP(U$1,Sprints[],4,FALSE))&lt;&gt;"")*(IF(OFFSET(INDIRECT(CELL("address",INDEX('Leave Tracker'!$A$8:$A$107,MATCH($A50,'Leave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11.400000000000002</v>
      </c>
    </row>
    <row r="51" spans="1:21" x14ac:dyDescent="0.45">
      <c r="A51" t="s">
        <v>103</v>
      </c>
      <c r="B51" s="45" t="s">
        <v>116</v>
      </c>
      <c r="C51" s="45" t="s">
        <v>118</v>
      </c>
      <c r="D51" s="45" t="s">
        <v>132</v>
      </c>
      <c r="E51" s="45" t="s">
        <v>124</v>
      </c>
      <c r="F51" s="47">
        <v>0.75</v>
      </c>
      <c r="G51" s="45">
        <f t="array" aca="1" ref="G51" ca="1">Sheet3!$W$2*$F51*(NETWORKDAYS(VLOOKUP(G$1,Sprints[],2,FALSE), VLOOKUP(G$1,Sprints[],3,FALSE))-SUMPRODUCT((OFFSET(INDIRECT(CELL("address",INDEX('Leave Tracker'!$A$8:$A$107,MATCH($A51,'Leave Tracker'!$A$8:$A$107,0)))),0,31*(VLOOKUP(G$1,Sprints[],5,FALSE))+DAY(VLOOKUP(G$1,Sprints[],2,FALSE)),1,VLOOKUP(G$1,Sprints[],4,FALSE))&lt;&gt;"")*(IF(OFFSET(INDIRECT(CELL("address",INDEX('Leave Tracker'!$A$8:$A$107,MATCH($A51,'Leave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1">
        <f t="array" aca="1" ref="H51" ca="1">Sheet3!$W$2*$F51*(NETWORKDAYS(VLOOKUP(H$1,Sprints[],2,FALSE), VLOOKUP(H$1,Sprints[],3,FALSE))-SUMPRODUCT((OFFSET(INDIRECT(CELL("address",INDEX('Leave Tracker'!$A$8:$A$107,MATCH($A51,'Leave Tracker'!$A$8:$A$107,0)))),0,31*(VLOOKUP(H$1,Sprints[],5,FALSE))+DAY(VLOOKUP(H$1,Sprints[],2,FALSE)),1,VLOOKUP(H$1,Sprints[],4,FALSE))&lt;&gt;"")*(IF(OFFSET(INDIRECT(CELL("address",INDEX('Leave Tracker'!$A$8:$A$107,MATCH($A51,'Leave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1">
        <f t="array" aca="1" ref="I51" ca="1">Sheet3!$W$2*$F51*(NETWORKDAYS(VLOOKUP(I$1,Sprints[],2,FALSE), VLOOKUP(I$1,Sprints[],3,FALSE))-SUMPRODUCT((OFFSET(INDIRECT(CELL("address",INDEX('Leave Tracker'!$A$8:$A$107,MATCH($A51,'Leave Tracker'!$A$8:$A$107,0)))),0,31*(VLOOKUP(I$1,Sprints[],5,FALSE))+DAY(VLOOKUP(I$1,Sprints[],2,FALSE)),1,VLOOKUP(I$1,Sprints[],4,FALSE))&lt;&gt;"")*(IF(OFFSET(INDIRECT(CELL("address",INDEX('Leave Tracker'!$A$8:$A$107,MATCH($A51,'Leave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1">
        <f t="array" aca="1" ref="J51" ca="1">Sheet3!$W$2*$F51*(NETWORKDAYS(VLOOKUP(J$1,Sprints[],2,FALSE), VLOOKUP(J$1,Sprints[],3,FALSE))-SUMPRODUCT((OFFSET(INDIRECT(CELL("address",INDEX('Leave Tracker'!$A$8:$A$107,MATCH($A51,'Leave Tracker'!$A$8:$A$107,0)))),0,31*(VLOOKUP(J$1,Sprints[],5,FALSE))+DAY(VLOOKUP(J$1,Sprints[],2,FALSE)),1,VLOOKUP(J$1,Sprints[],4,FALSE))&lt;&gt;"")*(IF(OFFSET(INDIRECT(CELL("address",INDEX('Leave Tracker'!$A$8:$A$107,MATCH($A51,'Leave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4.8000000000000007</v>
      </c>
      <c r="K51">
        <f t="array" aca="1" ref="K51" ca="1">Sheet3!$W$2*$F51*(NETWORKDAYS(VLOOKUP(K$1,Sprints[],2,FALSE), VLOOKUP(K$1,Sprints[],3,FALSE))-SUMPRODUCT((OFFSET(INDIRECT(CELL("address",INDEX('Leave Tracker'!$A$8:$A$107,MATCH($A51,'Leave Tracker'!$A$8:$A$107,0)))),0,31*(VLOOKUP(K$1,Sprints[],5,FALSE))+DAY(VLOOKUP(K$1,Sprints[],2,FALSE)),1,VLOOKUP(K$1,Sprints[],4,FALSE))&lt;&gt;"")*(IF(OFFSET(INDIRECT(CELL("address",INDEX('Leave Tracker'!$A$8:$A$107,MATCH($A51,'Leave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4.2000000000000011</v>
      </c>
      <c r="L51">
        <f t="array" aca="1" ref="L51" ca="1">Sheet3!$W$2*$F51*(NETWORKDAYS(VLOOKUP(L$1,Sprints[],2,FALSE), VLOOKUP(L$1,Sprints[],3,FALSE))-SUMPRODUCT((OFFSET(INDIRECT(CELL("address",INDEX('Leave Tracker'!$A$8:$A$107,MATCH($A51,'Leave Tracker'!$A$8:$A$107,0)))),0,31*(VLOOKUP(L$1,Sprints[],5,FALSE))+DAY(VLOOKUP(L$1,Sprints[],2,FALSE)),1,VLOOKUP(L$1,Sprints[],4,FALSE))&lt;&gt;"")*(IF(OFFSET(INDIRECT(CELL("address",INDEX('Leave Tracker'!$A$8:$A$107,MATCH($A51,'Leave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1" s="45">
        <f t="array" aca="1" ref="M51" ca="1">Sheet3!$W$2*$F51*(NETWORKDAYS(VLOOKUP(M$1,Sprints[],2,FALSE), VLOOKUP(M$1,Sprints[],3,FALSE))-SUMPRODUCT((OFFSET(INDIRECT(CELL("address",INDEX('Leave Tracker'!$A$8:$A$107,MATCH($A51,'Leave Tracker'!$A$8:$A$107,0)))),0,31*(VLOOKUP(M$1,Sprints[],5,FALSE))+DAY(VLOOKUP(M$1,Sprints[],2,FALSE)),1,VLOOKUP(M$1,Sprints[],4,FALSE))&lt;&gt;"")*(IF(OFFSET(INDIRECT(CELL("address",INDEX('Leave Tracker'!$A$8:$A$107,MATCH($A51,'Leave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1">
        <f t="array" aca="1" ref="N51" ca="1">Sheet3!$W$2*$F51*(NETWORKDAYS(VLOOKUP(N$1,Sprints[],2,FALSE), VLOOKUP(N$1,Sprints[],3,FALSE))-SUMPRODUCT((OFFSET(INDIRECT(CELL("address",INDEX('Leave Tracker'!$A$8:$A$107,MATCH($A51,'Leave Tracker'!$A$8:$A$107,0)))),0,31*(VLOOKUP(N$1,Sprints[],5,FALSE))+DAY(VLOOKUP(N$1,Sprints[],2,FALSE)),1,VLOOKUP(N$1,Sprints[],4,FALSE))&lt;&gt;"")*(IF(OFFSET(INDIRECT(CELL("address",INDEX('Leave Tracker'!$A$8:$A$107,MATCH($A51,'Leave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1">
        <f t="array" aca="1" ref="O51" ca="1">Sheet3!$W$2*$F51*(NETWORKDAYS(VLOOKUP(O$1,Sprints[],2,FALSE), VLOOKUP(O$1,Sprints[],3,FALSE))-SUMPRODUCT((OFFSET(INDIRECT(CELL("address",INDEX('Leave Tracker'!$A$8:$A$107,MATCH($A51,'Leave Tracker'!$A$8:$A$107,0)))),0,31*(VLOOKUP(O$1,Sprints[],5,FALSE))+DAY(VLOOKUP(O$1,Sprints[],2,FALSE)),1,VLOOKUP(O$1,Sprints[],4,FALSE))&lt;&gt;"")*(IF(OFFSET(INDIRECT(CELL("address",INDEX('Leave Tracker'!$A$8:$A$107,MATCH($A51,'Leave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1">
        <f t="array" aca="1" ref="P51" ca="1">Sheet3!$W$2*$F51*(NETWORKDAYS(VLOOKUP(P$1,Sprints[],2,FALSE), VLOOKUP(P$1,Sprints[],3,FALSE))-SUMPRODUCT((OFFSET(INDIRECT(CELL("address",INDEX('Leave Tracker'!$A$8:$A$107,MATCH($A51,'Leave Tracker'!$A$8:$A$107,0)))),0,31*(VLOOKUP(P$1,Sprints[],5,FALSE))+DAY(VLOOKUP(P$1,Sprints[],2,FALSE)),1,VLOOKUP(P$1,Sprints[],4,FALSE))&lt;&gt;"")*(IF(OFFSET(INDIRECT(CELL("address",INDEX('Leave Tracker'!$A$8:$A$107,MATCH($A51,'Leave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1">
        <f t="array" aca="1" ref="Q51" ca="1">Sheet3!$W$2*$F51*(NETWORKDAYS(VLOOKUP(Q$1,Sprints[],2,FALSE), VLOOKUP(Q$1,Sprints[],3,FALSE))-SUMPRODUCT((OFFSET(INDIRECT(CELL("address",INDEX('Leave Tracker'!$A$8:$A$107,MATCH($A51,'Leave Tracker'!$A$8:$A$107,0)))),0,31*(VLOOKUP(Q$1,Sprints[],5,FALSE))+DAY(VLOOKUP(Q$1,Sprints[],2,FALSE)),1,VLOOKUP(Q$1,Sprints[],4,FALSE))&lt;&gt;"")*(IF(OFFSET(INDIRECT(CELL("address",INDEX('Leave Tracker'!$A$8:$A$107,MATCH($A51,'Leave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1">
        <f t="array" aca="1" ref="R51" ca="1">Sheet3!$W$2*$F51*(NETWORKDAYS(VLOOKUP(R$1,Sprints[],2,FALSE), VLOOKUP(R$1,Sprints[],3,FALSE))-SUMPRODUCT((OFFSET(INDIRECT(CELL("address",INDEX('Leave Tracker'!$A$8:$A$107,MATCH($A51,'Leave Tracker'!$A$8:$A$107,0)))),0,31*(VLOOKUP(R$1,Sprints[],5,FALSE))+DAY(VLOOKUP(R$1,Sprints[],2,FALSE)),1,VLOOKUP(R$1,Sprints[],4,FALSE))&lt;&gt;"")*(IF(OFFSET(INDIRECT(CELL("address",INDEX('Leave Tracker'!$A$8:$A$107,MATCH($A51,'Leave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1" s="31">
        <f t="array" aca="1" ref="S51" ca="1">Sheet3!$W$2*$F51*(NETWORKDAYS(VLOOKUP(S$1,Sprints[],2,FALSE), VLOOKUP(S$1,Sprints[],3,FALSE))-SUMPRODUCT((OFFSET(INDIRECT(CELL("address",INDEX('Leave Tracker'!$A$8:$A$107,MATCH($A51,'Leave Tracker'!$A$8:$A$107,0)))),0,31*(VLOOKUP(S$1,Sprints[],5,FALSE))+DAY(VLOOKUP(S$1,Sprints[],2,FALSE)),1,VLOOKUP(S$1,Sprints[],4,FALSE))&lt;&gt;"")*(IF(OFFSET(INDIRECT(CELL("address",INDEX('Leave Tracker'!$A$8:$A$107,MATCH($A51,'Leave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1" s="31">
        <f t="array" aca="1" ref="T51" ca="1">Sheet3!$W$2*$F51*(NETWORKDAYS(VLOOKUP(T$1,Sprints[],2,FALSE), VLOOKUP(T$1,Sprints[],3,FALSE))-SUMPRODUCT((OFFSET(INDIRECT(CELL("address",INDEX('Leave Tracker'!$A$8:$A$107,MATCH($A51,'Leave Tracker'!$A$8:$A$107,0)))),0,31*(VLOOKUP(T$1,Sprints[],5,FALSE))+DAY(VLOOKUP(T$1,Sprints[],2,FALSE)),1,VLOOKUP(T$1,Sprints[],4,FALSE))&lt;&gt;"")*(IF(OFFSET(INDIRECT(CELL("address",INDEX('Leave Tracker'!$A$8:$A$107,MATCH($A51,'Leave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1" s="78">
        <f t="array" aca="1" ref="U51" ca="1">Sheet3!$W$2*$F51*(NETWORKDAYS(VLOOKUP(U$1,Sprints[],2,FALSE), VLOOKUP(U$1,Sprints[],3,FALSE))-SUMPRODUCT((OFFSET(INDIRECT(CELL("address",INDEX('Leave Tracker'!$A$8:$A$107,MATCH($A51,'Leave Tracker'!$A$8:$A$107,0)))),0,31*(VLOOKUP(U$1,Sprints[],5,FALSE))+DAY(VLOOKUP(U$1,Sprints[],2,FALSE)),1,VLOOKUP(U$1,Sprints[],4,FALSE))&lt;&gt;"")*(IF(OFFSET(INDIRECT(CELL("address",INDEX('Leave Tracker'!$A$8:$A$107,MATCH($A51,'Leave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11.400000000000002</v>
      </c>
    </row>
    <row r="52" spans="1:21" x14ac:dyDescent="0.45">
      <c r="A52" t="s">
        <v>104</v>
      </c>
      <c r="B52" s="45" t="s">
        <v>116</v>
      </c>
      <c r="C52" s="45" t="s">
        <v>118</v>
      </c>
      <c r="D52" s="45" t="s">
        <v>133</v>
      </c>
      <c r="E52" s="45" t="s">
        <v>128</v>
      </c>
      <c r="F52" s="47">
        <v>0.75</v>
      </c>
      <c r="G52" s="45">
        <f t="array" aca="1" ref="G52" ca="1">Sheet3!$W$2*$F52*(NETWORKDAYS(VLOOKUP(G$1,Sprints[],2,FALSE), VLOOKUP(G$1,Sprints[],3,FALSE))-SUMPRODUCT((OFFSET(INDIRECT(CELL("address",INDEX('Leave Tracker'!$A$8:$A$107,MATCH($A52,'Leave Tracker'!$A$8:$A$107,0)))),0,31*(VLOOKUP(G$1,Sprints[],5,FALSE))+DAY(VLOOKUP(G$1,Sprints[],2,FALSE)),1,VLOOKUP(G$1,Sprints[],4,FALSE))&lt;&gt;"")*(IF(OFFSET(INDIRECT(CELL("address",INDEX('Leave Tracker'!$A$8:$A$107,MATCH($A52,'Leave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2">
        <f t="array" aca="1" ref="H52" ca="1">Sheet3!$W$2*$F52*(NETWORKDAYS(VLOOKUP(H$1,Sprints[],2,FALSE), VLOOKUP(H$1,Sprints[],3,FALSE))-SUMPRODUCT((OFFSET(INDIRECT(CELL("address",INDEX('Leave Tracker'!$A$8:$A$107,MATCH($A52,'Leave Tracker'!$A$8:$A$107,0)))),0,31*(VLOOKUP(H$1,Sprints[],5,FALSE))+DAY(VLOOKUP(H$1,Sprints[],2,FALSE)),1,VLOOKUP(H$1,Sprints[],4,FALSE))&lt;&gt;"")*(IF(OFFSET(INDIRECT(CELL("address",INDEX('Leave Tracker'!$A$8:$A$107,MATCH($A52,'Leave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2">
        <f t="array" aca="1" ref="I52" ca="1">Sheet3!$W$2*$F52*(NETWORKDAYS(VLOOKUP(I$1,Sprints[],2,FALSE), VLOOKUP(I$1,Sprints[],3,FALSE))-SUMPRODUCT((OFFSET(INDIRECT(CELL("address",INDEX('Leave Tracker'!$A$8:$A$107,MATCH($A52,'Leave Tracker'!$A$8:$A$107,0)))),0,31*(VLOOKUP(I$1,Sprints[],5,FALSE))+DAY(VLOOKUP(I$1,Sprints[],2,FALSE)),1,VLOOKUP(I$1,Sprints[],4,FALSE))&lt;&gt;"")*(IF(OFFSET(INDIRECT(CELL("address",INDEX('Leave Tracker'!$A$8:$A$107,MATCH($A52,'Leave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2">
        <f t="array" aca="1" ref="J52" ca="1">Sheet3!$W$2*$F52*(NETWORKDAYS(VLOOKUP(J$1,Sprints[],2,FALSE), VLOOKUP(J$1,Sprints[],3,FALSE))-SUMPRODUCT((OFFSET(INDIRECT(CELL("address",INDEX('Leave Tracker'!$A$8:$A$107,MATCH($A52,'Leave Tracker'!$A$8:$A$107,0)))),0,31*(VLOOKUP(J$1,Sprints[],5,FALSE))+DAY(VLOOKUP(J$1,Sprints[],2,FALSE)),1,VLOOKUP(J$1,Sprints[],4,FALSE))&lt;&gt;"")*(IF(OFFSET(INDIRECT(CELL("address",INDEX('Leave Tracker'!$A$8:$A$107,MATCH($A52,'Leave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2">
        <f t="array" aca="1" ref="K52" ca="1">Sheet3!$W$2*$F52*(NETWORKDAYS(VLOOKUP(K$1,Sprints[],2,FALSE), VLOOKUP(K$1,Sprints[],3,FALSE))-SUMPRODUCT((OFFSET(INDIRECT(CELL("address",INDEX('Leave Tracker'!$A$8:$A$107,MATCH($A52,'Leave Tracker'!$A$8:$A$107,0)))),0,31*(VLOOKUP(K$1,Sprints[],5,FALSE))+DAY(VLOOKUP(K$1,Sprints[],2,FALSE)),1,VLOOKUP(K$1,Sprints[],4,FALSE))&lt;&gt;"")*(IF(OFFSET(INDIRECT(CELL("address",INDEX('Leave Tracker'!$A$8:$A$107,MATCH($A52,'Leave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2">
        <f t="array" aca="1" ref="L52" ca="1">Sheet3!$W$2*$F52*(NETWORKDAYS(VLOOKUP(L$1,Sprints[],2,FALSE), VLOOKUP(L$1,Sprints[],3,FALSE))-SUMPRODUCT((OFFSET(INDIRECT(CELL("address",INDEX('Leave Tracker'!$A$8:$A$107,MATCH($A52,'Leave Tracker'!$A$8:$A$107,0)))),0,31*(VLOOKUP(L$1,Sprints[],5,FALSE))+DAY(VLOOKUP(L$1,Sprints[],2,FALSE)),1,VLOOKUP(L$1,Sprints[],4,FALSE))&lt;&gt;"")*(IF(OFFSET(INDIRECT(CELL("address",INDEX('Leave Tracker'!$A$8:$A$107,MATCH($A52,'Leave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2" s="45">
        <f t="array" aca="1" ref="M52" ca="1">Sheet3!$W$2*$F52*(NETWORKDAYS(VLOOKUP(M$1,Sprints[],2,FALSE), VLOOKUP(M$1,Sprints[],3,FALSE))-SUMPRODUCT((OFFSET(INDIRECT(CELL("address",INDEX('Leave Tracker'!$A$8:$A$107,MATCH($A52,'Leave Tracker'!$A$8:$A$107,0)))),0,31*(VLOOKUP(M$1,Sprints[],5,FALSE))+DAY(VLOOKUP(M$1,Sprints[],2,FALSE)),1,VLOOKUP(M$1,Sprints[],4,FALSE))&lt;&gt;"")*(IF(OFFSET(INDIRECT(CELL("address",INDEX('Leave Tracker'!$A$8:$A$107,MATCH($A52,'Leave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3.0000000000000004</v>
      </c>
      <c r="N52">
        <f t="array" aca="1" ref="N52" ca="1">Sheet3!$W$2*$F52*(NETWORKDAYS(VLOOKUP(N$1,Sprints[],2,FALSE), VLOOKUP(N$1,Sprints[],3,FALSE))-SUMPRODUCT((OFFSET(INDIRECT(CELL("address",INDEX('Leave Tracker'!$A$8:$A$107,MATCH($A52,'Leave Tracker'!$A$8:$A$107,0)))),0,31*(VLOOKUP(N$1,Sprints[],5,FALSE))+DAY(VLOOKUP(N$1,Sprints[],2,FALSE)),1,VLOOKUP(N$1,Sprints[],4,FALSE))&lt;&gt;"")*(IF(OFFSET(INDIRECT(CELL("address",INDEX('Leave Tracker'!$A$8:$A$107,MATCH($A52,'Leave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52">
        <f t="array" aca="1" ref="O52" ca="1">Sheet3!$W$2*$F52*(NETWORKDAYS(VLOOKUP(O$1,Sprints[],2,FALSE), VLOOKUP(O$1,Sprints[],3,FALSE))-SUMPRODUCT((OFFSET(INDIRECT(CELL("address",INDEX('Leave Tracker'!$A$8:$A$107,MATCH($A52,'Leave Tracker'!$A$8:$A$107,0)))),0,31*(VLOOKUP(O$1,Sprints[],5,FALSE))+DAY(VLOOKUP(O$1,Sprints[],2,FALSE)),1,VLOOKUP(O$1,Sprints[],4,FALSE))&lt;&gt;"")*(IF(OFFSET(INDIRECT(CELL("address",INDEX('Leave Tracker'!$A$8:$A$107,MATCH($A52,'Leave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52">
        <f t="array" aca="1" ref="P52" ca="1">Sheet3!$W$2*$F52*(NETWORKDAYS(VLOOKUP(P$1,Sprints[],2,FALSE), VLOOKUP(P$1,Sprints[],3,FALSE))-SUMPRODUCT((OFFSET(INDIRECT(CELL("address",INDEX('Leave Tracker'!$A$8:$A$107,MATCH($A52,'Leave Tracker'!$A$8:$A$107,0)))),0,31*(VLOOKUP(P$1,Sprints[],5,FALSE))+DAY(VLOOKUP(P$1,Sprints[],2,FALSE)),1,VLOOKUP(P$1,Sprints[],4,FALSE))&lt;&gt;"")*(IF(OFFSET(INDIRECT(CELL("address",INDEX('Leave Tracker'!$A$8:$A$107,MATCH($A52,'Leave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2">
        <f t="array" aca="1" ref="Q52" ca="1">Sheet3!$W$2*$F52*(NETWORKDAYS(VLOOKUP(Q$1,Sprints[],2,FALSE), VLOOKUP(Q$1,Sprints[],3,FALSE))-SUMPRODUCT((OFFSET(INDIRECT(CELL("address",INDEX('Leave Tracker'!$A$8:$A$107,MATCH($A52,'Leave Tracker'!$A$8:$A$107,0)))),0,31*(VLOOKUP(Q$1,Sprints[],5,FALSE))+DAY(VLOOKUP(Q$1,Sprints[],2,FALSE)),1,VLOOKUP(Q$1,Sprints[],4,FALSE))&lt;&gt;"")*(IF(OFFSET(INDIRECT(CELL("address",INDEX('Leave Tracker'!$A$8:$A$107,MATCH($A52,'Leave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2">
        <f t="array" aca="1" ref="R52" ca="1">Sheet3!$W$2*$F52*(NETWORKDAYS(VLOOKUP(R$1,Sprints[],2,FALSE), VLOOKUP(R$1,Sprints[],3,FALSE))-SUMPRODUCT((OFFSET(INDIRECT(CELL("address",INDEX('Leave Tracker'!$A$8:$A$107,MATCH($A52,'Leave Tracker'!$A$8:$A$107,0)))),0,31*(VLOOKUP(R$1,Sprints[],5,FALSE))+DAY(VLOOKUP(R$1,Sprints[],2,FALSE)),1,VLOOKUP(R$1,Sprints[],4,FALSE))&lt;&gt;"")*(IF(OFFSET(INDIRECT(CELL("address",INDEX('Leave Tracker'!$A$8:$A$107,MATCH($A52,'Leave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2" s="31">
        <f t="array" aca="1" ref="S52" ca="1">Sheet3!$W$2*$F52*(NETWORKDAYS(VLOOKUP(S$1,Sprints[],2,FALSE), VLOOKUP(S$1,Sprints[],3,FALSE))-SUMPRODUCT((OFFSET(INDIRECT(CELL("address",INDEX('Leave Tracker'!$A$8:$A$107,MATCH($A52,'Leave Tracker'!$A$8:$A$107,0)))),0,31*(VLOOKUP(S$1,Sprints[],5,FALSE))+DAY(VLOOKUP(S$1,Sprints[],2,FALSE)),1,VLOOKUP(S$1,Sprints[],4,FALSE))&lt;&gt;"")*(IF(OFFSET(INDIRECT(CELL("address",INDEX('Leave Tracker'!$A$8:$A$107,MATCH($A52,'Leave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2" s="31">
        <f t="array" aca="1" ref="T52" ca="1">Sheet3!$W$2*$F52*(NETWORKDAYS(VLOOKUP(T$1,Sprints[],2,FALSE), VLOOKUP(T$1,Sprints[],3,FALSE))-SUMPRODUCT((OFFSET(INDIRECT(CELL("address",INDEX('Leave Tracker'!$A$8:$A$107,MATCH($A52,'Leave Tracker'!$A$8:$A$107,0)))),0,31*(VLOOKUP(T$1,Sprints[],5,FALSE))+DAY(VLOOKUP(T$1,Sprints[],2,FALSE)),1,VLOOKUP(T$1,Sprints[],4,FALSE))&lt;&gt;"")*(IF(OFFSET(INDIRECT(CELL("address",INDEX('Leave Tracker'!$A$8:$A$107,MATCH($A52,'Leave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2" s="78">
        <f t="array" aca="1" ref="U52" ca="1">Sheet3!$W$2*$F52*(NETWORKDAYS(VLOOKUP(U$1,Sprints[],2,FALSE), VLOOKUP(U$1,Sprints[],3,FALSE))-SUMPRODUCT((OFFSET(INDIRECT(CELL("address",INDEX('Leave Tracker'!$A$8:$A$107,MATCH($A52,'Leave Tracker'!$A$8:$A$107,0)))),0,31*(VLOOKUP(U$1,Sprints[],5,FALSE))+DAY(VLOOKUP(U$1,Sprints[],2,FALSE)),1,VLOOKUP(U$1,Sprints[],4,FALSE))&lt;&gt;"")*(IF(OFFSET(INDIRECT(CELL("address",INDEX('Leave Tracker'!$A$8:$A$107,MATCH($A52,'Leave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11.400000000000002</v>
      </c>
    </row>
    <row r="53" spans="1:21" x14ac:dyDescent="0.45">
      <c r="A53" t="s">
        <v>105</v>
      </c>
      <c r="B53" s="45" t="s">
        <v>116</v>
      </c>
      <c r="C53" s="45" t="s">
        <v>118</v>
      </c>
      <c r="D53" s="45" t="s">
        <v>133</v>
      </c>
      <c r="E53" s="45" t="s">
        <v>128</v>
      </c>
      <c r="F53" s="47">
        <v>0.75</v>
      </c>
      <c r="G53" s="45">
        <f t="array" aca="1" ref="G53" ca="1">Sheet3!$W$2*$F53*(NETWORKDAYS(VLOOKUP(G$1,Sprints[],2,FALSE), VLOOKUP(G$1,Sprints[],3,FALSE))-SUMPRODUCT((OFFSET(INDIRECT(CELL("address",INDEX('Leave Tracker'!$A$8:$A$107,MATCH($A53,'Leave Tracker'!$A$8:$A$107,0)))),0,31*(VLOOKUP(G$1,Sprints[],5,FALSE))+DAY(VLOOKUP(G$1,Sprints[],2,FALSE)),1,VLOOKUP(G$1,Sprints[],4,FALSE))&lt;&gt;"")*(IF(OFFSET(INDIRECT(CELL("address",INDEX('Leave Tracker'!$A$8:$A$107,MATCH($A53,'Leave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3">
        <f t="array" aca="1" ref="H53" ca="1">Sheet3!$W$2*$F53*(NETWORKDAYS(VLOOKUP(H$1,Sprints[],2,FALSE), VLOOKUP(H$1,Sprints[],3,FALSE))-SUMPRODUCT((OFFSET(INDIRECT(CELL("address",INDEX('Leave Tracker'!$A$8:$A$107,MATCH($A53,'Leave Tracker'!$A$8:$A$107,0)))),0,31*(VLOOKUP(H$1,Sprints[],5,FALSE))+DAY(VLOOKUP(H$1,Sprints[],2,FALSE)),1,VLOOKUP(H$1,Sprints[],4,FALSE))&lt;&gt;"")*(IF(OFFSET(INDIRECT(CELL("address",INDEX('Leave Tracker'!$A$8:$A$107,MATCH($A53,'Leave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3">
        <f t="array" aca="1" ref="I53" ca="1">Sheet3!$W$2*$F53*(NETWORKDAYS(VLOOKUP(I$1,Sprints[],2,FALSE), VLOOKUP(I$1,Sprints[],3,FALSE))-SUMPRODUCT((OFFSET(INDIRECT(CELL("address",INDEX('Leave Tracker'!$A$8:$A$107,MATCH($A53,'Leave Tracker'!$A$8:$A$107,0)))),0,31*(VLOOKUP(I$1,Sprints[],5,FALSE))+DAY(VLOOKUP(I$1,Sprints[],2,FALSE)),1,VLOOKUP(I$1,Sprints[],4,FALSE))&lt;&gt;"")*(IF(OFFSET(INDIRECT(CELL("address",INDEX('Leave Tracker'!$A$8:$A$107,MATCH($A53,'Leave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3">
        <f t="array" aca="1" ref="J53" ca="1">Sheet3!$W$2*$F53*(NETWORKDAYS(VLOOKUP(J$1,Sprints[],2,FALSE), VLOOKUP(J$1,Sprints[],3,FALSE))-SUMPRODUCT((OFFSET(INDIRECT(CELL("address",INDEX('Leave Tracker'!$A$8:$A$107,MATCH($A53,'Leave Tracker'!$A$8:$A$107,0)))),0,31*(VLOOKUP(J$1,Sprints[],5,FALSE))+DAY(VLOOKUP(J$1,Sprints[],2,FALSE)),1,VLOOKUP(J$1,Sprints[],4,FALSE))&lt;&gt;"")*(IF(OFFSET(INDIRECT(CELL("address",INDEX('Leave Tracker'!$A$8:$A$107,MATCH($A53,'Leave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3">
        <f t="array" aca="1" ref="K53" ca="1">Sheet3!$W$2*$F53*(NETWORKDAYS(VLOOKUP(K$1,Sprints[],2,FALSE), VLOOKUP(K$1,Sprints[],3,FALSE))-SUMPRODUCT((OFFSET(INDIRECT(CELL("address",INDEX('Leave Tracker'!$A$8:$A$107,MATCH($A53,'Leave Tracker'!$A$8:$A$107,0)))),0,31*(VLOOKUP(K$1,Sprints[],5,FALSE))+DAY(VLOOKUP(K$1,Sprints[],2,FALSE)),1,VLOOKUP(K$1,Sprints[],4,FALSE))&lt;&gt;"")*(IF(OFFSET(INDIRECT(CELL("address",INDEX('Leave Tracker'!$A$8:$A$107,MATCH($A53,'Leave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3">
        <f t="array" aca="1" ref="L53" ca="1">Sheet3!$W$2*$F53*(NETWORKDAYS(VLOOKUP(L$1,Sprints[],2,FALSE), VLOOKUP(L$1,Sprints[],3,FALSE))-SUMPRODUCT((OFFSET(INDIRECT(CELL("address",INDEX('Leave Tracker'!$A$8:$A$107,MATCH($A53,'Leave Tracker'!$A$8:$A$107,0)))),0,31*(VLOOKUP(L$1,Sprints[],5,FALSE))+DAY(VLOOKUP(L$1,Sprints[],2,FALSE)),1,VLOOKUP(L$1,Sprints[],4,FALSE))&lt;&gt;"")*(IF(OFFSET(INDIRECT(CELL("address",INDEX('Leave Tracker'!$A$8:$A$107,MATCH($A53,'Leave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3" s="45">
        <f t="array" aca="1" ref="M53" ca="1">Sheet3!$W$2*$F53*(NETWORKDAYS(VLOOKUP(M$1,Sprints[],2,FALSE), VLOOKUP(M$1,Sprints[],3,FALSE))-SUMPRODUCT((OFFSET(INDIRECT(CELL("address",INDEX('Leave Tracker'!$A$8:$A$107,MATCH($A53,'Leave Tracker'!$A$8:$A$107,0)))),0,31*(VLOOKUP(M$1,Sprints[],5,FALSE))+DAY(VLOOKUP(M$1,Sprints[],2,FALSE)),1,VLOOKUP(M$1,Sprints[],4,FALSE))&lt;&gt;"")*(IF(OFFSET(INDIRECT(CELL("address",INDEX('Leave Tracker'!$A$8:$A$107,MATCH($A53,'Leave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3">
        <f t="array" aca="1" ref="N53" ca="1">Sheet3!$W$2*$F53*(NETWORKDAYS(VLOOKUP(N$1,Sprints[],2,FALSE), VLOOKUP(N$1,Sprints[],3,FALSE))-SUMPRODUCT((OFFSET(INDIRECT(CELL("address",INDEX('Leave Tracker'!$A$8:$A$107,MATCH($A53,'Leave Tracker'!$A$8:$A$107,0)))),0,31*(VLOOKUP(N$1,Sprints[],5,FALSE))+DAY(VLOOKUP(N$1,Sprints[],2,FALSE)),1,VLOOKUP(N$1,Sprints[],4,FALSE))&lt;&gt;"")*(IF(OFFSET(INDIRECT(CELL("address",INDEX('Leave Tracker'!$A$8:$A$107,MATCH($A53,'Leave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3">
        <f t="array" aca="1" ref="O53" ca="1">Sheet3!$W$2*$F53*(NETWORKDAYS(VLOOKUP(O$1,Sprints[],2,FALSE), VLOOKUP(O$1,Sprints[],3,FALSE))-SUMPRODUCT((OFFSET(INDIRECT(CELL("address",INDEX('Leave Tracker'!$A$8:$A$107,MATCH($A53,'Leave Tracker'!$A$8:$A$107,0)))),0,31*(VLOOKUP(O$1,Sprints[],5,FALSE))+DAY(VLOOKUP(O$1,Sprints[],2,FALSE)),1,VLOOKUP(O$1,Sprints[],4,FALSE))&lt;&gt;"")*(IF(OFFSET(INDIRECT(CELL("address",INDEX('Leave Tracker'!$A$8:$A$107,MATCH($A53,'Leave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3">
        <f t="array" aca="1" ref="P53" ca="1">Sheet3!$W$2*$F53*(NETWORKDAYS(VLOOKUP(P$1,Sprints[],2,FALSE), VLOOKUP(P$1,Sprints[],3,FALSE))-SUMPRODUCT((OFFSET(INDIRECT(CELL("address",INDEX('Leave Tracker'!$A$8:$A$107,MATCH($A53,'Leave Tracker'!$A$8:$A$107,0)))),0,31*(VLOOKUP(P$1,Sprints[],5,FALSE))+DAY(VLOOKUP(P$1,Sprints[],2,FALSE)),1,VLOOKUP(P$1,Sprints[],4,FALSE))&lt;&gt;"")*(IF(OFFSET(INDIRECT(CELL("address",INDEX('Leave Tracker'!$A$8:$A$107,MATCH($A53,'Leave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3">
        <f t="array" aca="1" ref="Q53" ca="1">Sheet3!$W$2*$F53*(NETWORKDAYS(VLOOKUP(Q$1,Sprints[],2,FALSE), VLOOKUP(Q$1,Sprints[],3,FALSE))-SUMPRODUCT((OFFSET(INDIRECT(CELL("address",INDEX('Leave Tracker'!$A$8:$A$107,MATCH($A53,'Leave Tracker'!$A$8:$A$107,0)))),0,31*(VLOOKUP(Q$1,Sprints[],5,FALSE))+DAY(VLOOKUP(Q$1,Sprints[],2,FALSE)),1,VLOOKUP(Q$1,Sprints[],4,FALSE))&lt;&gt;"")*(IF(OFFSET(INDIRECT(CELL("address",INDEX('Leave Tracker'!$A$8:$A$107,MATCH($A53,'Leave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3">
        <f t="array" aca="1" ref="R53" ca="1">Sheet3!$W$2*$F53*(NETWORKDAYS(VLOOKUP(R$1,Sprints[],2,FALSE), VLOOKUP(R$1,Sprints[],3,FALSE))-SUMPRODUCT((OFFSET(INDIRECT(CELL("address",INDEX('Leave Tracker'!$A$8:$A$107,MATCH($A53,'Leave Tracker'!$A$8:$A$107,0)))),0,31*(VLOOKUP(R$1,Sprints[],5,FALSE))+DAY(VLOOKUP(R$1,Sprints[],2,FALSE)),1,VLOOKUP(R$1,Sprints[],4,FALSE))&lt;&gt;"")*(IF(OFFSET(INDIRECT(CELL("address",INDEX('Leave Tracker'!$A$8:$A$107,MATCH($A53,'Leave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3" s="31">
        <f t="array" aca="1" ref="S53" ca="1">Sheet3!$W$2*$F53*(NETWORKDAYS(VLOOKUP(S$1,Sprints[],2,FALSE), VLOOKUP(S$1,Sprints[],3,FALSE))-SUMPRODUCT((OFFSET(INDIRECT(CELL("address",INDEX('Leave Tracker'!$A$8:$A$107,MATCH($A53,'Leave Tracker'!$A$8:$A$107,0)))),0,31*(VLOOKUP(S$1,Sprints[],5,FALSE))+DAY(VLOOKUP(S$1,Sprints[],2,FALSE)),1,VLOOKUP(S$1,Sprints[],4,FALSE))&lt;&gt;"")*(IF(OFFSET(INDIRECT(CELL("address",INDEX('Leave Tracker'!$A$8:$A$107,MATCH($A53,'Leave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3" s="31">
        <f t="array" aca="1" ref="T53" ca="1">Sheet3!$W$2*$F53*(NETWORKDAYS(VLOOKUP(T$1,Sprints[],2,FALSE), VLOOKUP(T$1,Sprints[],3,FALSE))-SUMPRODUCT((OFFSET(INDIRECT(CELL("address",INDEX('Leave Tracker'!$A$8:$A$107,MATCH($A53,'Leave Tracker'!$A$8:$A$107,0)))),0,31*(VLOOKUP(T$1,Sprints[],5,FALSE))+DAY(VLOOKUP(T$1,Sprints[],2,FALSE)),1,VLOOKUP(T$1,Sprints[],4,FALSE))&lt;&gt;"")*(IF(OFFSET(INDIRECT(CELL("address",INDEX('Leave Tracker'!$A$8:$A$107,MATCH($A53,'Leave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3" s="78">
        <f t="array" aca="1" ref="U53" ca="1">Sheet3!$W$2*$F53*(NETWORKDAYS(VLOOKUP(U$1,Sprints[],2,FALSE), VLOOKUP(U$1,Sprints[],3,FALSE))-SUMPRODUCT((OFFSET(INDIRECT(CELL("address",INDEX('Leave Tracker'!$A$8:$A$107,MATCH($A53,'Leave Tracker'!$A$8:$A$107,0)))),0,31*(VLOOKUP(U$1,Sprints[],5,FALSE))+DAY(VLOOKUP(U$1,Sprints[],2,FALSE)),1,VLOOKUP(U$1,Sprints[],4,FALSE))&lt;&gt;"")*(IF(OFFSET(INDIRECT(CELL("address",INDEX('Leave Tracker'!$A$8:$A$107,MATCH($A53,'Leave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11.400000000000002</v>
      </c>
    </row>
    <row r="54" spans="1:21" x14ac:dyDescent="0.45">
      <c r="A54" t="s">
        <v>106</v>
      </c>
      <c r="B54" s="45" t="s">
        <v>116</v>
      </c>
      <c r="C54" s="45" t="s">
        <v>118</v>
      </c>
      <c r="D54" s="45" t="s">
        <v>132</v>
      </c>
      <c r="E54" s="45" t="s">
        <v>125</v>
      </c>
      <c r="F54" s="47">
        <v>0.75</v>
      </c>
      <c r="G54" s="45">
        <f t="array" aca="1" ref="G54" ca="1">Sheet3!$W$2*$F54*(NETWORKDAYS(VLOOKUP(G$1,Sprints[],2,FALSE), VLOOKUP(G$1,Sprints[],3,FALSE))-SUMPRODUCT((OFFSET(INDIRECT(CELL("address",INDEX('Leave Tracker'!$A$8:$A$107,MATCH($A54,'Leave Tracker'!$A$8:$A$107,0)))),0,31*(VLOOKUP(G$1,Sprints[],5,FALSE))+DAY(VLOOKUP(G$1,Sprints[],2,FALSE)),1,VLOOKUP(G$1,Sprints[],4,FALSE))&lt;&gt;"")*(IF(OFFSET(INDIRECT(CELL("address",INDEX('Leave Tracker'!$A$8:$A$107,MATCH($A54,'Leave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4">
        <f t="array" aca="1" ref="H54" ca="1">Sheet3!$W$2*$F54*(NETWORKDAYS(VLOOKUP(H$1,Sprints[],2,FALSE), VLOOKUP(H$1,Sprints[],3,FALSE))-SUMPRODUCT((OFFSET(INDIRECT(CELL("address",INDEX('Leave Tracker'!$A$8:$A$107,MATCH($A54,'Leave Tracker'!$A$8:$A$107,0)))),0,31*(VLOOKUP(H$1,Sprints[],5,FALSE))+DAY(VLOOKUP(H$1,Sprints[],2,FALSE)),1,VLOOKUP(H$1,Sprints[],4,FALSE))&lt;&gt;"")*(IF(OFFSET(INDIRECT(CELL("address",INDEX('Leave Tracker'!$A$8:$A$107,MATCH($A54,'Leave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4">
        <f t="array" aca="1" ref="I54" ca="1">Sheet3!$W$2*$F54*(NETWORKDAYS(VLOOKUP(I$1,Sprints[],2,FALSE), VLOOKUP(I$1,Sprints[],3,FALSE))-SUMPRODUCT((OFFSET(INDIRECT(CELL("address",INDEX('Leave Tracker'!$A$8:$A$107,MATCH($A54,'Leave Tracker'!$A$8:$A$107,0)))),0,31*(VLOOKUP(I$1,Sprints[],5,FALSE))+DAY(VLOOKUP(I$1,Sprints[],2,FALSE)),1,VLOOKUP(I$1,Sprints[],4,FALSE))&lt;&gt;"")*(IF(OFFSET(INDIRECT(CELL("address",INDEX('Leave Tracker'!$A$8:$A$107,MATCH($A54,'Leave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4">
        <f t="array" aca="1" ref="J54" ca="1">Sheet3!$W$2*$F54*(NETWORKDAYS(VLOOKUP(J$1,Sprints[],2,FALSE), VLOOKUP(J$1,Sprints[],3,FALSE))-SUMPRODUCT((OFFSET(INDIRECT(CELL("address",INDEX('Leave Tracker'!$A$8:$A$107,MATCH($A54,'Leave Tracker'!$A$8:$A$107,0)))),0,31*(VLOOKUP(J$1,Sprints[],5,FALSE))+DAY(VLOOKUP(J$1,Sprints[],2,FALSE)),1,VLOOKUP(J$1,Sprints[],4,FALSE))&lt;&gt;"")*(IF(OFFSET(INDIRECT(CELL("address",INDEX('Leave Tracker'!$A$8:$A$107,MATCH($A54,'Leave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4">
        <f t="array" aca="1" ref="K54" ca="1">Sheet3!$W$2*$F54*(NETWORKDAYS(VLOOKUP(K$1,Sprints[],2,FALSE), VLOOKUP(K$1,Sprints[],3,FALSE))-SUMPRODUCT((OFFSET(INDIRECT(CELL("address",INDEX('Leave Tracker'!$A$8:$A$107,MATCH($A54,'Leave Tracker'!$A$8:$A$107,0)))),0,31*(VLOOKUP(K$1,Sprints[],5,FALSE))+DAY(VLOOKUP(K$1,Sprints[],2,FALSE)),1,VLOOKUP(K$1,Sprints[],4,FALSE))&lt;&gt;"")*(IF(OFFSET(INDIRECT(CELL("address",INDEX('Leave Tracker'!$A$8:$A$107,MATCH($A54,'Leave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4">
        <f t="array" aca="1" ref="L54" ca="1">Sheet3!$W$2*$F54*(NETWORKDAYS(VLOOKUP(L$1,Sprints[],2,FALSE), VLOOKUP(L$1,Sprints[],3,FALSE))-SUMPRODUCT((OFFSET(INDIRECT(CELL("address",INDEX('Leave Tracker'!$A$8:$A$107,MATCH($A54,'Leave Tracker'!$A$8:$A$107,0)))),0,31*(VLOOKUP(L$1,Sprints[],5,FALSE))+DAY(VLOOKUP(L$1,Sprints[],2,FALSE)),1,VLOOKUP(L$1,Sprints[],4,FALSE))&lt;&gt;"")*(IF(OFFSET(INDIRECT(CELL("address",INDEX('Leave Tracker'!$A$8:$A$107,MATCH($A54,'Leave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4" s="45">
        <f t="array" aca="1" ref="M54" ca="1">Sheet3!$W$2*$F54*(NETWORKDAYS(VLOOKUP(M$1,Sprints[],2,FALSE), VLOOKUP(M$1,Sprints[],3,FALSE))-SUMPRODUCT((OFFSET(INDIRECT(CELL("address",INDEX('Leave Tracker'!$A$8:$A$107,MATCH($A54,'Leave Tracker'!$A$8:$A$107,0)))),0,31*(VLOOKUP(M$1,Sprints[],5,FALSE))+DAY(VLOOKUP(M$1,Sprints[],2,FALSE)),1,VLOOKUP(M$1,Sprints[],4,FALSE))&lt;&gt;"")*(IF(OFFSET(INDIRECT(CELL("address",INDEX('Leave Tracker'!$A$8:$A$107,MATCH($A54,'Leave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4">
        <f t="array" aca="1" ref="N54" ca="1">Sheet3!$W$2*$F54*(NETWORKDAYS(VLOOKUP(N$1,Sprints[],2,FALSE), VLOOKUP(N$1,Sprints[],3,FALSE))-SUMPRODUCT((OFFSET(INDIRECT(CELL("address",INDEX('Leave Tracker'!$A$8:$A$107,MATCH($A54,'Leave Tracker'!$A$8:$A$107,0)))),0,31*(VLOOKUP(N$1,Sprints[],5,FALSE))+DAY(VLOOKUP(N$1,Sprints[],2,FALSE)),1,VLOOKUP(N$1,Sprints[],4,FALSE))&lt;&gt;"")*(IF(OFFSET(INDIRECT(CELL("address",INDEX('Leave Tracker'!$A$8:$A$107,MATCH($A54,'Leave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4">
        <f t="array" aca="1" ref="O54" ca="1">Sheet3!$W$2*$F54*(NETWORKDAYS(VLOOKUP(O$1,Sprints[],2,FALSE), VLOOKUP(O$1,Sprints[],3,FALSE))-SUMPRODUCT((OFFSET(INDIRECT(CELL("address",INDEX('Leave Tracker'!$A$8:$A$107,MATCH($A54,'Leave Tracker'!$A$8:$A$107,0)))),0,31*(VLOOKUP(O$1,Sprints[],5,FALSE))+DAY(VLOOKUP(O$1,Sprints[],2,FALSE)),1,VLOOKUP(O$1,Sprints[],4,FALSE))&lt;&gt;"")*(IF(OFFSET(INDIRECT(CELL("address",INDEX('Leave Tracker'!$A$8:$A$107,MATCH($A54,'Leave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4">
        <f t="array" aca="1" ref="P54" ca="1">Sheet3!$W$2*$F54*(NETWORKDAYS(VLOOKUP(P$1,Sprints[],2,FALSE), VLOOKUP(P$1,Sprints[],3,FALSE))-SUMPRODUCT((OFFSET(INDIRECT(CELL("address",INDEX('Leave Tracker'!$A$8:$A$107,MATCH($A54,'Leave Tracker'!$A$8:$A$107,0)))),0,31*(VLOOKUP(P$1,Sprints[],5,FALSE))+DAY(VLOOKUP(P$1,Sprints[],2,FALSE)),1,VLOOKUP(P$1,Sprints[],4,FALSE))&lt;&gt;"")*(IF(OFFSET(INDIRECT(CELL("address",INDEX('Leave Tracker'!$A$8:$A$107,MATCH($A54,'Leave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4">
        <f t="array" aca="1" ref="Q54" ca="1">Sheet3!$W$2*$F54*(NETWORKDAYS(VLOOKUP(Q$1,Sprints[],2,FALSE), VLOOKUP(Q$1,Sprints[],3,FALSE))-SUMPRODUCT((OFFSET(INDIRECT(CELL("address",INDEX('Leave Tracker'!$A$8:$A$107,MATCH($A54,'Leave Tracker'!$A$8:$A$107,0)))),0,31*(VLOOKUP(Q$1,Sprints[],5,FALSE))+DAY(VLOOKUP(Q$1,Sprints[],2,FALSE)),1,VLOOKUP(Q$1,Sprints[],4,FALSE))&lt;&gt;"")*(IF(OFFSET(INDIRECT(CELL("address",INDEX('Leave Tracker'!$A$8:$A$107,MATCH($A54,'Leave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4">
        <f t="array" aca="1" ref="R54" ca="1">Sheet3!$W$2*$F54*(NETWORKDAYS(VLOOKUP(R$1,Sprints[],2,FALSE), VLOOKUP(R$1,Sprints[],3,FALSE))-SUMPRODUCT((OFFSET(INDIRECT(CELL("address",INDEX('Leave Tracker'!$A$8:$A$107,MATCH($A54,'Leave Tracker'!$A$8:$A$107,0)))),0,31*(VLOOKUP(R$1,Sprints[],5,FALSE))+DAY(VLOOKUP(R$1,Sprints[],2,FALSE)),1,VLOOKUP(R$1,Sprints[],4,FALSE))&lt;&gt;"")*(IF(OFFSET(INDIRECT(CELL("address",INDEX('Leave Tracker'!$A$8:$A$107,MATCH($A54,'Leave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4.2000000000000011</v>
      </c>
      <c r="S54" s="31">
        <f t="array" aca="1" ref="S54" ca="1">Sheet3!$W$2*$F54*(NETWORKDAYS(VLOOKUP(S$1,Sprints[],2,FALSE), VLOOKUP(S$1,Sprints[],3,FALSE))-SUMPRODUCT((OFFSET(INDIRECT(CELL("address",INDEX('Leave Tracker'!$A$8:$A$107,MATCH($A54,'Leave Tracker'!$A$8:$A$107,0)))),0,31*(VLOOKUP(S$1,Sprints[],5,FALSE))+DAY(VLOOKUP(S$1,Sprints[],2,FALSE)),1,VLOOKUP(S$1,Sprints[],4,FALSE))&lt;&gt;"")*(IF(OFFSET(INDIRECT(CELL("address",INDEX('Leave Tracker'!$A$8:$A$107,MATCH($A54,'Leave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1.2000000000000002</v>
      </c>
      <c r="T54" s="31">
        <f t="array" aca="1" ref="T54" ca="1">Sheet3!$W$2*$F54*(NETWORKDAYS(VLOOKUP(T$1,Sprints[],2,FALSE), VLOOKUP(T$1,Sprints[],3,FALSE))-SUMPRODUCT((OFFSET(INDIRECT(CELL("address",INDEX('Leave Tracker'!$A$8:$A$107,MATCH($A54,'Leave Tracker'!$A$8:$A$107,0)))),0,31*(VLOOKUP(T$1,Sprints[],5,FALSE))+DAY(VLOOKUP(T$1,Sprints[],2,FALSE)),1,VLOOKUP(T$1,Sprints[],4,FALSE))&lt;&gt;"")*(IF(OFFSET(INDIRECT(CELL("address",INDEX('Leave Tracker'!$A$8:$A$107,MATCH($A54,'Leave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4" s="78">
        <f t="array" aca="1" ref="U54" ca="1">Sheet3!$W$2*$F54*(NETWORKDAYS(VLOOKUP(U$1,Sprints[],2,FALSE), VLOOKUP(U$1,Sprints[],3,FALSE))-SUMPRODUCT((OFFSET(INDIRECT(CELL("address",INDEX('Leave Tracker'!$A$8:$A$107,MATCH($A54,'Leave Tracker'!$A$8:$A$107,0)))),0,31*(VLOOKUP(U$1,Sprints[],5,FALSE))+DAY(VLOOKUP(U$1,Sprints[],2,FALSE)),1,VLOOKUP(U$1,Sprints[],4,FALSE))&lt;&gt;"")*(IF(OFFSET(INDIRECT(CELL("address",INDEX('Leave Tracker'!$A$8:$A$107,MATCH($A54,'Leave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4.8000000000000007</v>
      </c>
    </row>
    <row r="55" spans="1:21" x14ac:dyDescent="0.45">
      <c r="A55" t="s">
        <v>107</v>
      </c>
      <c r="B55" s="45" t="s">
        <v>116</v>
      </c>
      <c r="C55" s="45" t="s">
        <v>118</v>
      </c>
      <c r="D55" s="45" t="s">
        <v>132</v>
      </c>
      <c r="E55" s="45" t="s">
        <v>125</v>
      </c>
      <c r="F55" s="47">
        <v>0.75</v>
      </c>
      <c r="G55" s="45">
        <f t="array" aca="1" ref="G55" ca="1">Sheet3!$W$2*$F55*(NETWORKDAYS(VLOOKUP(G$1,Sprints[],2,FALSE), VLOOKUP(G$1,Sprints[],3,FALSE))-SUMPRODUCT((OFFSET(INDIRECT(CELL("address",INDEX('Leave Tracker'!$A$8:$A$107,MATCH($A55,'Leave Tracker'!$A$8:$A$107,0)))),0,31*(VLOOKUP(G$1,Sprints[],5,FALSE))+DAY(VLOOKUP(G$1,Sprints[],2,FALSE)),1,VLOOKUP(G$1,Sprints[],4,FALSE))&lt;&gt;"")*(IF(OFFSET(INDIRECT(CELL("address",INDEX('Leave Tracker'!$A$8:$A$107,MATCH($A55,'Leave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5">
        <f t="array" aca="1" ref="H55" ca="1">Sheet3!$W$2*$F55*(NETWORKDAYS(VLOOKUP(H$1,Sprints[],2,FALSE), VLOOKUP(H$1,Sprints[],3,FALSE))-SUMPRODUCT((OFFSET(INDIRECT(CELL("address",INDEX('Leave Tracker'!$A$8:$A$107,MATCH($A55,'Leave Tracker'!$A$8:$A$107,0)))),0,31*(VLOOKUP(H$1,Sprints[],5,FALSE))+DAY(VLOOKUP(H$1,Sprints[],2,FALSE)),1,VLOOKUP(H$1,Sprints[],4,FALSE))&lt;&gt;"")*(IF(OFFSET(INDIRECT(CELL("address",INDEX('Leave Tracker'!$A$8:$A$107,MATCH($A55,'Leave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5">
        <f t="array" aca="1" ref="I55" ca="1">Sheet3!$W$2*$F55*(NETWORKDAYS(VLOOKUP(I$1,Sprints[],2,FALSE), VLOOKUP(I$1,Sprints[],3,FALSE))-SUMPRODUCT((OFFSET(INDIRECT(CELL("address",INDEX('Leave Tracker'!$A$8:$A$107,MATCH($A55,'Leave Tracker'!$A$8:$A$107,0)))),0,31*(VLOOKUP(I$1,Sprints[],5,FALSE))+DAY(VLOOKUP(I$1,Sprints[],2,FALSE)),1,VLOOKUP(I$1,Sprints[],4,FALSE))&lt;&gt;"")*(IF(OFFSET(INDIRECT(CELL("address",INDEX('Leave Tracker'!$A$8:$A$107,MATCH($A55,'Leave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5">
        <f t="array" aca="1" ref="J55" ca="1">Sheet3!$W$2*$F55*(NETWORKDAYS(VLOOKUP(J$1,Sprints[],2,FALSE), VLOOKUP(J$1,Sprints[],3,FALSE))-SUMPRODUCT((OFFSET(INDIRECT(CELL("address",INDEX('Leave Tracker'!$A$8:$A$107,MATCH($A55,'Leave Tracker'!$A$8:$A$107,0)))),0,31*(VLOOKUP(J$1,Sprints[],5,FALSE))+DAY(VLOOKUP(J$1,Sprints[],2,FALSE)),1,VLOOKUP(J$1,Sprints[],4,FALSE))&lt;&gt;"")*(IF(OFFSET(INDIRECT(CELL("address",INDEX('Leave Tracker'!$A$8:$A$107,MATCH($A55,'Leave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5">
        <f t="array" aca="1" ref="K55" ca="1">Sheet3!$W$2*$F55*(NETWORKDAYS(VLOOKUP(K$1,Sprints[],2,FALSE), VLOOKUP(K$1,Sprints[],3,FALSE))-SUMPRODUCT((OFFSET(INDIRECT(CELL("address",INDEX('Leave Tracker'!$A$8:$A$107,MATCH($A55,'Leave Tracker'!$A$8:$A$107,0)))),0,31*(VLOOKUP(K$1,Sprints[],5,FALSE))+DAY(VLOOKUP(K$1,Sprints[],2,FALSE)),1,VLOOKUP(K$1,Sprints[],4,FALSE))&lt;&gt;"")*(IF(OFFSET(INDIRECT(CELL("address",INDEX('Leave Tracker'!$A$8:$A$107,MATCH($A55,'Leave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5">
        <f t="array" aca="1" ref="L55" ca="1">Sheet3!$W$2*$F55*(NETWORKDAYS(VLOOKUP(L$1,Sprints[],2,FALSE), VLOOKUP(L$1,Sprints[],3,FALSE))-SUMPRODUCT((OFFSET(INDIRECT(CELL("address",INDEX('Leave Tracker'!$A$8:$A$107,MATCH($A55,'Leave Tracker'!$A$8:$A$107,0)))),0,31*(VLOOKUP(L$1,Sprints[],5,FALSE))+DAY(VLOOKUP(L$1,Sprints[],2,FALSE)),1,VLOOKUP(L$1,Sprints[],4,FALSE))&lt;&gt;"")*(IF(OFFSET(INDIRECT(CELL("address",INDEX('Leave Tracker'!$A$8:$A$107,MATCH($A55,'Leave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5" s="45">
        <f t="array" aca="1" ref="M55" ca="1">Sheet3!$W$2*$F55*(NETWORKDAYS(VLOOKUP(M$1,Sprints[],2,FALSE), VLOOKUP(M$1,Sprints[],3,FALSE))-SUMPRODUCT((OFFSET(INDIRECT(CELL("address",INDEX('Leave Tracker'!$A$8:$A$107,MATCH($A55,'Leave Tracker'!$A$8:$A$107,0)))),0,31*(VLOOKUP(M$1,Sprints[],5,FALSE))+DAY(VLOOKUP(M$1,Sprints[],2,FALSE)),1,VLOOKUP(M$1,Sprints[],4,FALSE))&lt;&gt;"")*(IF(OFFSET(INDIRECT(CELL("address",INDEX('Leave Tracker'!$A$8:$A$107,MATCH($A55,'Leave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5">
        <f t="array" aca="1" ref="N55" ca="1">Sheet3!$W$2*$F55*(NETWORKDAYS(VLOOKUP(N$1,Sprints[],2,FALSE), VLOOKUP(N$1,Sprints[],3,FALSE))-SUMPRODUCT((OFFSET(INDIRECT(CELL("address",INDEX('Leave Tracker'!$A$8:$A$107,MATCH($A55,'Leave Tracker'!$A$8:$A$107,0)))),0,31*(VLOOKUP(N$1,Sprints[],5,FALSE))+DAY(VLOOKUP(N$1,Sprints[],2,FALSE)),1,VLOOKUP(N$1,Sprints[],4,FALSE))&lt;&gt;"")*(IF(OFFSET(INDIRECT(CELL("address",INDEX('Leave Tracker'!$A$8:$A$107,MATCH($A55,'Leave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1.8000000000000003</v>
      </c>
      <c r="O55">
        <f t="array" aca="1" ref="O55" ca="1">Sheet3!$W$2*$F55*(NETWORKDAYS(VLOOKUP(O$1,Sprints[],2,FALSE), VLOOKUP(O$1,Sprints[],3,FALSE))-SUMPRODUCT((OFFSET(INDIRECT(CELL("address",INDEX('Leave Tracker'!$A$8:$A$107,MATCH($A55,'Leave Tracker'!$A$8:$A$107,0)))),0,31*(VLOOKUP(O$1,Sprints[],5,FALSE))+DAY(VLOOKUP(O$1,Sprints[],2,FALSE)),1,VLOOKUP(O$1,Sprints[],4,FALSE))&lt;&gt;"")*(IF(OFFSET(INDIRECT(CELL("address",INDEX('Leave Tracker'!$A$8:$A$107,MATCH($A55,'Leave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1.2000000000000002</v>
      </c>
      <c r="P55">
        <f t="array" aca="1" ref="P55" ca="1">Sheet3!$W$2*$F55*(NETWORKDAYS(VLOOKUP(P$1,Sprints[],2,FALSE), VLOOKUP(P$1,Sprints[],3,FALSE))-SUMPRODUCT((OFFSET(INDIRECT(CELL("address",INDEX('Leave Tracker'!$A$8:$A$107,MATCH($A55,'Leave Tracker'!$A$8:$A$107,0)))),0,31*(VLOOKUP(P$1,Sprints[],5,FALSE))+DAY(VLOOKUP(P$1,Sprints[],2,FALSE)),1,VLOOKUP(P$1,Sprints[],4,FALSE))&lt;&gt;"")*(IF(OFFSET(INDIRECT(CELL("address",INDEX('Leave Tracker'!$A$8:$A$107,MATCH($A55,'Leave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5">
        <f t="array" aca="1" ref="Q55" ca="1">Sheet3!$W$2*$F55*(NETWORKDAYS(VLOOKUP(Q$1,Sprints[],2,FALSE), VLOOKUP(Q$1,Sprints[],3,FALSE))-SUMPRODUCT((OFFSET(INDIRECT(CELL("address",INDEX('Leave Tracker'!$A$8:$A$107,MATCH($A55,'Leave Tracker'!$A$8:$A$107,0)))),0,31*(VLOOKUP(Q$1,Sprints[],5,FALSE))+DAY(VLOOKUP(Q$1,Sprints[],2,FALSE)),1,VLOOKUP(Q$1,Sprints[],4,FALSE))&lt;&gt;"")*(IF(OFFSET(INDIRECT(CELL("address",INDEX('Leave Tracker'!$A$8:$A$107,MATCH($A55,'Leave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5">
        <f t="array" aca="1" ref="R55" ca="1">Sheet3!$W$2*$F55*(NETWORKDAYS(VLOOKUP(R$1,Sprints[],2,FALSE), VLOOKUP(R$1,Sprints[],3,FALSE))-SUMPRODUCT((OFFSET(INDIRECT(CELL("address",INDEX('Leave Tracker'!$A$8:$A$107,MATCH($A55,'Leave Tracker'!$A$8:$A$107,0)))),0,31*(VLOOKUP(R$1,Sprints[],5,FALSE))+DAY(VLOOKUP(R$1,Sprints[],2,FALSE)),1,VLOOKUP(R$1,Sprints[],4,FALSE))&lt;&gt;"")*(IF(OFFSET(INDIRECT(CELL("address",INDEX('Leave Tracker'!$A$8:$A$107,MATCH($A55,'Leave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5" s="31">
        <f t="array" aca="1" ref="S55" ca="1">Sheet3!$W$2*$F55*(NETWORKDAYS(VLOOKUP(S$1,Sprints[],2,FALSE), VLOOKUP(S$1,Sprints[],3,FALSE))-SUMPRODUCT((OFFSET(INDIRECT(CELL("address",INDEX('Leave Tracker'!$A$8:$A$107,MATCH($A55,'Leave Tracker'!$A$8:$A$107,0)))),0,31*(VLOOKUP(S$1,Sprints[],5,FALSE))+DAY(VLOOKUP(S$1,Sprints[],2,FALSE)),1,VLOOKUP(S$1,Sprints[],4,FALSE))&lt;&gt;"")*(IF(OFFSET(INDIRECT(CELL("address",INDEX('Leave Tracker'!$A$8:$A$107,MATCH($A55,'Leave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5" s="31">
        <f t="array" aca="1" ref="T55" ca="1">Sheet3!$W$2*$F55*(NETWORKDAYS(VLOOKUP(T$1,Sprints[],2,FALSE), VLOOKUP(T$1,Sprints[],3,FALSE))-SUMPRODUCT((OFFSET(INDIRECT(CELL("address",INDEX('Leave Tracker'!$A$8:$A$107,MATCH($A55,'Leave Tracker'!$A$8:$A$107,0)))),0,31*(VLOOKUP(T$1,Sprints[],5,FALSE))+DAY(VLOOKUP(T$1,Sprints[],2,FALSE)),1,VLOOKUP(T$1,Sprints[],4,FALSE))&lt;&gt;"")*(IF(OFFSET(INDIRECT(CELL("address",INDEX('Leave Tracker'!$A$8:$A$107,MATCH($A55,'Leave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5" s="78">
        <f t="array" aca="1" ref="U55" ca="1">Sheet3!$W$2*$F55*(NETWORKDAYS(VLOOKUP(U$1,Sprints[],2,FALSE), VLOOKUP(U$1,Sprints[],3,FALSE))-SUMPRODUCT((OFFSET(INDIRECT(CELL("address",INDEX('Leave Tracker'!$A$8:$A$107,MATCH($A55,'Leave Tracker'!$A$8:$A$107,0)))),0,31*(VLOOKUP(U$1,Sprints[],5,FALSE))+DAY(VLOOKUP(U$1,Sprints[],2,FALSE)),1,VLOOKUP(U$1,Sprints[],4,FALSE))&lt;&gt;"")*(IF(OFFSET(INDIRECT(CELL("address",INDEX('Leave Tracker'!$A$8:$A$107,MATCH($A55,'Leave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11.400000000000002</v>
      </c>
    </row>
    <row r="56" spans="1:21" x14ac:dyDescent="0.45">
      <c r="A56" t="s">
        <v>108</v>
      </c>
      <c r="B56" s="45" t="s">
        <v>116</v>
      </c>
      <c r="C56" s="45" t="s">
        <v>118</v>
      </c>
      <c r="D56" s="45" t="s">
        <v>132</v>
      </c>
      <c r="E56" s="45" t="s">
        <v>124</v>
      </c>
      <c r="F56" s="47">
        <v>0.75</v>
      </c>
      <c r="G56" s="45">
        <f t="array" aca="1" ref="G56" ca="1">Sheet3!$W$2*$F56*(NETWORKDAYS(VLOOKUP(G$1,Sprints[],2,FALSE), VLOOKUP(G$1,Sprints[],3,FALSE))-SUMPRODUCT((OFFSET(INDIRECT(CELL("address",INDEX('Leave Tracker'!$A$8:$A$107,MATCH($A56,'Leave Tracker'!$A$8:$A$107,0)))),0,31*(VLOOKUP(G$1,Sprints[],5,FALSE))+DAY(VLOOKUP(G$1,Sprints[],2,FALSE)),1,VLOOKUP(G$1,Sprints[],4,FALSE))&lt;&gt;"")*(IF(OFFSET(INDIRECT(CELL("address",INDEX('Leave Tracker'!$A$8:$A$107,MATCH($A56,'Leave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6">
        <f t="array" aca="1" ref="H56" ca="1">Sheet3!$W$2*$F56*(NETWORKDAYS(VLOOKUP(H$1,Sprints[],2,FALSE), VLOOKUP(H$1,Sprints[],3,FALSE))-SUMPRODUCT((OFFSET(INDIRECT(CELL("address",INDEX('Leave Tracker'!$A$8:$A$107,MATCH($A56,'Leave Tracker'!$A$8:$A$107,0)))),0,31*(VLOOKUP(H$1,Sprints[],5,FALSE))+DAY(VLOOKUP(H$1,Sprints[],2,FALSE)),1,VLOOKUP(H$1,Sprints[],4,FALSE))&lt;&gt;"")*(IF(OFFSET(INDIRECT(CELL("address",INDEX('Leave Tracker'!$A$8:$A$107,MATCH($A56,'Leave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6">
        <f t="array" aca="1" ref="I56" ca="1">Sheet3!$W$2*$F56*(NETWORKDAYS(VLOOKUP(I$1,Sprints[],2,FALSE), VLOOKUP(I$1,Sprints[],3,FALSE))-SUMPRODUCT((OFFSET(INDIRECT(CELL("address",INDEX('Leave Tracker'!$A$8:$A$107,MATCH($A56,'Leave Tracker'!$A$8:$A$107,0)))),0,31*(VLOOKUP(I$1,Sprints[],5,FALSE))+DAY(VLOOKUP(I$1,Sprints[],2,FALSE)),1,VLOOKUP(I$1,Sprints[],4,FALSE))&lt;&gt;"")*(IF(OFFSET(INDIRECT(CELL("address",INDEX('Leave Tracker'!$A$8:$A$107,MATCH($A56,'Leave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6">
        <f t="array" aca="1" ref="J56" ca="1">Sheet3!$W$2*$F56*(NETWORKDAYS(VLOOKUP(J$1,Sprints[],2,FALSE), VLOOKUP(J$1,Sprints[],3,FALSE))-SUMPRODUCT((OFFSET(INDIRECT(CELL("address",INDEX('Leave Tracker'!$A$8:$A$107,MATCH($A56,'Leave Tracker'!$A$8:$A$107,0)))),0,31*(VLOOKUP(J$1,Sprints[],5,FALSE))+DAY(VLOOKUP(J$1,Sprints[],2,FALSE)),1,VLOOKUP(J$1,Sprints[],4,FALSE))&lt;&gt;"")*(IF(OFFSET(INDIRECT(CELL("address",INDEX('Leave Tracker'!$A$8:$A$107,MATCH($A56,'Leave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6">
        <f t="array" aca="1" ref="K56" ca="1">Sheet3!$W$2*$F56*(NETWORKDAYS(VLOOKUP(K$1,Sprints[],2,FALSE), VLOOKUP(K$1,Sprints[],3,FALSE))-SUMPRODUCT((OFFSET(INDIRECT(CELL("address",INDEX('Leave Tracker'!$A$8:$A$107,MATCH($A56,'Leave Tracker'!$A$8:$A$107,0)))),0,31*(VLOOKUP(K$1,Sprints[],5,FALSE))+DAY(VLOOKUP(K$1,Sprints[],2,FALSE)),1,VLOOKUP(K$1,Sprints[],4,FALSE))&lt;&gt;"")*(IF(OFFSET(INDIRECT(CELL("address",INDEX('Leave Tracker'!$A$8:$A$107,MATCH($A56,'Leave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6">
        <f t="array" aca="1" ref="L56" ca="1">Sheet3!$W$2*$F56*(NETWORKDAYS(VLOOKUP(L$1,Sprints[],2,FALSE), VLOOKUP(L$1,Sprints[],3,FALSE))-SUMPRODUCT((OFFSET(INDIRECT(CELL("address",INDEX('Leave Tracker'!$A$8:$A$107,MATCH($A56,'Leave Tracker'!$A$8:$A$107,0)))),0,31*(VLOOKUP(L$1,Sprints[],5,FALSE))+DAY(VLOOKUP(L$1,Sprints[],2,FALSE)),1,VLOOKUP(L$1,Sprints[],4,FALSE))&lt;&gt;"")*(IF(OFFSET(INDIRECT(CELL("address",INDEX('Leave Tracker'!$A$8:$A$107,MATCH($A56,'Leave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6" s="45">
        <f t="array" aca="1" ref="M56" ca="1">Sheet3!$W$2*$F56*(NETWORKDAYS(VLOOKUP(M$1,Sprints[],2,FALSE), VLOOKUP(M$1,Sprints[],3,FALSE))-SUMPRODUCT((OFFSET(INDIRECT(CELL("address",INDEX('Leave Tracker'!$A$8:$A$107,MATCH($A56,'Leave Tracker'!$A$8:$A$107,0)))),0,31*(VLOOKUP(M$1,Sprints[],5,FALSE))+DAY(VLOOKUP(M$1,Sprints[],2,FALSE)),1,VLOOKUP(M$1,Sprints[],4,FALSE))&lt;&gt;"")*(IF(OFFSET(INDIRECT(CELL("address",INDEX('Leave Tracker'!$A$8:$A$107,MATCH($A56,'Leave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6">
        <f t="array" aca="1" ref="N56" ca="1">Sheet3!$W$2*$F56*(NETWORKDAYS(VLOOKUP(N$1,Sprints[],2,FALSE), VLOOKUP(N$1,Sprints[],3,FALSE))-SUMPRODUCT((OFFSET(INDIRECT(CELL("address",INDEX('Leave Tracker'!$A$8:$A$107,MATCH($A56,'Leave Tracker'!$A$8:$A$107,0)))),0,31*(VLOOKUP(N$1,Sprints[],5,FALSE))+DAY(VLOOKUP(N$1,Sprints[],2,FALSE)),1,VLOOKUP(N$1,Sprints[],4,FALSE))&lt;&gt;"")*(IF(OFFSET(INDIRECT(CELL("address",INDEX('Leave Tracker'!$A$8:$A$107,MATCH($A56,'Leave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56">
        <f t="array" aca="1" ref="O56" ca="1">Sheet3!$W$2*$F56*(NETWORKDAYS(VLOOKUP(O$1,Sprints[],2,FALSE), VLOOKUP(O$1,Sprints[],3,FALSE))-SUMPRODUCT((OFFSET(INDIRECT(CELL("address",INDEX('Leave Tracker'!$A$8:$A$107,MATCH($A56,'Leave Tracker'!$A$8:$A$107,0)))),0,31*(VLOOKUP(O$1,Sprints[],5,FALSE))+DAY(VLOOKUP(O$1,Sprints[],2,FALSE)),1,VLOOKUP(O$1,Sprints[],4,FALSE))&lt;&gt;"")*(IF(OFFSET(INDIRECT(CELL("address",INDEX('Leave Tracker'!$A$8:$A$107,MATCH($A56,'Leave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1.2000000000000002</v>
      </c>
      <c r="P56">
        <f t="array" aca="1" ref="P56" ca="1">Sheet3!$W$2*$F56*(NETWORKDAYS(VLOOKUP(P$1,Sprints[],2,FALSE), VLOOKUP(P$1,Sprints[],3,FALSE))-SUMPRODUCT((OFFSET(INDIRECT(CELL("address",INDEX('Leave Tracker'!$A$8:$A$107,MATCH($A56,'Leave Tracker'!$A$8:$A$107,0)))),0,31*(VLOOKUP(P$1,Sprints[],5,FALSE))+DAY(VLOOKUP(P$1,Sprints[],2,FALSE)),1,VLOOKUP(P$1,Sprints[],4,FALSE))&lt;&gt;"")*(IF(OFFSET(INDIRECT(CELL("address",INDEX('Leave Tracker'!$A$8:$A$107,MATCH($A56,'Leave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6">
        <f t="array" aca="1" ref="Q56" ca="1">Sheet3!$W$2*$F56*(NETWORKDAYS(VLOOKUP(Q$1,Sprints[],2,FALSE), VLOOKUP(Q$1,Sprints[],3,FALSE))-SUMPRODUCT((OFFSET(INDIRECT(CELL("address",INDEX('Leave Tracker'!$A$8:$A$107,MATCH($A56,'Leave Tracker'!$A$8:$A$107,0)))),0,31*(VLOOKUP(Q$1,Sprints[],5,FALSE))+DAY(VLOOKUP(Q$1,Sprints[],2,FALSE)),1,VLOOKUP(Q$1,Sprints[],4,FALSE))&lt;&gt;"")*(IF(OFFSET(INDIRECT(CELL("address",INDEX('Leave Tracker'!$A$8:$A$107,MATCH($A56,'Leave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6">
        <f t="array" aca="1" ref="R56" ca="1">Sheet3!$W$2*$F56*(NETWORKDAYS(VLOOKUP(R$1,Sprints[],2,FALSE), VLOOKUP(R$1,Sprints[],3,FALSE))-SUMPRODUCT((OFFSET(INDIRECT(CELL("address",INDEX('Leave Tracker'!$A$8:$A$107,MATCH($A56,'Leave Tracker'!$A$8:$A$107,0)))),0,31*(VLOOKUP(R$1,Sprints[],5,FALSE))+DAY(VLOOKUP(R$1,Sprints[],2,FALSE)),1,VLOOKUP(R$1,Sprints[],4,FALSE))&lt;&gt;"")*(IF(OFFSET(INDIRECT(CELL("address",INDEX('Leave Tracker'!$A$8:$A$107,MATCH($A56,'Leave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6" s="31">
        <f t="array" aca="1" ref="S56" ca="1">Sheet3!$W$2*$F56*(NETWORKDAYS(VLOOKUP(S$1,Sprints[],2,FALSE), VLOOKUP(S$1,Sprints[],3,FALSE))-SUMPRODUCT((OFFSET(INDIRECT(CELL("address",INDEX('Leave Tracker'!$A$8:$A$107,MATCH($A56,'Leave Tracker'!$A$8:$A$107,0)))),0,31*(VLOOKUP(S$1,Sprints[],5,FALSE))+DAY(VLOOKUP(S$1,Sprints[],2,FALSE)),1,VLOOKUP(S$1,Sprints[],4,FALSE))&lt;&gt;"")*(IF(OFFSET(INDIRECT(CELL("address",INDEX('Leave Tracker'!$A$8:$A$107,MATCH($A56,'Leave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6" s="31">
        <f t="array" aca="1" ref="T56" ca="1">Sheet3!$W$2*$F56*(NETWORKDAYS(VLOOKUP(T$1,Sprints[],2,FALSE), VLOOKUP(T$1,Sprints[],3,FALSE))-SUMPRODUCT((OFFSET(INDIRECT(CELL("address",INDEX('Leave Tracker'!$A$8:$A$107,MATCH($A56,'Leave Tracker'!$A$8:$A$107,0)))),0,31*(VLOOKUP(T$1,Sprints[],5,FALSE))+DAY(VLOOKUP(T$1,Sprints[],2,FALSE)),1,VLOOKUP(T$1,Sprints[],4,FALSE))&lt;&gt;"")*(IF(OFFSET(INDIRECT(CELL("address",INDEX('Leave Tracker'!$A$8:$A$107,MATCH($A56,'Leave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6" s="78">
        <f t="array" aca="1" ref="U56" ca="1">Sheet3!$W$2*$F56*(NETWORKDAYS(VLOOKUP(U$1,Sprints[],2,FALSE), VLOOKUP(U$1,Sprints[],3,FALSE))-SUMPRODUCT((OFFSET(INDIRECT(CELL("address",INDEX('Leave Tracker'!$A$8:$A$107,MATCH($A56,'Leave Tracker'!$A$8:$A$107,0)))),0,31*(VLOOKUP(U$1,Sprints[],5,FALSE))+DAY(VLOOKUP(U$1,Sprints[],2,FALSE)),1,VLOOKUP(U$1,Sprints[],4,FALSE))&lt;&gt;"")*(IF(OFFSET(INDIRECT(CELL("address",INDEX('Leave Tracker'!$A$8:$A$107,MATCH($A56,'Leave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11.400000000000002</v>
      </c>
    </row>
    <row r="57" spans="1:21" s="45" customFormat="1" x14ac:dyDescent="0.45">
      <c r="A57" t="s">
        <v>109</v>
      </c>
      <c r="B57" s="45" t="s">
        <v>116</v>
      </c>
      <c r="C57" s="45" t="s">
        <v>118</v>
      </c>
      <c r="D57" s="45" t="s">
        <v>132</v>
      </c>
      <c r="E57" s="45" t="s">
        <v>125</v>
      </c>
      <c r="F57" s="47">
        <v>0.75</v>
      </c>
      <c r="G57" s="45">
        <f t="array" aca="1" ref="G57" ca="1">Sheet3!$W$2*$F57*(NETWORKDAYS(VLOOKUP(G$1,Sprints[],2,FALSE), VLOOKUP(G$1,Sprints[],3,FALSE))-SUMPRODUCT((OFFSET(INDIRECT(CELL("address",INDEX('Leave Tracker'!$A$8:$A$107,MATCH($A57,'Leave Tracker'!$A$8:$A$107,0)))),0,31*(VLOOKUP(G$1,Sprints[],5,FALSE))+DAY(VLOOKUP(G$1,Sprints[],2,FALSE)),1,VLOOKUP(G$1,Sprints[],4,FALSE))&lt;&gt;"")*(IF(OFFSET(INDIRECT(CELL("address",INDEX('Leave Tracker'!$A$8:$A$107,MATCH($A57,'Leave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7">
        <f t="array" aca="1" ref="H57" ca="1">Sheet3!$W$2*$F57*(NETWORKDAYS(VLOOKUP(H$1,Sprints[],2,FALSE), VLOOKUP(H$1,Sprints[],3,FALSE))-SUMPRODUCT((OFFSET(INDIRECT(CELL("address",INDEX('Leave Tracker'!$A$8:$A$107,MATCH($A57,'Leave Tracker'!$A$8:$A$107,0)))),0,31*(VLOOKUP(H$1,Sprints[],5,FALSE))+DAY(VLOOKUP(H$1,Sprints[],2,FALSE)),1,VLOOKUP(H$1,Sprints[],4,FALSE))&lt;&gt;"")*(IF(OFFSET(INDIRECT(CELL("address",INDEX('Leave Tracker'!$A$8:$A$107,MATCH($A57,'Leave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7">
        <f t="array" aca="1" ref="I57" ca="1">Sheet3!$W$2*$F57*(NETWORKDAYS(VLOOKUP(I$1,Sprints[],2,FALSE), VLOOKUP(I$1,Sprints[],3,FALSE))-SUMPRODUCT((OFFSET(INDIRECT(CELL("address",INDEX('Leave Tracker'!$A$8:$A$107,MATCH($A57,'Leave Tracker'!$A$8:$A$107,0)))),0,31*(VLOOKUP(I$1,Sprints[],5,FALSE))+DAY(VLOOKUP(I$1,Sprints[],2,FALSE)),1,VLOOKUP(I$1,Sprints[],4,FALSE))&lt;&gt;"")*(IF(OFFSET(INDIRECT(CELL("address",INDEX('Leave Tracker'!$A$8:$A$107,MATCH($A57,'Leave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7">
        <f t="array" aca="1" ref="J57" ca="1">Sheet3!$W$2*$F57*(NETWORKDAYS(VLOOKUP(J$1,Sprints[],2,FALSE), VLOOKUP(J$1,Sprints[],3,FALSE))-SUMPRODUCT((OFFSET(INDIRECT(CELL("address",INDEX('Leave Tracker'!$A$8:$A$107,MATCH($A57,'Leave Tracker'!$A$8:$A$107,0)))),0,31*(VLOOKUP(J$1,Sprints[],5,FALSE))+DAY(VLOOKUP(J$1,Sprints[],2,FALSE)),1,VLOOKUP(J$1,Sprints[],4,FALSE))&lt;&gt;"")*(IF(OFFSET(INDIRECT(CELL("address",INDEX('Leave Tracker'!$A$8:$A$107,MATCH($A57,'Leave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7">
        <f t="array" aca="1" ref="K57" ca="1">Sheet3!$W$2*$F57*(NETWORKDAYS(VLOOKUP(K$1,Sprints[],2,FALSE), VLOOKUP(K$1,Sprints[],3,FALSE))-SUMPRODUCT((OFFSET(INDIRECT(CELL("address",INDEX('Leave Tracker'!$A$8:$A$107,MATCH($A57,'Leave Tracker'!$A$8:$A$107,0)))),0,31*(VLOOKUP(K$1,Sprints[],5,FALSE))+DAY(VLOOKUP(K$1,Sprints[],2,FALSE)),1,VLOOKUP(K$1,Sprints[],4,FALSE))&lt;&gt;"")*(IF(OFFSET(INDIRECT(CELL("address",INDEX('Leave Tracker'!$A$8:$A$107,MATCH($A57,'Leave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7" s="45">
        <f t="array" aca="1" ref="L57" ca="1">Sheet3!$W$2*$F57*(NETWORKDAYS(VLOOKUP(L$1,Sprints[],2,FALSE), VLOOKUP(L$1,Sprints[],3,FALSE))-SUMPRODUCT((OFFSET(INDIRECT(CELL("address",INDEX('Leave Tracker'!$A$8:$A$107,MATCH($A57,'Leave Tracker'!$A$8:$A$107,0)))),0,31*(VLOOKUP(L$1,Sprints[],5,FALSE))+DAY(VLOOKUP(L$1,Sprints[],2,FALSE)),1,VLOOKUP(L$1,Sprints[],4,FALSE))&lt;&gt;"")*(IF(OFFSET(INDIRECT(CELL("address",INDEX('Leave Tracker'!$A$8:$A$107,MATCH($A57,'Leave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7">
        <f t="array" aca="1" ref="M57" ca="1">Sheet3!$W$2*$F57*(NETWORKDAYS(VLOOKUP(M$1,Sprints[],2,FALSE), VLOOKUP(M$1,Sprints[],3,FALSE))-SUMPRODUCT((OFFSET(INDIRECT(CELL("address",INDEX('Leave Tracker'!$A$8:$A$107,MATCH($A57,'Leave Tracker'!$A$8:$A$107,0)))),0,31*(VLOOKUP(M$1,Sprints[],5,FALSE))+DAY(VLOOKUP(M$1,Sprints[],2,FALSE)),1,VLOOKUP(M$1,Sprints[],4,FALSE))&lt;&gt;"")*(IF(OFFSET(INDIRECT(CELL("address",INDEX('Leave Tracker'!$A$8:$A$107,MATCH($A57,'Leave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7">
        <f t="array" aca="1" ref="N57" ca="1">Sheet3!$W$2*$F57*(NETWORKDAYS(VLOOKUP(N$1,Sprints[],2,FALSE), VLOOKUP(N$1,Sprints[],3,FALSE))-SUMPRODUCT((OFFSET(INDIRECT(CELL("address",INDEX('Leave Tracker'!$A$8:$A$107,MATCH($A57,'Leave Tracker'!$A$8:$A$107,0)))),0,31*(VLOOKUP(N$1,Sprints[],5,FALSE))+DAY(VLOOKUP(N$1,Sprints[],2,FALSE)),1,VLOOKUP(N$1,Sprints[],4,FALSE))&lt;&gt;"")*(IF(OFFSET(INDIRECT(CELL("address",INDEX('Leave Tracker'!$A$8:$A$107,MATCH($A57,'Leave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7">
        <f t="array" aca="1" ref="O57" ca="1">Sheet3!$W$2*$F57*(NETWORKDAYS(VLOOKUP(O$1,Sprints[],2,FALSE), VLOOKUP(O$1,Sprints[],3,FALSE))-SUMPRODUCT((OFFSET(INDIRECT(CELL("address",INDEX('Leave Tracker'!$A$8:$A$107,MATCH($A57,'Leave Tracker'!$A$8:$A$107,0)))),0,31*(VLOOKUP(O$1,Sprints[],5,FALSE))+DAY(VLOOKUP(O$1,Sprints[],2,FALSE)),1,VLOOKUP(O$1,Sprints[],4,FALSE))&lt;&gt;"")*(IF(OFFSET(INDIRECT(CELL("address",INDEX('Leave Tracker'!$A$8:$A$107,MATCH($A57,'Leave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7">
        <f t="array" aca="1" ref="P57" ca="1">Sheet3!$W$2*$F57*(NETWORKDAYS(VLOOKUP(P$1,Sprints[],2,FALSE), VLOOKUP(P$1,Sprints[],3,FALSE))-SUMPRODUCT((OFFSET(INDIRECT(CELL("address",INDEX('Leave Tracker'!$A$8:$A$107,MATCH($A57,'Leave Tracker'!$A$8:$A$107,0)))),0,31*(VLOOKUP(P$1,Sprints[],5,FALSE))+DAY(VLOOKUP(P$1,Sprints[],2,FALSE)),1,VLOOKUP(P$1,Sprints[],4,FALSE))&lt;&gt;"")*(IF(OFFSET(INDIRECT(CELL("address",INDEX('Leave Tracker'!$A$8:$A$107,MATCH($A57,'Leave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7">
        <f t="array" aca="1" ref="Q57" ca="1">Sheet3!$W$2*$F57*(NETWORKDAYS(VLOOKUP(Q$1,Sprints[],2,FALSE), VLOOKUP(Q$1,Sprints[],3,FALSE))-SUMPRODUCT((OFFSET(INDIRECT(CELL("address",INDEX('Leave Tracker'!$A$8:$A$107,MATCH($A57,'Leave Tracker'!$A$8:$A$107,0)))),0,31*(VLOOKUP(Q$1,Sprints[],5,FALSE))+DAY(VLOOKUP(Q$1,Sprints[],2,FALSE)),1,VLOOKUP(Q$1,Sprints[],4,FALSE))&lt;&gt;"")*(IF(OFFSET(INDIRECT(CELL("address",INDEX('Leave Tracker'!$A$8:$A$107,MATCH($A57,'Leave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7">
        <f t="array" aca="1" ref="R57" ca="1">Sheet3!$W$2*$F57*(NETWORKDAYS(VLOOKUP(R$1,Sprints[],2,FALSE), VLOOKUP(R$1,Sprints[],3,FALSE))-SUMPRODUCT((OFFSET(INDIRECT(CELL("address",INDEX('Leave Tracker'!$A$8:$A$107,MATCH($A57,'Leave Tracker'!$A$8:$A$107,0)))),0,31*(VLOOKUP(R$1,Sprints[],5,FALSE))+DAY(VLOOKUP(R$1,Sprints[],2,FALSE)),1,VLOOKUP(R$1,Sprints[],4,FALSE))&lt;&gt;"")*(IF(OFFSET(INDIRECT(CELL("address",INDEX('Leave Tracker'!$A$8:$A$107,MATCH($A57,'Leave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7" s="31">
        <f t="array" aca="1" ref="S57" ca="1">Sheet3!$W$2*$F57*(NETWORKDAYS(VLOOKUP(S$1,Sprints[],2,FALSE), VLOOKUP(S$1,Sprints[],3,FALSE))-SUMPRODUCT((OFFSET(INDIRECT(CELL("address",INDEX('Leave Tracker'!$A$8:$A$107,MATCH($A57,'Leave Tracker'!$A$8:$A$107,0)))),0,31*(VLOOKUP(S$1,Sprints[],5,FALSE))+DAY(VLOOKUP(S$1,Sprints[],2,FALSE)),1,VLOOKUP(S$1,Sprints[],4,FALSE))&lt;&gt;"")*(IF(OFFSET(INDIRECT(CELL("address",INDEX('Leave Tracker'!$A$8:$A$107,MATCH($A57,'Leave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7" s="31">
        <f t="array" aca="1" ref="T57" ca="1">Sheet3!$W$2*$F57*(NETWORKDAYS(VLOOKUP(T$1,Sprints[],2,FALSE), VLOOKUP(T$1,Sprints[],3,FALSE))-SUMPRODUCT((OFFSET(INDIRECT(CELL("address",INDEX('Leave Tracker'!$A$8:$A$107,MATCH($A57,'Leave Tracker'!$A$8:$A$107,0)))),0,31*(VLOOKUP(T$1,Sprints[],5,FALSE))+DAY(VLOOKUP(T$1,Sprints[],2,FALSE)),1,VLOOKUP(T$1,Sprints[],4,FALSE))&lt;&gt;"")*(IF(OFFSET(INDIRECT(CELL("address",INDEX('Leave Tracker'!$A$8:$A$107,MATCH($A57,'Leave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7" s="78">
        <f t="array" aca="1" ref="U57" ca="1">Sheet3!$W$2*$F57*(NETWORKDAYS(VLOOKUP(U$1,Sprints[],2,FALSE), VLOOKUP(U$1,Sprints[],3,FALSE))-SUMPRODUCT((OFFSET(INDIRECT(CELL("address",INDEX('Leave Tracker'!$A$8:$A$107,MATCH($A57,'Leave Tracker'!$A$8:$A$107,0)))),0,31*(VLOOKUP(U$1,Sprints[],5,FALSE))+DAY(VLOOKUP(U$1,Sprints[],2,FALSE)),1,VLOOKUP(U$1,Sprints[],4,FALSE))&lt;&gt;"")*(IF(OFFSET(INDIRECT(CELL("address",INDEX('Leave Tracker'!$A$8:$A$107,MATCH($A57,'Leave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11.400000000000002</v>
      </c>
    </row>
    <row r="58" spans="1:21" s="45" customFormat="1" x14ac:dyDescent="0.45">
      <c r="A58" s="45" t="s">
        <v>179</v>
      </c>
      <c r="B58" s="45" t="s">
        <v>119</v>
      </c>
      <c r="C58" s="45" t="s">
        <v>118</v>
      </c>
      <c r="D58" s="45" t="s">
        <v>133</v>
      </c>
      <c r="E58" s="45" t="s">
        <v>128</v>
      </c>
      <c r="F58" s="47">
        <v>0.15</v>
      </c>
      <c r="G58" s="31">
        <f t="array" aca="1" ref="G58" ca="1">Sheet3!$W$2*$F58*(NETWORKDAYS(VLOOKUP(G$1,Sprints[],2,FALSE), VLOOKUP(G$1,Sprints[],3,FALSE))-SUMPRODUCT((OFFSET(INDIRECT(CELL("address",INDEX('Leave Tracker'!$A$8:$A$107,MATCH($A58,'Leave Tracker'!$A$8:$A$107,0)))),0,31*(VLOOKUP(G$1,Sprints[],5,FALSE))+DAY(VLOOKUP(G$1,Sprints[],2,FALSE)),1,VLOOKUP(G$1,Sprints[],4,FALSE))&lt;&gt;"")*(IF(OFFSET(INDIRECT(CELL("address",INDEX('Leave Tracker'!$A$8:$A$107,MATCH($A58,'Leave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58" s="31">
        <f t="array" aca="1" ref="H58" ca="1">Sheet3!$W$2*$F58*(NETWORKDAYS(VLOOKUP(H$1,Sprints[],2,FALSE), VLOOKUP(H$1,Sprints[],3,FALSE))-SUMPRODUCT((OFFSET(INDIRECT(CELL("address",INDEX('Leave Tracker'!$A$8:$A$107,MATCH($A58,'Leave Tracker'!$A$8:$A$107,0)))),0,31*(VLOOKUP(H$1,Sprints[],5,FALSE))+DAY(VLOOKUP(H$1,Sprints[],2,FALSE)),1,VLOOKUP(H$1,Sprints[],4,FALSE))&lt;&gt;"")*(IF(OFFSET(INDIRECT(CELL("address",INDEX('Leave Tracker'!$A$8:$A$107,MATCH($A58,'Leave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58" s="31">
        <f t="array" aca="1" ref="I58" ca="1">Sheet3!$W$2*$F58*(NETWORKDAYS(VLOOKUP(I$1,Sprints[],2,FALSE), VLOOKUP(I$1,Sprints[],3,FALSE))-SUMPRODUCT((OFFSET(INDIRECT(CELL("address",INDEX('Leave Tracker'!$A$8:$A$107,MATCH($A58,'Leave Tracker'!$A$8:$A$107,0)))),0,31*(VLOOKUP(I$1,Sprints[],5,FALSE))+DAY(VLOOKUP(I$1,Sprints[],2,FALSE)),1,VLOOKUP(I$1,Sprints[],4,FALSE))&lt;&gt;"")*(IF(OFFSET(INDIRECT(CELL("address",INDEX('Leave Tracker'!$A$8:$A$107,MATCH($A58,'Leave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58" s="31">
        <f t="array" aca="1" ref="J58" ca="1">Sheet3!$W$2*$F58*(NETWORKDAYS(VLOOKUP(J$1,Sprints[],2,FALSE), VLOOKUP(J$1,Sprints[],3,FALSE))-SUMPRODUCT((OFFSET(INDIRECT(CELL("address",INDEX('Leave Tracker'!$A$8:$A$107,MATCH($A58,'Leave Tracker'!$A$8:$A$107,0)))),0,31*(VLOOKUP(J$1,Sprints[],5,FALSE))+DAY(VLOOKUP(J$1,Sprints[],2,FALSE)),1,VLOOKUP(J$1,Sprints[],4,FALSE))&lt;&gt;"")*(IF(OFFSET(INDIRECT(CELL("address",INDEX('Leave Tracker'!$A$8:$A$107,MATCH($A58,'Leave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58" s="31">
        <f t="array" aca="1" ref="K58" ca="1">Sheet3!$W$2*$F58*(NETWORKDAYS(VLOOKUP(K$1,Sprints[],2,FALSE), VLOOKUP(K$1,Sprints[],3,FALSE))-SUMPRODUCT((OFFSET(INDIRECT(CELL("address",INDEX('Leave Tracker'!$A$8:$A$107,MATCH($A58,'Leave Tracker'!$A$8:$A$107,0)))),0,31*(VLOOKUP(K$1,Sprints[],5,FALSE))+DAY(VLOOKUP(K$1,Sprints[],2,FALSE)),1,VLOOKUP(K$1,Sprints[],4,FALSE))&lt;&gt;"")*(IF(OFFSET(INDIRECT(CELL("address",INDEX('Leave Tracker'!$A$8:$A$107,MATCH($A58,'Leave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58" s="31">
        <f t="array" aca="1" ref="L58" ca="1">Sheet3!$W$2*$F58*(NETWORKDAYS(VLOOKUP(L$1,Sprints[],2,FALSE), VLOOKUP(L$1,Sprints[],3,FALSE))-SUMPRODUCT((OFFSET(INDIRECT(CELL("address",INDEX('Leave Tracker'!$A$8:$A$107,MATCH($A58,'Leave Tracker'!$A$8:$A$107,0)))),0,31*(VLOOKUP(L$1,Sprints[],5,FALSE))+DAY(VLOOKUP(L$1,Sprints[],2,FALSE)),1,VLOOKUP(L$1,Sprints[],4,FALSE))&lt;&gt;"")*(IF(OFFSET(INDIRECT(CELL("address",INDEX('Leave Tracker'!$A$8:$A$107,MATCH($A58,'Leave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1.2</v>
      </c>
      <c r="M58" s="31">
        <f t="array" aca="1" ref="M58" ca="1">Sheet3!$W$2*$F58*(NETWORKDAYS(VLOOKUP(M$1,Sprints[],2,FALSE), VLOOKUP(M$1,Sprints[],3,FALSE))-SUMPRODUCT((OFFSET(INDIRECT(CELL("address",INDEX('Leave Tracker'!$A$8:$A$107,MATCH($A58,'Leave Tracker'!$A$8:$A$107,0)))),0,31*(VLOOKUP(M$1,Sprints[],5,FALSE))+DAY(VLOOKUP(M$1,Sprints[],2,FALSE)),1,VLOOKUP(M$1,Sprints[],4,FALSE))&lt;&gt;"")*(IF(OFFSET(INDIRECT(CELL("address",INDEX('Leave Tracker'!$A$8:$A$107,MATCH($A58,'Leave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1.08</v>
      </c>
      <c r="N58" s="31">
        <f t="array" aca="1" ref="N58" ca="1">Sheet3!$W$2*$F58*(NETWORKDAYS(VLOOKUP(N$1,Sprints[],2,FALSE), VLOOKUP(N$1,Sprints[],3,FALSE))-SUMPRODUCT((OFFSET(INDIRECT(CELL("address",INDEX('Leave Tracker'!$A$8:$A$107,MATCH($A58,'Leave Tracker'!$A$8:$A$107,0)))),0,31*(VLOOKUP(N$1,Sprints[],5,FALSE))+DAY(VLOOKUP(N$1,Sprints[],2,FALSE)),1,VLOOKUP(N$1,Sprints[],4,FALSE))&lt;&gt;"")*(IF(OFFSET(INDIRECT(CELL("address",INDEX('Leave Tracker'!$A$8:$A$107,MATCH($A58,'Leave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0.6</v>
      </c>
      <c r="O58" s="31">
        <f t="array" aca="1" ref="O58" ca="1">Sheet3!$W$2*$F58*(NETWORKDAYS(VLOOKUP(O$1,Sprints[],2,FALSE), VLOOKUP(O$1,Sprints[],3,FALSE))-SUMPRODUCT((OFFSET(INDIRECT(CELL("address",INDEX('Leave Tracker'!$A$8:$A$107,MATCH($A58,'Leave Tracker'!$A$8:$A$107,0)))),0,31*(VLOOKUP(O$1,Sprints[],5,FALSE))+DAY(VLOOKUP(O$1,Sprints[],2,FALSE)),1,VLOOKUP(O$1,Sprints[],4,FALSE))&lt;&gt;"")*(IF(OFFSET(INDIRECT(CELL("address",INDEX('Leave Tracker'!$A$8:$A$107,MATCH($A58,'Leave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0.36</v>
      </c>
      <c r="P58" s="31">
        <f t="array" aca="1" ref="P58" ca="1">Sheet3!$W$2*$F58*(NETWORKDAYS(VLOOKUP(P$1,Sprints[],2,FALSE), VLOOKUP(P$1,Sprints[],3,FALSE))-SUMPRODUCT((OFFSET(INDIRECT(CELL("address",INDEX('Leave Tracker'!$A$8:$A$107,MATCH($A58,'Leave Tracker'!$A$8:$A$107,0)))),0,31*(VLOOKUP(P$1,Sprints[],5,FALSE))+DAY(VLOOKUP(P$1,Sprints[],2,FALSE)),1,VLOOKUP(P$1,Sprints[],4,FALSE))&lt;&gt;"")*(IF(OFFSET(INDIRECT(CELL("address",INDEX('Leave Tracker'!$A$8:$A$107,MATCH($A58,'Leave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0.84</v>
      </c>
      <c r="Q58" s="31">
        <f t="array" aca="1" ref="Q58" ca="1">Sheet3!$W$2*$F58*(NETWORKDAYS(VLOOKUP(Q$1,Sprints[],2,FALSE), VLOOKUP(Q$1,Sprints[],3,FALSE))-SUMPRODUCT((OFFSET(INDIRECT(CELL("address",INDEX('Leave Tracker'!$A$8:$A$107,MATCH($A58,'Leave Tracker'!$A$8:$A$107,0)))),0,31*(VLOOKUP(Q$1,Sprints[],5,FALSE))+DAY(VLOOKUP(Q$1,Sprints[],2,FALSE)),1,VLOOKUP(Q$1,Sprints[],4,FALSE))&lt;&gt;"")*(IF(OFFSET(INDIRECT(CELL("address",INDEX('Leave Tracker'!$A$8:$A$107,MATCH($A58,'Leave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1.2</v>
      </c>
      <c r="R58" s="31">
        <f t="array" aca="1" ref="R58" ca="1">Sheet3!$W$2*$F58*(NETWORKDAYS(VLOOKUP(R$1,Sprints[],2,FALSE), VLOOKUP(R$1,Sprints[],3,FALSE))-SUMPRODUCT((OFFSET(INDIRECT(CELL("address",INDEX('Leave Tracker'!$A$8:$A$107,MATCH($A58,'Leave Tracker'!$A$8:$A$107,0)))),0,31*(VLOOKUP(R$1,Sprints[],5,FALSE))+DAY(VLOOKUP(R$1,Sprints[],2,FALSE)),1,VLOOKUP(R$1,Sprints[],4,FALSE))&lt;&gt;"")*(IF(OFFSET(INDIRECT(CELL("address",INDEX('Leave Tracker'!$A$8:$A$107,MATCH($A58,'Leave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1.2</v>
      </c>
      <c r="S58" s="31">
        <f t="array" aca="1" ref="S58" ca="1">Sheet3!$W$2*$F58*(NETWORKDAYS(VLOOKUP(S$1,Sprints[],2,FALSE), VLOOKUP(S$1,Sprints[],3,FALSE))-SUMPRODUCT((OFFSET(INDIRECT(CELL("address",INDEX('Leave Tracker'!$A$8:$A$107,MATCH($A58,'Leave Tracker'!$A$8:$A$107,0)))),0,31*(VLOOKUP(S$1,Sprints[],5,FALSE))+DAY(VLOOKUP(S$1,Sprints[],2,FALSE)),1,VLOOKUP(S$1,Sprints[],4,FALSE))&lt;&gt;"")*(IF(OFFSET(INDIRECT(CELL("address",INDEX('Leave Tracker'!$A$8:$A$107,MATCH($A58,'Leave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1.2</v>
      </c>
      <c r="T58" s="31">
        <f t="array" aca="1" ref="T58" ca="1">Sheet3!$W$2*$F58*(NETWORKDAYS(VLOOKUP(T$1,Sprints[],2,FALSE), VLOOKUP(T$1,Sprints[],3,FALSE))-SUMPRODUCT((OFFSET(INDIRECT(CELL("address",INDEX('Leave Tracker'!$A$8:$A$107,MATCH($A58,'Leave Tracker'!$A$8:$A$107,0)))),0,31*(VLOOKUP(T$1,Sprints[],5,FALSE))+DAY(VLOOKUP(T$1,Sprints[],2,FALSE)),1,VLOOKUP(T$1,Sprints[],4,FALSE))&lt;&gt;"")*(IF(OFFSET(INDIRECT(CELL("address",INDEX('Leave Tracker'!$A$8:$A$107,MATCH($A58,'Leave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0.6</v>
      </c>
      <c r="U58" s="78">
        <f t="array" aca="1" ref="U58" ca="1">Sheet3!$W$2*$F58*(NETWORKDAYS(VLOOKUP(U$1,Sprints[],2,FALSE), VLOOKUP(U$1,Sprints[],3,FALSE))-SUMPRODUCT((OFFSET(INDIRECT(CELL("address",INDEX('Leave Tracker'!$A$8:$A$107,MATCH($A58,'Leave Tracker'!$A$8:$A$107,0)))),0,31*(VLOOKUP(U$1,Sprints[],5,FALSE))+DAY(VLOOKUP(U$1,Sprints[],2,FALSE)),1,VLOOKUP(U$1,Sprints[],4,FALSE))&lt;&gt;"")*(IF(OFFSET(INDIRECT(CELL("address",INDEX('Leave Tracker'!$A$8:$A$107,MATCH($A58,'Leave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2.2799999999999998</v>
      </c>
    </row>
    <row r="59" spans="1:21" s="45" customFormat="1" x14ac:dyDescent="0.45">
      <c r="A59" s="85" t="s">
        <v>180</v>
      </c>
      <c r="B59" s="85" t="s">
        <v>119</v>
      </c>
      <c r="C59" s="85" t="s">
        <v>118</v>
      </c>
      <c r="D59" s="85" t="s">
        <v>133</v>
      </c>
      <c r="E59" s="85" t="s">
        <v>128</v>
      </c>
      <c r="F59" s="86">
        <v>0.75</v>
      </c>
      <c r="G59" s="84">
        <f t="array" aca="1" ref="G59" ca="1">Sheet3!$W$2*$F59*(NETWORKDAYS(VLOOKUP(G$1,Sprints[],2,FALSE), VLOOKUP(G$1,Sprints[],3,FALSE))-SUMPRODUCT((OFFSET(INDIRECT(CELL("address",INDEX('Leave Tracker'!$A$8:$A$107,MATCH($A59,'Leave Tracker'!$A$8:$A$107,0)))),0,31*(VLOOKUP(G$1,Sprints[],5,FALSE))+DAY(VLOOKUP(G$1,Sprints[],2,FALSE)),1,VLOOKUP(G$1,Sprints[],4,FALSE))&lt;&gt;"")*(IF(OFFSET(INDIRECT(CELL("address",INDEX('Leave Tracker'!$A$8:$A$107,MATCH($A59,'Leave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59" s="84">
        <f t="array" aca="1" ref="H59" ca="1">Sheet3!$W$2*$F59*(NETWORKDAYS(VLOOKUP(H$1,Sprints[],2,FALSE), VLOOKUP(H$1,Sprints[],3,FALSE))-SUMPRODUCT((OFFSET(INDIRECT(CELL("address",INDEX('Leave Tracker'!$A$8:$A$107,MATCH($A59,'Leave Tracker'!$A$8:$A$107,0)))),0,31*(VLOOKUP(H$1,Sprints[],5,FALSE))+DAY(VLOOKUP(H$1,Sprints[],2,FALSE)),1,VLOOKUP(H$1,Sprints[],4,FALSE))&lt;&gt;"")*(IF(OFFSET(INDIRECT(CELL("address",INDEX('Leave Tracker'!$A$8:$A$107,MATCH($A59,'Leave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59" s="84">
        <f t="array" aca="1" ref="I59" ca="1">Sheet3!$W$2*$F59*(NETWORKDAYS(VLOOKUP(I$1,Sprints[],2,FALSE), VLOOKUP(I$1,Sprints[],3,FALSE))-SUMPRODUCT((OFFSET(INDIRECT(CELL("address",INDEX('Leave Tracker'!$A$8:$A$107,MATCH($A59,'Leave Tracker'!$A$8:$A$107,0)))),0,31*(VLOOKUP(I$1,Sprints[],5,FALSE))+DAY(VLOOKUP(I$1,Sprints[],2,FALSE)),1,VLOOKUP(I$1,Sprints[],4,FALSE))&lt;&gt;"")*(IF(OFFSET(INDIRECT(CELL("address",INDEX('Leave Tracker'!$A$8:$A$107,MATCH($A59,'Leave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59" s="84">
        <f t="array" aca="1" ref="J59" ca="1">Sheet3!$W$2*$F59*(NETWORKDAYS(VLOOKUP(J$1,Sprints[],2,FALSE), VLOOKUP(J$1,Sprints[],3,FALSE))-SUMPRODUCT((OFFSET(INDIRECT(CELL("address",INDEX('Leave Tracker'!$A$8:$A$107,MATCH($A59,'Leave Tracker'!$A$8:$A$107,0)))),0,31*(VLOOKUP(J$1,Sprints[],5,FALSE))+DAY(VLOOKUP(J$1,Sprints[],2,FALSE)),1,VLOOKUP(J$1,Sprints[],4,FALSE))&lt;&gt;"")*(IF(OFFSET(INDIRECT(CELL("address",INDEX('Leave Tracker'!$A$8:$A$107,MATCH($A59,'Leave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59" s="84">
        <f t="array" aca="1" ref="K59" ca="1">Sheet3!$W$2*$F59*(NETWORKDAYS(VLOOKUP(K$1,Sprints[],2,FALSE), VLOOKUP(K$1,Sprints[],3,FALSE))-SUMPRODUCT((OFFSET(INDIRECT(CELL("address",INDEX('Leave Tracker'!$A$8:$A$107,MATCH($A59,'Leave Tracker'!$A$8:$A$107,0)))),0,31*(VLOOKUP(K$1,Sprints[],5,FALSE))+DAY(VLOOKUP(K$1,Sprints[],2,FALSE)),1,VLOOKUP(K$1,Sprints[],4,FALSE))&lt;&gt;"")*(IF(OFFSET(INDIRECT(CELL("address",INDEX('Leave Tracker'!$A$8:$A$107,MATCH($A59,'Leave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59" s="84">
        <f t="array" aca="1" ref="L59" ca="1">Sheet3!$W$2*$F59*(NETWORKDAYS(VLOOKUP(L$1,Sprints[],2,FALSE), VLOOKUP(L$1,Sprints[],3,FALSE))-SUMPRODUCT((OFFSET(INDIRECT(CELL("address",INDEX('Leave Tracker'!$A$8:$A$107,MATCH($A59,'Leave Tracker'!$A$8:$A$107,0)))),0,31*(VLOOKUP(L$1,Sprints[],5,FALSE))+DAY(VLOOKUP(L$1,Sprints[],2,FALSE)),1,VLOOKUP(L$1,Sprints[],4,FALSE))&lt;&gt;"")*(IF(OFFSET(INDIRECT(CELL("address",INDEX('Leave Tracker'!$A$8:$A$107,MATCH($A59,'Leave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9" s="84">
        <f t="array" aca="1" ref="M59" ca="1">Sheet3!$W$2*$F59*(NETWORKDAYS(VLOOKUP(M$1,Sprints[],2,FALSE), VLOOKUP(M$1,Sprints[],3,FALSE))-SUMPRODUCT((OFFSET(INDIRECT(CELL("address",INDEX('Leave Tracker'!$A$8:$A$107,MATCH($A59,'Leave Tracker'!$A$8:$A$107,0)))),0,31*(VLOOKUP(M$1,Sprints[],5,FALSE))+DAY(VLOOKUP(M$1,Sprints[],2,FALSE)),1,VLOOKUP(M$1,Sprints[],4,FALSE))&lt;&gt;"")*(IF(OFFSET(INDIRECT(CELL("address",INDEX('Leave Tracker'!$A$8:$A$107,MATCH($A59,'Leave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9" s="84">
        <f t="array" aca="1" ref="N59" ca="1">Sheet3!$W$2*$F59*(NETWORKDAYS(VLOOKUP(N$1,Sprints[],2,FALSE), VLOOKUP(N$1,Sprints[],3,FALSE))-SUMPRODUCT((OFFSET(INDIRECT(CELL("address",INDEX('Leave Tracker'!$A$8:$A$107,MATCH($A59,'Leave Tracker'!$A$8:$A$107,0)))),0,31*(VLOOKUP(N$1,Sprints[],5,FALSE))+DAY(VLOOKUP(N$1,Sprints[],2,FALSE)),1,VLOOKUP(N$1,Sprints[],4,FALSE))&lt;&gt;"")*(IF(OFFSET(INDIRECT(CELL("address",INDEX('Leave Tracker'!$A$8:$A$107,MATCH($A59,'Leave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9" s="84">
        <f t="array" aca="1" ref="O59" ca="1">Sheet3!$W$2*$F59*(NETWORKDAYS(VLOOKUP(O$1,Sprints[],2,FALSE), VLOOKUP(O$1,Sprints[],3,FALSE))-SUMPRODUCT((OFFSET(INDIRECT(CELL("address",INDEX('Leave Tracker'!$A$8:$A$107,MATCH($A59,'Leave Tracker'!$A$8:$A$107,0)))),0,31*(VLOOKUP(O$1,Sprints[],5,FALSE))+DAY(VLOOKUP(O$1,Sprints[],2,FALSE)),1,VLOOKUP(O$1,Sprints[],4,FALSE))&lt;&gt;"")*(IF(OFFSET(INDIRECT(CELL("address",INDEX('Leave Tracker'!$A$8:$A$107,MATCH($A59,'Leave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9" s="84">
        <f t="array" aca="1" ref="P59" ca="1">Sheet3!$W$2*$F59*(NETWORKDAYS(VLOOKUP(P$1,Sprints[],2,FALSE), VLOOKUP(P$1,Sprints[],3,FALSE))-SUMPRODUCT((OFFSET(INDIRECT(CELL("address",INDEX('Leave Tracker'!$A$8:$A$107,MATCH($A59,'Leave Tracker'!$A$8:$A$107,0)))),0,31*(VLOOKUP(P$1,Sprints[],5,FALSE))+DAY(VLOOKUP(P$1,Sprints[],2,FALSE)),1,VLOOKUP(P$1,Sprints[],4,FALSE))&lt;&gt;"")*(IF(OFFSET(INDIRECT(CELL("address",INDEX('Leave Tracker'!$A$8:$A$107,MATCH($A59,'Leave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9" s="84">
        <f t="array" aca="1" ref="Q59" ca="1">Sheet3!$W$2*$F59*(NETWORKDAYS(VLOOKUP(Q$1,Sprints[],2,FALSE), VLOOKUP(Q$1,Sprints[],3,FALSE))-SUMPRODUCT((OFFSET(INDIRECT(CELL("address",INDEX('Leave Tracker'!$A$8:$A$107,MATCH($A59,'Leave Tracker'!$A$8:$A$107,0)))),0,31*(VLOOKUP(Q$1,Sprints[],5,FALSE))+DAY(VLOOKUP(Q$1,Sprints[],2,FALSE)),1,VLOOKUP(Q$1,Sprints[],4,FALSE))&lt;&gt;"")*(IF(OFFSET(INDIRECT(CELL("address",INDEX('Leave Tracker'!$A$8:$A$107,MATCH($A59,'Leave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9" s="84">
        <f t="array" aca="1" ref="R59" ca="1">Sheet3!$W$2*$F59*(NETWORKDAYS(VLOOKUP(R$1,Sprints[],2,FALSE), VLOOKUP(R$1,Sprints[],3,FALSE))-SUMPRODUCT((OFFSET(INDIRECT(CELL("address",INDEX('Leave Tracker'!$A$8:$A$107,MATCH($A59,'Leave Tracker'!$A$8:$A$107,0)))),0,31*(VLOOKUP(R$1,Sprints[],5,FALSE))+DAY(VLOOKUP(R$1,Sprints[],2,FALSE)),1,VLOOKUP(R$1,Sprints[],4,FALSE))&lt;&gt;"")*(IF(OFFSET(INDIRECT(CELL("address",INDEX('Leave Tracker'!$A$8:$A$107,MATCH($A59,'Leave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9" s="84">
        <f t="array" aca="1" ref="S59" ca="1">Sheet3!$W$2*$F59*(NETWORKDAYS(VLOOKUP(S$1,Sprints[],2,FALSE), VLOOKUP(S$1,Sprints[],3,FALSE))-SUMPRODUCT((OFFSET(INDIRECT(CELL("address",INDEX('Leave Tracker'!$A$8:$A$107,MATCH($A59,'Leave Tracker'!$A$8:$A$107,0)))),0,31*(VLOOKUP(S$1,Sprints[],5,FALSE))+DAY(VLOOKUP(S$1,Sprints[],2,FALSE)),1,VLOOKUP(S$1,Sprints[],4,FALSE))&lt;&gt;"")*(IF(OFFSET(INDIRECT(CELL("address",INDEX('Leave Tracker'!$A$8:$A$107,MATCH($A59,'Leave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9" s="84">
        <f t="array" aca="1" ref="T59" ca="1">Sheet3!$W$2*$F59*(NETWORKDAYS(VLOOKUP(T$1,Sprints[],2,FALSE), VLOOKUP(T$1,Sprints[],3,FALSE))-SUMPRODUCT((OFFSET(INDIRECT(CELL("address",INDEX('Leave Tracker'!$A$8:$A$107,MATCH($A59,'Leave Tracker'!$A$8:$A$107,0)))),0,31*(VLOOKUP(T$1,Sprints[],5,FALSE))+DAY(VLOOKUP(T$1,Sprints[],2,FALSE)),1,VLOOKUP(T$1,Sprints[],4,FALSE))&lt;&gt;"")*(IF(OFFSET(INDIRECT(CELL("address",INDEX('Leave Tracker'!$A$8:$A$107,MATCH($A59,'Leave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9" s="87">
        <f t="array" aca="1" ref="U59" ca="1">Sheet3!$W$2*$F59*(NETWORKDAYS(VLOOKUP(U$1,Sprints[],2,FALSE), VLOOKUP(U$1,Sprints[],3,FALSE))-SUMPRODUCT((OFFSET(INDIRECT(CELL("address",INDEX('Leave Tracker'!$A$8:$A$107,MATCH($A59,'Leave Tracker'!$A$8:$A$107,0)))),0,31*(VLOOKUP(U$1,Sprints[],5,FALSE))+DAY(VLOOKUP(U$1,Sprints[],2,FALSE)),1,VLOOKUP(U$1,Sprints[],4,FALSE))&lt;&gt;"")*(IF(OFFSET(INDIRECT(CELL("address",INDEX('Leave Tracker'!$A$8:$A$107,MATCH($A59,'Leave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11.400000000000002</v>
      </c>
    </row>
    <row r="60" spans="1:21" x14ac:dyDescent="0.45">
      <c r="A60" s="85" t="s">
        <v>181</v>
      </c>
      <c r="B60" s="85" t="s">
        <v>113</v>
      </c>
      <c r="C60" s="85" t="s">
        <v>118</v>
      </c>
      <c r="D60" s="85" t="s">
        <v>133</v>
      </c>
      <c r="E60" s="85" t="s">
        <v>128</v>
      </c>
      <c r="F60" s="86">
        <v>0.75</v>
      </c>
      <c r="G60" s="84">
        <f t="array" aca="1" ref="G60" ca="1">Sheet3!$W$2*$F60*(NETWORKDAYS(VLOOKUP(G$1,Sprints[],2,FALSE), VLOOKUP(G$1,Sprints[],3,FALSE))-SUMPRODUCT((OFFSET(INDIRECT(CELL("address",INDEX('Leave Tracker'!$A$8:$A$107,MATCH($A60,'Leave Tracker'!$A$8:$A$107,0)))),0,31*(VLOOKUP(G$1,Sprints[],5,FALSE))+DAY(VLOOKUP(G$1,Sprints[],2,FALSE)),1,VLOOKUP(G$1,Sprints[],4,FALSE))&lt;&gt;"")*(IF(OFFSET(INDIRECT(CELL("address",INDEX('Leave Tracker'!$A$8:$A$107,MATCH($A60,'Leave Tracker'!$A$8:$A$107,0)))),0,31*(VLOOKUP(G$1,Sprints[],5,FALSE))+DAY(VLOOKUP(G$1,Sprints[],2,FALSE)),1,VLOOKUP(G$1,Sprints[],4,FALSE))='Leave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60" s="84">
        <f t="array" aca="1" ref="H60" ca="1">Sheet3!$W$2*$F60*(NETWORKDAYS(VLOOKUP(H$1,Sprints[],2,FALSE), VLOOKUP(H$1,Sprints[],3,FALSE))-SUMPRODUCT((OFFSET(INDIRECT(CELL("address",INDEX('Leave Tracker'!$A$8:$A$107,MATCH($A60,'Leave Tracker'!$A$8:$A$107,0)))),0,31*(VLOOKUP(H$1,Sprints[],5,FALSE))+DAY(VLOOKUP(H$1,Sprints[],2,FALSE)),1,VLOOKUP(H$1,Sprints[],4,FALSE))&lt;&gt;"")*(IF(OFFSET(INDIRECT(CELL("address",INDEX('Leave Tracker'!$A$8:$A$107,MATCH($A60,'Leave Tracker'!$A$8:$A$107,0)))),0,31*(VLOOKUP(H$1,Sprints[],5,FALSE))+DAY(VLOOKUP(H$1,Sprints[],2,FALSE)),1,VLOOKUP(H$1,Sprints[],4,FALSE))='Leave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60" s="84">
        <f t="array" aca="1" ref="I60" ca="1">Sheet3!$W$2*$F60*(NETWORKDAYS(VLOOKUP(I$1,Sprints[],2,FALSE), VLOOKUP(I$1,Sprints[],3,FALSE))-SUMPRODUCT((OFFSET(INDIRECT(CELL("address",INDEX('Leave Tracker'!$A$8:$A$107,MATCH($A60,'Leave Tracker'!$A$8:$A$107,0)))),0,31*(VLOOKUP(I$1,Sprints[],5,FALSE))+DAY(VLOOKUP(I$1,Sprints[],2,FALSE)),1,VLOOKUP(I$1,Sprints[],4,FALSE))&lt;&gt;"")*(IF(OFFSET(INDIRECT(CELL("address",INDEX('Leave Tracker'!$A$8:$A$107,MATCH($A60,'Leave Tracker'!$A$8:$A$107,0)))),0,31*(VLOOKUP(I$1,Sprints[],5,FALSE))+DAY(VLOOKUP(I$1,Sprints[],2,FALSE)),1,VLOOKUP(I$1,Sprints[],4,FALSE))='Leave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60" s="84">
        <f t="array" aca="1" ref="J60" ca="1">Sheet3!$W$2*$F60*(NETWORKDAYS(VLOOKUP(J$1,Sprints[],2,FALSE), VLOOKUP(J$1,Sprints[],3,FALSE))-SUMPRODUCT((OFFSET(INDIRECT(CELL("address",INDEX('Leave Tracker'!$A$8:$A$107,MATCH($A60,'Leave Tracker'!$A$8:$A$107,0)))),0,31*(VLOOKUP(J$1,Sprints[],5,FALSE))+DAY(VLOOKUP(J$1,Sprints[],2,FALSE)),1,VLOOKUP(J$1,Sprints[],4,FALSE))&lt;&gt;"")*(IF(OFFSET(INDIRECT(CELL("address",INDEX('Leave Tracker'!$A$8:$A$107,MATCH($A60,'Leave Tracker'!$A$8:$A$107,0)))),0,31*(VLOOKUP(J$1,Sprints[],5,FALSE))+DAY(VLOOKUP(J$1,Sprints[],2,FALSE)),1,VLOOKUP(J$1,Sprints[],4,FALSE))='Leave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60" s="84">
        <f t="array" aca="1" ref="K60" ca="1">Sheet3!$W$2*$F60*(NETWORKDAYS(VLOOKUP(K$1,Sprints[],2,FALSE), VLOOKUP(K$1,Sprints[],3,FALSE))-SUMPRODUCT((OFFSET(INDIRECT(CELL("address",INDEX('Leave Tracker'!$A$8:$A$107,MATCH($A60,'Leave Tracker'!$A$8:$A$107,0)))),0,31*(VLOOKUP(K$1,Sprints[],5,FALSE))+DAY(VLOOKUP(K$1,Sprints[],2,FALSE)),1,VLOOKUP(K$1,Sprints[],4,FALSE))&lt;&gt;"")*(IF(OFFSET(INDIRECT(CELL("address",INDEX('Leave Tracker'!$A$8:$A$107,MATCH($A60,'Leave Tracker'!$A$8:$A$107,0)))),0,31*(VLOOKUP(K$1,Sprints[],5,FALSE))+DAY(VLOOKUP(K$1,Sprints[],2,FALSE)),1,VLOOKUP(K$1,Sprints[],4,FALSE))='Leave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60" s="84">
        <f t="array" aca="1" ref="L60" ca="1">Sheet3!$W$2*$F60*(NETWORKDAYS(VLOOKUP(L$1,Sprints[],2,FALSE), VLOOKUP(L$1,Sprints[],3,FALSE))-SUMPRODUCT((OFFSET(INDIRECT(CELL("address",INDEX('Leave Tracker'!$A$8:$A$107,MATCH($A60,'Leave Tracker'!$A$8:$A$107,0)))),0,31*(VLOOKUP(L$1,Sprints[],5,FALSE))+DAY(VLOOKUP(L$1,Sprints[],2,FALSE)),1,VLOOKUP(L$1,Sprints[],4,FALSE))&lt;&gt;"")*(IF(OFFSET(INDIRECT(CELL("address",INDEX('Leave Tracker'!$A$8:$A$107,MATCH($A60,'Leave Tracker'!$A$8:$A$107,0)))),0,31*(VLOOKUP(L$1,Sprints[],5,FALSE))+DAY(VLOOKUP(L$1,Sprints[],2,FALSE)),1,VLOOKUP(L$1,Sprints[],4,FALSE))='Leave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60" s="84">
        <f t="array" aca="1" ref="M60" ca="1">Sheet3!$W$2*$F60*(NETWORKDAYS(VLOOKUP(M$1,Sprints[],2,FALSE), VLOOKUP(M$1,Sprints[],3,FALSE))-SUMPRODUCT((OFFSET(INDIRECT(CELL("address",INDEX('Leave Tracker'!$A$8:$A$107,MATCH($A60,'Leave Tracker'!$A$8:$A$107,0)))),0,31*(VLOOKUP(M$1,Sprints[],5,FALSE))+DAY(VLOOKUP(M$1,Sprints[],2,FALSE)),1,VLOOKUP(M$1,Sprints[],4,FALSE))&lt;&gt;"")*(IF(OFFSET(INDIRECT(CELL("address",INDEX('Leave Tracker'!$A$8:$A$107,MATCH($A60,'Leave Tracker'!$A$8:$A$107,0)))),0,31*(VLOOKUP(M$1,Sprints[],5,FALSE))+DAY(VLOOKUP(M$1,Sprints[],2,FALSE)),1,VLOOKUP(M$1,Sprints[],4,FALSE))='Leave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60" s="84">
        <f t="array" aca="1" ref="N60" ca="1">Sheet3!$W$2*$F60*(NETWORKDAYS(VLOOKUP(N$1,Sprints[],2,FALSE), VLOOKUP(N$1,Sprints[],3,FALSE))-SUMPRODUCT((OFFSET(INDIRECT(CELL("address",INDEX('Leave Tracker'!$A$8:$A$107,MATCH($A60,'Leave Tracker'!$A$8:$A$107,0)))),0,31*(VLOOKUP(N$1,Sprints[],5,FALSE))+DAY(VLOOKUP(N$1,Sprints[],2,FALSE)),1,VLOOKUP(N$1,Sprints[],4,FALSE))&lt;&gt;"")*(IF(OFFSET(INDIRECT(CELL("address",INDEX('Leave Tracker'!$A$8:$A$107,MATCH($A60,'Leave Tracker'!$A$8:$A$107,0)))),0,31*(VLOOKUP(N$1,Sprints[],5,FALSE))+DAY(VLOOKUP(N$1,Sprints[],2,FALSE)),1,VLOOKUP(N$1,Sprints[],4,FALSE))='Leave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60" s="84">
        <f t="array" aca="1" ref="O60" ca="1">Sheet3!$W$2*$F60*(NETWORKDAYS(VLOOKUP(O$1,Sprints[],2,FALSE), VLOOKUP(O$1,Sprints[],3,FALSE))-SUMPRODUCT((OFFSET(INDIRECT(CELL("address",INDEX('Leave Tracker'!$A$8:$A$107,MATCH($A60,'Leave Tracker'!$A$8:$A$107,0)))),0,31*(VLOOKUP(O$1,Sprints[],5,FALSE))+DAY(VLOOKUP(O$1,Sprints[],2,FALSE)),1,VLOOKUP(O$1,Sprints[],4,FALSE))&lt;&gt;"")*(IF(OFFSET(INDIRECT(CELL("address",INDEX('Leave Tracker'!$A$8:$A$107,MATCH($A60,'Leave Tracker'!$A$8:$A$107,0)))),0,31*(VLOOKUP(O$1,Sprints[],5,FALSE))+DAY(VLOOKUP(O$1,Sprints[],2,FALSE)),1,VLOOKUP(O$1,Sprints[],4,FALSE))='Leave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60" s="84">
        <f t="array" aca="1" ref="P60" ca="1">Sheet3!$W$2*$F60*(NETWORKDAYS(VLOOKUP(P$1,Sprints[],2,FALSE), VLOOKUP(P$1,Sprints[],3,FALSE))-SUMPRODUCT((OFFSET(INDIRECT(CELL("address",INDEX('Leave Tracker'!$A$8:$A$107,MATCH($A60,'Leave Tracker'!$A$8:$A$107,0)))),0,31*(VLOOKUP(P$1,Sprints[],5,FALSE))+DAY(VLOOKUP(P$1,Sprints[],2,FALSE)),1,VLOOKUP(P$1,Sprints[],4,FALSE))&lt;&gt;"")*(IF(OFFSET(INDIRECT(CELL("address",INDEX('Leave Tracker'!$A$8:$A$107,MATCH($A60,'Leave Tracker'!$A$8:$A$107,0)))),0,31*(VLOOKUP(P$1,Sprints[],5,FALSE))+DAY(VLOOKUP(P$1,Sprints[],2,FALSE)),1,VLOOKUP(P$1,Sprints[],4,FALSE))='Leave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60" s="84">
        <f t="array" aca="1" ref="Q60" ca="1">Sheet3!$W$2*$F60*(NETWORKDAYS(VLOOKUP(Q$1,Sprints[],2,FALSE), VLOOKUP(Q$1,Sprints[],3,FALSE))-SUMPRODUCT((OFFSET(INDIRECT(CELL("address",INDEX('Leave Tracker'!$A$8:$A$107,MATCH($A60,'Leave Tracker'!$A$8:$A$107,0)))),0,31*(VLOOKUP(Q$1,Sprints[],5,FALSE))+DAY(VLOOKUP(Q$1,Sprints[],2,FALSE)),1,VLOOKUP(Q$1,Sprints[],4,FALSE))&lt;&gt;"")*(IF(OFFSET(INDIRECT(CELL("address",INDEX('Leave Tracker'!$A$8:$A$107,MATCH($A60,'Leave Tracker'!$A$8:$A$107,0)))),0,31*(VLOOKUP(Q$1,Sprints[],5,FALSE))+DAY(VLOOKUP(Q$1,Sprints[],2,FALSE)),1,VLOOKUP(Q$1,Sprints[],4,FALSE))='Leave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60" s="84">
        <f t="array" aca="1" ref="R60" ca="1">Sheet3!$W$2*$F60*(NETWORKDAYS(VLOOKUP(R$1,Sprints[],2,FALSE), VLOOKUP(R$1,Sprints[],3,FALSE))-SUMPRODUCT((OFFSET(INDIRECT(CELL("address",INDEX('Leave Tracker'!$A$8:$A$107,MATCH($A60,'Leave Tracker'!$A$8:$A$107,0)))),0,31*(VLOOKUP(R$1,Sprints[],5,FALSE))+DAY(VLOOKUP(R$1,Sprints[],2,FALSE)),1,VLOOKUP(R$1,Sprints[],4,FALSE))&lt;&gt;"")*(IF(OFFSET(INDIRECT(CELL("address",INDEX('Leave Tracker'!$A$8:$A$107,MATCH($A60,'Leave Tracker'!$A$8:$A$107,0)))),0,31*(VLOOKUP(R$1,Sprints[],5,FALSE))+DAY(VLOOKUP(R$1,Sprints[],2,FALSE)),1,VLOOKUP(R$1,Sprints[],4,FALSE))='Leave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60" s="84">
        <f t="array" aca="1" ref="S60" ca="1">Sheet3!$W$2*$F60*(NETWORKDAYS(VLOOKUP(S$1,Sprints[],2,FALSE), VLOOKUP(S$1,Sprints[],3,FALSE))-SUMPRODUCT((OFFSET(INDIRECT(CELL("address",INDEX('Leave Tracker'!$A$8:$A$107,MATCH($A60,'Leave Tracker'!$A$8:$A$107,0)))),0,31*(VLOOKUP(S$1,Sprints[],5,FALSE))+DAY(VLOOKUP(S$1,Sprints[],2,FALSE)),1,VLOOKUP(S$1,Sprints[],4,FALSE))&lt;&gt;"")*(IF(OFFSET(INDIRECT(CELL("address",INDEX('Leave Tracker'!$A$8:$A$107,MATCH($A60,'Leave Tracker'!$A$8:$A$107,0)))),0,31*(VLOOKUP(S$1,Sprints[],5,FALSE))+DAY(VLOOKUP(S$1,Sprints[],2,FALSE)),1,VLOOKUP(S$1,Sprints[],4,FALSE))='Leave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60" s="84">
        <f t="array" aca="1" ref="T60" ca="1">Sheet3!$W$2*$F60*(NETWORKDAYS(VLOOKUP(T$1,Sprints[],2,FALSE), VLOOKUP(T$1,Sprints[],3,FALSE))-SUMPRODUCT((OFFSET(INDIRECT(CELL("address",INDEX('Leave Tracker'!$A$8:$A$107,MATCH($A60,'Leave Tracker'!$A$8:$A$107,0)))),0,31*(VLOOKUP(T$1,Sprints[],5,FALSE))+DAY(VLOOKUP(T$1,Sprints[],2,FALSE)),1,VLOOKUP(T$1,Sprints[],4,FALSE))&lt;&gt;"")*(IF(OFFSET(INDIRECT(CELL("address",INDEX('Leave Tracker'!$A$8:$A$107,MATCH($A60,'Leave Tracker'!$A$8:$A$107,0)))),0,31*(VLOOKUP(T$1,Sprints[],5,FALSE))+DAY(VLOOKUP(T$1,Sprints[],2,FALSE)),1,VLOOKUP(T$1,Sprints[],4,FALSE))='Leave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60" s="87">
        <f t="array" aca="1" ref="U60" ca="1">Sheet3!$W$2*$F60*(NETWORKDAYS(VLOOKUP(U$1,Sprints[],2,FALSE), VLOOKUP(U$1,Sprints[],3,FALSE))-SUMPRODUCT((OFFSET(INDIRECT(CELL("address",INDEX('Leave Tracker'!$A$8:$A$107,MATCH($A60,'Leave Tracker'!$A$8:$A$107,0)))),0,31*(VLOOKUP(U$1,Sprints[],5,FALSE))+DAY(VLOOKUP(U$1,Sprints[],2,FALSE)),1,VLOOKUP(U$1,Sprints[],4,FALSE))&lt;&gt;"")*(IF(OFFSET(INDIRECT(CELL("address",INDEX('Leave Tracker'!$A$8:$A$107,MATCH($A60,'Leave Tracker'!$A$8:$A$107,0)))),0,31*(VLOOKUP(U$1,Sprints[],5,FALSE))+DAY(VLOOKUP(U$1,Sprints[],2,FALSE)),1,VLOOKUP(U$1,Sprints[],4,FALSE))='Leave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11.400000000000002</v>
      </c>
    </row>
    <row r="61" spans="1:21" s="45" customFormat="1" x14ac:dyDescent="0.45">
      <c r="A61"/>
      <c r="B61"/>
      <c r="C61"/>
      <c r="D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1" x14ac:dyDescent="0.45">
      <c r="A62" s="45"/>
      <c r="B62" s="45"/>
      <c r="C62" s="45"/>
      <c r="D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</row>
    <row r="64" spans="1:21" x14ac:dyDescent="0.45">
      <c r="G64" s="45"/>
      <c r="H64" s="45"/>
      <c r="I64" s="45"/>
      <c r="J64" s="45"/>
      <c r="K64" s="45"/>
      <c r="M64" s="45"/>
      <c r="N64" s="45"/>
      <c r="O64" s="45"/>
      <c r="P64" s="45"/>
      <c r="Q64" s="45"/>
      <c r="R64" s="45"/>
    </row>
    <row r="67" spans="1:1" x14ac:dyDescent="0.45">
      <c r="A67" s="45"/>
    </row>
    <row r="68" spans="1:1" x14ac:dyDescent="0.45">
      <c r="A68" s="45"/>
    </row>
    <row r="71" spans="1:1" x14ac:dyDescent="0.45">
      <c r="A71" s="45"/>
    </row>
    <row r="73" spans="1:1" x14ac:dyDescent="0.45">
      <c r="A73" s="50"/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0000000}">
          <x14:formula1>
            <xm:f>Sheet3!$I$2:$I$6</xm:f>
          </x14:formula1>
          <xm:sqref>B2:B60</xm:sqref>
        </x14:dataValidation>
        <x14:dataValidation type="list" allowBlank="1" showInputMessage="1" showErrorMessage="1" xr:uid="{00000000-0002-0000-0200-000001000000}">
          <x14:formula1>
            <xm:f>Sheet3!$K$2:$K$3</xm:f>
          </x14:formula1>
          <xm:sqref>C2:C60</xm:sqref>
        </x14:dataValidation>
        <x14:dataValidation type="list" allowBlank="1" showInputMessage="1" showErrorMessage="1" xr:uid="{00000000-0002-0000-0200-000002000000}">
          <x14:formula1>
            <xm:f>Sheet3!$O$2:$O$6</xm:f>
          </x14:formula1>
          <xm:sqref>E2:E60</xm:sqref>
        </x14:dataValidation>
        <x14:dataValidation type="list" allowBlank="1" showInputMessage="1" showErrorMessage="1" xr:uid="{00000000-0002-0000-0200-000003000000}">
          <x14:formula1>
            <xm:f>Sheet3!$M$2:$M$11</xm:f>
          </x14:formula1>
          <xm:sqref>D2:D60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F14"/>
  <sheetViews>
    <sheetView showGridLines="0" tabSelected="1" workbookViewId="0">
      <selection activeCell="AF8" sqref="AF8"/>
    </sheetView>
  </sheetViews>
  <sheetFormatPr defaultColWidth="8.796875" defaultRowHeight="14.25" x14ac:dyDescent="0.45"/>
  <cols>
    <col min="1" max="1" width="10.19921875" bestFit="1" customWidth="1"/>
    <col min="2" max="9" width="3.73046875" bestFit="1" customWidth="1"/>
    <col min="10" max="14" width="4.53125" bestFit="1" customWidth="1"/>
    <col min="15" max="16" width="6.46484375" bestFit="1" customWidth="1"/>
    <col min="18" max="18" width="15.59765625" bestFit="1" customWidth="1"/>
    <col min="19" max="19" width="8.06640625" bestFit="1" customWidth="1"/>
    <col min="20" max="31" width="5.59765625" customWidth="1"/>
    <col min="32" max="32" width="7.59765625" customWidth="1"/>
  </cols>
  <sheetData>
    <row r="1" spans="1:32" x14ac:dyDescent="0.45">
      <c r="A1" s="60" t="s">
        <v>110</v>
      </c>
      <c r="B1" s="45" t="s">
        <v>151</v>
      </c>
      <c r="C1" s="45" t="s">
        <v>152</v>
      </c>
      <c r="D1" s="45" t="s">
        <v>153</v>
      </c>
      <c r="E1" s="45" t="s">
        <v>154</v>
      </c>
      <c r="F1" s="45" t="s">
        <v>155</v>
      </c>
      <c r="G1" s="45" t="s">
        <v>156</v>
      </c>
      <c r="H1" s="45" t="s">
        <v>167</v>
      </c>
      <c r="I1" s="45" t="s">
        <v>157</v>
      </c>
      <c r="J1" s="45" t="s">
        <v>158</v>
      </c>
      <c r="K1" s="45" t="s">
        <v>159</v>
      </c>
      <c r="L1" s="45" t="s">
        <v>160</v>
      </c>
      <c r="M1" s="45" t="s">
        <v>165</v>
      </c>
      <c r="N1" s="45" t="s">
        <v>166</v>
      </c>
      <c r="O1" s="45" t="s">
        <v>161</v>
      </c>
      <c r="R1" s="64" t="s">
        <v>168</v>
      </c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</row>
    <row r="2" spans="1:32" x14ac:dyDescent="0.45">
      <c r="A2" s="46" t="s">
        <v>112</v>
      </c>
      <c r="B2" s="61">
        <v>13.4</v>
      </c>
      <c r="C2" s="61">
        <v>23.44</v>
      </c>
      <c r="D2" s="61">
        <v>20.6</v>
      </c>
      <c r="E2" s="61">
        <v>15.440000000000001</v>
      </c>
      <c r="F2" s="61">
        <v>20.8</v>
      </c>
      <c r="G2" s="61">
        <v>17.84</v>
      </c>
      <c r="H2" s="61">
        <v>12.680000000000001</v>
      </c>
      <c r="I2" s="61">
        <v>15.200000000000003</v>
      </c>
      <c r="J2" s="61">
        <v>18.560000000000002</v>
      </c>
      <c r="K2" s="61">
        <v>20</v>
      </c>
      <c r="L2" s="61">
        <v>15.920000000000002</v>
      </c>
      <c r="M2" s="61">
        <v>19.600000000000001</v>
      </c>
      <c r="N2" s="61">
        <v>10.8</v>
      </c>
      <c r="O2" s="61">
        <v>224.28000000000006</v>
      </c>
      <c r="R2" s="45" t="s">
        <v>110</v>
      </c>
      <c r="S2" s="65" t="s">
        <v>135</v>
      </c>
      <c r="T2" s="65" t="s">
        <v>136</v>
      </c>
      <c r="U2" s="65" t="s">
        <v>137</v>
      </c>
      <c r="V2" s="65" t="s">
        <v>138</v>
      </c>
      <c r="W2" s="65" t="s">
        <v>139</v>
      </c>
      <c r="X2" s="65" t="s">
        <v>140</v>
      </c>
      <c r="Y2" s="65" t="s">
        <v>141</v>
      </c>
      <c r="Z2" s="65" t="s">
        <v>144</v>
      </c>
      <c r="AA2" s="65" t="s">
        <v>145</v>
      </c>
      <c r="AB2" s="65" t="s">
        <v>146</v>
      </c>
      <c r="AC2" s="65" t="s">
        <v>147</v>
      </c>
      <c r="AD2" s="65" t="s">
        <v>163</v>
      </c>
      <c r="AE2" s="65" t="s">
        <v>164</v>
      </c>
      <c r="AF2" s="65" t="s">
        <v>161</v>
      </c>
    </row>
    <row r="3" spans="1:32" x14ac:dyDescent="0.45">
      <c r="A3" s="46" t="s">
        <v>113</v>
      </c>
      <c r="B3" s="61">
        <v>26.400000000000006</v>
      </c>
      <c r="C3" s="61">
        <v>52.400000000000006</v>
      </c>
      <c r="D3" s="61">
        <v>52.4</v>
      </c>
      <c r="E3" s="61">
        <v>36.880000000000003</v>
      </c>
      <c r="F3" s="61">
        <v>44.900000000000006</v>
      </c>
      <c r="G3" s="61">
        <v>50.480000000000004</v>
      </c>
      <c r="H3" s="61">
        <v>50.279999999999994</v>
      </c>
      <c r="I3" s="61">
        <v>54.96</v>
      </c>
      <c r="J3" s="61">
        <v>45.42</v>
      </c>
      <c r="K3" s="61">
        <v>54.960000000000008</v>
      </c>
      <c r="L3" s="61">
        <v>45.839999999999996</v>
      </c>
      <c r="M3" s="61">
        <v>56.6</v>
      </c>
      <c r="N3" s="61">
        <v>29.8</v>
      </c>
      <c r="O3" s="61">
        <v>601.32000000000005</v>
      </c>
      <c r="R3" t="s">
        <v>112</v>
      </c>
      <c r="S3">
        <v>13</v>
      </c>
      <c r="T3">
        <v>23</v>
      </c>
      <c r="U3">
        <v>21</v>
      </c>
      <c r="V3">
        <v>15</v>
      </c>
      <c r="W3">
        <v>21</v>
      </c>
      <c r="X3" s="90">
        <v>18</v>
      </c>
      <c r="Y3" s="90">
        <v>13</v>
      </c>
      <c r="Z3" s="90">
        <v>15</v>
      </c>
      <c r="AA3" s="90">
        <v>19</v>
      </c>
      <c r="AB3" s="90">
        <v>20</v>
      </c>
      <c r="AC3" s="88">
        <f t="shared" ref="AC3:AC8" si="0">L2</f>
        <v>15.920000000000002</v>
      </c>
      <c r="AD3" s="88">
        <f t="shared" ref="AD3:AD8" si="1">M2</f>
        <v>19.600000000000001</v>
      </c>
      <c r="AE3" s="88">
        <f t="shared" ref="AE3:AE8" si="2">N2</f>
        <v>10.8</v>
      </c>
      <c r="AF3" s="88">
        <f t="shared" ref="AF3:AF8" si="3">SUM(S3:AE3)</f>
        <v>224.32000000000002</v>
      </c>
    </row>
    <row r="4" spans="1:32" x14ac:dyDescent="0.45">
      <c r="A4" s="46" t="s">
        <v>119</v>
      </c>
      <c r="B4" s="61">
        <v>25.500000000000004</v>
      </c>
      <c r="C4" s="61">
        <v>44.400000000000006</v>
      </c>
      <c r="D4" s="61">
        <v>48.480000000000004</v>
      </c>
      <c r="E4" s="61">
        <v>35.380000000000003</v>
      </c>
      <c r="F4" s="61">
        <v>46.70000000000001</v>
      </c>
      <c r="G4" s="61">
        <v>46.88000000000001</v>
      </c>
      <c r="H4" s="61">
        <v>45.84</v>
      </c>
      <c r="I4" s="61">
        <v>43.260000000000005</v>
      </c>
      <c r="J4" s="61">
        <v>46.540000000000006</v>
      </c>
      <c r="K4" s="61">
        <v>55.760000000000005</v>
      </c>
      <c r="L4" s="61">
        <v>46.02000000000001</v>
      </c>
      <c r="M4" s="61">
        <v>53.600000000000009</v>
      </c>
      <c r="N4" s="61">
        <v>28.000000000000004</v>
      </c>
      <c r="O4" s="61">
        <v>566.36000000000013</v>
      </c>
      <c r="R4" t="s">
        <v>170</v>
      </c>
      <c r="S4">
        <v>16</v>
      </c>
      <c r="T4">
        <v>52</v>
      </c>
      <c r="U4">
        <v>52</v>
      </c>
      <c r="V4">
        <v>37</v>
      </c>
      <c r="W4">
        <v>45</v>
      </c>
      <c r="X4" s="90">
        <v>47</v>
      </c>
      <c r="Y4" s="90">
        <v>50</v>
      </c>
      <c r="Z4" s="90">
        <v>55</v>
      </c>
      <c r="AA4" s="90">
        <v>45</v>
      </c>
      <c r="AB4" s="90">
        <v>55</v>
      </c>
      <c r="AC4" s="88">
        <f t="shared" si="0"/>
        <v>45.839999999999996</v>
      </c>
      <c r="AD4" s="88">
        <f t="shared" si="1"/>
        <v>56.6</v>
      </c>
      <c r="AE4" s="88">
        <f t="shared" si="2"/>
        <v>29.8</v>
      </c>
      <c r="AF4" s="88">
        <f t="shared" si="3"/>
        <v>586.2399999999999</v>
      </c>
    </row>
    <row r="5" spans="1:32" x14ac:dyDescent="0.45">
      <c r="A5" s="46" t="s">
        <v>116</v>
      </c>
      <c r="B5" s="61">
        <v>36.79999999999999</v>
      </c>
      <c r="C5" s="61">
        <v>82.600000000000009</v>
      </c>
      <c r="D5" s="61">
        <v>76.840000000000018</v>
      </c>
      <c r="E5" s="61">
        <v>84.160000000000011</v>
      </c>
      <c r="F5" s="61">
        <v>89.8</v>
      </c>
      <c r="G5" s="61">
        <v>80.56</v>
      </c>
      <c r="H5" s="61">
        <v>70.320000000000007</v>
      </c>
      <c r="I5" s="61">
        <v>67.360000000000014</v>
      </c>
      <c r="J5" s="61">
        <v>65.760000000000005</v>
      </c>
      <c r="K5" s="61">
        <v>71.52000000000001</v>
      </c>
      <c r="L5" s="61">
        <v>74.640000000000015</v>
      </c>
      <c r="M5" s="61">
        <v>73.000000000000014</v>
      </c>
      <c r="N5" s="61">
        <v>40.400000000000006</v>
      </c>
      <c r="O5" s="61">
        <v>913.76</v>
      </c>
      <c r="R5" t="s">
        <v>119</v>
      </c>
      <c r="S5">
        <v>17</v>
      </c>
      <c r="T5">
        <v>44</v>
      </c>
      <c r="U5">
        <v>48</v>
      </c>
      <c r="V5">
        <v>35</v>
      </c>
      <c r="W5">
        <v>47</v>
      </c>
      <c r="X5" s="90">
        <v>43</v>
      </c>
      <c r="Y5" s="90">
        <v>46</v>
      </c>
      <c r="Z5" s="90">
        <v>43</v>
      </c>
      <c r="AA5" s="90">
        <v>40</v>
      </c>
      <c r="AB5" s="90">
        <v>56</v>
      </c>
      <c r="AC5" s="88">
        <f t="shared" si="0"/>
        <v>46.02000000000001</v>
      </c>
      <c r="AD5" s="88">
        <f t="shared" si="1"/>
        <v>53.600000000000009</v>
      </c>
      <c r="AE5" s="88">
        <f t="shared" si="2"/>
        <v>28.000000000000004</v>
      </c>
      <c r="AF5" s="88">
        <f t="shared" si="3"/>
        <v>546.62</v>
      </c>
    </row>
    <row r="6" spans="1:32" x14ac:dyDescent="0.45">
      <c r="A6" s="46" t="s">
        <v>114</v>
      </c>
      <c r="B6" s="61">
        <v>1.2000000000000002</v>
      </c>
      <c r="C6" s="61">
        <v>0</v>
      </c>
      <c r="D6" s="61">
        <v>0</v>
      </c>
      <c r="E6" s="61">
        <v>0</v>
      </c>
      <c r="F6" s="61">
        <v>0</v>
      </c>
      <c r="G6" s="61">
        <v>0</v>
      </c>
      <c r="H6" s="61">
        <v>0</v>
      </c>
      <c r="I6" s="61">
        <v>0</v>
      </c>
      <c r="J6" s="61">
        <v>0</v>
      </c>
      <c r="K6" s="61">
        <v>0</v>
      </c>
      <c r="L6" s="61">
        <v>0</v>
      </c>
      <c r="M6" s="61">
        <v>0</v>
      </c>
      <c r="N6" s="61">
        <v>0</v>
      </c>
      <c r="O6" s="61">
        <v>1.2000000000000002</v>
      </c>
      <c r="R6" t="s">
        <v>116</v>
      </c>
      <c r="S6">
        <v>37</v>
      </c>
      <c r="T6">
        <v>83</v>
      </c>
      <c r="U6">
        <v>77</v>
      </c>
      <c r="V6">
        <v>84</v>
      </c>
      <c r="W6">
        <v>90</v>
      </c>
      <c r="X6" s="90">
        <v>81</v>
      </c>
      <c r="Y6" s="90">
        <v>70</v>
      </c>
      <c r="Z6" s="90">
        <v>67</v>
      </c>
      <c r="AA6" s="90">
        <v>66</v>
      </c>
      <c r="AB6" s="90">
        <v>72</v>
      </c>
      <c r="AC6" s="88">
        <f t="shared" si="0"/>
        <v>74.640000000000015</v>
      </c>
      <c r="AD6" s="88">
        <f t="shared" si="1"/>
        <v>73.000000000000014</v>
      </c>
      <c r="AE6" s="88">
        <f t="shared" si="2"/>
        <v>40.400000000000006</v>
      </c>
      <c r="AF6" s="88">
        <f t="shared" si="3"/>
        <v>915.04</v>
      </c>
    </row>
    <row r="7" spans="1:32" x14ac:dyDescent="0.45">
      <c r="A7" s="46" t="s">
        <v>150</v>
      </c>
      <c r="B7" s="61">
        <v>103.3</v>
      </c>
      <c r="C7" s="61">
        <v>202.84000000000003</v>
      </c>
      <c r="D7" s="61">
        <v>198.32000000000002</v>
      </c>
      <c r="E7" s="61">
        <v>171.86</v>
      </c>
      <c r="F7" s="61">
        <v>202.2</v>
      </c>
      <c r="G7" s="61">
        <v>195.76000000000002</v>
      </c>
      <c r="H7" s="61">
        <v>179.12</v>
      </c>
      <c r="I7" s="61">
        <v>180.78000000000003</v>
      </c>
      <c r="J7" s="61">
        <v>176.28000000000003</v>
      </c>
      <c r="K7" s="61">
        <v>202.24000000000004</v>
      </c>
      <c r="L7" s="61">
        <v>182.42000000000002</v>
      </c>
      <c r="M7" s="61">
        <v>202.8</v>
      </c>
      <c r="N7" s="61">
        <v>109.00000000000001</v>
      </c>
      <c r="O7" s="61">
        <v>2306.9200000000005</v>
      </c>
      <c r="R7" t="s">
        <v>114</v>
      </c>
      <c r="S7">
        <v>20</v>
      </c>
      <c r="T7">
        <v>0</v>
      </c>
      <c r="U7">
        <v>0</v>
      </c>
      <c r="V7">
        <v>0</v>
      </c>
      <c r="W7">
        <v>0</v>
      </c>
      <c r="X7" s="90">
        <v>0</v>
      </c>
      <c r="Y7" s="90">
        <v>0</v>
      </c>
      <c r="Z7" s="90">
        <f t="shared" ref="Z7" si="4">I6</f>
        <v>0</v>
      </c>
      <c r="AA7" s="90">
        <v>0</v>
      </c>
      <c r="AB7" s="90">
        <v>0</v>
      </c>
      <c r="AC7" s="88">
        <f t="shared" si="0"/>
        <v>0</v>
      </c>
      <c r="AD7" s="88">
        <f t="shared" si="1"/>
        <v>0</v>
      </c>
      <c r="AE7" s="88">
        <f t="shared" si="2"/>
        <v>0</v>
      </c>
      <c r="AF7" s="88">
        <f t="shared" si="3"/>
        <v>20</v>
      </c>
    </row>
    <row r="8" spans="1:32" x14ac:dyDescent="0.45">
      <c r="R8" s="69" t="s">
        <v>169</v>
      </c>
      <c r="S8" s="69">
        <v>104</v>
      </c>
      <c r="T8" s="69">
        <v>203</v>
      </c>
      <c r="U8" s="69">
        <v>198</v>
      </c>
      <c r="V8" s="69">
        <v>172</v>
      </c>
      <c r="W8" s="69">
        <v>202</v>
      </c>
      <c r="X8" s="91">
        <v>189</v>
      </c>
      <c r="Y8" s="91">
        <v>179</v>
      </c>
      <c r="Z8" s="91">
        <v>181</v>
      </c>
      <c r="AA8" s="91">
        <v>170</v>
      </c>
      <c r="AB8" s="91">
        <v>202</v>
      </c>
      <c r="AC8" s="89">
        <f t="shared" si="0"/>
        <v>182.42000000000002</v>
      </c>
      <c r="AD8" s="89">
        <f t="shared" si="1"/>
        <v>202.8</v>
      </c>
      <c r="AE8" s="89">
        <f t="shared" si="2"/>
        <v>109.00000000000001</v>
      </c>
      <c r="AF8" s="89">
        <f t="shared" si="3"/>
        <v>2294.2200000000003</v>
      </c>
    </row>
    <row r="12" spans="1:32" x14ac:dyDescent="0.45">
      <c r="R12" s="81" t="s">
        <v>177</v>
      </c>
      <c r="S12" s="82"/>
      <c r="T12" s="83"/>
      <c r="U12" s="80">
        <f ca="1">SUMIF(Team!E2:E106,"QA BA", Team!U2:U106)</f>
        <v>121.38000000000005</v>
      </c>
    </row>
    <row r="14" spans="1:32" x14ac:dyDescent="0.45">
      <c r="R14" s="81" t="s">
        <v>178</v>
      </c>
      <c r="S14" s="82"/>
      <c r="T14" s="83"/>
      <c r="U14" s="80">
        <f ca="1">SUM(SUMIFS(Team!U4:U106, Team!E4:E106,"QA BA", Team!B4:B106, {"Alpha","ngStars","NW"}))</f>
        <v>80.340000000000018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16"/>
  <sheetViews>
    <sheetView workbookViewId="0"/>
  </sheetViews>
  <sheetFormatPr defaultColWidth="8.796875" defaultRowHeight="14.25" x14ac:dyDescent="0.45"/>
  <cols>
    <col min="7" max="7" width="10.46484375" bestFit="1" customWidth="1"/>
    <col min="9" max="9" width="10.46484375" customWidth="1"/>
    <col min="11" max="11" width="9.796875" customWidth="1"/>
    <col min="13" max="13" width="9.796875" customWidth="1"/>
    <col min="15" max="15" width="12" customWidth="1"/>
    <col min="17" max="19" width="9.796875" customWidth="1"/>
    <col min="20" max="20" width="26.33203125" customWidth="1"/>
    <col min="21" max="21" width="11" customWidth="1"/>
    <col min="23" max="23" width="12.796875" customWidth="1"/>
  </cols>
  <sheetData>
    <row r="1" spans="1:23" x14ac:dyDescent="0.45">
      <c r="A1" s="1" t="s">
        <v>19</v>
      </c>
      <c r="B1" s="1">
        <v>1</v>
      </c>
      <c r="D1">
        <v>1</v>
      </c>
      <c r="E1" t="s">
        <v>11</v>
      </c>
      <c r="G1" t="str">
        <f>INDEX($A$1:$A$12,MATCH('Leave Tracker'!$A$1+'Leave Tracker'!$A$3-1,Sheet3!$B$1:$B$12,0))&amp;" "&amp;'Leave Tracker'!$A$2</f>
        <v>September 2018</v>
      </c>
      <c r="H1" s="6"/>
      <c r="I1" t="s">
        <v>115</v>
      </c>
      <c r="K1" s="45" t="s">
        <v>111</v>
      </c>
      <c r="M1" s="45" t="s">
        <v>120</v>
      </c>
      <c r="O1" s="45" t="s">
        <v>131</v>
      </c>
      <c r="Q1" s="45" t="s">
        <v>142</v>
      </c>
      <c r="R1" s="45" t="s">
        <v>36</v>
      </c>
      <c r="S1" s="45" t="s">
        <v>37</v>
      </c>
      <c r="T1" t="s">
        <v>38</v>
      </c>
      <c r="U1" t="s">
        <v>148</v>
      </c>
      <c r="W1" s="45" t="s">
        <v>149</v>
      </c>
    </row>
    <row r="2" spans="1:23" x14ac:dyDescent="0.45">
      <c r="A2" s="1" t="s">
        <v>0</v>
      </c>
      <c r="B2" s="1">
        <v>2</v>
      </c>
      <c r="D2">
        <v>2</v>
      </c>
      <c r="E2" t="s">
        <v>12</v>
      </c>
      <c r="G2" s="6" t="str">
        <f>INDEX($A$1:$A$12,MATCH(MONTH(DATE('Leave Tracker'!$A$2,'Leave Tracker'!$A$1+'Leave Tracker'!$A$3-1,1)),$B$1:$B$12,0))&amp;" "&amp;YEAR(DATE('Leave Tracker'!$A$2,'Leave Tracker'!$A$1+'Leave Tracker'!$A$3-1,1))</f>
        <v>September 2018</v>
      </c>
      <c r="I2" t="s">
        <v>112</v>
      </c>
      <c r="K2" t="s">
        <v>117</v>
      </c>
      <c r="M2" t="s">
        <v>171</v>
      </c>
      <c r="O2" t="s">
        <v>124</v>
      </c>
      <c r="Q2" t="s">
        <v>135</v>
      </c>
      <c r="R2" s="6">
        <v>43201</v>
      </c>
      <c r="S2" s="6">
        <v>43207</v>
      </c>
      <c r="T2">
        <f t="shared" ref="T2:T13" si="0">DATEDIF(R2,S2,"d") + 1 + (DATEDIF(DATE(YEAR(R2),MONTH(R2),1),DATE(YEAR(S2),MONTH(S2),1),"m")*31 - DATEDIF(DATE(YEAR(R2),MONTH(R2),1),DATE(YEAR(S2),MONTH(S2),1),"d"))</f>
        <v>7</v>
      </c>
      <c r="U2">
        <f>DATEDIF(DATE('Leave Tracker'!$A$2,'Leave Tracker'!$A$1,1),DATE(YEAR(R2),MONTH(R2),1),"m")</f>
        <v>0</v>
      </c>
      <c r="W2" s="47">
        <v>0.8</v>
      </c>
    </row>
    <row r="3" spans="1:23" x14ac:dyDescent="0.45">
      <c r="A3" s="1" t="s">
        <v>1</v>
      </c>
      <c r="B3" s="1">
        <v>3</v>
      </c>
      <c r="D3">
        <v>3</v>
      </c>
      <c r="E3" t="s">
        <v>13</v>
      </c>
      <c r="I3" t="s">
        <v>113</v>
      </c>
      <c r="K3" t="s">
        <v>118</v>
      </c>
      <c r="M3" t="s">
        <v>173</v>
      </c>
      <c r="O3" t="s">
        <v>125</v>
      </c>
      <c r="Q3" t="s">
        <v>136</v>
      </c>
      <c r="R3" s="6">
        <f>S2+1</f>
        <v>43208</v>
      </c>
      <c r="S3" s="6">
        <f>S2+14</f>
        <v>43221</v>
      </c>
      <c r="T3">
        <f t="shared" si="0"/>
        <v>15</v>
      </c>
      <c r="U3">
        <f>DATEDIF(DATE('Leave Tracker'!$A$2,'Leave Tracker'!$A$1,1),DATE(YEAR(R3),MONTH(R3),1),"m")</f>
        <v>0</v>
      </c>
    </row>
    <row r="4" spans="1:23" x14ac:dyDescent="0.45">
      <c r="A4" s="1" t="s">
        <v>2</v>
      </c>
      <c r="B4" s="1">
        <v>4</v>
      </c>
      <c r="D4">
        <v>4</v>
      </c>
      <c r="E4" t="s">
        <v>14</v>
      </c>
      <c r="I4" t="s">
        <v>119</v>
      </c>
      <c r="M4" t="s">
        <v>121</v>
      </c>
      <c r="O4" t="s">
        <v>126</v>
      </c>
      <c r="Q4" t="s">
        <v>137</v>
      </c>
      <c r="R4" s="6">
        <f>S3+1</f>
        <v>43222</v>
      </c>
      <c r="S4" s="6">
        <f>S3+14</f>
        <v>43235</v>
      </c>
      <c r="T4">
        <f t="shared" si="0"/>
        <v>14</v>
      </c>
      <c r="U4">
        <f>DATEDIF(DATE('Leave Tracker'!$A$2,'Leave Tracker'!$A$1,1),DATE(YEAR(R4),MONTH(R4),1),"m")</f>
        <v>1</v>
      </c>
    </row>
    <row r="5" spans="1:23" x14ac:dyDescent="0.45">
      <c r="A5" s="1" t="s">
        <v>3</v>
      </c>
      <c r="B5" s="1">
        <v>5</v>
      </c>
      <c r="D5">
        <v>5</v>
      </c>
      <c r="E5" t="s">
        <v>15</v>
      </c>
      <c r="I5" t="s">
        <v>114</v>
      </c>
      <c r="M5" s="45" t="s">
        <v>172</v>
      </c>
      <c r="O5" t="s">
        <v>127</v>
      </c>
      <c r="Q5" t="s">
        <v>138</v>
      </c>
      <c r="R5" s="6">
        <f t="shared" ref="R5:R15" si="1">S4+1</f>
        <v>43236</v>
      </c>
      <c r="S5" s="6">
        <f t="shared" ref="S5:S14" si="2">S4+14</f>
        <v>43249</v>
      </c>
      <c r="T5">
        <f t="shared" si="0"/>
        <v>14</v>
      </c>
      <c r="U5">
        <f>DATEDIF(DATE('Leave Tracker'!$A$2,'Leave Tracker'!$A$1,1),DATE(YEAR(R5),MONTH(R5),1),"m")</f>
        <v>1</v>
      </c>
    </row>
    <row r="6" spans="1:23" x14ac:dyDescent="0.45">
      <c r="A6" s="1" t="s">
        <v>4</v>
      </c>
      <c r="B6" s="1">
        <v>6</v>
      </c>
      <c r="D6">
        <v>6</v>
      </c>
      <c r="E6" t="s">
        <v>16</v>
      </c>
      <c r="I6" t="s">
        <v>116</v>
      </c>
      <c r="M6" s="45" t="s">
        <v>122</v>
      </c>
      <c r="O6" t="s">
        <v>128</v>
      </c>
      <c r="Q6" t="s">
        <v>139</v>
      </c>
      <c r="R6" s="6">
        <f t="shared" si="1"/>
        <v>43250</v>
      </c>
      <c r="S6" s="6">
        <f t="shared" si="2"/>
        <v>43263</v>
      </c>
      <c r="T6">
        <f t="shared" si="0"/>
        <v>14</v>
      </c>
      <c r="U6">
        <f>DATEDIF(DATE('Leave Tracker'!$A$2,'Leave Tracker'!$A$1,1),DATE(YEAR(R6),MONTH(R6),1),"m")</f>
        <v>1</v>
      </c>
    </row>
    <row r="7" spans="1:23" x14ac:dyDescent="0.45">
      <c r="A7" s="1" t="s">
        <v>5</v>
      </c>
      <c r="B7" s="1">
        <v>7</v>
      </c>
      <c r="D7">
        <v>7</v>
      </c>
      <c r="E7" t="s">
        <v>17</v>
      </c>
      <c r="M7" s="45" t="s">
        <v>123</v>
      </c>
      <c r="Q7" t="s">
        <v>140</v>
      </c>
      <c r="R7" s="6">
        <f t="shared" si="1"/>
        <v>43264</v>
      </c>
      <c r="S7" s="6">
        <f t="shared" si="2"/>
        <v>43277</v>
      </c>
      <c r="T7">
        <f t="shared" si="0"/>
        <v>14</v>
      </c>
      <c r="U7">
        <f>DATEDIF(DATE('Leave Tracker'!$A$2,'Leave Tracker'!$A$1,1),DATE(YEAR(R7),MONTH(R7),1),"m")</f>
        <v>2</v>
      </c>
    </row>
    <row r="8" spans="1:23" x14ac:dyDescent="0.45">
      <c r="A8" s="1" t="s">
        <v>6</v>
      </c>
      <c r="B8" s="1">
        <v>8</v>
      </c>
      <c r="M8" s="45" t="s">
        <v>129</v>
      </c>
      <c r="Q8" t="s">
        <v>141</v>
      </c>
      <c r="R8" s="6">
        <f>S7+1</f>
        <v>43278</v>
      </c>
      <c r="S8" s="6">
        <f>S7+14</f>
        <v>43291</v>
      </c>
      <c r="T8">
        <f t="shared" si="0"/>
        <v>15</v>
      </c>
      <c r="U8">
        <f>DATEDIF(DATE('Leave Tracker'!$A$2,'Leave Tracker'!$A$1,1),DATE(YEAR(R8),MONTH(R8),1),"m")</f>
        <v>2</v>
      </c>
    </row>
    <row r="9" spans="1:23" x14ac:dyDescent="0.45">
      <c r="A9" s="1" t="s">
        <v>7</v>
      </c>
      <c r="B9" s="1">
        <v>9</v>
      </c>
      <c r="M9" s="45" t="s">
        <v>134</v>
      </c>
      <c r="Q9" t="s">
        <v>143</v>
      </c>
      <c r="R9" s="6">
        <f t="shared" si="1"/>
        <v>43292</v>
      </c>
      <c r="S9" s="6">
        <f>S8+7</f>
        <v>43298</v>
      </c>
      <c r="T9">
        <f t="shared" si="0"/>
        <v>7</v>
      </c>
      <c r="U9">
        <f>DATEDIF(DATE('Leave Tracker'!$A$2,'Leave Tracker'!$A$1,1),DATE(YEAR(R9),MONTH(R9),1),"m")</f>
        <v>3</v>
      </c>
    </row>
    <row r="10" spans="1:23" x14ac:dyDescent="0.45">
      <c r="A10" s="1" t="s">
        <v>8</v>
      </c>
      <c r="B10" s="1">
        <v>10</v>
      </c>
      <c r="M10" s="45" t="s">
        <v>132</v>
      </c>
      <c r="Q10" t="s">
        <v>144</v>
      </c>
      <c r="R10" s="6">
        <f t="shared" si="1"/>
        <v>43299</v>
      </c>
      <c r="S10" s="6">
        <f t="shared" si="2"/>
        <v>43312</v>
      </c>
      <c r="T10">
        <f t="shared" si="0"/>
        <v>14</v>
      </c>
      <c r="U10">
        <f>DATEDIF(DATE('Leave Tracker'!$A$2,'Leave Tracker'!$A$1,1),DATE(YEAR(R10),MONTH(R10),1),"m")</f>
        <v>3</v>
      </c>
    </row>
    <row r="11" spans="1:23" x14ac:dyDescent="0.45">
      <c r="A11" s="1" t="s">
        <v>9</v>
      </c>
      <c r="B11" s="1">
        <v>11</v>
      </c>
      <c r="M11" s="45" t="s">
        <v>133</v>
      </c>
      <c r="Q11" t="s">
        <v>145</v>
      </c>
      <c r="R11" s="6">
        <f t="shared" si="1"/>
        <v>43313</v>
      </c>
      <c r="S11" s="6">
        <f t="shared" si="2"/>
        <v>43326</v>
      </c>
      <c r="T11">
        <f t="shared" si="0"/>
        <v>14</v>
      </c>
      <c r="U11">
        <f>DATEDIF(DATE('Leave Tracker'!$A$2,'Leave Tracker'!$A$1,1),DATE(YEAR(R11),MONTH(R11),1),"m")</f>
        <v>4</v>
      </c>
    </row>
    <row r="12" spans="1:23" x14ac:dyDescent="0.45">
      <c r="A12" s="1" t="s">
        <v>10</v>
      </c>
      <c r="B12" s="1">
        <v>12</v>
      </c>
      <c r="Q12" t="s">
        <v>146</v>
      </c>
      <c r="R12" s="6">
        <f t="shared" si="1"/>
        <v>43327</v>
      </c>
      <c r="S12" s="6">
        <f t="shared" si="2"/>
        <v>43340</v>
      </c>
      <c r="T12">
        <f t="shared" si="0"/>
        <v>14</v>
      </c>
      <c r="U12">
        <f>DATEDIF(DATE('Leave Tracker'!$A$2,'Leave Tracker'!$A$1,1),DATE(YEAR(R12),MONTH(R12),1),"m")</f>
        <v>4</v>
      </c>
    </row>
    <row r="13" spans="1:23" x14ac:dyDescent="0.45">
      <c r="Q13" t="s">
        <v>147</v>
      </c>
      <c r="R13" s="6">
        <f t="shared" si="1"/>
        <v>43341</v>
      </c>
      <c r="S13" s="6">
        <f t="shared" si="2"/>
        <v>43354</v>
      </c>
      <c r="T13">
        <f t="shared" si="0"/>
        <v>14</v>
      </c>
      <c r="U13">
        <f>DATEDIF(DATE('Leave Tracker'!$A$2,'Leave Tracker'!$A$1,1),DATE(YEAR(R13),MONTH(R13),1),"m")</f>
        <v>4</v>
      </c>
    </row>
    <row r="14" spans="1:23" x14ac:dyDescent="0.45">
      <c r="Q14" t="s">
        <v>163</v>
      </c>
      <c r="R14" s="6">
        <f t="shared" si="1"/>
        <v>43355</v>
      </c>
      <c r="S14" s="6">
        <f t="shared" si="2"/>
        <v>43368</v>
      </c>
      <c r="T14" s="31">
        <f t="shared" ref="T14:T15" si="3">DATEDIF(R14,S14,"d") + 1 + (DATEDIF(DATE(YEAR(R14),MONTH(R14),1),DATE(YEAR(S14),MONTH(S14),1),"m")*31 - DATEDIF(DATE(YEAR(R14),MONTH(R14),1),DATE(YEAR(S14),MONTH(S14),1),"d"))</f>
        <v>14</v>
      </c>
      <c r="U14" s="31">
        <f>DATEDIF(DATE('Leave Tracker'!$A$2,'Leave Tracker'!$A$1,1),DATE(YEAR(R14),MONTH(R14),1),"m")</f>
        <v>5</v>
      </c>
    </row>
    <row r="15" spans="1:23" x14ac:dyDescent="0.45">
      <c r="Q15" t="s">
        <v>164</v>
      </c>
      <c r="R15" s="6">
        <f t="shared" si="1"/>
        <v>43369</v>
      </c>
      <c r="S15" s="6">
        <f>S14+7</f>
        <v>43375</v>
      </c>
      <c r="T15" s="31">
        <f t="shared" si="3"/>
        <v>8</v>
      </c>
      <c r="U15" s="31">
        <f>DATEDIF(DATE('Leave Tracker'!$A$2,'Leave Tracker'!$A$1,1),DATE(YEAR(R15),MONTH(R15),1),"m")</f>
        <v>5</v>
      </c>
    </row>
    <row r="16" spans="1:23" x14ac:dyDescent="0.45">
      <c r="Q16" t="s">
        <v>176</v>
      </c>
      <c r="R16" s="6">
        <f ca="1">TODAY()</f>
        <v>43349</v>
      </c>
      <c r="S16" s="6">
        <f>S15</f>
        <v>43375</v>
      </c>
      <c r="T16" s="31">
        <f ca="1">DATEDIF(R16,S16,"d") + 1 + (DATEDIF(DATE(YEAR(R16),MONTH(R16),1),DATE(YEAR(S16),MONTH(S16),1),"m")*31 - DATEDIF(DATE(YEAR(R16),MONTH(R16),1),DATE(YEAR(S16),MONTH(S16),1),"d"))</f>
        <v>28</v>
      </c>
      <c r="U16" s="31">
        <f ca="1">DATEDIF(DATE('Leave Tracker'!$A$2,'Leave Tracker'!$A$1,1),DATE(YEAR(R16),MONTH(R16),1),"m")</f>
        <v>5</v>
      </c>
    </row>
  </sheetData>
  <pageMargins left="0.7" right="0.7" top="0.75" bottom="0.75" header="0.3" footer="0.3"/>
  <pageSetup orientation="portrait" r:id="rId1"/>
  <ignoredErrors>
    <ignoredError sqref="S9" formula="1"/>
  </ignoredErrors>
  <tableParts count="6">
    <tablePart r:id="rId2"/>
    <tablePart r:id="rId3"/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4BD1C4-8F77-442F-808C-BE77BD83416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Leave Tracker</vt:lpstr>
      <vt:lpstr>Holidays</vt:lpstr>
      <vt:lpstr>Team</vt:lpstr>
      <vt:lpstr>Team Capacity</vt:lpstr>
      <vt:lpstr>Sheet3</vt:lpstr>
      <vt:lpstr>HolidayListNamedRange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Alex Folomechine</cp:lastModifiedBy>
  <dcterms:created xsi:type="dcterms:W3CDTF">2014-12-17T05:13:13Z</dcterms:created>
  <dcterms:modified xsi:type="dcterms:W3CDTF">2018-09-06T15:33:58Z</dcterms:modified>
</cp:coreProperties>
</file>