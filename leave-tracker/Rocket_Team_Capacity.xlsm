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folomechine\Documents\BLUEPRINT\Releases\Quasar\etc\"/>
    </mc:Choice>
  </mc:AlternateContent>
  <bookViews>
    <workbookView xWindow="0" yWindow="0" windowWidth="21600" windowHeight="9285" activeTab="3"/>
  </bookViews>
  <sheets>
    <sheet name="Leave Tracker" sheetId="8" r:id="rId1"/>
    <sheet name="Holidays" sheetId="9" r:id="rId2"/>
    <sheet name="Team" sheetId="10" r:id="rId3"/>
    <sheet name="Team Capacity" sheetId="11" r:id="rId4"/>
    <sheet name="Sheet3" sheetId="5" r:id="rId5"/>
  </sheets>
  <definedNames>
    <definedName name="HolidayListNamedRange">HolidayList[Date]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41547.3902083333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</definedNames>
  <calcPr calcId="171027"/>
  <pivotCaches>
    <pivotCache cacheId="37" r:id="rId6"/>
  </pivotCaches>
  <fileRecoveryPr autoRecover="0"/>
</workbook>
</file>

<file path=xl/calcChain.xml><?xml version="1.0" encoding="utf-8"?>
<calcChain xmlns="http://schemas.openxmlformats.org/spreadsheetml/2006/main">
  <c r="S2" i="5" l="1"/>
  <c r="Z3" i="11" l="1"/>
  <c r="Z4" i="11"/>
  <c r="Z5" i="11"/>
  <c r="Z6" i="11"/>
  <c r="Z7" i="11"/>
  <c r="W7" i="11"/>
  <c r="V7" i="11"/>
  <c r="U7" i="11"/>
  <c r="T7" i="11"/>
  <c r="S7" i="11"/>
  <c r="R14" i="5"/>
  <c r="W6" i="11"/>
  <c r="V6" i="11"/>
  <c r="W5" i="11"/>
  <c r="V5" i="11"/>
  <c r="W4" i="11"/>
  <c r="V4" i="11"/>
  <c r="U6" i="11"/>
  <c r="U5" i="11"/>
  <c r="U4" i="11"/>
  <c r="T6" i="11"/>
  <c r="T5" i="11"/>
  <c r="T4" i="11"/>
  <c r="S6" i="11"/>
  <c r="S5" i="11"/>
  <c r="S4" i="11"/>
  <c r="S3" i="11"/>
  <c r="T3" i="11"/>
  <c r="U3" i="11"/>
  <c r="V3" i="11"/>
  <c r="W3" i="11"/>
  <c r="AD3" i="11" l="1"/>
  <c r="AC3" i="11"/>
  <c r="AB3" i="11"/>
  <c r="AA3" i="11"/>
  <c r="Y3" i="11"/>
  <c r="X7" i="11"/>
  <c r="X3" i="11"/>
  <c r="X4" i="11"/>
  <c r="X5" i="11"/>
  <c r="X6" i="11"/>
  <c r="AD4" i="11" l="1"/>
  <c r="AD5" i="11"/>
  <c r="AD6" i="11"/>
  <c r="AD7" i="11"/>
  <c r="AC4" i="11"/>
  <c r="AC5" i="11"/>
  <c r="AC6" i="11"/>
  <c r="AC7" i="11"/>
  <c r="AB4" i="11"/>
  <c r="AB5" i="11"/>
  <c r="AB6" i="11"/>
  <c r="AB7" i="11"/>
  <c r="AA4" i="11"/>
  <c r="AA5" i="11"/>
  <c r="AA6" i="11"/>
  <c r="AA7" i="11"/>
  <c r="Y4" i="11"/>
  <c r="Y5" i="11"/>
  <c r="Y6" i="11"/>
  <c r="Y7" i="11"/>
  <c r="AE7" i="11" l="1"/>
  <c r="AE6" i="11"/>
  <c r="AE5" i="11"/>
  <c r="AE4" i="11"/>
  <c r="AE3" i="11"/>
  <c r="U14" i="5" l="1"/>
  <c r="U2" i="5" l="1"/>
  <c r="A4" i="8"/>
  <c r="T2" i="5"/>
  <c r="S3" i="5"/>
  <c r="S4" i="5" s="1"/>
  <c r="R3" i="5"/>
  <c r="AB3" i="8"/>
  <c r="G2" i="9"/>
  <c r="NL5" i="8"/>
  <c r="NI5" i="8"/>
  <c r="NI6" i="8" s="1"/>
  <c r="NI4" i="8" s="1"/>
  <c r="NH5" i="8"/>
  <c r="NH6" i="8" s="1"/>
  <c r="NH4" i="8" s="1"/>
  <c r="NG5" i="8"/>
  <c r="NG6" i="8" s="1"/>
  <c r="NG4" i="8" s="1"/>
  <c r="NF5" i="8"/>
  <c r="NF6" i="8" s="1"/>
  <c r="NF4" i="8" s="1"/>
  <c r="NE5" i="8"/>
  <c r="NE6" i="8" s="1"/>
  <c r="NE4" i="8" s="1"/>
  <c r="ND5" i="8"/>
  <c r="ND6" i="8" s="1"/>
  <c r="ND4" i="8" s="1"/>
  <c r="NC5" i="8"/>
  <c r="NC6" i="8" s="1"/>
  <c r="NC4" i="8" s="1"/>
  <c r="NB5" i="8"/>
  <c r="NB6" i="8" s="1"/>
  <c r="NB4" i="8" s="1"/>
  <c r="NA5" i="8"/>
  <c r="NA6" i="8" s="1"/>
  <c r="NA4" i="8" s="1"/>
  <c r="MZ5" i="8"/>
  <c r="MZ6" i="8" s="1"/>
  <c r="MZ4" i="8" s="1"/>
  <c r="MY5" i="8"/>
  <c r="MY6" i="8" s="1"/>
  <c r="MY4" i="8" s="1"/>
  <c r="MX5" i="8"/>
  <c r="MX6" i="8" s="1"/>
  <c r="MX4" i="8" s="1"/>
  <c r="MW5" i="8"/>
  <c r="MW6" i="8" s="1"/>
  <c r="MW4" i="8" s="1"/>
  <c r="MV5" i="8"/>
  <c r="MV6" i="8" s="1"/>
  <c r="MV4" i="8" s="1"/>
  <c r="MU5" i="8"/>
  <c r="MU6" i="8" s="1"/>
  <c r="MU4" i="8" s="1"/>
  <c r="MT5" i="8"/>
  <c r="MT6" i="8" s="1"/>
  <c r="MT4" i="8" s="1"/>
  <c r="MS5" i="8"/>
  <c r="MS6" i="8" s="1"/>
  <c r="MS4" i="8" s="1"/>
  <c r="MR5" i="8"/>
  <c r="MR6" i="8" s="1"/>
  <c r="MR4" i="8" s="1"/>
  <c r="MQ5" i="8"/>
  <c r="MQ6" i="8" s="1"/>
  <c r="MQ4" i="8" s="1"/>
  <c r="MP5" i="8"/>
  <c r="MP6" i="8" s="1"/>
  <c r="MP4" i="8" s="1"/>
  <c r="MO5" i="8"/>
  <c r="MO6" i="8" s="1"/>
  <c r="MO4" i="8" s="1"/>
  <c r="MN5" i="8"/>
  <c r="MN6" i="8" s="1"/>
  <c r="MN4" i="8" s="1"/>
  <c r="MM5" i="8"/>
  <c r="MM6" i="8" s="1"/>
  <c r="MM4" i="8" s="1"/>
  <c r="ML5" i="8"/>
  <c r="ML6" i="8" s="1"/>
  <c r="ML4" i="8" s="1"/>
  <c r="MK5" i="8"/>
  <c r="MK6" i="8" s="1"/>
  <c r="MK4" i="8" s="1"/>
  <c r="MJ5" i="8"/>
  <c r="MJ6" i="8" s="1"/>
  <c r="MJ4" i="8" s="1"/>
  <c r="MI5" i="8"/>
  <c r="MI6" i="8" s="1"/>
  <c r="MI4" i="8" s="1"/>
  <c r="MH5" i="8"/>
  <c r="MH6" i="8" s="1"/>
  <c r="MH4" i="8" s="1"/>
  <c r="MG5" i="8"/>
  <c r="MG6" i="8" s="1"/>
  <c r="MG4" i="8" s="1"/>
  <c r="MF5" i="8"/>
  <c r="MF6" i="8" s="1"/>
  <c r="MF4" i="8" s="1"/>
  <c r="ME5" i="8"/>
  <c r="ME6" i="8" s="1"/>
  <c r="ME4" i="8" s="1"/>
  <c r="MD5" i="8"/>
  <c r="MD6" i="8" s="1"/>
  <c r="MD4" i="8" s="1"/>
  <c r="MC5" i="8"/>
  <c r="MC6" i="8" s="1"/>
  <c r="MC4" i="8" s="1"/>
  <c r="MB5" i="8"/>
  <c r="MB6" i="8" s="1"/>
  <c r="MB4" i="8" s="1"/>
  <c r="MA5" i="8"/>
  <c r="MA6" i="8" s="1"/>
  <c r="MA4" i="8" s="1"/>
  <c r="LZ5" i="8"/>
  <c r="LZ6" i="8" s="1"/>
  <c r="LZ4" i="8" s="1"/>
  <c r="LY5" i="8"/>
  <c r="LY6" i="8" s="1"/>
  <c r="LY4" i="8" s="1"/>
  <c r="LX5" i="8"/>
  <c r="LX6" i="8" s="1"/>
  <c r="LX4" i="8" s="1"/>
  <c r="LW5" i="8"/>
  <c r="LW6" i="8" s="1"/>
  <c r="LW4" i="8" s="1"/>
  <c r="LV5" i="8"/>
  <c r="LV6" i="8" s="1"/>
  <c r="LV4" i="8" s="1"/>
  <c r="LU5" i="8"/>
  <c r="LU6" i="8" s="1"/>
  <c r="LU4" i="8" s="1"/>
  <c r="LT5" i="8"/>
  <c r="LT6" i="8" s="1"/>
  <c r="LT4" i="8" s="1"/>
  <c r="LS5" i="8"/>
  <c r="LS6" i="8" s="1"/>
  <c r="LS4" i="8" s="1"/>
  <c r="LR5" i="8"/>
  <c r="LR6" i="8" s="1"/>
  <c r="LR4" i="8" s="1"/>
  <c r="LQ5" i="8"/>
  <c r="LQ6" i="8" s="1"/>
  <c r="LQ4" i="8" s="1"/>
  <c r="LP5" i="8"/>
  <c r="LP6" i="8" s="1"/>
  <c r="LP4" i="8" s="1"/>
  <c r="LO5" i="8"/>
  <c r="LO6" i="8" s="1"/>
  <c r="LO4" i="8" s="1"/>
  <c r="LN5" i="8"/>
  <c r="LN6" i="8" s="1"/>
  <c r="LN4" i="8" s="1"/>
  <c r="LM5" i="8"/>
  <c r="LM6" i="8" s="1"/>
  <c r="LM4" i="8" s="1"/>
  <c r="LL5" i="8"/>
  <c r="LL6" i="8" s="1"/>
  <c r="LL4" i="8" s="1"/>
  <c r="LK5" i="8"/>
  <c r="LK6" i="8" s="1"/>
  <c r="LK4" i="8" s="1"/>
  <c r="LJ5" i="8"/>
  <c r="LJ6" i="8" s="1"/>
  <c r="LJ4" i="8" s="1"/>
  <c r="LI5" i="8"/>
  <c r="LI6" i="8" s="1"/>
  <c r="LI4" i="8" s="1"/>
  <c r="LH5" i="8"/>
  <c r="LH6" i="8" s="1"/>
  <c r="LH4" i="8" s="1"/>
  <c r="LG5" i="8"/>
  <c r="LG6" i="8" s="1"/>
  <c r="LG4" i="8" s="1"/>
  <c r="LF5" i="8"/>
  <c r="LF6" i="8" s="1"/>
  <c r="LF4" i="8" s="1"/>
  <c r="LE5" i="8"/>
  <c r="LE6" i="8" s="1"/>
  <c r="LE4" i="8" s="1"/>
  <c r="LD5" i="8"/>
  <c r="LD6" i="8" s="1"/>
  <c r="LD4" i="8" s="1"/>
  <c r="LC5" i="8"/>
  <c r="LC6" i="8" s="1"/>
  <c r="LC4" i="8" s="1"/>
  <c r="LB5" i="8"/>
  <c r="LB6" i="8" s="1"/>
  <c r="LB4" i="8" s="1"/>
  <c r="LA5" i="8"/>
  <c r="LA6" i="8" s="1"/>
  <c r="LA4" i="8" s="1"/>
  <c r="KZ5" i="8"/>
  <c r="KZ6" i="8" s="1"/>
  <c r="KZ4" i="8" s="1"/>
  <c r="KY5" i="8"/>
  <c r="KY6" i="8" s="1"/>
  <c r="KY4" i="8" s="1"/>
  <c r="KX5" i="8"/>
  <c r="KX6" i="8" s="1"/>
  <c r="KX4" i="8" s="1"/>
  <c r="KW5" i="8"/>
  <c r="KW6" i="8" s="1"/>
  <c r="KW4" i="8" s="1"/>
  <c r="KV5" i="8"/>
  <c r="KV6" i="8" s="1"/>
  <c r="KV4" i="8" s="1"/>
  <c r="KU5" i="8"/>
  <c r="KU6" i="8" s="1"/>
  <c r="KU4" i="8" s="1"/>
  <c r="KT5" i="8"/>
  <c r="KT6" i="8" s="1"/>
  <c r="KT4" i="8" s="1"/>
  <c r="KS5" i="8"/>
  <c r="KS6" i="8" s="1"/>
  <c r="KS4" i="8" s="1"/>
  <c r="KR5" i="8"/>
  <c r="KR6" i="8" s="1"/>
  <c r="KR4" i="8" s="1"/>
  <c r="KQ5" i="8"/>
  <c r="KQ6" i="8" s="1"/>
  <c r="KQ4" i="8" s="1"/>
  <c r="KP5" i="8"/>
  <c r="KP6" i="8" s="1"/>
  <c r="KP4" i="8" s="1"/>
  <c r="KO5" i="8"/>
  <c r="KO6" i="8" s="1"/>
  <c r="KO4" i="8" s="1"/>
  <c r="KN5" i="8"/>
  <c r="KN6" i="8" s="1"/>
  <c r="KN4" i="8" s="1"/>
  <c r="KM5" i="8"/>
  <c r="KM6" i="8" s="1"/>
  <c r="KM4" i="8" s="1"/>
  <c r="KL5" i="8"/>
  <c r="KL6" i="8" s="1"/>
  <c r="KL4" i="8" s="1"/>
  <c r="KK5" i="8"/>
  <c r="KK6" i="8" s="1"/>
  <c r="KK4" i="8" s="1"/>
  <c r="KJ5" i="8"/>
  <c r="KJ6" i="8" s="1"/>
  <c r="KJ4" i="8" s="1"/>
  <c r="KI5" i="8"/>
  <c r="KI6" i="8" s="1"/>
  <c r="KI4" i="8" s="1"/>
  <c r="KH5" i="8"/>
  <c r="KH6" i="8" s="1"/>
  <c r="KH4" i="8" s="1"/>
  <c r="KG5" i="8"/>
  <c r="KG6" i="8" s="1"/>
  <c r="KG4" i="8" s="1"/>
  <c r="KF5" i="8"/>
  <c r="KF6" i="8" s="1"/>
  <c r="KF4" i="8" s="1"/>
  <c r="KE5" i="8"/>
  <c r="KE6" i="8" s="1"/>
  <c r="KE4" i="8" s="1"/>
  <c r="KD5" i="8"/>
  <c r="KD6" i="8" s="1"/>
  <c r="KD4" i="8" s="1"/>
  <c r="KC5" i="8"/>
  <c r="KC6" i="8" s="1"/>
  <c r="KC4" i="8" s="1"/>
  <c r="KB5" i="8"/>
  <c r="KB6" i="8" s="1"/>
  <c r="KB4" i="8" s="1"/>
  <c r="KA5" i="8"/>
  <c r="KA6" i="8" s="1"/>
  <c r="KA4" i="8" s="1"/>
  <c r="JZ5" i="8"/>
  <c r="JZ6" i="8" s="1"/>
  <c r="JZ4" i="8" s="1"/>
  <c r="JY5" i="8"/>
  <c r="JY6" i="8" s="1"/>
  <c r="JY4" i="8" s="1"/>
  <c r="JX5" i="8"/>
  <c r="JX6" i="8" s="1"/>
  <c r="JX4" i="8" s="1"/>
  <c r="JW5" i="8"/>
  <c r="JW6" i="8" s="1"/>
  <c r="JW4" i="8" s="1"/>
  <c r="JV5" i="8"/>
  <c r="JV6" i="8" s="1"/>
  <c r="JV4" i="8" s="1"/>
  <c r="JU5" i="8"/>
  <c r="JU6" i="8" s="1"/>
  <c r="JU4" i="8" s="1"/>
  <c r="JT5" i="8"/>
  <c r="JT6" i="8" s="1"/>
  <c r="JT4" i="8" s="1"/>
  <c r="JS5" i="8"/>
  <c r="JS6" i="8" s="1"/>
  <c r="JS4" i="8" s="1"/>
  <c r="JR5" i="8"/>
  <c r="JR6" i="8" s="1"/>
  <c r="JR4" i="8" s="1"/>
  <c r="JQ5" i="8"/>
  <c r="JQ6" i="8" s="1"/>
  <c r="JQ4" i="8" s="1"/>
  <c r="JP5" i="8"/>
  <c r="JP6" i="8" s="1"/>
  <c r="JP4" i="8" s="1"/>
  <c r="JO5" i="8"/>
  <c r="JO6" i="8" s="1"/>
  <c r="JO4" i="8" s="1"/>
  <c r="JN5" i="8"/>
  <c r="JN6" i="8" s="1"/>
  <c r="JN4" i="8" s="1"/>
  <c r="JM5" i="8"/>
  <c r="JM6" i="8" s="1"/>
  <c r="JM4" i="8" s="1"/>
  <c r="JL5" i="8"/>
  <c r="JL6" i="8" s="1"/>
  <c r="JL4" i="8" s="1"/>
  <c r="JK5" i="8"/>
  <c r="JK6" i="8" s="1"/>
  <c r="JK4" i="8" s="1"/>
  <c r="JJ5" i="8"/>
  <c r="JJ6" i="8" s="1"/>
  <c r="JJ4" i="8" s="1"/>
  <c r="JI5" i="8"/>
  <c r="JI6" i="8" s="1"/>
  <c r="JI4" i="8" s="1"/>
  <c r="JH5" i="8"/>
  <c r="JH6" i="8" s="1"/>
  <c r="JH4" i="8" s="1"/>
  <c r="JG5" i="8"/>
  <c r="JG6" i="8" s="1"/>
  <c r="JG4" i="8" s="1"/>
  <c r="JF5" i="8"/>
  <c r="JF6" i="8" s="1"/>
  <c r="JF4" i="8" s="1"/>
  <c r="JE5" i="8"/>
  <c r="JE6" i="8" s="1"/>
  <c r="JE4" i="8" s="1"/>
  <c r="JD5" i="8"/>
  <c r="JD6" i="8" s="1"/>
  <c r="JD4" i="8" s="1"/>
  <c r="JC5" i="8"/>
  <c r="JC6" i="8" s="1"/>
  <c r="JC4" i="8" s="1"/>
  <c r="JB5" i="8"/>
  <c r="JB6" i="8" s="1"/>
  <c r="JB4" i="8" s="1"/>
  <c r="JA5" i="8"/>
  <c r="JA6" i="8" s="1"/>
  <c r="JA4" i="8" s="1"/>
  <c r="IZ5" i="8"/>
  <c r="IZ6" i="8" s="1"/>
  <c r="IZ4" i="8" s="1"/>
  <c r="IY5" i="8"/>
  <c r="IY6" i="8" s="1"/>
  <c r="IY4" i="8" s="1"/>
  <c r="IX5" i="8"/>
  <c r="IX6" i="8" s="1"/>
  <c r="IX4" i="8" s="1"/>
  <c r="IW5" i="8"/>
  <c r="IW6" i="8" s="1"/>
  <c r="IW4" i="8" s="1"/>
  <c r="IV5" i="8"/>
  <c r="IV6" i="8" s="1"/>
  <c r="IV4" i="8" s="1"/>
  <c r="IU5" i="8"/>
  <c r="IU6" i="8" s="1"/>
  <c r="IU4" i="8" s="1"/>
  <c r="IT5" i="8"/>
  <c r="IT6" i="8" s="1"/>
  <c r="IT4" i="8" s="1"/>
  <c r="IS5" i="8"/>
  <c r="IS6" i="8" s="1"/>
  <c r="IS4" i="8" s="1"/>
  <c r="IR5" i="8"/>
  <c r="IR6" i="8" s="1"/>
  <c r="IR4" i="8" s="1"/>
  <c r="IQ5" i="8"/>
  <c r="IQ6" i="8" s="1"/>
  <c r="IQ4" i="8" s="1"/>
  <c r="IP5" i="8"/>
  <c r="IP6" i="8" s="1"/>
  <c r="IP4" i="8" s="1"/>
  <c r="IO5" i="8"/>
  <c r="IO6" i="8" s="1"/>
  <c r="IO4" i="8" s="1"/>
  <c r="IN5" i="8"/>
  <c r="IN6" i="8" s="1"/>
  <c r="IN4" i="8" s="1"/>
  <c r="IM5" i="8"/>
  <c r="IM6" i="8" s="1"/>
  <c r="IM4" i="8" s="1"/>
  <c r="IL5" i="8"/>
  <c r="IL6" i="8" s="1"/>
  <c r="IL4" i="8" s="1"/>
  <c r="IK5" i="8"/>
  <c r="IK6" i="8" s="1"/>
  <c r="IK4" i="8" s="1"/>
  <c r="IJ5" i="8"/>
  <c r="IJ6" i="8" s="1"/>
  <c r="IJ4" i="8" s="1"/>
  <c r="II5" i="8"/>
  <c r="II6" i="8" s="1"/>
  <c r="II4" i="8" s="1"/>
  <c r="IH5" i="8"/>
  <c r="IH6" i="8" s="1"/>
  <c r="IH4" i="8" s="1"/>
  <c r="IG5" i="8"/>
  <c r="IG6" i="8" s="1"/>
  <c r="IG4" i="8" s="1"/>
  <c r="IF5" i="8"/>
  <c r="IF6" i="8" s="1"/>
  <c r="IF4" i="8" s="1"/>
  <c r="IE5" i="8"/>
  <c r="IE6" i="8" s="1"/>
  <c r="IE4" i="8" s="1"/>
  <c r="ID5" i="8"/>
  <c r="ID6" i="8" s="1"/>
  <c r="ID4" i="8" s="1"/>
  <c r="IC5" i="8"/>
  <c r="IC6" i="8" s="1"/>
  <c r="IC4" i="8" s="1"/>
  <c r="IB5" i="8"/>
  <c r="IB6" i="8" s="1"/>
  <c r="IB4" i="8" s="1"/>
  <c r="IA5" i="8"/>
  <c r="IA6" i="8" s="1"/>
  <c r="IA4" i="8" s="1"/>
  <c r="HZ5" i="8"/>
  <c r="HZ6" i="8" s="1"/>
  <c r="HZ4" i="8" s="1"/>
  <c r="HY5" i="8"/>
  <c r="HY6" i="8" s="1"/>
  <c r="HY4" i="8" s="1"/>
  <c r="HX5" i="8"/>
  <c r="HX6" i="8" s="1"/>
  <c r="HX4" i="8" s="1"/>
  <c r="HW5" i="8"/>
  <c r="HW6" i="8" s="1"/>
  <c r="HW4" i="8" s="1"/>
  <c r="HV5" i="8"/>
  <c r="HV6" i="8" s="1"/>
  <c r="HV4" i="8" s="1"/>
  <c r="HU5" i="8"/>
  <c r="HU6" i="8" s="1"/>
  <c r="HU4" i="8" s="1"/>
  <c r="HT5" i="8"/>
  <c r="HT6" i="8" s="1"/>
  <c r="HT4" i="8" s="1"/>
  <c r="HS5" i="8"/>
  <c r="HS6" i="8" s="1"/>
  <c r="HS4" i="8" s="1"/>
  <c r="HR5" i="8"/>
  <c r="HR6" i="8" s="1"/>
  <c r="HR4" i="8" s="1"/>
  <c r="HQ5" i="8"/>
  <c r="HQ6" i="8" s="1"/>
  <c r="HQ4" i="8" s="1"/>
  <c r="HP5" i="8"/>
  <c r="HP6" i="8" s="1"/>
  <c r="HP4" i="8" s="1"/>
  <c r="HO5" i="8"/>
  <c r="HO6" i="8" s="1"/>
  <c r="HO4" i="8" s="1"/>
  <c r="HN5" i="8"/>
  <c r="HN6" i="8" s="1"/>
  <c r="HN4" i="8" s="1"/>
  <c r="HM5" i="8"/>
  <c r="HM6" i="8" s="1"/>
  <c r="HM4" i="8" s="1"/>
  <c r="HL5" i="8"/>
  <c r="HL6" i="8" s="1"/>
  <c r="HL4" i="8" s="1"/>
  <c r="HK5" i="8"/>
  <c r="HK6" i="8" s="1"/>
  <c r="HK4" i="8" s="1"/>
  <c r="HJ5" i="8"/>
  <c r="HJ6" i="8" s="1"/>
  <c r="HJ4" i="8" s="1"/>
  <c r="HI5" i="8"/>
  <c r="HI6" i="8" s="1"/>
  <c r="HI4" i="8" s="1"/>
  <c r="HH5" i="8"/>
  <c r="HH6" i="8" s="1"/>
  <c r="HH4" i="8" s="1"/>
  <c r="HG5" i="8"/>
  <c r="HG6" i="8" s="1"/>
  <c r="HG4" i="8" s="1"/>
  <c r="HF5" i="8"/>
  <c r="HF6" i="8" s="1"/>
  <c r="HF4" i="8" s="1"/>
  <c r="HE5" i="8"/>
  <c r="HE6" i="8" s="1"/>
  <c r="HE4" i="8" s="1"/>
  <c r="HD5" i="8"/>
  <c r="HD6" i="8" s="1"/>
  <c r="HD4" i="8" s="1"/>
  <c r="HC5" i="8"/>
  <c r="HC6" i="8" s="1"/>
  <c r="HC4" i="8" s="1"/>
  <c r="HB5" i="8"/>
  <c r="HB6" i="8" s="1"/>
  <c r="HB4" i="8" s="1"/>
  <c r="HA5" i="8"/>
  <c r="HA6" i="8" s="1"/>
  <c r="HA4" i="8" s="1"/>
  <c r="GZ5" i="8"/>
  <c r="GZ6" i="8" s="1"/>
  <c r="GZ4" i="8" s="1"/>
  <c r="GY5" i="8"/>
  <c r="GY6" i="8" s="1"/>
  <c r="GY4" i="8" s="1"/>
  <c r="GX5" i="8"/>
  <c r="GX6" i="8" s="1"/>
  <c r="GX4" i="8" s="1"/>
  <c r="GW5" i="8"/>
  <c r="GW6" i="8" s="1"/>
  <c r="GW4" i="8" s="1"/>
  <c r="GV5" i="8"/>
  <c r="GV6" i="8" s="1"/>
  <c r="GV4" i="8" s="1"/>
  <c r="GU5" i="8"/>
  <c r="GU6" i="8" s="1"/>
  <c r="GU4" i="8" s="1"/>
  <c r="GT5" i="8"/>
  <c r="GT6" i="8" s="1"/>
  <c r="GT4" i="8" s="1"/>
  <c r="GS5" i="8"/>
  <c r="GS6" i="8" s="1"/>
  <c r="GS4" i="8" s="1"/>
  <c r="GR5" i="8"/>
  <c r="GR6" i="8" s="1"/>
  <c r="GR4" i="8" s="1"/>
  <c r="GQ5" i="8"/>
  <c r="GQ6" i="8" s="1"/>
  <c r="GQ4" i="8" s="1"/>
  <c r="GP5" i="8"/>
  <c r="GP6" i="8" s="1"/>
  <c r="GP4" i="8" s="1"/>
  <c r="GO5" i="8"/>
  <c r="GO6" i="8" s="1"/>
  <c r="GO4" i="8" s="1"/>
  <c r="GN5" i="8"/>
  <c r="GN6" i="8" s="1"/>
  <c r="GN4" i="8" s="1"/>
  <c r="GM5" i="8"/>
  <c r="GM6" i="8" s="1"/>
  <c r="GM4" i="8" s="1"/>
  <c r="GL5" i="8"/>
  <c r="GL6" i="8" s="1"/>
  <c r="GL4" i="8" s="1"/>
  <c r="GK5" i="8"/>
  <c r="GK6" i="8" s="1"/>
  <c r="GK4" i="8" s="1"/>
  <c r="GJ5" i="8"/>
  <c r="GJ6" i="8" s="1"/>
  <c r="GJ4" i="8" s="1"/>
  <c r="GI5" i="8"/>
  <c r="GI6" i="8" s="1"/>
  <c r="GI4" i="8" s="1"/>
  <c r="GH5" i="8"/>
  <c r="GH6" i="8" s="1"/>
  <c r="GH4" i="8" s="1"/>
  <c r="GG5" i="8"/>
  <c r="GG6" i="8" s="1"/>
  <c r="GG4" i="8" s="1"/>
  <c r="GF5" i="8"/>
  <c r="GF6" i="8" s="1"/>
  <c r="GF4" i="8" s="1"/>
  <c r="GE5" i="8"/>
  <c r="GE6" i="8" s="1"/>
  <c r="GE4" i="8" s="1"/>
  <c r="GD5" i="8"/>
  <c r="GD6" i="8" s="1"/>
  <c r="GD4" i="8" s="1"/>
  <c r="GC5" i="8"/>
  <c r="GC6" i="8" s="1"/>
  <c r="GC4" i="8" s="1"/>
  <c r="GB5" i="8"/>
  <c r="GB6" i="8" s="1"/>
  <c r="GB4" i="8" s="1"/>
  <c r="GA5" i="8"/>
  <c r="GA6" i="8" s="1"/>
  <c r="GA4" i="8" s="1"/>
  <c r="FZ5" i="8"/>
  <c r="FZ6" i="8" s="1"/>
  <c r="FZ4" i="8" s="1"/>
  <c r="FY5" i="8"/>
  <c r="FY6" i="8" s="1"/>
  <c r="FY4" i="8" s="1"/>
  <c r="FX5" i="8"/>
  <c r="FX6" i="8" s="1"/>
  <c r="FX4" i="8" s="1"/>
  <c r="FW5" i="8"/>
  <c r="FW6" i="8" s="1"/>
  <c r="FW4" i="8" s="1"/>
  <c r="FV5" i="8"/>
  <c r="FV6" i="8" s="1"/>
  <c r="FV4" i="8" s="1"/>
  <c r="FU5" i="8"/>
  <c r="FU6" i="8" s="1"/>
  <c r="FU4" i="8" s="1"/>
  <c r="FT5" i="8"/>
  <c r="FT6" i="8" s="1"/>
  <c r="FT4" i="8" s="1"/>
  <c r="FS5" i="8"/>
  <c r="FS6" i="8" s="1"/>
  <c r="FS4" i="8" s="1"/>
  <c r="FR5" i="8"/>
  <c r="FR6" i="8" s="1"/>
  <c r="FR4" i="8" s="1"/>
  <c r="FQ5" i="8"/>
  <c r="FQ6" i="8" s="1"/>
  <c r="FQ4" i="8" s="1"/>
  <c r="FP5" i="8"/>
  <c r="FP6" i="8" s="1"/>
  <c r="FP4" i="8" s="1"/>
  <c r="FO5" i="8"/>
  <c r="FO6" i="8" s="1"/>
  <c r="FO4" i="8" s="1"/>
  <c r="FN5" i="8"/>
  <c r="FN6" i="8" s="1"/>
  <c r="FN4" i="8" s="1"/>
  <c r="FM5" i="8"/>
  <c r="FM6" i="8" s="1"/>
  <c r="FM4" i="8" s="1"/>
  <c r="FL5" i="8"/>
  <c r="FL6" i="8" s="1"/>
  <c r="FL4" i="8" s="1"/>
  <c r="FK5" i="8"/>
  <c r="FK6" i="8" s="1"/>
  <c r="FK4" i="8" s="1"/>
  <c r="FJ5" i="8"/>
  <c r="FJ6" i="8" s="1"/>
  <c r="FJ4" i="8" s="1"/>
  <c r="FI5" i="8"/>
  <c r="FI6" i="8" s="1"/>
  <c r="FI4" i="8" s="1"/>
  <c r="FH5" i="8"/>
  <c r="FH6" i="8" s="1"/>
  <c r="FH4" i="8" s="1"/>
  <c r="FG5" i="8"/>
  <c r="FG6" i="8" s="1"/>
  <c r="FG4" i="8" s="1"/>
  <c r="FF5" i="8"/>
  <c r="FF6" i="8" s="1"/>
  <c r="FF4" i="8" s="1"/>
  <c r="FE5" i="8"/>
  <c r="FE6" i="8" s="1"/>
  <c r="FE4" i="8" s="1"/>
  <c r="FD5" i="8"/>
  <c r="FD6" i="8" s="1"/>
  <c r="FD4" i="8" s="1"/>
  <c r="FC5" i="8"/>
  <c r="FC6" i="8" s="1"/>
  <c r="FC4" i="8" s="1"/>
  <c r="FB5" i="8"/>
  <c r="FB6" i="8" s="1"/>
  <c r="FB4" i="8" s="1"/>
  <c r="FA5" i="8"/>
  <c r="FA6" i="8" s="1"/>
  <c r="FA4" i="8" s="1"/>
  <c r="EZ5" i="8"/>
  <c r="EZ6" i="8" s="1"/>
  <c r="EZ4" i="8" s="1"/>
  <c r="EY5" i="8"/>
  <c r="EY6" i="8" s="1"/>
  <c r="EY4" i="8" s="1"/>
  <c r="EX5" i="8"/>
  <c r="EX6" i="8" s="1"/>
  <c r="EX4" i="8" s="1"/>
  <c r="EW5" i="8"/>
  <c r="EW6" i="8" s="1"/>
  <c r="EW4" i="8" s="1"/>
  <c r="EV5" i="8"/>
  <c r="EV6" i="8" s="1"/>
  <c r="EV4" i="8" s="1"/>
  <c r="EU5" i="8"/>
  <c r="EU6" i="8" s="1"/>
  <c r="EU4" i="8" s="1"/>
  <c r="ET5" i="8"/>
  <c r="ET6" i="8" s="1"/>
  <c r="ET4" i="8" s="1"/>
  <c r="ES5" i="8"/>
  <c r="ES6" i="8" s="1"/>
  <c r="ES4" i="8" s="1"/>
  <c r="ER5" i="8"/>
  <c r="ER6" i="8" s="1"/>
  <c r="ER4" i="8" s="1"/>
  <c r="EQ5" i="8"/>
  <c r="EQ6" i="8" s="1"/>
  <c r="EQ4" i="8" s="1"/>
  <c r="EP5" i="8"/>
  <c r="EP6" i="8" s="1"/>
  <c r="EP4" i="8" s="1"/>
  <c r="EO5" i="8"/>
  <c r="EO6" i="8" s="1"/>
  <c r="EO4" i="8" s="1"/>
  <c r="EN5" i="8"/>
  <c r="EN6" i="8" s="1"/>
  <c r="EN4" i="8" s="1"/>
  <c r="EM5" i="8"/>
  <c r="EM6" i="8" s="1"/>
  <c r="EM4" i="8" s="1"/>
  <c r="EL5" i="8"/>
  <c r="EL6" i="8" s="1"/>
  <c r="EL4" i="8" s="1"/>
  <c r="EK5" i="8"/>
  <c r="EK6" i="8" s="1"/>
  <c r="EK4" i="8" s="1"/>
  <c r="EJ5" i="8"/>
  <c r="EJ6" i="8" s="1"/>
  <c r="EJ4" i="8" s="1"/>
  <c r="EI5" i="8"/>
  <c r="EI6" i="8" s="1"/>
  <c r="EI4" i="8" s="1"/>
  <c r="EH5" i="8"/>
  <c r="EH6" i="8" s="1"/>
  <c r="EH4" i="8" s="1"/>
  <c r="EG5" i="8"/>
  <c r="EG6" i="8" s="1"/>
  <c r="EG4" i="8" s="1"/>
  <c r="EF5" i="8"/>
  <c r="EF6" i="8" s="1"/>
  <c r="EF4" i="8" s="1"/>
  <c r="EE5" i="8"/>
  <c r="EE6" i="8" s="1"/>
  <c r="EE4" i="8" s="1"/>
  <c r="ED5" i="8"/>
  <c r="ED6" i="8" s="1"/>
  <c r="ED4" i="8" s="1"/>
  <c r="EC5" i="8"/>
  <c r="EC6" i="8" s="1"/>
  <c r="EC4" i="8" s="1"/>
  <c r="EB5" i="8"/>
  <c r="EB6" i="8" s="1"/>
  <c r="EB4" i="8" s="1"/>
  <c r="EA5" i="8"/>
  <c r="EA6" i="8" s="1"/>
  <c r="EA4" i="8" s="1"/>
  <c r="DZ5" i="8"/>
  <c r="DZ6" i="8" s="1"/>
  <c r="DZ4" i="8" s="1"/>
  <c r="DY5" i="8"/>
  <c r="DY6" i="8" s="1"/>
  <c r="DY4" i="8" s="1"/>
  <c r="DX5" i="8"/>
  <c r="DX6" i="8" s="1"/>
  <c r="DX4" i="8" s="1"/>
  <c r="DW5" i="8"/>
  <c r="DW6" i="8" s="1"/>
  <c r="DW4" i="8" s="1"/>
  <c r="DV5" i="8"/>
  <c r="DV6" i="8" s="1"/>
  <c r="DV4" i="8" s="1"/>
  <c r="DU5" i="8"/>
  <c r="DU6" i="8" s="1"/>
  <c r="DU4" i="8" s="1"/>
  <c r="DT5" i="8"/>
  <c r="DT6" i="8" s="1"/>
  <c r="DT4" i="8" s="1"/>
  <c r="DS5" i="8"/>
  <c r="DS6" i="8" s="1"/>
  <c r="DS4" i="8" s="1"/>
  <c r="DR5" i="8"/>
  <c r="DR6" i="8" s="1"/>
  <c r="DR4" i="8" s="1"/>
  <c r="DQ5" i="8"/>
  <c r="DQ6" i="8" s="1"/>
  <c r="DQ4" i="8" s="1"/>
  <c r="DP5" i="8"/>
  <c r="DP6" i="8" s="1"/>
  <c r="DP4" i="8" s="1"/>
  <c r="DO5" i="8"/>
  <c r="DO6" i="8" s="1"/>
  <c r="DO4" i="8" s="1"/>
  <c r="DN5" i="8"/>
  <c r="DN6" i="8" s="1"/>
  <c r="DN4" i="8" s="1"/>
  <c r="DM5" i="8"/>
  <c r="DM6" i="8" s="1"/>
  <c r="DM4" i="8" s="1"/>
  <c r="DL5" i="8"/>
  <c r="DL6" i="8" s="1"/>
  <c r="DL4" i="8" s="1"/>
  <c r="DK5" i="8"/>
  <c r="DK6" i="8" s="1"/>
  <c r="DK4" i="8" s="1"/>
  <c r="DJ5" i="8"/>
  <c r="DJ6" i="8" s="1"/>
  <c r="DJ4" i="8" s="1"/>
  <c r="DI5" i="8"/>
  <c r="DI6" i="8" s="1"/>
  <c r="DI4" i="8" s="1"/>
  <c r="DH5" i="8"/>
  <c r="DH6" i="8" s="1"/>
  <c r="DH4" i="8" s="1"/>
  <c r="DG5" i="8"/>
  <c r="DG6" i="8" s="1"/>
  <c r="DG4" i="8" s="1"/>
  <c r="DF5" i="8"/>
  <c r="DF6" i="8" s="1"/>
  <c r="DF4" i="8" s="1"/>
  <c r="DE5" i="8"/>
  <c r="DE6" i="8" s="1"/>
  <c r="DE4" i="8" s="1"/>
  <c r="DD5" i="8"/>
  <c r="DD6" i="8" s="1"/>
  <c r="DD4" i="8" s="1"/>
  <c r="DC5" i="8"/>
  <c r="DC6" i="8" s="1"/>
  <c r="DC4" i="8" s="1"/>
  <c r="DB5" i="8"/>
  <c r="DB6" i="8" s="1"/>
  <c r="DB4" i="8" s="1"/>
  <c r="DA5" i="8"/>
  <c r="DA6" i="8" s="1"/>
  <c r="DA4" i="8" s="1"/>
  <c r="CZ5" i="8"/>
  <c r="CZ6" i="8" s="1"/>
  <c r="CZ4" i="8" s="1"/>
  <c r="CY5" i="8"/>
  <c r="CY6" i="8" s="1"/>
  <c r="CY4" i="8" s="1"/>
  <c r="CX5" i="8"/>
  <c r="CX6" i="8" s="1"/>
  <c r="CX4" i="8" s="1"/>
  <c r="CW5" i="8"/>
  <c r="CW6" i="8" s="1"/>
  <c r="CW4" i="8" s="1"/>
  <c r="CV5" i="8"/>
  <c r="CV6" i="8" s="1"/>
  <c r="CV4" i="8" s="1"/>
  <c r="CU5" i="8"/>
  <c r="CU6" i="8" s="1"/>
  <c r="CU4" i="8" s="1"/>
  <c r="CT5" i="8"/>
  <c r="CT6" i="8" s="1"/>
  <c r="CT4" i="8" s="1"/>
  <c r="CS5" i="8"/>
  <c r="CS6" i="8" s="1"/>
  <c r="CS4" i="8" s="1"/>
  <c r="CR5" i="8"/>
  <c r="CR6" i="8" s="1"/>
  <c r="CR4" i="8" s="1"/>
  <c r="CQ5" i="8"/>
  <c r="CQ6" i="8" s="1"/>
  <c r="CQ4" i="8" s="1"/>
  <c r="CP5" i="8"/>
  <c r="CP6" i="8" s="1"/>
  <c r="CP4" i="8" s="1"/>
  <c r="CO5" i="8"/>
  <c r="CO6" i="8" s="1"/>
  <c r="CO4" i="8" s="1"/>
  <c r="CN5" i="8"/>
  <c r="CN6" i="8" s="1"/>
  <c r="CN4" i="8" s="1"/>
  <c r="CM5" i="8"/>
  <c r="CM6" i="8" s="1"/>
  <c r="CM4" i="8" s="1"/>
  <c r="CL5" i="8"/>
  <c r="CL6" i="8" s="1"/>
  <c r="CL4" i="8" s="1"/>
  <c r="CK5" i="8"/>
  <c r="CK6" i="8" s="1"/>
  <c r="CK4" i="8" s="1"/>
  <c r="CJ5" i="8"/>
  <c r="CJ6" i="8" s="1"/>
  <c r="CJ4" i="8" s="1"/>
  <c r="CI5" i="8"/>
  <c r="CI6" i="8" s="1"/>
  <c r="CI4" i="8" s="1"/>
  <c r="CH5" i="8"/>
  <c r="CH6" i="8" s="1"/>
  <c r="CH4" i="8" s="1"/>
  <c r="CG5" i="8"/>
  <c r="CG6" i="8" s="1"/>
  <c r="CG4" i="8" s="1"/>
  <c r="CF5" i="8"/>
  <c r="CF6" i="8" s="1"/>
  <c r="CF4" i="8" s="1"/>
  <c r="CE5" i="8"/>
  <c r="CE6" i="8" s="1"/>
  <c r="CE4" i="8" s="1"/>
  <c r="CD5" i="8"/>
  <c r="CD6" i="8" s="1"/>
  <c r="CD4" i="8" s="1"/>
  <c r="CC5" i="8"/>
  <c r="CC6" i="8" s="1"/>
  <c r="CC4" i="8" s="1"/>
  <c r="CB5" i="8"/>
  <c r="CB6" i="8" s="1"/>
  <c r="CB4" i="8" s="1"/>
  <c r="CA5" i="8"/>
  <c r="CA6" i="8" s="1"/>
  <c r="CA4" i="8" s="1"/>
  <c r="BZ5" i="8"/>
  <c r="BZ6" i="8" s="1"/>
  <c r="BZ4" i="8" s="1"/>
  <c r="BY5" i="8"/>
  <c r="BY6" i="8" s="1"/>
  <c r="BY4" i="8" s="1"/>
  <c r="BX5" i="8"/>
  <c r="BX6" i="8" s="1"/>
  <c r="BX4" i="8" s="1"/>
  <c r="BW5" i="8"/>
  <c r="BW6" i="8" s="1"/>
  <c r="BW4" i="8" s="1"/>
  <c r="BV5" i="8"/>
  <c r="BV6" i="8" s="1"/>
  <c r="BV4" i="8" s="1"/>
  <c r="BU5" i="8"/>
  <c r="BU6" i="8" s="1"/>
  <c r="BU4" i="8" s="1"/>
  <c r="BT5" i="8"/>
  <c r="BT6" i="8" s="1"/>
  <c r="BT4" i="8" s="1"/>
  <c r="BS5" i="8"/>
  <c r="BS6" i="8" s="1"/>
  <c r="BS4" i="8" s="1"/>
  <c r="BR5" i="8"/>
  <c r="BR6" i="8" s="1"/>
  <c r="BR4" i="8" s="1"/>
  <c r="BQ5" i="8"/>
  <c r="BQ6" i="8" s="1"/>
  <c r="BQ4" i="8" s="1"/>
  <c r="BP5" i="8"/>
  <c r="BP6" i="8" s="1"/>
  <c r="BP4" i="8" s="1"/>
  <c r="BO5" i="8"/>
  <c r="BO6" i="8" s="1"/>
  <c r="BO4" i="8" s="1"/>
  <c r="BN5" i="8"/>
  <c r="BN6" i="8" s="1"/>
  <c r="BN4" i="8" s="1"/>
  <c r="BM5" i="8"/>
  <c r="BM6" i="8" s="1"/>
  <c r="BM4" i="8" s="1"/>
  <c r="BL5" i="8"/>
  <c r="BL6" i="8" s="1"/>
  <c r="BL4" i="8" s="1"/>
  <c r="BK5" i="8"/>
  <c r="BK6" i="8" s="1"/>
  <c r="BK4" i="8" s="1"/>
  <c r="BJ5" i="8"/>
  <c r="BJ6" i="8" s="1"/>
  <c r="BJ4" i="8" s="1"/>
  <c r="BI5" i="8"/>
  <c r="BI6" i="8" s="1"/>
  <c r="BI4" i="8" s="1"/>
  <c r="BH5" i="8"/>
  <c r="BH6" i="8" s="1"/>
  <c r="BH4" i="8" s="1"/>
  <c r="BG5" i="8"/>
  <c r="BG6" i="8" s="1"/>
  <c r="BG4" i="8" s="1"/>
  <c r="BF5" i="8"/>
  <c r="BF6" i="8" s="1"/>
  <c r="BF4" i="8" s="1"/>
  <c r="BE5" i="8"/>
  <c r="BE6" i="8" s="1"/>
  <c r="BE4" i="8" s="1"/>
  <c r="BD5" i="8"/>
  <c r="BD6" i="8" s="1"/>
  <c r="BD4" i="8" s="1"/>
  <c r="BC5" i="8"/>
  <c r="BC6" i="8" s="1"/>
  <c r="BC4" i="8" s="1"/>
  <c r="BB5" i="8"/>
  <c r="BB6" i="8" s="1"/>
  <c r="BB4" i="8" s="1"/>
  <c r="BA5" i="8"/>
  <c r="BA6" i="8" s="1"/>
  <c r="BA4" i="8" s="1"/>
  <c r="AZ5" i="8"/>
  <c r="AZ6" i="8" s="1"/>
  <c r="AZ4" i="8" s="1"/>
  <c r="AY5" i="8"/>
  <c r="AY6" i="8" s="1"/>
  <c r="AY4" i="8" s="1"/>
  <c r="AX5" i="8"/>
  <c r="AX6" i="8" s="1"/>
  <c r="AX4" i="8" s="1"/>
  <c r="AW5" i="8"/>
  <c r="AW6" i="8" s="1"/>
  <c r="AW4" i="8" s="1"/>
  <c r="AV5" i="8"/>
  <c r="AV6" i="8" s="1"/>
  <c r="AV4" i="8" s="1"/>
  <c r="AU5" i="8"/>
  <c r="AU6" i="8" s="1"/>
  <c r="AU4" i="8" s="1"/>
  <c r="AT5" i="8"/>
  <c r="AT6" i="8" s="1"/>
  <c r="AT4" i="8" s="1"/>
  <c r="AS5" i="8"/>
  <c r="AS6" i="8" s="1"/>
  <c r="AS4" i="8" s="1"/>
  <c r="AR5" i="8"/>
  <c r="AR6" i="8" s="1"/>
  <c r="AR4" i="8" s="1"/>
  <c r="AQ5" i="8"/>
  <c r="AQ6" i="8" s="1"/>
  <c r="AQ4" i="8" s="1"/>
  <c r="AP5" i="8"/>
  <c r="AP6" i="8" s="1"/>
  <c r="AP4" i="8" s="1"/>
  <c r="AO5" i="8"/>
  <c r="AO6" i="8" s="1"/>
  <c r="AO4" i="8" s="1"/>
  <c r="AN5" i="8"/>
  <c r="AN6" i="8" s="1"/>
  <c r="AN4" i="8" s="1"/>
  <c r="AM5" i="8"/>
  <c r="AM6" i="8" s="1"/>
  <c r="AM4" i="8" s="1"/>
  <c r="AL5" i="8"/>
  <c r="AL6" i="8" s="1"/>
  <c r="AL4" i="8" s="1"/>
  <c r="AK5" i="8"/>
  <c r="AK6" i="8" s="1"/>
  <c r="AK4" i="8" s="1"/>
  <c r="AJ5" i="8"/>
  <c r="AJ6" i="8" s="1"/>
  <c r="AJ4" i="8" s="1"/>
  <c r="AI5" i="8"/>
  <c r="AI6" i="8" s="1"/>
  <c r="AI4" i="8" s="1"/>
  <c r="AH5" i="8"/>
  <c r="AH6" i="8" s="1"/>
  <c r="AH4" i="8" s="1"/>
  <c r="AG5" i="8"/>
  <c r="AG6" i="8" s="1"/>
  <c r="AG4" i="8" s="1"/>
  <c r="AF5" i="8"/>
  <c r="AF6" i="8" s="1"/>
  <c r="AF4" i="8" s="1"/>
  <c r="AE5" i="8"/>
  <c r="AE6" i="8" s="1"/>
  <c r="AE4" i="8" s="1"/>
  <c r="AD5" i="8"/>
  <c r="AD6" i="8" s="1"/>
  <c r="AD4" i="8" s="1"/>
  <c r="AC5" i="8"/>
  <c r="AC6" i="8" s="1"/>
  <c r="AC4" i="8" s="1"/>
  <c r="AB5" i="8"/>
  <c r="AB7" i="8" s="1"/>
  <c r="AA5" i="8"/>
  <c r="AA7" i="8" s="1"/>
  <c r="Z5" i="8"/>
  <c r="Z7" i="8" s="1"/>
  <c r="Y5" i="8"/>
  <c r="Y7" i="8" s="1"/>
  <c r="X5" i="8"/>
  <c r="X6" i="8" s="1"/>
  <c r="X4" i="8" s="1"/>
  <c r="W5" i="8"/>
  <c r="W7" i="8" s="1"/>
  <c r="V5" i="8"/>
  <c r="V6" i="8" s="1"/>
  <c r="V4" i="8" s="1"/>
  <c r="U5" i="8"/>
  <c r="U7" i="8" s="1"/>
  <c r="T5" i="8"/>
  <c r="T7" i="8" s="1"/>
  <c r="S5" i="8"/>
  <c r="S6" i="8" s="1"/>
  <c r="S4" i="8" s="1"/>
  <c r="R5" i="8"/>
  <c r="R6" i="8" s="1"/>
  <c r="R4" i="8" s="1"/>
  <c r="Q5" i="8"/>
  <c r="Q7" i="8" s="1"/>
  <c r="P5" i="8"/>
  <c r="P6" i="8" s="1"/>
  <c r="P4" i="8" s="1"/>
  <c r="O5" i="8"/>
  <c r="O6" i="8" s="1"/>
  <c r="O4" i="8" s="1"/>
  <c r="N5" i="8"/>
  <c r="N7" i="8" s="1"/>
  <c r="M5" i="8"/>
  <c r="M6" i="8" s="1"/>
  <c r="M4" i="8" s="1"/>
  <c r="L5" i="8"/>
  <c r="L7" i="8" s="1"/>
  <c r="K5" i="8"/>
  <c r="K6" i="8" s="1"/>
  <c r="K4" i="8" s="1"/>
  <c r="J5" i="8"/>
  <c r="J6" i="8" s="1"/>
  <c r="J4" i="8" s="1"/>
  <c r="I5" i="8"/>
  <c r="I7" i="8" s="1"/>
  <c r="H5" i="8"/>
  <c r="H6" i="8" s="1"/>
  <c r="H4" i="8" s="1"/>
  <c r="G5" i="8"/>
  <c r="G6" i="8" s="1"/>
  <c r="G4" i="8" s="1"/>
  <c r="F5" i="8"/>
  <c r="F6" i="8" s="1"/>
  <c r="F4" i="8" s="1"/>
  <c r="E5" i="8"/>
  <c r="E6" i="8" s="1"/>
  <c r="E4" i="8" s="1"/>
  <c r="D5" i="8"/>
  <c r="D6" i="8" s="1"/>
  <c r="D4" i="8" s="1"/>
  <c r="C5" i="8"/>
  <c r="C6" i="8" s="1"/>
  <c r="C4" i="8" s="1"/>
  <c r="B5" i="8"/>
  <c r="B7" i="8" s="1"/>
  <c r="NI3" i="8"/>
  <c r="NH3" i="8"/>
  <c r="NG3" i="8"/>
  <c r="NF3" i="8"/>
  <c r="NE3" i="8"/>
  <c r="ND3" i="8"/>
  <c r="NC3" i="8"/>
  <c r="NB3" i="8"/>
  <c r="NA3" i="8"/>
  <c r="MZ3" i="8"/>
  <c r="MY3" i="8"/>
  <c r="MX3" i="8"/>
  <c r="MW3" i="8"/>
  <c r="MV3" i="8"/>
  <c r="MU3" i="8"/>
  <c r="MT3" i="8"/>
  <c r="MS3" i="8"/>
  <c r="MR3" i="8"/>
  <c r="MQ3" i="8"/>
  <c r="MP3" i="8"/>
  <c r="MO3" i="8"/>
  <c r="MN3" i="8"/>
  <c r="MM3" i="8"/>
  <c r="ML3" i="8"/>
  <c r="MK3" i="8"/>
  <c r="MJ3" i="8"/>
  <c r="MI3" i="8"/>
  <c r="MH3" i="8"/>
  <c r="MG3" i="8"/>
  <c r="MF3" i="8"/>
  <c r="ME3" i="8"/>
  <c r="MD3" i="8"/>
  <c r="MC3" i="8"/>
  <c r="MB3" i="8"/>
  <c r="MA3" i="8"/>
  <c r="LZ3" i="8"/>
  <c r="LY3" i="8"/>
  <c r="LX3" i="8"/>
  <c r="LW3" i="8"/>
  <c r="LV3" i="8"/>
  <c r="LU3" i="8"/>
  <c r="LT3" i="8"/>
  <c r="LS3" i="8"/>
  <c r="LR3" i="8"/>
  <c r="LQ3" i="8"/>
  <c r="LP3" i="8"/>
  <c r="LO3" i="8"/>
  <c r="LN3" i="8"/>
  <c r="LM3" i="8"/>
  <c r="LL3" i="8"/>
  <c r="LK3" i="8"/>
  <c r="LJ3" i="8"/>
  <c r="LI3" i="8"/>
  <c r="LH3" i="8"/>
  <c r="LG3" i="8"/>
  <c r="LF3" i="8"/>
  <c r="LE3" i="8"/>
  <c r="LD3" i="8"/>
  <c r="LC3" i="8"/>
  <c r="LB3" i="8"/>
  <c r="LA3" i="8"/>
  <c r="KZ3" i="8"/>
  <c r="KY3" i="8"/>
  <c r="KX3" i="8"/>
  <c r="KW3" i="8"/>
  <c r="KV3" i="8"/>
  <c r="KU3" i="8"/>
  <c r="KT3" i="8"/>
  <c r="KS3" i="8"/>
  <c r="KR3" i="8"/>
  <c r="KQ3" i="8"/>
  <c r="KP3" i="8"/>
  <c r="KO3" i="8"/>
  <c r="KN3" i="8"/>
  <c r="KM3" i="8"/>
  <c r="KL3" i="8"/>
  <c r="KK3" i="8"/>
  <c r="KJ3" i="8"/>
  <c r="KI3" i="8"/>
  <c r="KH3" i="8"/>
  <c r="KG3" i="8"/>
  <c r="KF3" i="8"/>
  <c r="KE3" i="8"/>
  <c r="KD3" i="8"/>
  <c r="KC3" i="8"/>
  <c r="KB3" i="8"/>
  <c r="KA3" i="8"/>
  <c r="JZ3" i="8"/>
  <c r="JY3" i="8"/>
  <c r="JX3" i="8"/>
  <c r="JW3" i="8"/>
  <c r="JV3" i="8"/>
  <c r="JU3" i="8"/>
  <c r="JT3" i="8"/>
  <c r="JS3" i="8"/>
  <c r="JR3" i="8"/>
  <c r="JQ3" i="8"/>
  <c r="JP3" i="8"/>
  <c r="JO3" i="8"/>
  <c r="JN3" i="8"/>
  <c r="JM3" i="8"/>
  <c r="JL3" i="8"/>
  <c r="JK3" i="8"/>
  <c r="JJ3" i="8"/>
  <c r="JI3" i="8"/>
  <c r="JH3" i="8"/>
  <c r="JG3" i="8"/>
  <c r="JF3" i="8"/>
  <c r="JE3" i="8"/>
  <c r="JD3" i="8"/>
  <c r="JC3" i="8"/>
  <c r="JB3" i="8"/>
  <c r="JA3" i="8"/>
  <c r="IZ3" i="8"/>
  <c r="IY3" i="8"/>
  <c r="IX3" i="8"/>
  <c r="IW3" i="8"/>
  <c r="IV3" i="8"/>
  <c r="IU3" i="8"/>
  <c r="IT3" i="8"/>
  <c r="IS3" i="8"/>
  <c r="IR3" i="8"/>
  <c r="IQ3" i="8"/>
  <c r="IP3" i="8"/>
  <c r="IO3" i="8"/>
  <c r="IN3" i="8"/>
  <c r="IM3" i="8"/>
  <c r="IL3" i="8"/>
  <c r="IK3" i="8"/>
  <c r="IJ3" i="8"/>
  <c r="II3" i="8"/>
  <c r="IH3" i="8"/>
  <c r="IG3" i="8"/>
  <c r="IF3" i="8"/>
  <c r="IE3" i="8"/>
  <c r="ID3" i="8"/>
  <c r="IC3" i="8"/>
  <c r="IB3" i="8"/>
  <c r="IA3" i="8"/>
  <c r="HZ3" i="8"/>
  <c r="HY3" i="8"/>
  <c r="HX3" i="8"/>
  <c r="HW3" i="8"/>
  <c r="HV3" i="8"/>
  <c r="HU3" i="8"/>
  <c r="HT3" i="8"/>
  <c r="HS3" i="8"/>
  <c r="HR3" i="8"/>
  <c r="HQ3" i="8"/>
  <c r="HP3" i="8"/>
  <c r="HO3" i="8"/>
  <c r="HN3" i="8"/>
  <c r="HM3" i="8"/>
  <c r="HL3" i="8"/>
  <c r="HK3" i="8"/>
  <c r="HJ3" i="8"/>
  <c r="HI3" i="8"/>
  <c r="HH3" i="8"/>
  <c r="HG3" i="8"/>
  <c r="HF3" i="8"/>
  <c r="HE3" i="8"/>
  <c r="HD3" i="8"/>
  <c r="HC3" i="8"/>
  <c r="HB3" i="8"/>
  <c r="HA3" i="8"/>
  <c r="GZ3" i="8"/>
  <c r="GY3" i="8"/>
  <c r="GX3" i="8"/>
  <c r="GW3" i="8"/>
  <c r="GV3" i="8"/>
  <c r="GU3" i="8"/>
  <c r="GT3" i="8"/>
  <c r="GS3" i="8"/>
  <c r="GR3" i="8"/>
  <c r="GQ3" i="8"/>
  <c r="GP3" i="8"/>
  <c r="GO3" i="8"/>
  <c r="GN3" i="8"/>
  <c r="GM3" i="8"/>
  <c r="GL3" i="8"/>
  <c r="GK3" i="8"/>
  <c r="GJ3" i="8"/>
  <c r="GI3" i="8"/>
  <c r="GH3" i="8"/>
  <c r="GG3" i="8"/>
  <c r="GF3" i="8"/>
  <c r="GE3" i="8"/>
  <c r="GD3" i="8"/>
  <c r="GC3" i="8"/>
  <c r="GB3" i="8"/>
  <c r="GA3" i="8"/>
  <c r="FZ3" i="8"/>
  <c r="FY3" i="8"/>
  <c r="FX3" i="8"/>
  <c r="FW3" i="8"/>
  <c r="FV3" i="8"/>
  <c r="FU3" i="8"/>
  <c r="FT3" i="8"/>
  <c r="FS3" i="8"/>
  <c r="FR3" i="8"/>
  <c r="FQ3" i="8"/>
  <c r="FP3" i="8"/>
  <c r="FO3" i="8"/>
  <c r="FN3" i="8"/>
  <c r="FM3" i="8"/>
  <c r="FL3" i="8"/>
  <c r="FK3" i="8"/>
  <c r="FJ3" i="8"/>
  <c r="FI3" i="8"/>
  <c r="FH3" i="8"/>
  <c r="FG3" i="8"/>
  <c r="FF3" i="8"/>
  <c r="FE3" i="8"/>
  <c r="FD3" i="8"/>
  <c r="FC3" i="8"/>
  <c r="FB3" i="8"/>
  <c r="FA3" i="8"/>
  <c r="EZ3" i="8"/>
  <c r="EY3" i="8"/>
  <c r="EX3" i="8"/>
  <c r="EW3" i="8"/>
  <c r="EV3" i="8"/>
  <c r="EU3" i="8"/>
  <c r="ET3" i="8"/>
  <c r="ES3" i="8"/>
  <c r="ER3" i="8"/>
  <c r="EQ3" i="8"/>
  <c r="EP3" i="8"/>
  <c r="EO3" i="8"/>
  <c r="EN3" i="8"/>
  <c r="EM3" i="8"/>
  <c r="EL3" i="8"/>
  <c r="EK3" i="8"/>
  <c r="EJ3" i="8"/>
  <c r="EI3" i="8"/>
  <c r="EH3" i="8"/>
  <c r="EG3" i="8"/>
  <c r="EF3" i="8"/>
  <c r="EE3" i="8"/>
  <c r="ED3" i="8"/>
  <c r="EC3" i="8"/>
  <c r="EB3" i="8"/>
  <c r="EA3" i="8"/>
  <c r="DZ3" i="8"/>
  <c r="DY3" i="8"/>
  <c r="DX3" i="8"/>
  <c r="DW3" i="8"/>
  <c r="DV3" i="8"/>
  <c r="DU3" i="8"/>
  <c r="DT3" i="8"/>
  <c r="DS3" i="8"/>
  <c r="DR3" i="8"/>
  <c r="DQ3" i="8"/>
  <c r="DP3" i="8"/>
  <c r="DO3" i="8"/>
  <c r="DN3" i="8"/>
  <c r="DM3" i="8"/>
  <c r="DL3" i="8"/>
  <c r="DK3" i="8"/>
  <c r="DJ3" i="8"/>
  <c r="DI3" i="8"/>
  <c r="DH3" i="8"/>
  <c r="DG3" i="8"/>
  <c r="DF3" i="8"/>
  <c r="DE3" i="8"/>
  <c r="DD3" i="8"/>
  <c r="DC3" i="8"/>
  <c r="DB3" i="8"/>
  <c r="DA3" i="8"/>
  <c r="CZ3" i="8"/>
  <c r="CY3" i="8"/>
  <c r="CX3" i="8"/>
  <c r="CW3" i="8"/>
  <c r="CV3" i="8"/>
  <c r="CU3" i="8"/>
  <c r="CT3" i="8"/>
  <c r="CS3" i="8"/>
  <c r="CR3" i="8"/>
  <c r="CQ3" i="8"/>
  <c r="CP3" i="8"/>
  <c r="CO3" i="8"/>
  <c r="CN3" i="8"/>
  <c r="CM3" i="8"/>
  <c r="CL3" i="8"/>
  <c r="CK3" i="8"/>
  <c r="CJ3" i="8"/>
  <c r="CI3" i="8"/>
  <c r="CH3" i="8"/>
  <c r="CG3" i="8"/>
  <c r="CF3" i="8"/>
  <c r="CE3" i="8"/>
  <c r="CD3" i="8"/>
  <c r="CC3" i="8"/>
  <c r="CB3" i="8"/>
  <c r="CA3" i="8"/>
  <c r="BZ3" i="8"/>
  <c r="BY3" i="8"/>
  <c r="BX3" i="8"/>
  <c r="BW3" i="8"/>
  <c r="BV3" i="8"/>
  <c r="BU3" i="8"/>
  <c r="BT3" i="8"/>
  <c r="BS3" i="8"/>
  <c r="BR3" i="8"/>
  <c r="BQ3" i="8"/>
  <c r="BP3" i="8"/>
  <c r="BO3" i="8"/>
  <c r="BN3" i="8"/>
  <c r="BM3" i="8"/>
  <c r="BL3" i="8"/>
  <c r="BK3" i="8"/>
  <c r="BJ3" i="8"/>
  <c r="BI3" i="8"/>
  <c r="BH3" i="8"/>
  <c r="BG3" i="8"/>
  <c r="BF3" i="8"/>
  <c r="BE3" i="8"/>
  <c r="BD3" i="8"/>
  <c r="BC3" i="8"/>
  <c r="BB3" i="8"/>
  <c r="BA3" i="8"/>
  <c r="AZ3" i="8"/>
  <c r="AY3" i="8"/>
  <c r="AX3" i="8"/>
  <c r="AW3" i="8"/>
  <c r="AV3" i="8"/>
  <c r="AU3" i="8"/>
  <c r="AT3" i="8"/>
  <c r="AS3" i="8"/>
  <c r="AR3" i="8"/>
  <c r="AQ3" i="8"/>
  <c r="AP3" i="8"/>
  <c r="AO3" i="8"/>
  <c r="AN3" i="8"/>
  <c r="AM3" i="8"/>
  <c r="AL3" i="8"/>
  <c r="AK3" i="8"/>
  <c r="AJ3" i="8"/>
  <c r="AI3" i="8"/>
  <c r="AH3" i="8"/>
  <c r="AG3" i="8"/>
  <c r="AF3" i="8"/>
  <c r="AE3" i="8"/>
  <c r="AD3" i="8"/>
  <c r="AC3" i="8"/>
  <c r="AA3" i="8"/>
  <c r="Z3" i="8"/>
  <c r="Y3" i="8"/>
  <c r="X3" i="8"/>
  <c r="W3" i="8"/>
  <c r="V3" i="8"/>
  <c r="U3" i="8"/>
  <c r="T3" i="8"/>
  <c r="S3" i="8"/>
  <c r="R3" i="8"/>
  <c r="Q3" i="8"/>
  <c r="P3" i="8"/>
  <c r="O3" i="8"/>
  <c r="N3" i="8"/>
  <c r="M3" i="8"/>
  <c r="L3" i="8"/>
  <c r="K3" i="8"/>
  <c r="J3" i="8"/>
  <c r="I3" i="8"/>
  <c r="H3" i="8"/>
  <c r="G3" i="8"/>
  <c r="F3" i="8"/>
  <c r="E3" i="8"/>
  <c r="D3" i="8"/>
  <c r="C3" i="8"/>
  <c r="B3" i="8"/>
  <c r="G2" i="5"/>
  <c r="G1" i="5"/>
  <c r="G35" i="10" a="1"/>
  <c r="G19" i="10" a="1"/>
  <c r="G42" i="10" a="1"/>
  <c r="G7" i="10" a="1"/>
  <c r="G34" i="10" a="1"/>
  <c r="G40" i="10" a="1"/>
  <c r="T3" i="5" l="1"/>
  <c r="NN50" i="8" s="1" a="1"/>
  <c r="NN50" i="8" s="1"/>
  <c r="S5" i="5"/>
  <c r="R5" i="5"/>
  <c r="R4" i="5"/>
  <c r="U3" i="5"/>
  <c r="NK10" i="8" a="1"/>
  <c r="NK10" i="8" s="1"/>
  <c r="NL10" i="8" a="1"/>
  <c r="NL10" i="8" s="1"/>
  <c r="NM10" i="8" a="1"/>
  <c r="NM10" i="8" s="1"/>
  <c r="G7" i="10"/>
  <c r="NK50" i="8" a="1"/>
  <c r="NK50" i="8" s="1"/>
  <c r="NM50" i="8" a="1"/>
  <c r="NM50" i="8" s="1"/>
  <c r="NL50" i="8" a="1"/>
  <c r="NL50" i="8" s="1"/>
  <c r="G19" i="10"/>
  <c r="G34" i="10"/>
  <c r="NK49" i="8" a="1"/>
  <c r="NK49" i="8" s="1"/>
  <c r="NK48" i="8" a="1"/>
  <c r="NK48" i="8" s="1"/>
  <c r="NL48" i="8" a="1"/>
  <c r="NL48" i="8" s="1"/>
  <c r="NM48" i="8" a="1"/>
  <c r="NM48" i="8" s="1"/>
  <c r="NL30" i="8" a="1"/>
  <c r="NL30" i="8" s="1"/>
  <c r="NL49" i="8" a="1"/>
  <c r="NL49" i="8" s="1"/>
  <c r="NM49" i="8" a="1"/>
  <c r="NM49" i="8" s="1"/>
  <c r="NK32" i="8" a="1"/>
  <c r="NK32" i="8" s="1"/>
  <c r="G42" i="10"/>
  <c r="G40" i="10"/>
  <c r="G35" i="10"/>
  <c r="NM32" i="8" a="1"/>
  <c r="NM32" i="8" s="1"/>
  <c r="NM31" i="8" a="1"/>
  <c r="NM31" i="8" s="1"/>
  <c r="NL33" i="8" a="1"/>
  <c r="NL33" i="8" s="1"/>
  <c r="NN47" i="8" a="1"/>
  <c r="NN47" i="8" s="1"/>
  <c r="NN32" i="8" a="1"/>
  <c r="NN32" i="8" s="1"/>
  <c r="NL32" i="8" a="1"/>
  <c r="NL32" i="8" s="1"/>
  <c r="P7" i="8"/>
  <c r="V7" i="8"/>
  <c r="F7" i="8"/>
  <c r="AD7" i="8"/>
  <c r="N6" i="8"/>
  <c r="N4" i="8" s="1"/>
  <c r="X7" i="8"/>
  <c r="AC7" i="8"/>
  <c r="AF7" i="8"/>
  <c r="H7" i="8"/>
  <c r="M7" i="8"/>
  <c r="E7" i="8"/>
  <c r="U6" i="8"/>
  <c r="U4" i="8" s="1"/>
  <c r="D7" i="8"/>
  <c r="L6" i="8"/>
  <c r="L4" i="8" s="1"/>
  <c r="T6" i="8"/>
  <c r="T4" i="8" s="1"/>
  <c r="C7" i="8"/>
  <c r="AB6" i="8"/>
  <c r="AB4" i="8" s="1"/>
  <c r="Z6" i="8"/>
  <c r="Z4" i="8" s="1"/>
  <c r="J7" i="8"/>
  <c r="R7" i="8"/>
  <c r="B6" i="8"/>
  <c r="B4" i="8" s="1"/>
  <c r="Q6" i="8"/>
  <c r="Q4" i="8" s="1"/>
  <c r="NK27" i="8" a="1"/>
  <c r="NK27" i="8" s="1"/>
  <c r="NK28" i="8" a="1"/>
  <c r="NK28" i="8" s="1"/>
  <c r="NK44" i="8" a="1"/>
  <c r="NK44" i="8" s="1"/>
  <c r="NK31" i="8" a="1"/>
  <c r="NK31" i="8" s="1"/>
  <c r="NM8" i="8" a="1"/>
  <c r="NM8" i="8" s="1"/>
  <c r="NN26" i="8" a="1"/>
  <c r="NN26" i="8" s="1"/>
  <c r="NL31" i="8" a="1"/>
  <c r="NL31" i="8" s="1"/>
  <c r="NK8" i="8" a="1"/>
  <c r="NK8" i="8" s="1"/>
  <c r="NL26" i="8" a="1"/>
  <c r="NL26" i="8" s="1"/>
  <c r="NK42" i="8" a="1"/>
  <c r="NK42" i="8" s="1"/>
  <c r="NL46" i="8" a="1"/>
  <c r="NL46" i="8" s="1"/>
  <c r="NM25" i="8" a="1"/>
  <c r="NM25" i="8" s="1"/>
  <c r="NN9" i="8" a="1"/>
  <c r="NN9" i="8" s="1"/>
  <c r="NL35" i="8" a="1"/>
  <c r="NL35" i="8" s="1"/>
  <c r="NM37" i="8" a="1"/>
  <c r="NM37" i="8" s="1"/>
  <c r="NN38" i="8" a="1"/>
  <c r="NN38" i="8" s="1"/>
  <c r="NK33" i="8" a="1"/>
  <c r="NK33" i="8" s="1"/>
  <c r="NN15" i="8" a="1"/>
  <c r="NN15" i="8" s="1"/>
  <c r="NN8" i="8" a="1"/>
  <c r="NN8" i="8" s="1"/>
  <c r="NL20" i="8" a="1"/>
  <c r="NL20" i="8" s="1"/>
  <c r="NK14" i="8" a="1"/>
  <c r="NK14" i="8" s="1"/>
  <c r="NM45" i="8" a="1"/>
  <c r="NM45" i="8" s="1"/>
  <c r="NK23" i="8" a="1"/>
  <c r="NK23" i="8" s="1"/>
  <c r="NK26" i="8" a="1"/>
  <c r="NK26" i="8" s="1"/>
  <c r="NK25" i="8" a="1"/>
  <c r="NK25" i="8" s="1"/>
  <c r="NK17" i="8" a="1"/>
  <c r="NK17" i="8" s="1"/>
  <c r="NK37" i="8" a="1"/>
  <c r="NK37" i="8" s="1"/>
  <c r="NK22" i="8" a="1"/>
  <c r="NK22" i="8" s="1"/>
  <c r="NK19" i="8" a="1"/>
  <c r="NK19" i="8" s="1"/>
  <c r="NK18" i="8" a="1"/>
  <c r="NK18" i="8" s="1"/>
  <c r="NK45" i="8" a="1"/>
  <c r="NK45" i="8" s="1"/>
  <c r="NK20" i="8" a="1"/>
  <c r="NK20" i="8" s="1"/>
  <c r="NK9" i="8" a="1"/>
  <c r="NK9" i="8" s="1"/>
  <c r="NK38" i="8" a="1"/>
  <c r="NK38" i="8" s="1"/>
  <c r="NK15" i="8" a="1"/>
  <c r="NK15" i="8" s="1"/>
  <c r="NK11" i="8" a="1"/>
  <c r="NK11" i="8" s="1"/>
  <c r="NK12" i="8" a="1"/>
  <c r="NK12" i="8" s="1"/>
  <c r="NK46" i="8" a="1"/>
  <c r="NK46" i="8" s="1"/>
  <c r="NK29" i="8" a="1"/>
  <c r="NK29" i="8" s="1"/>
  <c r="NK35" i="8" a="1"/>
  <c r="NK35" i="8" s="1"/>
  <c r="NK47" i="8" a="1"/>
  <c r="NK47" i="8" s="1"/>
  <c r="NK39" i="8" a="1"/>
  <c r="NK39" i="8" s="1"/>
  <c r="NK43" i="8" a="1"/>
  <c r="NK43" i="8" s="1"/>
  <c r="NK40" i="8" a="1"/>
  <c r="NK40" i="8" s="1"/>
  <c r="NK30" i="8" a="1"/>
  <c r="NK30" i="8" s="1"/>
  <c r="NK16" i="8" a="1"/>
  <c r="NK16" i="8" s="1"/>
  <c r="NK36" i="8" a="1"/>
  <c r="NK36" i="8" s="1"/>
  <c r="NK13" i="8" a="1"/>
  <c r="NK13" i="8" s="1"/>
  <c r="NK24" i="8" a="1"/>
  <c r="NK24" i="8" s="1"/>
  <c r="NK41" i="8" a="1"/>
  <c r="NK41" i="8" s="1"/>
  <c r="NK34" i="8" a="1"/>
  <c r="NK34" i="8" s="1"/>
  <c r="NN13" i="8" a="1"/>
  <c r="NN13" i="8" s="1"/>
  <c r="NK21" i="8" a="1"/>
  <c r="NK21" i="8" s="1"/>
  <c r="NM21" i="8" a="1"/>
  <c r="NM21" i="8" s="1"/>
  <c r="NM33" i="8" a="1"/>
  <c r="NM33" i="8" s="1"/>
  <c r="NM28" i="8" a="1"/>
  <c r="NM28" i="8" s="1"/>
  <c r="NM16" i="8" a="1"/>
  <c r="NM16" i="8" s="1"/>
  <c r="NM12" i="8" a="1"/>
  <c r="NM12" i="8" s="1"/>
  <c r="NN28" i="8" a="1"/>
  <c r="NN28" i="8" s="1"/>
  <c r="NN46" i="8" a="1"/>
  <c r="NN46" i="8" s="1"/>
  <c r="NN36" i="8" a="1"/>
  <c r="NN36" i="8" s="1"/>
  <c r="NL24" i="8" a="1"/>
  <c r="NL24" i="8" s="1"/>
  <c r="NL19" i="8" a="1"/>
  <c r="NL19" i="8" s="1"/>
  <c r="NL47" i="8" a="1"/>
  <c r="NL47" i="8" s="1"/>
  <c r="NL43" i="8" a="1"/>
  <c r="NL43" i="8" s="1"/>
  <c r="NL39" i="8" a="1"/>
  <c r="NL39" i="8" s="1"/>
  <c r="NL22" i="8" a="1"/>
  <c r="NL22" i="8" s="1"/>
  <c r="NM29" i="8" a="1"/>
  <c r="NM29" i="8" s="1"/>
  <c r="NM11" i="8" a="1"/>
  <c r="NM11" i="8" s="1"/>
  <c r="NM42" i="8" a="1"/>
  <c r="NM42" i="8" s="1"/>
  <c r="NM14" i="8" a="1"/>
  <c r="NM14" i="8" s="1"/>
  <c r="NM9" i="8" a="1"/>
  <c r="NM9" i="8" s="1"/>
  <c r="NN12" i="8" a="1"/>
  <c r="NN12" i="8" s="1"/>
  <c r="NN16" i="8" a="1"/>
  <c r="NN16" i="8" s="1"/>
  <c r="NN29" i="8" a="1"/>
  <c r="NN29" i="8" s="1"/>
  <c r="NN17" i="8" a="1"/>
  <c r="NN17" i="8" s="1"/>
  <c r="NN21" i="8" a="1"/>
  <c r="NN21" i="8" s="1"/>
  <c r="NN19" i="8" a="1"/>
  <c r="NN19" i="8" s="1"/>
  <c r="NL11" i="8" a="1"/>
  <c r="NL11" i="8" s="1"/>
  <c r="NL28" i="8" a="1"/>
  <c r="NL28" i="8" s="1"/>
  <c r="NL45" i="8" a="1"/>
  <c r="NL45" i="8" s="1"/>
  <c r="NL38" i="8" a="1"/>
  <c r="NL38" i="8" s="1"/>
  <c r="NL23" i="8" a="1"/>
  <c r="NL23" i="8" s="1"/>
  <c r="NM40" i="8" a="1"/>
  <c r="NM40" i="8" s="1"/>
  <c r="NM47" i="8" a="1"/>
  <c r="NM47" i="8" s="1"/>
  <c r="NM44" i="8" a="1"/>
  <c r="NM44" i="8" s="1"/>
  <c r="NM38" i="8" a="1"/>
  <c r="NM38" i="8" s="1"/>
  <c r="NM46" i="8" a="1"/>
  <c r="NM46" i="8" s="1"/>
  <c r="NN33" i="8" a="1"/>
  <c r="NN33" i="8" s="1"/>
  <c r="NN25" i="8" a="1"/>
  <c r="NN25" i="8" s="1"/>
  <c r="NN40" i="8" a="1"/>
  <c r="NN40" i="8" s="1"/>
  <c r="NN44" i="8" a="1"/>
  <c r="NN44" i="8" s="1"/>
  <c r="NN39" i="8" a="1"/>
  <c r="NN39" i="8" s="1"/>
  <c r="NL16" i="8" a="1"/>
  <c r="NL16" i="8" s="1"/>
  <c r="NL29" i="8" a="1"/>
  <c r="NL29" i="8" s="1"/>
  <c r="NL44" i="8" a="1"/>
  <c r="NL44" i="8" s="1"/>
  <c r="NL37" i="8" a="1"/>
  <c r="NL37" i="8" s="1"/>
  <c r="NL21" i="8" a="1"/>
  <c r="NL21" i="8" s="1"/>
  <c r="NM39" i="8" a="1"/>
  <c r="NM39" i="8" s="1"/>
  <c r="NM19" i="8" a="1"/>
  <c r="NM19" i="8" s="1"/>
  <c r="NM43" i="8" a="1"/>
  <c r="NM43" i="8" s="1"/>
  <c r="NN34" i="8" a="1"/>
  <c r="NN34" i="8" s="1"/>
  <c r="NN43" i="8" a="1"/>
  <c r="NN43" i="8" s="1"/>
  <c r="NN37" i="8" a="1"/>
  <c r="NN37" i="8" s="1"/>
  <c r="NN27" i="8" a="1"/>
  <c r="NN27" i="8" s="1"/>
  <c r="NL34" i="8" a="1"/>
  <c r="NL34" i="8" s="1"/>
  <c r="NL15" i="8" a="1"/>
  <c r="NL15" i="8" s="1"/>
  <c r="NL27" i="8" a="1"/>
  <c r="NL27" i="8" s="1"/>
  <c r="NL42" i="8" a="1"/>
  <c r="NL42" i="8" s="1"/>
  <c r="NL36" i="8" a="1"/>
  <c r="NL36" i="8" s="1"/>
  <c r="NM41" i="8" a="1"/>
  <c r="NM41" i="8" s="1"/>
  <c r="NM27" i="8" a="1"/>
  <c r="NM27" i="8" s="1"/>
  <c r="NM36" i="8" a="1"/>
  <c r="NM36" i="8" s="1"/>
  <c r="NM23" i="8" a="1"/>
  <c r="NM23" i="8" s="1"/>
  <c r="NM26" i="8" a="1"/>
  <c r="NM26" i="8" s="1"/>
  <c r="NM22" i="8" a="1"/>
  <c r="NM22" i="8" s="1"/>
  <c r="NM15" i="8" a="1"/>
  <c r="NM15" i="8" s="1"/>
  <c r="NN22" i="8" a="1"/>
  <c r="NN22" i="8" s="1"/>
  <c r="NN11" i="8" a="1"/>
  <c r="NN11" i="8" s="1"/>
  <c r="NN45" i="8" a="1"/>
  <c r="NN45" i="8" s="1"/>
  <c r="NN18" i="8" a="1"/>
  <c r="NN18" i="8" s="1"/>
  <c r="NL13" i="8" a="1"/>
  <c r="NL13" i="8" s="1"/>
  <c r="NL17" i="8" a="1"/>
  <c r="NL17" i="8" s="1"/>
  <c r="NL9" i="8" a="1"/>
  <c r="NL9" i="8" s="1"/>
  <c r="NL41" i="8" a="1"/>
  <c r="NL41" i="8" s="1"/>
  <c r="NM17" i="8" a="1"/>
  <c r="NM17" i="8" s="1"/>
  <c r="NM30" i="8" a="1"/>
  <c r="NM30" i="8" s="1"/>
  <c r="NM24" i="8" a="1"/>
  <c r="NM24" i="8" s="1"/>
  <c r="NM34" i="8" a="1"/>
  <c r="NM34" i="8" s="1"/>
  <c r="NL8" i="8" a="1"/>
  <c r="NL8" i="8" s="1"/>
  <c r="NN14" i="8" a="1"/>
  <c r="NN14" i="8" s="1"/>
  <c r="NN30" i="8" a="1"/>
  <c r="NN30" i="8" s="1"/>
  <c r="NN35" i="8" a="1"/>
  <c r="NN35" i="8" s="1"/>
  <c r="NM13" i="8" a="1"/>
  <c r="NM13" i="8" s="1"/>
  <c r="NL12" i="8" a="1"/>
  <c r="NL12" i="8" s="1"/>
  <c r="NL14" i="8" a="1"/>
  <c r="NL14" i="8" s="1"/>
  <c r="NL18" i="8" a="1"/>
  <c r="NL18" i="8" s="1"/>
  <c r="NL25" i="8" a="1"/>
  <c r="NL25" i="8" s="1"/>
  <c r="NL40" i="8" a="1"/>
  <c r="NL40" i="8" s="1"/>
  <c r="NM20" i="8" a="1"/>
  <c r="NM20" i="8" s="1"/>
  <c r="NM35" i="8" a="1"/>
  <c r="NM35" i="8" s="1"/>
  <c r="NM18" i="8" a="1"/>
  <c r="NM18" i="8" s="1"/>
  <c r="NN20" i="8" a="1"/>
  <c r="NN20" i="8" s="1"/>
  <c r="NN24" i="8" a="1"/>
  <c r="NN24" i="8" s="1"/>
  <c r="NN42" i="8" a="1"/>
  <c r="NN42" i="8" s="1"/>
  <c r="NN23" i="8" a="1"/>
  <c r="NN23" i="8" s="1"/>
  <c r="NN41" i="8" a="1"/>
  <c r="NN41" i="8" s="1"/>
  <c r="Y6" i="8"/>
  <c r="Y4" i="8" s="1"/>
  <c r="I6" i="8"/>
  <c r="I4" i="8" s="1"/>
  <c r="AA6" i="8"/>
  <c r="AA4" i="8" s="1"/>
  <c r="S7" i="8"/>
  <c r="W6" i="8"/>
  <c r="W4" i="8" s="1"/>
  <c r="K7" i="8"/>
  <c r="O7" i="8"/>
  <c r="G7" i="8"/>
  <c r="AE7" i="8"/>
  <c r="MT52" i="8"/>
  <c r="H40" i="10" a="1"/>
  <c r="H7" i="10" a="1"/>
  <c r="H19" i="10" a="1"/>
  <c r="H34" i="10" a="1"/>
  <c r="H35" i="10" a="1"/>
  <c r="H42" i="10" a="1"/>
  <c r="NN31" i="8" l="1" a="1"/>
  <c r="NN31" i="8" s="1"/>
  <c r="NN49" i="8" a="1"/>
  <c r="NN49" i="8" s="1"/>
  <c r="NN10" i="8" a="1"/>
  <c r="NN10" i="8" s="1"/>
  <c r="NN48" i="8" a="1"/>
  <c r="NN48" i="8" s="1"/>
  <c r="H7" i="10"/>
  <c r="H35" i="10"/>
  <c r="H42" i="10"/>
  <c r="H34" i="10"/>
  <c r="H19" i="10"/>
  <c r="H40" i="10"/>
  <c r="U4" i="5"/>
  <c r="T4" i="5"/>
  <c r="T5" i="5"/>
  <c r="U5" i="5"/>
  <c r="S6" i="5"/>
  <c r="R6" i="5"/>
  <c r="NJ10" i="8" a="1"/>
  <c r="NJ10" i="8" s="1"/>
  <c r="NJ48" i="8" a="1"/>
  <c r="NJ48" i="8" s="1"/>
  <c r="NJ50" i="8" a="1"/>
  <c r="NJ50" i="8" s="1"/>
  <c r="NJ49" i="8" a="1"/>
  <c r="NJ49" i="8" s="1"/>
  <c r="NJ31" i="8" a="1"/>
  <c r="NJ31" i="8" s="1"/>
  <c r="NJ15" i="8" a="1"/>
  <c r="NJ15" i="8" s="1"/>
  <c r="NJ47" i="8" a="1"/>
  <c r="NJ47" i="8" s="1"/>
  <c r="NJ25" i="8" a="1"/>
  <c r="NJ25" i="8" s="1"/>
  <c r="NJ43" i="8" a="1"/>
  <c r="NJ43" i="8" s="1"/>
  <c r="NJ40" i="8" a="1"/>
  <c r="NJ40" i="8" s="1"/>
  <c r="NJ30" i="8" a="1"/>
  <c r="NJ30" i="8" s="1"/>
  <c r="NJ38" i="8" a="1"/>
  <c r="NJ38" i="8" s="1"/>
  <c r="NJ14" i="8" a="1"/>
  <c r="NJ14" i="8" s="1"/>
  <c r="NJ42" i="8" a="1"/>
  <c r="NJ42" i="8" s="1"/>
  <c r="NJ37" i="8" a="1"/>
  <c r="NJ37" i="8" s="1"/>
  <c r="NJ12" i="8" a="1"/>
  <c r="NJ12" i="8" s="1"/>
  <c r="NJ9" i="8" a="1"/>
  <c r="NJ9" i="8" s="1"/>
  <c r="NJ22" i="8" a="1"/>
  <c r="NJ22" i="8" s="1"/>
  <c r="NJ18" i="8" a="1"/>
  <c r="NJ18" i="8" s="1"/>
  <c r="NJ16" i="8" a="1"/>
  <c r="NJ16" i="8" s="1"/>
  <c r="NJ28" i="8" a="1"/>
  <c r="NJ28" i="8" s="1"/>
  <c r="NJ39" i="8" a="1"/>
  <c r="NJ39" i="8" s="1"/>
  <c r="NJ33" i="8" a="1"/>
  <c r="NJ33" i="8" s="1"/>
  <c r="NJ23" i="8" a="1"/>
  <c r="NJ23" i="8" s="1"/>
  <c r="NJ17" i="8" a="1"/>
  <c r="NJ17" i="8" s="1"/>
  <c r="NJ24" i="8" a="1"/>
  <c r="NJ24" i="8" s="1"/>
  <c r="NJ36" i="8" a="1"/>
  <c r="NJ36" i="8" s="1"/>
  <c r="NJ21" i="8" a="1"/>
  <c r="NJ21" i="8" s="1"/>
  <c r="NJ35" i="8" a="1"/>
  <c r="NJ35" i="8" s="1"/>
  <c r="NJ13" i="8" a="1"/>
  <c r="NJ13" i="8" s="1"/>
  <c r="NJ19" i="8" a="1"/>
  <c r="NJ19" i="8" s="1"/>
  <c r="NJ41" i="8" a="1"/>
  <c r="NJ41" i="8" s="1"/>
  <c r="NJ46" i="8" a="1"/>
  <c r="NJ46" i="8" s="1"/>
  <c r="NJ45" i="8" a="1"/>
  <c r="NJ45" i="8" s="1"/>
  <c r="NJ27" i="8" a="1"/>
  <c r="NJ27" i="8" s="1"/>
  <c r="NJ32" i="8" a="1"/>
  <c r="NJ32" i="8" s="1"/>
  <c r="NJ20" i="8" a="1"/>
  <c r="NJ20" i="8" s="1"/>
  <c r="NJ29" i="8" a="1"/>
  <c r="NJ29" i="8" s="1"/>
  <c r="NJ8" i="8" a="1"/>
  <c r="NJ8" i="8" s="1"/>
  <c r="NJ34" i="8" a="1"/>
  <c r="NJ34" i="8" s="1"/>
  <c r="NJ11" i="8" a="1"/>
  <c r="NJ11" i="8" s="1"/>
  <c r="NJ44" i="8" a="1"/>
  <c r="NJ44" i="8" s="1"/>
  <c r="NJ26" i="8" a="1"/>
  <c r="NJ26" i="8" s="1"/>
  <c r="J22" i="10" a="1"/>
  <c r="J25" i="10" a="1"/>
  <c r="J15" i="10" a="1"/>
  <c r="H11" i="10" a="1"/>
  <c r="H2" i="10" a="1"/>
  <c r="H33" i="10" a="1"/>
  <c r="I27" i="10" a="1"/>
  <c r="H39" i="10" a="1"/>
  <c r="H25" i="10" a="1"/>
  <c r="J7" i="10" a="1"/>
  <c r="I37" i="10" a="1"/>
  <c r="H36" i="10" a="1"/>
  <c r="H12" i="10" a="1"/>
  <c r="G16" i="10" a="1"/>
  <c r="J43" i="10" a="1"/>
  <c r="I39" i="10" a="1"/>
  <c r="G18" i="10" a="1"/>
  <c r="H45" i="10" a="1"/>
  <c r="H38" i="10" a="1"/>
  <c r="G12" i="10" a="1"/>
  <c r="I11" i="10" a="1"/>
  <c r="H20" i="10" a="1"/>
  <c r="H4" i="10" a="1"/>
  <c r="J13" i="10" a="1"/>
  <c r="I20" i="10" a="1"/>
  <c r="G13" i="10" a="1"/>
  <c r="G4" i="10" a="1"/>
  <c r="H26" i="10" a="1"/>
  <c r="H18" i="10" a="1"/>
  <c r="G8" i="10" a="1"/>
  <c r="G2" i="10" a="1"/>
  <c r="I38" i="10" a="1"/>
  <c r="I4" i="10" a="1"/>
  <c r="G23" i="10" a="1"/>
  <c r="H10" i="10" a="1"/>
  <c r="H5" i="10" a="1"/>
  <c r="J38" i="10" a="1"/>
  <c r="I6" i="10" a="1"/>
  <c r="J36" i="10" a="1"/>
  <c r="G6" i="10" a="1"/>
  <c r="I31" i="10" a="1"/>
  <c r="G44" i="10" a="1"/>
  <c r="I7" i="10" a="1"/>
  <c r="I22" i="10" a="1"/>
  <c r="H37" i="10" a="1"/>
  <c r="J3" i="10" a="1"/>
  <c r="G26" i="10" a="1"/>
  <c r="I23" i="10" a="1"/>
  <c r="H24" i="10" a="1"/>
  <c r="J19" i="10" a="1"/>
  <c r="H32" i="10" a="1"/>
  <c r="I25" i="10" a="1"/>
  <c r="I12" i="10" a="1"/>
  <c r="I44" i="10" a="1"/>
  <c r="J34" i="10" a="1"/>
  <c r="J6" i="10" a="1"/>
  <c r="H6" i="10" a="1"/>
  <c r="G11" i="10" a="1"/>
  <c r="H23" i="10" a="1"/>
  <c r="I26" i="10" a="1"/>
  <c r="I16" i="10" a="1"/>
  <c r="I29" i="10" a="1"/>
  <c r="J2" i="10" a="1"/>
  <c r="H21" i="10" a="1"/>
  <c r="J21" i="10" a="1"/>
  <c r="G21" i="10" a="1"/>
  <c r="J28" i="10" a="1"/>
  <c r="J40" i="10" a="1"/>
  <c r="I42" i="10" a="1"/>
  <c r="I8" i="10" a="1"/>
  <c r="J14" i="10" a="1"/>
  <c r="J32" i="10" a="1"/>
  <c r="H14" i="10" a="1"/>
  <c r="G25" i="10" a="1"/>
  <c r="G45" i="10" a="1"/>
  <c r="J8" i="10" a="1"/>
  <c r="J41" i="10" a="1"/>
  <c r="J5" i="10" a="1"/>
  <c r="J16" i="10" a="1"/>
  <c r="J11" i="10" a="1"/>
  <c r="I45" i="10" a="1"/>
  <c r="H8" i="10" a="1"/>
  <c r="I3" i="10" a="1"/>
  <c r="I15" i="10" a="1"/>
  <c r="G36" i="10" a="1"/>
  <c r="H41" i="10" a="1"/>
  <c r="H28" i="10" a="1"/>
  <c r="I18" i="10" a="1"/>
  <c r="J31" i="10" a="1"/>
  <c r="H22" i="10" a="1"/>
  <c r="J37" i="10" a="1"/>
  <c r="I40" i="10" a="1"/>
  <c r="I33" i="10" a="1"/>
  <c r="H16" i="10" a="1"/>
  <c r="G20" i="10" a="1"/>
  <c r="I10" i="10" a="1"/>
  <c r="J45" i="10" a="1"/>
  <c r="H17" i="10" a="1"/>
  <c r="G30" i="10" a="1"/>
  <c r="J17" i="10" a="1"/>
  <c r="G41" i="10" a="1"/>
  <c r="I17" i="10" a="1"/>
  <c r="I2" i="10" a="1"/>
  <c r="J33" i="10" a="1"/>
  <c r="H15" i="10" a="1"/>
  <c r="I24" i="10" a="1"/>
  <c r="I5" i="10" a="1"/>
  <c r="I43" i="10" a="1"/>
  <c r="G33" i="10" a="1"/>
  <c r="J42" i="10" a="1"/>
  <c r="J9" i="10" a="1"/>
  <c r="G10" i="10" a="1"/>
  <c r="H13" i="10" a="1"/>
  <c r="H9" i="10" a="1"/>
  <c r="G17" i="10" a="1"/>
  <c r="J30" i="10" a="1"/>
  <c r="J35" i="10" a="1"/>
  <c r="J39" i="10" a="1"/>
  <c r="G3" i="10" a="1"/>
  <c r="G38" i="10" a="1"/>
  <c r="G37" i="10" a="1"/>
  <c r="G15" i="10" a="1"/>
  <c r="J29" i="10" a="1"/>
  <c r="J24" i="10" a="1"/>
  <c r="H27" i="10" a="1"/>
  <c r="G24" i="10" a="1"/>
  <c r="H44" i="10" a="1"/>
  <c r="J20" i="10" a="1"/>
  <c r="I30" i="10" a="1"/>
  <c r="G39" i="10" a="1"/>
  <c r="I35" i="10" a="1"/>
  <c r="I9" i="10" a="1"/>
  <c r="G28" i="10" a="1"/>
  <c r="H43" i="10" a="1"/>
  <c r="G32" i="10" a="1"/>
  <c r="J12" i="10" a="1"/>
  <c r="G43" i="10" a="1"/>
  <c r="I34" i="10" a="1"/>
  <c r="J4" i="10" a="1"/>
  <c r="G27" i="10" a="1"/>
  <c r="G9" i="10" a="1"/>
  <c r="J44" i="10" a="1"/>
  <c r="I13" i="10" a="1"/>
  <c r="I19" i="10" a="1"/>
  <c r="G31" i="10" a="1"/>
  <c r="H29" i="10" a="1"/>
  <c r="I41" i="10" a="1"/>
  <c r="J18" i="10" a="1"/>
  <c r="G14" i="10" a="1"/>
  <c r="I36" i="10" a="1"/>
  <c r="J27" i="10" a="1"/>
  <c r="G29" i="10" a="1"/>
  <c r="G22" i="10" a="1"/>
  <c r="G5" i="10" a="1"/>
  <c r="J26" i="10" a="1"/>
  <c r="J23" i="10" a="1"/>
  <c r="H31" i="10" a="1"/>
  <c r="J10" i="10" a="1"/>
  <c r="H30" i="10" a="1"/>
  <c r="I21" i="10" a="1"/>
  <c r="H3" i="10" a="1"/>
  <c r="I28" i="10" a="1"/>
  <c r="I32" i="10" a="1"/>
  <c r="I14" i="10" a="1"/>
  <c r="I40" i="10" l="1"/>
  <c r="I34" i="10"/>
  <c r="I42" i="10"/>
  <c r="I35" i="10"/>
  <c r="I7" i="10"/>
  <c r="I19" i="10"/>
  <c r="J34" i="10"/>
  <c r="J7" i="10"/>
  <c r="J40" i="10"/>
  <c r="J35" i="10"/>
  <c r="J19" i="10"/>
  <c r="J42" i="10"/>
  <c r="NO48" i="8" a="1"/>
  <c r="NO48" i="8" s="1"/>
  <c r="NO46" i="8" a="1"/>
  <c r="NO46" i="8" s="1"/>
  <c r="NO24" i="8" a="1"/>
  <c r="NO24" i="8" s="1"/>
  <c r="NO45" i="8" a="1"/>
  <c r="NO45" i="8" s="1"/>
  <c r="NO43" i="8" a="1"/>
  <c r="NO43" i="8" s="1"/>
  <c r="NO40" i="8" a="1"/>
  <c r="NO40" i="8" s="1"/>
  <c r="NO44" i="8" a="1"/>
  <c r="NO44" i="8" s="1"/>
  <c r="NO28" i="8" a="1"/>
  <c r="NO28" i="8" s="1"/>
  <c r="NO26" i="8" a="1"/>
  <c r="NO26" i="8" s="1"/>
  <c r="NO42" i="8" a="1"/>
  <c r="NO42" i="8" s="1"/>
  <c r="NO36" i="8" a="1"/>
  <c r="NO36" i="8" s="1"/>
  <c r="NO29" i="8" a="1"/>
  <c r="NO29" i="8" s="1"/>
  <c r="NO39" i="8" a="1"/>
  <c r="NO39" i="8" s="1"/>
  <c r="NO21" i="8" a="1"/>
  <c r="NO21" i="8" s="1"/>
  <c r="NO15" i="8" a="1"/>
  <c r="NO15" i="8" s="1"/>
  <c r="NO10" i="8" a="1"/>
  <c r="NO10" i="8" s="1"/>
  <c r="NO50" i="8" a="1"/>
  <c r="NO50" i="8" s="1"/>
  <c r="NO32" i="8" a="1"/>
  <c r="NO32" i="8" s="1"/>
  <c r="NO14" i="8" a="1"/>
  <c r="NO14" i="8" s="1"/>
  <c r="NO18" i="8" a="1"/>
  <c r="NO18" i="8" s="1"/>
  <c r="NO13" i="8" a="1"/>
  <c r="NO13" i="8" s="1"/>
  <c r="NO19" i="8" a="1"/>
  <c r="NO19" i="8" s="1"/>
  <c r="NO31" i="8" a="1"/>
  <c r="NO31" i="8" s="1"/>
  <c r="NO22" i="8" a="1"/>
  <c r="NO22" i="8" s="1"/>
  <c r="NO9" i="8" a="1"/>
  <c r="NO9" i="8" s="1"/>
  <c r="NO34" i="8" a="1"/>
  <c r="NO34" i="8" s="1"/>
  <c r="NO23" i="8" a="1"/>
  <c r="NO23" i="8" s="1"/>
  <c r="NO30" i="8" a="1"/>
  <c r="NO30" i="8" s="1"/>
  <c r="NO25" i="8" a="1"/>
  <c r="NO25" i="8" s="1"/>
  <c r="NO49" i="8" a="1"/>
  <c r="NO49" i="8" s="1"/>
  <c r="NO20" i="8" a="1"/>
  <c r="NO20" i="8" s="1"/>
  <c r="NO47" i="8" a="1"/>
  <c r="NO47" i="8" s="1"/>
  <c r="NO16" i="8" a="1"/>
  <c r="NO16" i="8" s="1"/>
  <c r="NO11" i="8" a="1"/>
  <c r="NO11" i="8" s="1"/>
  <c r="NO38" i="8" a="1"/>
  <c r="NO38" i="8" s="1"/>
  <c r="NO17" i="8" a="1"/>
  <c r="NO17" i="8" s="1"/>
  <c r="NO27" i="8" a="1"/>
  <c r="NO27" i="8" s="1"/>
  <c r="NO12" i="8" a="1"/>
  <c r="NO12" i="8" s="1"/>
  <c r="NO37" i="8" a="1"/>
  <c r="NO37" i="8" s="1"/>
  <c r="NO35" i="8" a="1"/>
  <c r="NO35" i="8" s="1"/>
  <c r="NO33" i="8" a="1"/>
  <c r="NO33" i="8" s="1"/>
  <c r="NO41" i="8" a="1"/>
  <c r="NO41" i="8" s="1"/>
  <c r="NO8" i="8" a="1"/>
  <c r="NO8" i="8" s="1"/>
  <c r="U6" i="5"/>
  <c r="T6" i="5"/>
  <c r="R7" i="5"/>
  <c r="S7" i="5"/>
  <c r="NP43" i="8" a="1"/>
  <c r="NP43" i="8" s="1"/>
  <c r="NP8" i="8" a="1"/>
  <c r="NP8" i="8" s="1"/>
  <c r="NP47" i="8" a="1"/>
  <c r="NP47" i="8" s="1"/>
  <c r="NP23" i="8" a="1"/>
  <c r="NP23" i="8" s="1"/>
  <c r="NP35" i="8" a="1"/>
  <c r="NP35" i="8" s="1"/>
  <c r="NP37" i="8" a="1"/>
  <c r="NP37" i="8" s="1"/>
  <c r="NP46" i="8" a="1"/>
  <c r="NP46" i="8" s="1"/>
  <c r="NP14" i="8" a="1"/>
  <c r="NP14" i="8" s="1"/>
  <c r="NP48" i="8" a="1"/>
  <c r="NP48" i="8" s="1"/>
  <c r="NP24" i="8" a="1"/>
  <c r="NP24" i="8" s="1"/>
  <c r="NP31" i="8" a="1"/>
  <c r="NP31" i="8" s="1"/>
  <c r="NP42" i="8" a="1"/>
  <c r="NP42" i="8" s="1"/>
  <c r="NP18" i="8" a="1"/>
  <c r="NP18" i="8" s="1"/>
  <c r="NP27" i="8" a="1"/>
  <c r="NP27" i="8" s="1"/>
  <c r="NP38" i="8" a="1"/>
  <c r="NP38" i="8" s="1"/>
  <c r="NP41" i="8" a="1"/>
  <c r="NP41" i="8" s="1"/>
  <c r="NP49" i="8" a="1"/>
  <c r="NP49" i="8" s="1"/>
  <c r="NP32" i="8" a="1"/>
  <c r="NP32" i="8" s="1"/>
  <c r="NP25" i="8" a="1"/>
  <c r="NP25" i="8" s="1"/>
  <c r="NP17" i="8" a="1"/>
  <c r="NP17" i="8" s="1"/>
  <c r="NP11" i="8" a="1"/>
  <c r="NP11" i="8" s="1"/>
  <c r="NP22" i="8" a="1"/>
  <c r="NP22" i="8" s="1"/>
  <c r="NP26" i="8" a="1"/>
  <c r="NP26" i="8" s="1"/>
  <c r="NP44" i="8" a="1"/>
  <c r="NP44" i="8" s="1"/>
  <c r="NP45" i="8" a="1"/>
  <c r="NP45" i="8" s="1"/>
  <c r="NP12" i="8" a="1"/>
  <c r="NP12" i="8" s="1"/>
  <c r="NP10" i="8" a="1"/>
  <c r="NP10" i="8" s="1"/>
  <c r="NP50" i="8" a="1"/>
  <c r="NP50" i="8" s="1"/>
  <c r="NP36" i="8" a="1"/>
  <c r="NP36" i="8" s="1"/>
  <c r="NP28" i="8" a="1"/>
  <c r="NP28" i="8" s="1"/>
  <c r="NP34" i="8" a="1"/>
  <c r="NP34" i="8" s="1"/>
  <c r="NP15" i="8" a="1"/>
  <c r="NP15" i="8" s="1"/>
  <c r="NP20" i="8" a="1"/>
  <c r="NP20" i="8" s="1"/>
  <c r="NP21" i="8" a="1"/>
  <c r="NP21" i="8" s="1"/>
  <c r="NP39" i="8" a="1"/>
  <c r="NP39" i="8" s="1"/>
  <c r="NP19" i="8" a="1"/>
  <c r="NP19" i="8" s="1"/>
  <c r="NP30" i="8" a="1"/>
  <c r="NP30" i="8" s="1"/>
  <c r="NP33" i="8" a="1"/>
  <c r="NP33" i="8" s="1"/>
  <c r="NP16" i="8" a="1"/>
  <c r="NP16" i="8" s="1"/>
  <c r="NP9" i="8" a="1"/>
  <c r="NP9" i="8" s="1"/>
  <c r="NP40" i="8" a="1"/>
  <c r="NP40" i="8" s="1"/>
  <c r="NP29" i="8" a="1"/>
  <c r="NP29" i="8" s="1"/>
  <c r="NP13" i="8" a="1"/>
  <c r="NP13" i="8" s="1"/>
  <c r="J23" i="10"/>
  <c r="I21" i="10"/>
  <c r="I27" i="10"/>
  <c r="H32" i="10"/>
  <c r="J8" i="10"/>
  <c r="J36" i="10"/>
  <c r="I37" i="10"/>
  <c r="I30" i="10"/>
  <c r="G11" i="10"/>
  <c r="H6" i="10"/>
  <c r="G20" i="10"/>
  <c r="H30" i="10"/>
  <c r="I11" i="10"/>
  <c r="I38" i="10"/>
  <c r="J33" i="10"/>
  <c r="I45" i="10"/>
  <c r="H21" i="10"/>
  <c r="J31" i="10"/>
  <c r="J39" i="10"/>
  <c r="H12" i="10"/>
  <c r="J37" i="10"/>
  <c r="J4" i="10"/>
  <c r="J3" i="10"/>
  <c r="I10" i="10"/>
  <c r="H23" i="10"/>
  <c r="H41" i="10"/>
  <c r="I25" i="10"/>
  <c r="I39" i="10"/>
  <c r="H25" i="10"/>
  <c r="I36" i="10"/>
  <c r="J27" i="10"/>
  <c r="J26" i="10"/>
  <c r="J5" i="10"/>
  <c r="H26" i="10"/>
  <c r="H10" i="10"/>
  <c r="H22" i="10"/>
  <c r="G38" i="10"/>
  <c r="J29" i="10"/>
  <c r="H13" i="10"/>
  <c r="G28" i="10"/>
  <c r="I4" i="10"/>
  <c r="H14" i="10"/>
  <c r="G23" i="10"/>
  <c r="I33" i="10"/>
  <c r="J13" i="10"/>
  <c r="H37" i="10"/>
  <c r="G45" i="10"/>
  <c r="J38" i="10"/>
  <c r="H16" i="10"/>
  <c r="G30" i="10"/>
  <c r="J44" i="10"/>
  <c r="J10" i="10"/>
  <c r="H24" i="10"/>
  <c r="J17" i="10"/>
  <c r="J18" i="10"/>
  <c r="H8" i="10"/>
  <c r="I18" i="10"/>
  <c r="J16" i="10"/>
  <c r="I16" i="10"/>
  <c r="G14" i="10"/>
  <c r="G17" i="10"/>
  <c r="G43" i="10"/>
  <c r="J11" i="10"/>
  <c r="H15" i="10"/>
  <c r="I43" i="10"/>
  <c r="H9" i="10"/>
  <c r="G22" i="10"/>
  <c r="H29" i="10"/>
  <c r="G16" i="10"/>
  <c r="H36" i="10"/>
  <c r="H43" i="10"/>
  <c r="G13" i="10"/>
  <c r="J21" i="10"/>
  <c r="I44" i="10"/>
  <c r="G10" i="10"/>
  <c r="H27" i="10"/>
  <c r="J6" i="10"/>
  <c r="I20" i="10"/>
  <c r="G39" i="10"/>
  <c r="J32" i="10"/>
  <c r="I41" i="10"/>
  <c r="I24" i="10"/>
  <c r="G3" i="10"/>
  <c r="H17" i="10"/>
  <c r="J22" i="10"/>
  <c r="I3" i="10"/>
  <c r="G2" i="10"/>
  <c r="G8" i="10"/>
  <c r="I28" i="10"/>
  <c r="G33" i="10"/>
  <c r="G32" i="10"/>
  <c r="I9" i="10"/>
  <c r="I5" i="10"/>
  <c r="G18" i="10"/>
  <c r="H3" i="10"/>
  <c r="I14" i="10"/>
  <c r="G37" i="10"/>
  <c r="G15" i="10"/>
  <c r="J45" i="10"/>
  <c r="H18" i="10"/>
  <c r="G4" i="10"/>
  <c r="H5" i="10"/>
  <c r="J14" i="10"/>
  <c r="I12" i="10"/>
  <c r="H33" i="10"/>
  <c r="G25" i="10"/>
  <c r="G24" i="10"/>
  <c r="H28" i="10"/>
  <c r="H39" i="10"/>
  <c r="J41" i="10"/>
  <c r="J2" i="10"/>
  <c r="J25" i="10"/>
  <c r="J43" i="10"/>
  <c r="G5" i="10"/>
  <c r="I15" i="10"/>
  <c r="J30" i="10"/>
  <c r="H31" i="10"/>
  <c r="I6" i="10"/>
  <c r="I22" i="10"/>
  <c r="J12" i="10"/>
  <c r="G44" i="10"/>
  <c r="G31" i="10"/>
  <c r="J20" i="10"/>
  <c r="I29" i="10"/>
  <c r="I2" i="10"/>
  <c r="G9" i="10"/>
  <c r="G21" i="10"/>
  <c r="G29" i="10"/>
  <c r="I26" i="10"/>
  <c r="H38" i="10"/>
  <c r="I17" i="10"/>
  <c r="I31" i="10"/>
  <c r="I23" i="10"/>
  <c r="H45" i="10"/>
  <c r="H2" i="10"/>
  <c r="J28" i="10"/>
  <c r="G26" i="10"/>
  <c r="G36" i="10"/>
  <c r="G6" i="10"/>
  <c r="H11" i="10"/>
  <c r="G41" i="10"/>
  <c r="H44" i="10"/>
  <c r="J9" i="10"/>
  <c r="J15" i="10"/>
  <c r="H4" i="10"/>
  <c r="J24" i="10"/>
  <c r="G12" i="10"/>
  <c r="G27" i="10"/>
  <c r="I8" i="10"/>
  <c r="I13" i="10"/>
  <c r="H20" i="10"/>
  <c r="I32" i="10"/>
  <c r="K37" i="10" a="1"/>
  <c r="K41" i="10" a="1"/>
  <c r="K15" i="10" a="1"/>
  <c r="K9" i="10" a="1"/>
  <c r="K25" i="10" a="1"/>
  <c r="K13" i="10" a="1"/>
  <c r="K26" i="10" a="1"/>
  <c r="K40" i="10" a="1"/>
  <c r="K30" i="10" a="1"/>
  <c r="K10" i="10" a="1"/>
  <c r="K5" i="10" a="1"/>
  <c r="K39" i="10" a="1"/>
  <c r="K27" i="10" a="1"/>
  <c r="K20" i="10" a="1"/>
  <c r="K42" i="10" a="1"/>
  <c r="K22" i="10" a="1"/>
  <c r="K32" i="10" a="1"/>
  <c r="K7" i="10" a="1"/>
  <c r="K14" i="10" a="1"/>
  <c r="K17" i="10" a="1"/>
  <c r="K24" i="10" a="1"/>
  <c r="K11" i="10" a="1"/>
  <c r="K23" i="10" a="1"/>
  <c r="K8" i="10" a="1"/>
  <c r="K44" i="10" a="1"/>
  <c r="K2" i="10" a="1"/>
  <c r="K35" i="10" a="1"/>
  <c r="K31" i="10" a="1"/>
  <c r="K28" i="10" a="1"/>
  <c r="K12" i="10" a="1"/>
  <c r="K45" i="10" a="1"/>
  <c r="K3" i="10" a="1"/>
  <c r="K43" i="10" a="1"/>
  <c r="K6" i="10" a="1"/>
  <c r="K33" i="10" a="1"/>
  <c r="K19" i="10" a="1"/>
  <c r="K16" i="10" a="1"/>
  <c r="K36" i="10" a="1"/>
  <c r="K4" i="10" a="1"/>
  <c r="K18" i="10" a="1"/>
  <c r="K21" i="10" a="1"/>
  <c r="K38" i="10" a="1"/>
  <c r="K34" i="10" a="1"/>
  <c r="K29" i="10" a="1"/>
  <c r="K40" i="10" l="1"/>
  <c r="K7" i="10"/>
  <c r="K34" i="10"/>
  <c r="K42" i="10"/>
  <c r="K19" i="10"/>
  <c r="K35" i="10"/>
  <c r="K8" i="10"/>
  <c r="K3" i="10"/>
  <c r="K41" i="10"/>
  <c r="K39" i="10"/>
  <c r="K38" i="10"/>
  <c r="K36" i="10"/>
  <c r="K13" i="10"/>
  <c r="K10" i="10"/>
  <c r="K17" i="10"/>
  <c r="K44" i="10"/>
  <c r="K33" i="10"/>
  <c r="K26" i="10"/>
  <c r="K4" i="10"/>
  <c r="K11" i="10"/>
  <c r="K32" i="10"/>
  <c r="K15" i="10"/>
  <c r="K20" i="10"/>
  <c r="K2" i="10"/>
  <c r="K45" i="10"/>
  <c r="K37" i="10"/>
  <c r="K29" i="10"/>
  <c r="K22" i="10"/>
  <c r="K25" i="10"/>
  <c r="K16" i="10"/>
  <c r="K30" i="10"/>
  <c r="K14" i="10"/>
  <c r="K31" i="10"/>
  <c r="K6" i="10"/>
  <c r="K28" i="10"/>
  <c r="K9" i="10"/>
  <c r="K24" i="10"/>
  <c r="K43" i="10"/>
  <c r="K18" i="10"/>
  <c r="K27" i="10"/>
  <c r="K23" i="10"/>
  <c r="K12" i="10"/>
  <c r="K5" i="10"/>
  <c r="K21" i="10"/>
  <c r="NQ50" i="8" a="1"/>
  <c r="NQ50" i="8" s="1"/>
  <c r="NQ31" i="8" a="1"/>
  <c r="NQ31" i="8" s="1"/>
  <c r="NQ17" i="8" a="1"/>
  <c r="NQ17" i="8" s="1"/>
  <c r="NQ44" i="8" a="1"/>
  <c r="NQ44" i="8" s="1"/>
  <c r="NQ45" i="8" a="1"/>
  <c r="NQ45" i="8" s="1"/>
  <c r="NQ12" i="8" a="1"/>
  <c r="NQ12" i="8" s="1"/>
  <c r="NQ34" i="8" a="1"/>
  <c r="NQ34" i="8" s="1"/>
  <c r="NQ36" i="8" a="1"/>
  <c r="NQ36" i="8" s="1"/>
  <c r="NQ28" i="8" a="1"/>
  <c r="NQ28" i="8" s="1"/>
  <c r="NQ40" i="8" a="1"/>
  <c r="NQ40" i="8" s="1"/>
  <c r="NQ10" i="8" a="1"/>
  <c r="NQ10" i="8" s="1"/>
  <c r="NQ48" i="8" a="1"/>
  <c r="NQ48" i="8" s="1"/>
  <c r="NQ18" i="8" a="1"/>
  <c r="NQ18" i="8" s="1"/>
  <c r="NQ21" i="8" a="1"/>
  <c r="NQ21" i="8" s="1"/>
  <c r="NQ33" i="8" a="1"/>
  <c r="NQ33" i="8" s="1"/>
  <c r="NQ41" i="8" a="1"/>
  <c r="NQ41" i="8" s="1"/>
  <c r="NQ43" i="8" a="1"/>
  <c r="NQ43" i="8" s="1"/>
  <c r="NQ35" i="8" a="1"/>
  <c r="NQ35" i="8" s="1"/>
  <c r="NQ37" i="8" a="1"/>
  <c r="NQ37" i="8" s="1"/>
  <c r="NQ11" i="8" a="1"/>
  <c r="NQ11" i="8" s="1"/>
  <c r="NQ30" i="8" a="1"/>
  <c r="NQ30" i="8" s="1"/>
  <c r="NQ26" i="8" a="1"/>
  <c r="NQ26" i="8" s="1"/>
  <c r="NQ19" i="8" a="1"/>
  <c r="NQ19" i="8" s="1"/>
  <c r="NQ24" i="8" a="1"/>
  <c r="NQ24" i="8" s="1"/>
  <c r="NQ27" i="8" a="1"/>
  <c r="NQ27" i="8" s="1"/>
  <c r="NQ13" i="8" a="1"/>
  <c r="NQ13" i="8" s="1"/>
  <c r="NQ29" i="8" a="1"/>
  <c r="NQ29" i="8" s="1"/>
  <c r="NQ9" i="8" a="1"/>
  <c r="NQ9" i="8" s="1"/>
  <c r="NQ20" i="8" a="1"/>
  <c r="NQ20" i="8" s="1"/>
  <c r="NQ39" i="8" a="1"/>
  <c r="NQ39" i="8" s="1"/>
  <c r="NQ23" i="8" a="1"/>
  <c r="NQ23" i="8" s="1"/>
  <c r="NQ49" i="8" a="1"/>
  <c r="NQ49" i="8" s="1"/>
  <c r="NQ42" i="8" a="1"/>
  <c r="NQ42" i="8" s="1"/>
  <c r="NQ47" i="8" a="1"/>
  <c r="NQ47" i="8" s="1"/>
  <c r="NQ38" i="8" a="1"/>
  <c r="NQ38" i="8" s="1"/>
  <c r="NQ14" i="8" a="1"/>
  <c r="NQ14" i="8" s="1"/>
  <c r="NQ32" i="8" a="1"/>
  <c r="NQ32" i="8" s="1"/>
  <c r="NQ8" i="8" a="1"/>
  <c r="NQ8" i="8" s="1"/>
  <c r="NQ46" i="8" a="1"/>
  <c r="NQ46" i="8" s="1"/>
  <c r="NQ22" i="8" a="1"/>
  <c r="NQ22" i="8" s="1"/>
  <c r="NQ25" i="8" a="1"/>
  <c r="NQ25" i="8" s="1"/>
  <c r="NQ16" i="8" a="1"/>
  <c r="NQ16" i="8" s="1"/>
  <c r="NQ15" i="8" a="1"/>
  <c r="NQ15" i="8" s="1"/>
  <c r="S8" i="5"/>
  <c r="S9" i="5" s="1"/>
  <c r="R8" i="5"/>
  <c r="U7" i="5"/>
  <c r="T7" i="5"/>
  <c r="L41" i="10" a="1"/>
  <c r="L42" i="10" a="1"/>
  <c r="L21" i="10" a="1"/>
  <c r="L31" i="10" a="1"/>
  <c r="L36" i="10" a="1"/>
  <c r="L6" i="10" a="1"/>
  <c r="L26" i="10" a="1"/>
  <c r="L28" i="10" a="1"/>
  <c r="L7" i="10" a="1"/>
  <c r="L19" i="10" a="1"/>
  <c r="L10" i="10" a="1"/>
  <c r="L22" i="10" a="1"/>
  <c r="L14" i="10" a="1"/>
  <c r="L23" i="10" a="1"/>
  <c r="L35" i="10" a="1"/>
  <c r="L34" i="10" a="1"/>
  <c r="L27" i="10" a="1"/>
  <c r="L20" i="10" a="1"/>
  <c r="L3" i="10" a="1"/>
  <c r="L30" i="10" a="1"/>
  <c r="L29" i="10" a="1"/>
  <c r="L18" i="10" a="1"/>
  <c r="L11" i="10" a="1"/>
  <c r="L45" i="10" a="1"/>
  <c r="L39" i="10" a="1"/>
  <c r="L9" i="10" a="1"/>
  <c r="L15" i="10" a="1"/>
  <c r="L24" i="10" a="1"/>
  <c r="L32" i="10" a="1"/>
  <c r="L33" i="10" a="1"/>
  <c r="L37" i="10" a="1"/>
  <c r="L17" i="10" a="1"/>
  <c r="L43" i="10" a="1"/>
  <c r="L40" i="10" a="1"/>
  <c r="L5" i="10" a="1"/>
  <c r="L12" i="10" a="1"/>
  <c r="L38" i="10" a="1"/>
  <c r="L16" i="10" a="1"/>
  <c r="L13" i="10" a="1"/>
  <c r="L25" i="10" a="1"/>
  <c r="L2" i="10" a="1"/>
  <c r="L44" i="10" a="1"/>
  <c r="L8" i="10" a="1"/>
  <c r="L4" i="10" a="1"/>
  <c r="L36" i="10" l="1"/>
  <c r="L41" i="10"/>
  <c r="L43" i="10"/>
  <c r="L15" i="10"/>
  <c r="L20" i="10"/>
  <c r="L33" i="10"/>
  <c r="L5" i="10"/>
  <c r="L37" i="10"/>
  <c r="L8" i="10"/>
  <c r="L44" i="10"/>
  <c r="L30" i="10"/>
  <c r="L3" i="10"/>
  <c r="L22" i="10"/>
  <c r="L18" i="10"/>
  <c r="L17" i="10"/>
  <c r="L38" i="10"/>
  <c r="L31" i="10"/>
  <c r="L4" i="10"/>
  <c r="L2" i="10"/>
  <c r="L11" i="10"/>
  <c r="L26" i="10"/>
  <c r="L27" i="10"/>
  <c r="L32" i="10"/>
  <c r="L9" i="10"/>
  <c r="L21" i="10"/>
  <c r="L39" i="10"/>
  <c r="L45" i="10"/>
  <c r="L14" i="10"/>
  <c r="L25" i="10"/>
  <c r="L10" i="10"/>
  <c r="L29" i="10"/>
  <c r="L24" i="10"/>
  <c r="L13" i="10"/>
  <c r="L23" i="10"/>
  <c r="L16" i="10"/>
  <c r="L28" i="10"/>
  <c r="L12" i="10"/>
  <c r="L6" i="10"/>
  <c r="L34" i="10"/>
  <c r="L19" i="10"/>
  <c r="L35" i="10"/>
  <c r="L7" i="10"/>
  <c r="L40" i="10"/>
  <c r="L42" i="10"/>
  <c r="R9" i="5"/>
  <c r="NR22" i="8" a="1"/>
  <c r="NR22" i="8" s="1"/>
  <c r="NR24" i="8" a="1"/>
  <c r="NR24" i="8" s="1"/>
  <c r="NR18" i="8" a="1"/>
  <c r="NR18" i="8" s="1"/>
  <c r="NR45" i="8" a="1"/>
  <c r="NR45" i="8" s="1"/>
  <c r="NR12" i="8" a="1"/>
  <c r="NR12" i="8" s="1"/>
  <c r="NR15" i="8" a="1"/>
  <c r="NR15" i="8" s="1"/>
  <c r="NR39" i="8" a="1"/>
  <c r="NR39" i="8" s="1"/>
  <c r="NR10" i="8" a="1"/>
  <c r="NR10" i="8" s="1"/>
  <c r="NR40" i="8" a="1"/>
  <c r="NR40" i="8" s="1"/>
  <c r="NR17" i="8" a="1"/>
  <c r="NR17" i="8" s="1"/>
  <c r="NR35" i="8" a="1"/>
  <c r="NR35" i="8" s="1"/>
  <c r="NR50" i="8" a="1"/>
  <c r="NR50" i="8" s="1"/>
  <c r="NR33" i="8" a="1"/>
  <c r="NR33" i="8" s="1"/>
  <c r="NR41" i="8" a="1"/>
  <c r="NR41" i="8" s="1"/>
  <c r="NR19" i="8" a="1"/>
  <c r="NR19" i="8" s="1"/>
  <c r="NR49" i="8" a="1"/>
  <c r="NR49" i="8" s="1"/>
  <c r="NR13" i="8" a="1"/>
  <c r="NR13" i="8" s="1"/>
  <c r="NR27" i="8" a="1"/>
  <c r="NR27" i="8" s="1"/>
  <c r="NR47" i="8" a="1"/>
  <c r="NR47" i="8" s="1"/>
  <c r="NR46" i="8" a="1"/>
  <c r="NR46" i="8" s="1"/>
  <c r="NR23" i="8" a="1"/>
  <c r="NR23" i="8" s="1"/>
  <c r="NR26" i="8" a="1"/>
  <c r="NR26" i="8" s="1"/>
  <c r="NR9" i="8" a="1"/>
  <c r="NR9" i="8" s="1"/>
  <c r="NR20" i="8" a="1"/>
  <c r="NR20" i="8" s="1"/>
  <c r="NR44" i="8" a="1"/>
  <c r="NR44" i="8" s="1"/>
  <c r="NR11" i="8" a="1"/>
  <c r="NR11" i="8" s="1"/>
  <c r="NR14" i="8" a="1"/>
  <c r="NR14" i="8" s="1"/>
  <c r="NR16" i="8" a="1"/>
  <c r="NR16" i="8" s="1"/>
  <c r="NR32" i="8" a="1"/>
  <c r="NR32" i="8" s="1"/>
  <c r="NR30" i="8" a="1"/>
  <c r="NR30" i="8" s="1"/>
  <c r="NR34" i="8" a="1"/>
  <c r="NR34" i="8" s="1"/>
  <c r="NR8" i="8" a="1"/>
  <c r="NR8" i="8" s="1"/>
  <c r="NR28" i="8" a="1"/>
  <c r="NR28" i="8" s="1"/>
  <c r="NR38" i="8" a="1"/>
  <c r="NR38" i="8" s="1"/>
  <c r="NR48" i="8" a="1"/>
  <c r="NR48" i="8" s="1"/>
  <c r="NR37" i="8" a="1"/>
  <c r="NR37" i="8" s="1"/>
  <c r="NR31" i="8" a="1"/>
  <c r="NR31" i="8" s="1"/>
  <c r="NR29" i="8" a="1"/>
  <c r="NR29" i="8" s="1"/>
  <c r="NR25" i="8" a="1"/>
  <c r="NR25" i="8" s="1"/>
  <c r="NR42" i="8" a="1"/>
  <c r="NR42" i="8" s="1"/>
  <c r="NR36" i="8" a="1"/>
  <c r="NR36" i="8" s="1"/>
  <c r="NR43" i="8" a="1"/>
  <c r="NR43" i="8" s="1"/>
  <c r="NR21" i="8" a="1"/>
  <c r="NR21" i="8" s="1"/>
  <c r="U8" i="5"/>
  <c r="T8" i="5"/>
  <c r="M18" i="10" a="1"/>
  <c r="M27" i="10" a="1"/>
  <c r="M10" i="10" a="1"/>
  <c r="M34" i="10" a="1"/>
  <c r="M30" i="10" a="1"/>
  <c r="M11" i="10" a="1"/>
  <c r="M41" i="10" a="1"/>
  <c r="M25" i="10" a="1"/>
  <c r="M17" i="10" a="1"/>
  <c r="M33" i="10" a="1"/>
  <c r="M43" i="10" a="1"/>
  <c r="M7" i="10" a="1"/>
  <c r="M28" i="10" a="1"/>
  <c r="M39" i="10" a="1"/>
  <c r="M35" i="10" a="1"/>
  <c r="M37" i="10" a="1"/>
  <c r="M38" i="10" a="1"/>
  <c r="M32" i="10" a="1"/>
  <c r="M36" i="10" a="1"/>
  <c r="M45" i="10" a="1"/>
  <c r="M19" i="10" a="1"/>
  <c r="M16" i="10" a="1"/>
  <c r="M12" i="10" a="1"/>
  <c r="M23" i="10" a="1"/>
  <c r="M9" i="10" a="1"/>
  <c r="M24" i="10" a="1"/>
  <c r="M14" i="10" a="1"/>
  <c r="M6" i="10" a="1"/>
  <c r="M8" i="10" a="1"/>
  <c r="M20" i="10" a="1"/>
  <c r="M15" i="10" a="1"/>
  <c r="M3" i="10" a="1"/>
  <c r="M21" i="10" a="1"/>
  <c r="M26" i="10" a="1"/>
  <c r="M31" i="10" a="1"/>
  <c r="M44" i="10" a="1"/>
  <c r="M22" i="10" a="1"/>
  <c r="M13" i="10" a="1"/>
  <c r="M2" i="10" a="1"/>
  <c r="M5" i="10" a="1"/>
  <c r="M40" i="10" a="1"/>
  <c r="M42" i="10" a="1"/>
  <c r="M4" i="10" a="1"/>
  <c r="M29" i="10" a="1"/>
  <c r="M3" i="10" l="1"/>
  <c r="M8" i="10"/>
  <c r="M2" i="10"/>
  <c r="M16" i="10"/>
  <c r="M11" i="10"/>
  <c r="M45" i="10"/>
  <c r="M6" i="10"/>
  <c r="M20" i="10"/>
  <c r="M5" i="10"/>
  <c r="M24" i="10"/>
  <c r="M22" i="10"/>
  <c r="M31" i="10"/>
  <c r="M23" i="10"/>
  <c r="M21" i="10"/>
  <c r="M32" i="10"/>
  <c r="M14" i="10"/>
  <c r="M25" i="10"/>
  <c r="M37" i="10"/>
  <c r="M26" i="10"/>
  <c r="M27" i="10"/>
  <c r="M39" i="10"/>
  <c r="M15" i="10"/>
  <c r="M43" i="10"/>
  <c r="M38" i="10"/>
  <c r="M29" i="10"/>
  <c r="M17" i="10"/>
  <c r="M36" i="10"/>
  <c r="M4" i="10"/>
  <c r="M41" i="10"/>
  <c r="M12" i="10"/>
  <c r="M30" i="10"/>
  <c r="M33" i="10"/>
  <c r="M13" i="10"/>
  <c r="M10" i="10"/>
  <c r="M9" i="10"/>
  <c r="M44" i="10"/>
  <c r="M18" i="10"/>
  <c r="M28" i="10"/>
  <c r="M42" i="10"/>
  <c r="M34" i="10"/>
  <c r="M7" i="10"/>
  <c r="M40" i="10"/>
  <c r="M35" i="10"/>
  <c r="M19" i="10"/>
  <c r="S10" i="5"/>
  <c r="R10" i="5"/>
  <c r="T9" i="5"/>
  <c r="U9" i="5"/>
  <c r="NS12" i="8" a="1"/>
  <c r="NS12" i="8" s="1"/>
  <c r="NS25" i="8" a="1"/>
  <c r="NS25" i="8" s="1"/>
  <c r="NS26" i="8" a="1"/>
  <c r="NS26" i="8" s="1"/>
  <c r="NS22" i="8" a="1"/>
  <c r="NS22" i="8" s="1"/>
  <c r="NS18" i="8" a="1"/>
  <c r="NS18" i="8" s="1"/>
  <c r="NS9" i="8" a="1"/>
  <c r="NS9" i="8" s="1"/>
  <c r="NS42" i="8" a="1"/>
  <c r="NS42" i="8" s="1"/>
  <c r="NS41" i="8" a="1"/>
  <c r="NS41" i="8" s="1"/>
  <c r="NS40" i="8" a="1"/>
  <c r="NS40" i="8" s="1"/>
  <c r="NS10" i="8" a="1"/>
  <c r="NS10" i="8" s="1"/>
  <c r="NS8" i="8" a="1"/>
  <c r="NS8" i="8" s="1"/>
  <c r="NS21" i="8" a="1"/>
  <c r="NS21" i="8" s="1"/>
  <c r="NS50" i="8" a="1"/>
  <c r="NS50" i="8" s="1"/>
  <c r="NS28" i="8" a="1"/>
  <c r="NS28" i="8" s="1"/>
  <c r="NS34" i="8" a="1"/>
  <c r="NS34" i="8" s="1"/>
  <c r="NS17" i="8" a="1"/>
  <c r="NS17" i="8" s="1"/>
  <c r="NS23" i="8" a="1"/>
  <c r="NS23" i="8" s="1"/>
  <c r="NS33" i="8" a="1"/>
  <c r="NS33" i="8" s="1"/>
  <c r="NS20" i="8" a="1"/>
  <c r="NS20" i="8" s="1"/>
  <c r="NS49" i="8" a="1"/>
  <c r="NS49" i="8" s="1"/>
  <c r="NS14" i="8" a="1"/>
  <c r="NS14" i="8" s="1"/>
  <c r="NS36" i="8" a="1"/>
  <c r="NS36" i="8" s="1"/>
  <c r="NS29" i="8" a="1"/>
  <c r="NS29" i="8" s="1"/>
  <c r="NS30" i="8" a="1"/>
  <c r="NS30" i="8" s="1"/>
  <c r="NS31" i="8" a="1"/>
  <c r="NS31" i="8" s="1"/>
  <c r="NS45" i="8" a="1"/>
  <c r="NS45" i="8" s="1"/>
  <c r="NS47" i="8" a="1"/>
  <c r="NS47" i="8" s="1"/>
  <c r="NS32" i="8" a="1"/>
  <c r="NS32" i="8" s="1"/>
  <c r="NS43" i="8" a="1"/>
  <c r="NS43" i="8" s="1"/>
  <c r="NS16" i="8" a="1"/>
  <c r="NS16" i="8" s="1"/>
  <c r="NS37" i="8" a="1"/>
  <c r="NS37" i="8" s="1"/>
  <c r="NS48" i="8" a="1"/>
  <c r="NS48" i="8" s="1"/>
  <c r="NS13" i="8" a="1"/>
  <c r="NS13" i="8" s="1"/>
  <c r="NS24" i="8" a="1"/>
  <c r="NS24" i="8" s="1"/>
  <c r="NS39" i="8" a="1"/>
  <c r="NS39" i="8" s="1"/>
  <c r="NS46" i="8" a="1"/>
  <c r="NS46" i="8" s="1"/>
  <c r="NS35" i="8" a="1"/>
  <c r="NS35" i="8" s="1"/>
  <c r="NS11" i="8" a="1"/>
  <c r="NS11" i="8" s="1"/>
  <c r="NS27" i="8" a="1"/>
  <c r="NS27" i="8" s="1"/>
  <c r="NS44" i="8" a="1"/>
  <c r="NS44" i="8" s="1"/>
  <c r="NS38" i="8" a="1"/>
  <c r="NS38" i="8" s="1"/>
  <c r="NS19" i="8" a="1"/>
  <c r="NS19" i="8" s="1"/>
  <c r="NS15" i="8" a="1"/>
  <c r="NS15" i="8" s="1"/>
  <c r="N25" i="10" a="1"/>
  <c r="N40" i="10" a="1"/>
  <c r="N9" i="10" a="1"/>
  <c r="N29" i="10" a="1"/>
  <c r="N24" i="10" a="1"/>
  <c r="N44" i="10" a="1"/>
  <c r="N42" i="10" a="1"/>
  <c r="N4" i="10" a="1"/>
  <c r="N41" i="10" a="1"/>
  <c r="N20" i="10" a="1"/>
  <c r="N36" i="10" a="1"/>
  <c r="N16" i="10" a="1"/>
  <c r="N33" i="10" a="1"/>
  <c r="N35" i="10" a="1"/>
  <c r="N45" i="10" a="1"/>
  <c r="N34" i="10" a="1"/>
  <c r="N39" i="10" a="1"/>
  <c r="N7" i="10" a="1"/>
  <c r="N37" i="10" a="1"/>
  <c r="N3" i="10" a="1"/>
  <c r="N12" i="10" a="1"/>
  <c r="N30" i="10" a="1"/>
  <c r="N31" i="10" a="1"/>
  <c r="N19" i="10" a="1"/>
  <c r="N28" i="10" a="1"/>
  <c r="N27" i="10" a="1"/>
  <c r="N23" i="10" a="1"/>
  <c r="N21" i="10" a="1"/>
  <c r="N32" i="10" a="1"/>
  <c r="N11" i="10" a="1"/>
  <c r="N22" i="10" a="1"/>
  <c r="N10" i="10" a="1"/>
  <c r="N14" i="10" a="1"/>
  <c r="N8" i="10" a="1"/>
  <c r="N6" i="10" a="1"/>
  <c r="N38" i="10" a="1"/>
  <c r="N17" i="10" a="1"/>
  <c r="N5" i="10" a="1"/>
  <c r="N13" i="10" a="1"/>
  <c r="N43" i="10" a="1"/>
  <c r="N18" i="10" a="1"/>
  <c r="N2" i="10" a="1"/>
  <c r="N26" i="10" a="1"/>
  <c r="N15" i="10" a="1"/>
  <c r="N26" i="10" l="1"/>
  <c r="N18" i="10"/>
  <c r="N16" i="10"/>
  <c r="N32" i="10"/>
  <c r="N24" i="10"/>
  <c r="N36" i="10"/>
  <c r="N39" i="10"/>
  <c r="N29" i="10"/>
  <c r="N8" i="10"/>
  <c r="N20" i="10"/>
  <c r="N23" i="10"/>
  <c r="N38" i="10"/>
  <c r="N43" i="10"/>
  <c r="N28" i="10"/>
  <c r="N13" i="10"/>
  <c r="N9" i="10"/>
  <c r="N11" i="10"/>
  <c r="N5" i="10"/>
  <c r="N37" i="10"/>
  <c r="N10" i="10"/>
  <c r="N4" i="10"/>
  <c r="N22" i="10"/>
  <c r="N30" i="10"/>
  <c r="N17" i="10"/>
  <c r="N21" i="10"/>
  <c r="N2" i="10"/>
  <c r="N33" i="10"/>
  <c r="N44" i="10"/>
  <c r="N12" i="10"/>
  <c r="N45" i="10"/>
  <c r="N15" i="10"/>
  <c r="N6" i="10"/>
  <c r="N3" i="10"/>
  <c r="N14" i="10"/>
  <c r="N41" i="10"/>
  <c r="N27" i="10"/>
  <c r="N25" i="10"/>
  <c r="N31" i="10"/>
  <c r="N34" i="10"/>
  <c r="N42" i="10"/>
  <c r="N35" i="10"/>
  <c r="N19" i="10"/>
  <c r="N40" i="10"/>
  <c r="N7" i="10"/>
  <c r="NT13" i="8" a="1"/>
  <c r="NT13" i="8" s="1"/>
  <c r="NT8" i="8" a="1"/>
  <c r="NT8" i="8" s="1"/>
  <c r="NT23" i="8" a="1"/>
  <c r="NT23" i="8" s="1"/>
  <c r="NT37" i="8" a="1"/>
  <c r="NT37" i="8" s="1"/>
  <c r="NT40" i="8" a="1"/>
  <c r="NT40" i="8" s="1"/>
  <c r="NT36" i="8" a="1"/>
  <c r="NT36" i="8" s="1"/>
  <c r="NT33" i="8" a="1"/>
  <c r="NT33" i="8" s="1"/>
  <c r="NT25" i="8" a="1"/>
  <c r="NT25" i="8" s="1"/>
  <c r="NT31" i="8" a="1"/>
  <c r="NT31" i="8" s="1"/>
  <c r="NT15" i="8" a="1"/>
  <c r="NT15" i="8" s="1"/>
  <c r="NT39" i="8" a="1"/>
  <c r="NT39" i="8" s="1"/>
  <c r="NT17" i="8" a="1"/>
  <c r="NT17" i="8" s="1"/>
  <c r="NT10" i="8" a="1"/>
  <c r="NT10" i="8" s="1"/>
  <c r="NT50" i="8" a="1"/>
  <c r="NT50" i="8" s="1"/>
  <c r="NT42" i="8" a="1"/>
  <c r="NT42" i="8" s="1"/>
  <c r="NT32" i="8" a="1"/>
  <c r="NT32" i="8" s="1"/>
  <c r="NT27" i="8" a="1"/>
  <c r="NT27" i="8" s="1"/>
  <c r="NT20" i="8" a="1"/>
  <c r="NT20" i="8" s="1"/>
  <c r="NT22" i="8" a="1"/>
  <c r="NT22" i="8" s="1"/>
  <c r="NT43" i="8" a="1"/>
  <c r="NT43" i="8" s="1"/>
  <c r="NT21" i="8" a="1"/>
  <c r="NT21" i="8" s="1"/>
  <c r="NT28" i="8" a="1"/>
  <c r="NT28" i="8" s="1"/>
  <c r="NT9" i="8" a="1"/>
  <c r="NT9" i="8" s="1"/>
  <c r="NT24" i="8" a="1"/>
  <c r="NT24" i="8" s="1"/>
  <c r="NT47" i="8" a="1"/>
  <c r="NT47" i="8" s="1"/>
  <c r="NT41" i="8" a="1"/>
  <c r="NT41" i="8" s="1"/>
  <c r="NT16" i="8" a="1"/>
  <c r="NT16" i="8" s="1"/>
  <c r="NT19" i="8" a="1"/>
  <c r="NT19" i="8" s="1"/>
  <c r="NT29" i="8" a="1"/>
  <c r="NT29" i="8" s="1"/>
  <c r="NT44" i="8" a="1"/>
  <c r="NT44" i="8" s="1"/>
  <c r="NT49" i="8" a="1"/>
  <c r="NT49" i="8" s="1"/>
  <c r="NT12" i="8" a="1"/>
  <c r="NT12" i="8" s="1"/>
  <c r="NT35" i="8" a="1"/>
  <c r="NT35" i="8" s="1"/>
  <c r="NT11" i="8" a="1"/>
  <c r="NT11" i="8" s="1"/>
  <c r="NT14" i="8" a="1"/>
  <c r="NT14" i="8" s="1"/>
  <c r="NT46" i="8" a="1"/>
  <c r="NT46" i="8" s="1"/>
  <c r="NT48" i="8" a="1"/>
  <c r="NT48" i="8" s="1"/>
  <c r="NT45" i="8" a="1"/>
  <c r="NT45" i="8" s="1"/>
  <c r="NT30" i="8" a="1"/>
  <c r="NT30" i="8" s="1"/>
  <c r="NT26" i="8" a="1"/>
  <c r="NT26" i="8" s="1"/>
  <c r="NT38" i="8" a="1"/>
  <c r="NT38" i="8" s="1"/>
  <c r="NT18" i="8" a="1"/>
  <c r="NT18" i="8" s="1"/>
  <c r="NT34" i="8" a="1"/>
  <c r="NT34" i="8" s="1"/>
  <c r="U10" i="5"/>
  <c r="T10" i="5"/>
  <c r="S11" i="5"/>
  <c r="R11" i="5"/>
  <c r="O14" i="10" a="1"/>
  <c r="O38" i="10" a="1"/>
  <c r="O24" i="10" a="1"/>
  <c r="O42" i="10" a="1"/>
  <c r="O26" i="10" a="1"/>
  <c r="O29" i="10" a="1"/>
  <c r="O32" i="10" a="1"/>
  <c r="O15" i="10" a="1"/>
  <c r="O8" i="10" a="1"/>
  <c r="O5" i="10" a="1"/>
  <c r="O6" i="10" a="1"/>
  <c r="O23" i="10" a="1"/>
  <c r="O19" i="10" a="1"/>
  <c r="O11" i="10" a="1"/>
  <c r="O35" i="10" a="1"/>
  <c r="O2" i="10" a="1"/>
  <c r="O44" i="10" a="1"/>
  <c r="O22" i="10" a="1"/>
  <c r="O37" i="10" a="1"/>
  <c r="O39" i="10" a="1"/>
  <c r="O21" i="10" a="1"/>
  <c r="O45" i="10" a="1"/>
  <c r="O4" i="10" a="1"/>
  <c r="O12" i="10" a="1"/>
  <c r="O27" i="10" a="1"/>
  <c r="O25" i="10" a="1"/>
  <c r="O28" i="10" a="1"/>
  <c r="O18" i="10" a="1"/>
  <c r="O20" i="10" a="1"/>
  <c r="O36" i="10" a="1"/>
  <c r="O40" i="10" a="1"/>
  <c r="O9" i="10" a="1"/>
  <c r="O13" i="10" a="1"/>
  <c r="O31" i="10" a="1"/>
  <c r="O10" i="10" a="1"/>
  <c r="O41" i="10" a="1"/>
  <c r="O3" i="10" a="1"/>
  <c r="O34" i="10" a="1"/>
  <c r="O33" i="10" a="1"/>
  <c r="O7" i="10" a="1"/>
  <c r="O16" i="10" a="1"/>
  <c r="O43" i="10" a="1"/>
  <c r="O17" i="10" a="1"/>
  <c r="O30" i="10" a="1"/>
  <c r="O27" i="10" l="1"/>
  <c r="O22" i="10"/>
  <c r="O25" i="10"/>
  <c r="O2" i="10"/>
  <c r="O15" i="10"/>
  <c r="O20" i="10"/>
  <c r="O18" i="10"/>
  <c r="O16" i="10"/>
  <c r="O9" i="10"/>
  <c r="O6" i="10"/>
  <c r="O39" i="10"/>
  <c r="O8" i="10"/>
  <c r="O11" i="10"/>
  <c r="O14" i="10"/>
  <c r="O28" i="10"/>
  <c r="O13" i="10"/>
  <c r="O33" i="10"/>
  <c r="O29" i="10"/>
  <c r="O44" i="10"/>
  <c r="O10" i="10"/>
  <c r="O30" i="10"/>
  <c r="O43" i="10"/>
  <c r="O45" i="10"/>
  <c r="O3" i="10"/>
  <c r="O37" i="10"/>
  <c r="O26" i="10"/>
  <c r="O5" i="10"/>
  <c r="O24" i="10"/>
  <c r="O32" i="10"/>
  <c r="O41" i="10"/>
  <c r="O12" i="10"/>
  <c r="O23" i="10"/>
  <c r="O21" i="10"/>
  <c r="O31" i="10"/>
  <c r="O4" i="10"/>
  <c r="O17" i="10"/>
  <c r="O38" i="10"/>
  <c r="O36" i="10"/>
  <c r="O19" i="10"/>
  <c r="O40" i="10"/>
  <c r="O35" i="10"/>
  <c r="O7" i="10"/>
  <c r="O42" i="10"/>
  <c r="O34" i="10"/>
  <c r="U11" i="5"/>
  <c r="T11" i="5"/>
  <c r="R12" i="5"/>
  <c r="S12" i="5"/>
  <c r="NU30" i="8" a="1"/>
  <c r="NU30" i="8" s="1"/>
  <c r="NU27" i="8" a="1"/>
  <c r="NU27" i="8" s="1"/>
  <c r="NU26" i="8" a="1"/>
  <c r="NU26" i="8" s="1"/>
  <c r="NU9" i="8" a="1"/>
  <c r="NU9" i="8" s="1"/>
  <c r="NU39" i="8" a="1"/>
  <c r="NU39" i="8" s="1"/>
  <c r="NU41" i="8" a="1"/>
  <c r="NU41" i="8" s="1"/>
  <c r="NU17" i="8" a="1"/>
  <c r="NU17" i="8" s="1"/>
  <c r="NU8" i="8" a="1"/>
  <c r="NU8" i="8" s="1"/>
  <c r="NU33" i="8" a="1"/>
  <c r="NU33" i="8" s="1"/>
  <c r="NU10" i="8" a="1"/>
  <c r="NU10" i="8" s="1"/>
  <c r="NU50" i="8" a="1"/>
  <c r="NU50" i="8" s="1"/>
  <c r="NU32" i="8" a="1"/>
  <c r="NU32" i="8" s="1"/>
  <c r="NU18" i="8" a="1"/>
  <c r="NU18" i="8" s="1"/>
  <c r="NU25" i="8" a="1"/>
  <c r="NU25" i="8" s="1"/>
  <c r="NU35" i="8" a="1"/>
  <c r="NU35" i="8" s="1"/>
  <c r="NU13" i="8" a="1"/>
  <c r="NU13" i="8" s="1"/>
  <c r="NU28" i="8" a="1"/>
  <c r="NU28" i="8" s="1"/>
  <c r="NU12" i="8" a="1"/>
  <c r="NU12" i="8" s="1"/>
  <c r="NU42" i="8" a="1"/>
  <c r="NU42" i="8" s="1"/>
  <c r="NU43" i="8" a="1"/>
  <c r="NU43" i="8" s="1"/>
  <c r="NU37" i="8" a="1"/>
  <c r="NU37" i="8" s="1"/>
  <c r="NU31" i="8" a="1"/>
  <c r="NU31" i="8" s="1"/>
  <c r="NU40" i="8" a="1"/>
  <c r="NU40" i="8" s="1"/>
  <c r="NU38" i="8" a="1"/>
  <c r="NU38" i="8" s="1"/>
  <c r="NU46" i="8" a="1"/>
  <c r="NU46" i="8" s="1"/>
  <c r="NU29" i="8" a="1"/>
  <c r="NU29" i="8" s="1"/>
  <c r="NU48" i="8" a="1"/>
  <c r="NU48" i="8" s="1"/>
  <c r="NU49" i="8" a="1"/>
  <c r="NU49" i="8" s="1"/>
  <c r="NU23" i="8" a="1"/>
  <c r="NU23" i="8" s="1"/>
  <c r="NU22" i="8" a="1"/>
  <c r="NU22" i="8" s="1"/>
  <c r="NU44" i="8" a="1"/>
  <c r="NU44" i="8" s="1"/>
  <c r="NU14" i="8" a="1"/>
  <c r="NU14" i="8" s="1"/>
  <c r="NU16" i="8" a="1"/>
  <c r="NU16" i="8" s="1"/>
  <c r="NU19" i="8" a="1"/>
  <c r="NU19" i="8" s="1"/>
  <c r="NU11" i="8" a="1"/>
  <c r="NU11" i="8" s="1"/>
  <c r="NU34" i="8" a="1"/>
  <c r="NU34" i="8" s="1"/>
  <c r="NU45" i="8" a="1"/>
  <c r="NU45" i="8" s="1"/>
  <c r="NU21" i="8" a="1"/>
  <c r="NU21" i="8" s="1"/>
  <c r="NU36" i="8" a="1"/>
  <c r="NU36" i="8" s="1"/>
  <c r="NU15" i="8" a="1"/>
  <c r="NU15" i="8" s="1"/>
  <c r="NU47" i="8" a="1"/>
  <c r="NU47" i="8" s="1"/>
  <c r="NU24" i="8" a="1"/>
  <c r="NU24" i="8" s="1"/>
  <c r="NU20" i="8" a="1"/>
  <c r="NU20" i="8" s="1"/>
  <c r="P37" i="10" a="1"/>
  <c r="P16" i="10" a="1"/>
  <c r="P39" i="10" a="1"/>
  <c r="P2" i="10" a="1"/>
  <c r="P44" i="10" a="1"/>
  <c r="P19" i="10" a="1"/>
  <c r="P4" i="10" a="1"/>
  <c r="P25" i="10" a="1"/>
  <c r="P21" i="10" a="1"/>
  <c r="P41" i="10" a="1"/>
  <c r="P29" i="10" a="1"/>
  <c r="P7" i="10" a="1"/>
  <c r="P32" i="10" a="1"/>
  <c r="P22" i="10" a="1"/>
  <c r="P3" i="10" a="1"/>
  <c r="P36" i="10" a="1"/>
  <c r="P24" i="10" a="1"/>
  <c r="P33" i="10" a="1"/>
  <c r="P35" i="10" a="1"/>
  <c r="P5" i="10" a="1"/>
  <c r="P13" i="10" a="1"/>
  <c r="P15" i="10" a="1"/>
  <c r="P43" i="10" a="1"/>
  <c r="P11" i="10" a="1"/>
  <c r="P12" i="10" a="1"/>
  <c r="P28" i="10" a="1"/>
  <c r="P20" i="10" a="1"/>
  <c r="P6" i="10" a="1"/>
  <c r="P38" i="10" a="1"/>
  <c r="P14" i="10" a="1"/>
  <c r="P31" i="10" a="1"/>
  <c r="P18" i="10" a="1"/>
  <c r="P8" i="10" a="1"/>
  <c r="P42" i="10" a="1"/>
  <c r="P10" i="10" a="1"/>
  <c r="P34" i="10" a="1"/>
  <c r="P26" i="10" a="1"/>
  <c r="P45" i="10" a="1"/>
  <c r="P30" i="10" a="1"/>
  <c r="P17" i="10" a="1"/>
  <c r="P9" i="10" a="1"/>
  <c r="P27" i="10" a="1"/>
  <c r="P23" i="10" a="1"/>
  <c r="P40" i="10" a="1"/>
  <c r="P5" i="10" l="1"/>
  <c r="P28" i="10"/>
  <c r="P8" i="10"/>
  <c r="P12" i="10"/>
  <c r="P30" i="10"/>
  <c r="P38" i="10"/>
  <c r="P6" i="10"/>
  <c r="P33" i="10"/>
  <c r="P9" i="10"/>
  <c r="P2" i="10"/>
  <c r="P3" i="10"/>
  <c r="P22" i="10"/>
  <c r="P11" i="10"/>
  <c r="P32" i="10"/>
  <c r="P26" i="10"/>
  <c r="P24" i="10"/>
  <c r="P10" i="10"/>
  <c r="P29" i="10"/>
  <c r="P41" i="10"/>
  <c r="P21" i="10"/>
  <c r="P27" i="10"/>
  <c r="P25" i="10"/>
  <c r="P31" i="10"/>
  <c r="P4" i="10"/>
  <c r="P20" i="10"/>
  <c r="P14" i="10"/>
  <c r="P39" i="10"/>
  <c r="P16" i="10"/>
  <c r="P45" i="10"/>
  <c r="P37" i="10"/>
  <c r="P43" i="10"/>
  <c r="P44" i="10"/>
  <c r="P36" i="10"/>
  <c r="P17" i="10"/>
  <c r="P15" i="10"/>
  <c r="P23" i="10"/>
  <c r="P18" i="10"/>
  <c r="P13" i="10"/>
  <c r="P7" i="10"/>
  <c r="P40" i="10"/>
  <c r="P19" i="10"/>
  <c r="P42" i="10"/>
  <c r="P35" i="10"/>
  <c r="P34" i="10"/>
  <c r="S13" i="5"/>
  <c r="S14" i="5" s="1"/>
  <c r="R13" i="5"/>
  <c r="U12" i="5"/>
  <c r="T12" i="5"/>
  <c r="NV48" i="8" a="1"/>
  <c r="NV48" i="8" s="1"/>
  <c r="NV29" i="8" a="1"/>
  <c r="NV29" i="8" s="1"/>
  <c r="NV25" i="8" a="1"/>
  <c r="NV25" i="8" s="1"/>
  <c r="NV26" i="8" a="1"/>
  <c r="NV26" i="8" s="1"/>
  <c r="NV43" i="8" a="1"/>
  <c r="NV43" i="8" s="1"/>
  <c r="NV14" i="8" a="1"/>
  <c r="NV14" i="8" s="1"/>
  <c r="NV50" i="8" a="1"/>
  <c r="NV50" i="8" s="1"/>
  <c r="NV37" i="8" a="1"/>
  <c r="NV37" i="8" s="1"/>
  <c r="NV17" i="8" a="1"/>
  <c r="NV17" i="8" s="1"/>
  <c r="NV49" i="8" a="1"/>
  <c r="NV49" i="8" s="1"/>
  <c r="NV18" i="8" a="1"/>
  <c r="NV18" i="8" s="1"/>
  <c r="NV46" i="8" a="1"/>
  <c r="NV46" i="8" s="1"/>
  <c r="NV20" i="8" a="1"/>
  <c r="NV20" i="8" s="1"/>
  <c r="NV27" i="8" a="1"/>
  <c r="NV27" i="8" s="1"/>
  <c r="NV34" i="8" a="1"/>
  <c r="NV34" i="8" s="1"/>
  <c r="NV33" i="8" a="1"/>
  <c r="NV33" i="8" s="1"/>
  <c r="NV42" i="8" a="1"/>
  <c r="NV42" i="8" s="1"/>
  <c r="NV8" i="8" a="1"/>
  <c r="NV8" i="8" s="1"/>
  <c r="NV21" i="8" a="1"/>
  <c r="NV21" i="8" s="1"/>
  <c r="NV30" i="8" a="1"/>
  <c r="NV30" i="8" s="1"/>
  <c r="NV9" i="8" a="1"/>
  <c r="NV9" i="8" s="1"/>
  <c r="NV38" i="8" a="1"/>
  <c r="NV38" i="8" s="1"/>
  <c r="NV32" i="8" a="1"/>
  <c r="NV32" i="8" s="1"/>
  <c r="NV13" i="8" a="1"/>
  <c r="NV13" i="8" s="1"/>
  <c r="NV16" i="8" a="1"/>
  <c r="NV16" i="8" s="1"/>
  <c r="NV36" i="8" a="1"/>
  <c r="NV36" i="8" s="1"/>
  <c r="NV40" i="8" a="1"/>
  <c r="NV40" i="8" s="1"/>
  <c r="NV45" i="8" a="1"/>
  <c r="NV45" i="8" s="1"/>
  <c r="NV31" i="8" a="1"/>
  <c r="NV31" i="8" s="1"/>
  <c r="NV22" i="8" a="1"/>
  <c r="NV22" i="8" s="1"/>
  <c r="NV35" i="8" a="1"/>
  <c r="NV35" i="8" s="1"/>
  <c r="NV11" i="8" a="1"/>
  <c r="NV11" i="8" s="1"/>
  <c r="NV41" i="8" a="1"/>
  <c r="NV41" i="8" s="1"/>
  <c r="NV28" i="8" a="1"/>
  <c r="NV28" i="8" s="1"/>
  <c r="NV24" i="8" a="1"/>
  <c r="NV24" i="8" s="1"/>
  <c r="NV23" i="8" a="1"/>
  <c r="NV23" i="8" s="1"/>
  <c r="NV47" i="8" a="1"/>
  <c r="NV47" i="8" s="1"/>
  <c r="NV10" i="8" a="1"/>
  <c r="NV10" i="8" s="1"/>
  <c r="NV39" i="8" a="1"/>
  <c r="NV39" i="8" s="1"/>
  <c r="NV44" i="8" a="1"/>
  <c r="NV44" i="8" s="1"/>
  <c r="NV12" i="8" a="1"/>
  <c r="NV12" i="8" s="1"/>
  <c r="NV15" i="8" a="1"/>
  <c r="NV15" i="8" s="1"/>
  <c r="NV19" i="8" a="1"/>
  <c r="NV19" i="8" s="1"/>
  <c r="Q45" i="10" a="1"/>
  <c r="Q9" i="10" a="1"/>
  <c r="Q21" i="10" a="1"/>
  <c r="Q32" i="10" a="1"/>
  <c r="Q36" i="10" a="1"/>
  <c r="Q39" i="10" a="1"/>
  <c r="Q40" i="10" a="1"/>
  <c r="Q15" i="10" a="1"/>
  <c r="Q34" i="10" a="1"/>
  <c r="Q41" i="10" a="1"/>
  <c r="Q17" i="10" a="1"/>
  <c r="Q7" i="10" a="1"/>
  <c r="Q23" i="10" a="1"/>
  <c r="Q24" i="10" a="1"/>
  <c r="Q35" i="10" a="1"/>
  <c r="Q8" i="10" a="1"/>
  <c r="Q11" i="10" a="1"/>
  <c r="Q25" i="10" a="1"/>
  <c r="Q14" i="10" a="1"/>
  <c r="Q13" i="10" a="1"/>
  <c r="Q33" i="10" a="1"/>
  <c r="Q19" i="10" a="1"/>
  <c r="Q28" i="10" a="1"/>
  <c r="Q26" i="10" a="1"/>
  <c r="Q31" i="10" a="1"/>
  <c r="Q44" i="10" a="1"/>
  <c r="Q27" i="10" a="1"/>
  <c r="Q2" i="10" a="1"/>
  <c r="Q18" i="10" a="1"/>
  <c r="Q6" i="10" a="1"/>
  <c r="Q10" i="10" a="1"/>
  <c r="Q30" i="10" a="1"/>
  <c r="Q43" i="10" a="1"/>
  <c r="Q12" i="10" a="1"/>
  <c r="Q38" i="10" a="1"/>
  <c r="Q42" i="10" a="1"/>
  <c r="Q29" i="10" a="1"/>
  <c r="Q37" i="10" a="1"/>
  <c r="Q5" i="10" a="1"/>
  <c r="Q16" i="10" a="1"/>
  <c r="Q22" i="10" a="1"/>
  <c r="Q3" i="10" a="1"/>
  <c r="Q20" i="10" a="1"/>
  <c r="Q4" i="10" a="1"/>
  <c r="Q21" i="10" l="1"/>
  <c r="Q6" i="10"/>
  <c r="Q4" i="10"/>
  <c r="Q16" i="10"/>
  <c r="Q17" i="10"/>
  <c r="Q15" i="10"/>
  <c r="Q37" i="10"/>
  <c r="Q20" i="10"/>
  <c r="Q3" i="10"/>
  <c r="Q33" i="10"/>
  <c r="Q22" i="10"/>
  <c r="Q27" i="10"/>
  <c r="Q5" i="10"/>
  <c r="Q23" i="10"/>
  <c r="Q32" i="10"/>
  <c r="Q14" i="10"/>
  <c r="Q11" i="10"/>
  <c r="Q38" i="10"/>
  <c r="Q29" i="10"/>
  <c r="Q43" i="10"/>
  <c r="Q13" i="10"/>
  <c r="Q39" i="10"/>
  <c r="Q44" i="10"/>
  <c r="Q9" i="10"/>
  <c r="Q41" i="10"/>
  <c r="Q25" i="10"/>
  <c r="Q12" i="10"/>
  <c r="Q26" i="10"/>
  <c r="Q30" i="10"/>
  <c r="Q45" i="10"/>
  <c r="Q10" i="10"/>
  <c r="Q2" i="10"/>
  <c r="Q36" i="10"/>
  <c r="Q8" i="10"/>
  <c r="Q31" i="10"/>
  <c r="Q24" i="10"/>
  <c r="Q28" i="10"/>
  <c r="Q18" i="10"/>
  <c r="Q19" i="10"/>
  <c r="Q42" i="10"/>
  <c r="Q7" i="10"/>
  <c r="Q34" i="10"/>
  <c r="Q35" i="10"/>
  <c r="Q40" i="10"/>
  <c r="NW46" i="8" a="1"/>
  <c r="NW46" i="8" s="1"/>
  <c r="NW29" i="8" a="1"/>
  <c r="NW29" i="8" s="1"/>
  <c r="NW19" i="8" a="1"/>
  <c r="NW19" i="8" s="1"/>
  <c r="NW27" i="8" a="1"/>
  <c r="NW27" i="8" s="1"/>
  <c r="NW20" i="8" a="1"/>
  <c r="NW20" i="8" s="1"/>
  <c r="NW39" i="8" a="1"/>
  <c r="NW39" i="8" s="1"/>
  <c r="NW33" i="8" a="1"/>
  <c r="NW33" i="8" s="1"/>
  <c r="NW34" i="8" a="1"/>
  <c r="NW34" i="8" s="1"/>
  <c r="NW37" i="8" a="1"/>
  <c r="NW37" i="8" s="1"/>
  <c r="NW41" i="8" a="1"/>
  <c r="NW41" i="8" s="1"/>
  <c r="NW28" i="8" a="1"/>
  <c r="NW28" i="8" s="1"/>
  <c r="NW12" i="8" a="1"/>
  <c r="NW12" i="8" s="1"/>
  <c r="NW9" i="8" a="1"/>
  <c r="NW9" i="8" s="1"/>
  <c r="NW36" i="8" a="1"/>
  <c r="NW36" i="8" s="1"/>
  <c r="NW45" i="8" a="1"/>
  <c r="NW45" i="8" s="1"/>
  <c r="NW42" i="8" a="1"/>
  <c r="NW42" i="8" s="1"/>
  <c r="NW14" i="8" a="1"/>
  <c r="NW14" i="8" s="1"/>
  <c r="NW30" i="8" a="1"/>
  <c r="NW30" i="8" s="1"/>
  <c r="NW10" i="8" a="1"/>
  <c r="NW10" i="8" s="1"/>
  <c r="NW50" i="8" a="1"/>
  <c r="NW50" i="8" s="1"/>
  <c r="NW49" i="8" a="1"/>
  <c r="NW49" i="8" s="1"/>
  <c r="NW26" i="8" a="1"/>
  <c r="NW26" i="8" s="1"/>
  <c r="NW22" i="8" a="1"/>
  <c r="NW22" i="8" s="1"/>
  <c r="NW21" i="8" a="1"/>
  <c r="NW21" i="8" s="1"/>
  <c r="NW48" i="8" a="1"/>
  <c r="NW48" i="8" s="1"/>
  <c r="NW31" i="8" a="1"/>
  <c r="NW31" i="8" s="1"/>
  <c r="NW38" i="8" a="1"/>
  <c r="NW38" i="8" s="1"/>
  <c r="NW13" i="8" a="1"/>
  <c r="NW13" i="8" s="1"/>
  <c r="NW17" i="8" a="1"/>
  <c r="NW17" i="8" s="1"/>
  <c r="NW11" i="8" a="1"/>
  <c r="NW11" i="8" s="1"/>
  <c r="NW24" i="8" a="1"/>
  <c r="NW24" i="8" s="1"/>
  <c r="NW32" i="8" a="1"/>
  <c r="NW32" i="8" s="1"/>
  <c r="NW16" i="8" a="1"/>
  <c r="NW16" i="8" s="1"/>
  <c r="NW25" i="8" a="1"/>
  <c r="NW25" i="8" s="1"/>
  <c r="NW23" i="8" a="1"/>
  <c r="NW23" i="8" s="1"/>
  <c r="NW40" i="8" a="1"/>
  <c r="NW40" i="8" s="1"/>
  <c r="NW44" i="8" a="1"/>
  <c r="NW44" i="8" s="1"/>
  <c r="NW43" i="8" a="1"/>
  <c r="NW43" i="8" s="1"/>
  <c r="NW18" i="8" a="1"/>
  <c r="NW18" i="8" s="1"/>
  <c r="NW8" i="8" a="1"/>
  <c r="NW8" i="8" s="1"/>
  <c r="NW47" i="8" a="1"/>
  <c r="NW47" i="8" s="1"/>
  <c r="NW15" i="8" a="1"/>
  <c r="NW15" i="8" s="1"/>
  <c r="NW35" i="8" a="1"/>
  <c r="NW35" i="8" s="1"/>
  <c r="T13" i="5"/>
  <c r="U13" i="5"/>
  <c r="R4" i="10" a="1"/>
  <c r="R39" i="10" a="1"/>
  <c r="R34" i="10" a="1"/>
  <c r="R19" i="10" a="1"/>
  <c r="R45" i="10" a="1"/>
  <c r="R32" i="10" a="1"/>
  <c r="R24" i="10" a="1"/>
  <c r="R43" i="10" a="1"/>
  <c r="R22" i="10" a="1"/>
  <c r="R2" i="10" a="1"/>
  <c r="R12" i="10" a="1"/>
  <c r="R11" i="10" a="1"/>
  <c r="R18" i="10" a="1"/>
  <c r="R25" i="10" a="1"/>
  <c r="R5" i="10" a="1"/>
  <c r="R20" i="10" a="1"/>
  <c r="R3" i="10" a="1"/>
  <c r="R9" i="10" a="1"/>
  <c r="R44" i="10" a="1"/>
  <c r="R8" i="10" a="1"/>
  <c r="R7" i="10" a="1"/>
  <c r="R21" i="10" a="1"/>
  <c r="R30" i="10" a="1"/>
  <c r="R14" i="10" a="1"/>
  <c r="R17" i="10" a="1"/>
  <c r="R42" i="10" a="1"/>
  <c r="R40" i="10" a="1"/>
  <c r="R23" i="10" a="1"/>
  <c r="R6" i="10" a="1"/>
  <c r="R26" i="10" a="1"/>
  <c r="R38" i="10" a="1"/>
  <c r="R10" i="10" a="1"/>
  <c r="R37" i="10" a="1"/>
  <c r="R16" i="10" a="1"/>
  <c r="R27" i="10" a="1"/>
  <c r="R29" i="10" a="1"/>
  <c r="R13" i="10" a="1"/>
  <c r="R15" i="10" a="1"/>
  <c r="R41" i="10" a="1"/>
  <c r="R31" i="10" a="1"/>
  <c r="R28" i="10" a="1"/>
  <c r="R36" i="10" a="1"/>
  <c r="R35" i="10" a="1"/>
  <c r="R33" i="10" a="1"/>
  <c r="R21" i="10" l="1"/>
  <c r="R31" i="10"/>
  <c r="R27" i="10"/>
  <c r="R38" i="10"/>
  <c r="R26" i="10"/>
  <c r="R32" i="10"/>
  <c r="R16" i="10"/>
  <c r="R33" i="10"/>
  <c r="R28" i="10"/>
  <c r="R24" i="10"/>
  <c r="R22" i="10"/>
  <c r="R17" i="10"/>
  <c r="R3" i="10"/>
  <c r="R45" i="10"/>
  <c r="R23" i="10"/>
  <c r="R8" i="10"/>
  <c r="R20" i="10"/>
  <c r="R6" i="10"/>
  <c r="R29" i="10"/>
  <c r="R5" i="10"/>
  <c r="R14" i="10"/>
  <c r="R30" i="10"/>
  <c r="R43" i="10"/>
  <c r="R15" i="10"/>
  <c r="R9" i="10"/>
  <c r="R13" i="10"/>
  <c r="R11" i="10"/>
  <c r="R12" i="10"/>
  <c r="R44" i="10"/>
  <c r="R36" i="10"/>
  <c r="R25" i="10"/>
  <c r="R37" i="10"/>
  <c r="R18" i="10"/>
  <c r="R10" i="10"/>
  <c r="R39" i="10"/>
  <c r="R4" i="10"/>
  <c r="R2" i="10"/>
  <c r="R41" i="10"/>
  <c r="R19" i="10"/>
  <c r="R40" i="10"/>
  <c r="R34" i="10"/>
  <c r="R42" i="10"/>
  <c r="R35" i="10"/>
  <c r="R7" i="10"/>
  <c r="NX31" i="8" a="1"/>
  <c r="NX31" i="8" s="1"/>
  <c r="NX20" i="8" a="1"/>
  <c r="NX20" i="8" s="1"/>
  <c r="NX45" i="8" a="1"/>
  <c r="NX45" i="8" s="1"/>
  <c r="NX49" i="8" a="1"/>
  <c r="NX49" i="8" s="1"/>
  <c r="NX32" i="8" a="1"/>
  <c r="NX32" i="8" s="1"/>
  <c r="NX40" i="8" a="1"/>
  <c r="NX40" i="8" s="1"/>
  <c r="NX11" i="8" a="1"/>
  <c r="NX11" i="8" s="1"/>
  <c r="NX9" i="8" a="1"/>
  <c r="NX9" i="8" s="1"/>
  <c r="NX12" i="8" a="1"/>
  <c r="NX12" i="8" s="1"/>
  <c r="NX22" i="8" a="1"/>
  <c r="NX22" i="8" s="1"/>
  <c r="NX27" i="8" a="1"/>
  <c r="NX27" i="8" s="1"/>
  <c r="NX19" i="8" a="1"/>
  <c r="NX19" i="8" s="1"/>
  <c r="NX24" i="8" a="1"/>
  <c r="NX24" i="8" s="1"/>
  <c r="NX36" i="8" a="1"/>
  <c r="NX36" i="8" s="1"/>
  <c r="NX38" i="8" a="1"/>
  <c r="NX38" i="8" s="1"/>
  <c r="NX25" i="8" a="1"/>
  <c r="NX25" i="8" s="1"/>
  <c r="NX42" i="8" a="1"/>
  <c r="NX42" i="8" s="1"/>
  <c r="NX50" i="8" a="1"/>
  <c r="NX50" i="8" s="1"/>
  <c r="NX8" i="8" a="1"/>
  <c r="NX8" i="8" s="1"/>
  <c r="NX23" i="8" a="1"/>
  <c r="NX23" i="8" s="1"/>
  <c r="NX47" i="8" a="1"/>
  <c r="NX47" i="8" s="1"/>
  <c r="NX37" i="8" a="1"/>
  <c r="NX37" i="8" s="1"/>
  <c r="NX44" i="8" a="1"/>
  <c r="NX44" i="8" s="1"/>
  <c r="NX14" i="8" a="1"/>
  <c r="NX14" i="8" s="1"/>
  <c r="NX21" i="8" a="1"/>
  <c r="NX21" i="8" s="1"/>
  <c r="NX16" i="8" a="1"/>
  <c r="NX16" i="8" s="1"/>
  <c r="NX29" i="8" a="1"/>
  <c r="NX29" i="8" s="1"/>
  <c r="NX15" i="8" a="1"/>
  <c r="NX15" i="8" s="1"/>
  <c r="NX43" i="8" a="1"/>
  <c r="NX43" i="8" s="1"/>
  <c r="NX33" i="8" a="1"/>
  <c r="NX33" i="8" s="1"/>
  <c r="NX10" i="8" a="1"/>
  <c r="NX10" i="8" s="1"/>
  <c r="NX13" i="8" a="1"/>
  <c r="NX13" i="8" s="1"/>
  <c r="NX35" i="8" a="1"/>
  <c r="NX35" i="8" s="1"/>
  <c r="NX17" i="8" a="1"/>
  <c r="NX17" i="8" s="1"/>
  <c r="NX28" i="8" a="1"/>
  <c r="NX28" i="8" s="1"/>
  <c r="NX34" i="8" a="1"/>
  <c r="NX34" i="8" s="1"/>
  <c r="NX41" i="8" a="1"/>
  <c r="NX41" i="8" s="1"/>
  <c r="NX30" i="8" a="1"/>
  <c r="NX30" i="8" s="1"/>
  <c r="NX46" i="8" a="1"/>
  <c r="NX46" i="8" s="1"/>
  <c r="NX48" i="8" a="1"/>
  <c r="NX48" i="8" s="1"/>
  <c r="NX18" i="8" a="1"/>
  <c r="NX18" i="8" s="1"/>
  <c r="NX26" i="8" a="1"/>
  <c r="NX26" i="8" s="1"/>
  <c r="NX39" i="8" a="1"/>
  <c r="NX39" i="8" s="1"/>
  <c r="T14" i="5" l="1"/>
  <c r="S41" i="10" a="1"/>
  <c r="S41" i="10" l="1"/>
  <c r="NY21" i="8" a="1"/>
  <c r="NY21" i="8" s="1"/>
  <c r="S11" i="10" a="1"/>
  <c r="S11" i="10" l="1"/>
  <c r="NY14" i="8" a="1"/>
  <c r="NY14" i="8" s="1"/>
  <c r="S42" i="10" a="1"/>
  <c r="S42" i="10" l="1"/>
  <c r="S43" i="10" a="1"/>
  <c r="S43" i="10" l="1"/>
  <c r="NY28" i="8" a="1"/>
  <c r="NY28" i="8" s="1"/>
  <c r="S36" i="10" a="1"/>
  <c r="S36" i="10" l="1"/>
  <c r="NY33" i="8" a="1"/>
  <c r="NY33" i="8" s="1"/>
  <c r="S44" i="10" a="1"/>
  <c r="S44" i="10" l="1"/>
  <c r="NY35" i="8" a="1"/>
  <c r="NY35" i="8" s="1"/>
  <c r="S25" i="10" a="1"/>
  <c r="S25" i="10" l="1"/>
  <c r="NY17" i="8" a="1"/>
  <c r="NY17" i="8" s="1"/>
  <c r="S45" i="10" a="1"/>
  <c r="S45" i="10" l="1"/>
  <c r="NY34" i="8" a="1"/>
  <c r="NY34" i="8" s="1"/>
  <c r="S9" i="10" a="1"/>
  <c r="S9" i="10" l="1"/>
  <c r="NY30" i="8" a="1"/>
  <c r="NY30" i="8" s="1"/>
  <c r="S20" i="10" a="1"/>
  <c r="S20" i="10" l="1"/>
  <c r="NY36" i="8" a="1"/>
  <c r="NY36" i="8" s="1"/>
  <c r="S27" i="10" a="1"/>
  <c r="S27" i="10" l="1"/>
  <c r="NY41" i="8" a="1"/>
  <c r="NY41" i="8" s="1"/>
  <c r="S33" i="10" a="1"/>
  <c r="S33" i="10" l="1"/>
  <c r="NY47" i="8" a="1"/>
  <c r="NY47" i="8" s="1"/>
  <c r="S17" i="10" a="1"/>
  <c r="S17" i="10" l="1"/>
  <c r="NY8" i="8" a="1"/>
  <c r="NY8" i="8" s="1"/>
  <c r="S29" i="10" a="1"/>
  <c r="S29" i="10" l="1"/>
  <c r="NY22" i="8" a="1"/>
  <c r="NY22" i="8" s="1"/>
  <c r="S4" i="10" a="1"/>
  <c r="S4" i="10" l="1"/>
  <c r="NY43" i="8" a="1"/>
  <c r="NY43" i="8" s="1"/>
  <c r="S6" i="10" a="1"/>
  <c r="S6" i="10" l="1"/>
  <c r="NY9" i="8" a="1"/>
  <c r="NY9" i="8" s="1"/>
  <c r="S28" i="10" a="1"/>
  <c r="S28" i="10" l="1"/>
  <c r="NY18" i="8" a="1"/>
  <c r="NY18" i="8" s="1"/>
  <c r="S12" i="10" a="1"/>
  <c r="S12" i="10" l="1"/>
  <c r="NY26" i="8" a="1"/>
  <c r="NY26" i="8" s="1"/>
  <c r="S40" i="10" a="1"/>
  <c r="S40" i="10" l="1"/>
  <c r="NY32" i="8" a="1"/>
  <c r="NY32" i="8" s="1"/>
  <c r="S18" i="10" a="1"/>
  <c r="S18" i="10" l="1"/>
  <c r="NY24" i="8" a="1"/>
  <c r="NY24" i="8" s="1"/>
  <c r="S35" i="10" a="1"/>
  <c r="S35" i="10" l="1"/>
  <c r="NY31" i="8" a="1"/>
  <c r="NY31" i="8" s="1"/>
  <c r="S15" i="10" a="1"/>
  <c r="S15" i="10" l="1"/>
  <c r="NY42" i="8" a="1"/>
  <c r="NY42" i="8" s="1"/>
  <c r="S30" i="10" a="1"/>
  <c r="S30" i="10" l="1"/>
  <c r="NY44" i="8" a="1"/>
  <c r="NY44" i="8" s="1"/>
  <c r="S37" i="10" a="1"/>
  <c r="S37" i="10" l="1"/>
  <c r="NY46" i="8" a="1"/>
  <c r="NY46" i="8" s="1"/>
  <c r="S14" i="10" a="1"/>
  <c r="S14" i="10" l="1"/>
  <c r="NY45" i="8" a="1"/>
  <c r="NY45" i="8" s="1"/>
  <c r="S10" i="10" a="1"/>
  <c r="S10" i="10" l="1"/>
  <c r="NY39" i="8" a="1"/>
  <c r="NY39" i="8" s="1"/>
  <c r="S3" i="10" a="1"/>
  <c r="S3" i="10" l="1"/>
  <c r="NY40" i="8" a="1"/>
  <c r="NY40" i="8" s="1"/>
  <c r="S5" i="10" a="1"/>
  <c r="S5" i="10" l="1"/>
  <c r="NY37" i="8" a="1"/>
  <c r="NY37" i="8" s="1"/>
  <c r="S22" i="10" a="1"/>
  <c r="S22" i="10" l="1"/>
  <c r="NY12" i="8" a="1"/>
  <c r="NY12" i="8" s="1"/>
  <c r="S21" i="10" a="1"/>
  <c r="S21" i="10" l="1"/>
  <c r="NY11" i="8" a="1"/>
  <c r="NY11" i="8" s="1"/>
  <c r="S23" i="10" a="1"/>
  <c r="S23" i="10" l="1"/>
  <c r="NY15" i="8" a="1"/>
  <c r="NY15" i="8" s="1"/>
  <c r="S31" i="10" a="1"/>
  <c r="S31" i="10" l="1"/>
  <c r="NY19" i="8" a="1"/>
  <c r="NY19" i="8" s="1"/>
  <c r="S24" i="10" a="1"/>
  <c r="S24" i="10" l="1"/>
  <c r="NY38" i="8" a="1"/>
  <c r="NY38" i="8" s="1"/>
  <c r="S16" i="10" a="1"/>
  <c r="S16" i="10" l="1"/>
  <c r="NY29" i="8" a="1"/>
  <c r="NY29" i="8" s="1"/>
  <c r="S26" i="10" a="1"/>
  <c r="S26" i="10" l="1"/>
  <c r="NY16" i="8" a="1"/>
  <c r="NY16" i="8" s="1"/>
  <c r="S8" i="10" a="1"/>
  <c r="S8" i="10" l="1"/>
  <c r="NY13" i="8" a="1"/>
  <c r="NY13" i="8" s="1"/>
  <c r="S32" i="10" a="1"/>
  <c r="S32" i="10" l="1"/>
  <c r="NY25" i="8" a="1"/>
  <c r="NY25" i="8" s="1"/>
  <c r="S13" i="10" a="1"/>
  <c r="S13" i="10" l="1"/>
  <c r="NY27" i="8" a="1"/>
  <c r="NY27" i="8" s="1"/>
  <c r="S38" i="10" a="1"/>
  <c r="S38" i="10" l="1"/>
  <c r="NY23" i="8" a="1"/>
  <c r="NY23" i="8" s="1"/>
  <c r="S2" i="10" a="1"/>
  <c r="S2" i="10" l="1"/>
  <c r="NY20" i="8" a="1"/>
  <c r="NY20" i="8" s="1"/>
  <c r="S34" i="10" a="1"/>
  <c r="S34" i="10" l="1"/>
  <c r="NY48" i="8" a="1"/>
  <c r="NY48" i="8" s="1"/>
  <c r="S19" i="10" a="1"/>
  <c r="S19" i="10" l="1"/>
  <c r="NY50" i="8" a="1"/>
  <c r="NY50" i="8" s="1"/>
  <c r="S7" i="10" a="1"/>
  <c r="S7" i="10" l="1"/>
  <c r="NY49" i="8" a="1"/>
  <c r="NY49" i="8" s="1"/>
  <c r="NY10" i="8" a="1"/>
  <c r="NY10" i="8" s="1"/>
  <c r="S39" i="10" a="1"/>
  <c r="S39" i="10" l="1"/>
  <c r="U13" i="11" l="1"/>
  <c r="U11" i="11"/>
</calcChain>
</file>

<file path=xl/sharedStrings.xml><?xml version="1.0" encoding="utf-8"?>
<sst xmlns="http://schemas.openxmlformats.org/spreadsheetml/2006/main" count="673" uniqueCount="167">
  <si>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</si>
  <si>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</si>
  <si>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</si>
  <si>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</si>
  <si>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</si>
  <si>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</si>
  <si>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</si>
  <si>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</si>
  <si>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</si>
  <si>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</si>
  <si>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</si>
  <si>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</t>
  </si>
  <si>
    <t>Tue</t>
  </si>
  <si>
    <t>Wed</t>
  </si>
  <si>
    <t>Thu</t>
  </si>
  <si>
    <t>Fri</t>
  </si>
  <si>
    <t>Sat</t>
  </si>
  <si>
    <t>Sun</t>
  </si>
  <si>
    <t>Week #</t>
  </si>
  <si>
    <t>January</t>
  </si>
  <si>
    <t>Date</t>
  </si>
  <si>
    <t>New Year Day</t>
  </si>
  <si>
    <t>Name</t>
  </si>
  <si>
    <t>Select Working Days</t>
  </si>
  <si>
    <t>No</t>
  </si>
  <si>
    <t>Yes</t>
  </si>
  <si>
    <t>Leaves This Month</t>
  </si>
  <si>
    <t>Leaves This Year</t>
  </si>
  <si>
    <t>Leave Name</t>
  </si>
  <si>
    <t>Code</t>
  </si>
  <si>
    <t>Half Day Leave</t>
  </si>
  <si>
    <t>H</t>
  </si>
  <si>
    <t>Leave</t>
  </si>
  <si>
    <t>L</t>
  </si>
  <si>
    <t>Local Holiday</t>
  </si>
  <si>
    <t>LH</t>
  </si>
  <si>
    <t>Start Date</t>
  </si>
  <si>
    <t>End Date</t>
  </si>
  <si>
    <t>Days (with 31 Days per Month)</t>
  </si>
  <si>
    <t>Canada Holiday</t>
  </si>
  <si>
    <t>Belarus Holiday</t>
  </si>
  <si>
    <t>Dmitry Agapitov</t>
  </si>
  <si>
    <t>Alexander Groman</t>
  </si>
  <si>
    <t>Glen Stone</t>
  </si>
  <si>
    <t>Susan Lu</t>
  </si>
  <si>
    <t>Not Employee</t>
  </si>
  <si>
    <t>N</t>
  </si>
  <si>
    <t>?</t>
  </si>
  <si>
    <t>Prospective</t>
  </si>
  <si>
    <t>Victoria Day</t>
  </si>
  <si>
    <t>Canada Day</t>
  </si>
  <si>
    <t>Civic Holiday</t>
  </si>
  <si>
    <t>Labour Day</t>
  </si>
  <si>
    <t>Thanksgiving</t>
  </si>
  <si>
    <t>Christmas Day</t>
  </si>
  <si>
    <t>Boxing Day</t>
  </si>
  <si>
    <t>Famaily Day</t>
  </si>
  <si>
    <t>Radonitsa</t>
  </si>
  <si>
    <t>Victory Day</t>
  </si>
  <si>
    <t>Independence Day</t>
  </si>
  <si>
    <t>October Revolution Day</t>
  </si>
  <si>
    <t>Orthodox Christmas Day</t>
  </si>
  <si>
    <t>Women's Day</t>
  </si>
  <si>
    <t>Holiday</t>
  </si>
  <si>
    <t xml:space="preserve">Alexander Utkin </t>
  </si>
  <si>
    <t xml:space="preserve">Anton Trinkunas </t>
  </si>
  <si>
    <t xml:space="preserve">Guy Geles </t>
  </si>
  <si>
    <t>Matthew Ellwood</t>
  </si>
  <si>
    <t xml:space="preserve">Makar Bougaev </t>
  </si>
  <si>
    <t>May Lam</t>
  </si>
  <si>
    <t>Mohammed Akbar</t>
  </si>
  <si>
    <t>Albert Wong</t>
  </si>
  <si>
    <t>Val Romashkin</t>
  </si>
  <si>
    <t>Michael Talis</t>
  </si>
  <si>
    <t>Steven Snowdon</t>
  </si>
  <si>
    <t>Dmitry Lopyrev</t>
  </si>
  <si>
    <t>Nikita Pliassounov</t>
  </si>
  <si>
    <t>Areag Osman</t>
  </si>
  <si>
    <t>Chris Just</t>
  </si>
  <si>
    <t>Valentina Alekseeva</t>
  </si>
  <si>
    <t>Dmitri Golovenkin</t>
  </si>
  <si>
    <t>Anna Kalimouline</t>
  </si>
  <si>
    <t>Roman Dolgov</t>
  </si>
  <si>
    <t>Yegor Kozlov</t>
  </si>
  <si>
    <t>Vitaliy Kotov</t>
  </si>
  <si>
    <t>Eugen Goroluov</t>
  </si>
  <si>
    <t>Aleksey Glushchenko</t>
  </si>
  <si>
    <t>Irina Gribushkina</t>
  </si>
  <si>
    <t>Anna Shchemel</t>
  </si>
  <si>
    <t>Aleksandr Pototskiy</t>
  </si>
  <si>
    <t>Maxim Yakushkin</t>
  </si>
  <si>
    <t>Darya Kovalevskaya</t>
  </si>
  <si>
    <t>Aleksandr Yashyn</t>
  </si>
  <si>
    <t>Michail Tolmats</t>
  </si>
  <si>
    <t>Daniil Morozov</t>
  </si>
  <si>
    <t>Roman Ogolikhin</t>
  </si>
  <si>
    <t>Olga Matsiuk</t>
  </si>
  <si>
    <t>Team</t>
  </si>
  <si>
    <t>Location</t>
  </si>
  <si>
    <t>Alpha</t>
  </si>
  <si>
    <t>ngStars</t>
  </si>
  <si>
    <t>Titan</t>
  </si>
  <si>
    <t>Teams</t>
  </si>
  <si>
    <t>SoftTeco</t>
  </si>
  <si>
    <t>Canada</t>
  </si>
  <si>
    <t>Belarus</t>
  </si>
  <si>
    <t>NW</t>
  </si>
  <si>
    <t>Role</t>
  </si>
  <si>
    <t>Team Lead</t>
  </si>
  <si>
    <t>BE Lead</t>
  </si>
  <si>
    <t>FE Lead</t>
  </si>
  <si>
    <t>BE</t>
  </si>
  <si>
    <t>FE</t>
  </si>
  <si>
    <t>FS</t>
  </si>
  <si>
    <t>QA Dev</t>
  </si>
  <si>
    <t>QA BA</t>
  </si>
  <si>
    <t>QA Lead</t>
  </si>
  <si>
    <t>Utilization</t>
  </si>
  <si>
    <t>Specialization</t>
  </si>
  <si>
    <t>Dev</t>
  </si>
  <si>
    <t>QA</t>
  </si>
  <si>
    <t>Architect</t>
  </si>
  <si>
    <t>Dev Sprint</t>
  </si>
  <si>
    <t>Month Shift</t>
  </si>
  <si>
    <t>Capacity Buffer</t>
  </si>
  <si>
    <t>Grand Total</t>
  </si>
  <si>
    <t>Fabio Gallo</t>
  </si>
  <si>
    <t>Historical</t>
  </si>
  <si>
    <t>Total</t>
  </si>
  <si>
    <t>ngStarts</t>
  </si>
  <si>
    <t>Director</t>
  </si>
  <si>
    <t>Teach Lead</t>
  </si>
  <si>
    <t>Manager</t>
  </si>
  <si>
    <t>Pulkit Bhatia</t>
  </si>
  <si>
    <t>Tally Bechard</t>
  </si>
  <si>
    <t>Remaining</t>
  </si>
  <si>
    <t>Remaining QA BA Capacity</t>
  </si>
  <si>
    <t>Remaining QA BA Capacity for UME</t>
  </si>
  <si>
    <t>Olga Zimina</t>
  </si>
  <si>
    <t>Alexander Simanovich</t>
  </si>
  <si>
    <t>Elena Rabko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</si>
  <si>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</si>
  <si>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</si>
  <si>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</si>
  <si>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</si>
  <si>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</si>
  <si>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</si>
  <si>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</si>
  <si>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</si>
  <si>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</si>
  <si>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</si>
  <si>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</si>
  <si>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</si>
  <si>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 xml:space="preserve"> R1</t>
  </si>
  <si>
    <t xml:space="preserve"> R2</t>
  </si>
  <si>
    <t xml:space="preserve"> R3</t>
  </si>
  <si>
    <t xml:space="preserve"> R4</t>
  </si>
  <si>
    <t xml:space="preserve"> R5</t>
  </si>
  <si>
    <t xml:space="preserve"> R6</t>
  </si>
  <si>
    <t xml:space="preserve"> R7</t>
  </si>
  <si>
    <t xml:space="preserve"> R8</t>
  </si>
  <si>
    <t xml:space="preserve"> R11</t>
  </si>
  <si>
    <t xml:space="preserve"> R10</t>
  </si>
  <si>
    <t xml:space="preserve"> R9</t>
  </si>
  <si>
    <t xml:space="preserve"> R12</t>
  </si>
  <si>
    <t xml:space="preserve"> R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</si>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</sst>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"/>
    <numFmt numFmtId="165" formatCode=";;;"/>
    <numFmt numFmtId="166" formatCode="dd\ mmm\,\ yyyy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1"/>
      <color theme="4" tint="-0.249977111117893"/>
      <name val="Calibri"/>
      <family val="2"/>
      <scheme val="minor"/>
    </font>
    <font>
      <i/>
      <sz val="9"/>
      <color theme="3" tint="0.3999755851924192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CC99"/>
      </patternFill>
    </fill>
    <fill>
      <patternFill patternType="solid">
        <fgColor theme="4"/>
        <bgColor theme="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4" fillId="9" borderId="0" applyNumberFormat="0" applyBorder="0" applyAlignment="0" applyProtection="0"/>
    <xf numFmtId="0" fontId="13" fillId="10" borderId="0" applyNumberFormat="0" applyBorder="0" applyAlignment="0" applyProtection="0"/>
    <xf numFmtId="0" fontId="15" fillId="11" borderId="11" applyNumberFormat="0" applyAlignment="0" applyProtection="0"/>
  </cellStyleXfs>
  <cellXfs count="95">
    <xf numFmtId="0" fontId="0" fillId="0" borderId="0" xfId="0"/>
    <xf numFmtId="0" fontId="0" fillId="0" borderId="1" xfId="0" applyBorder="1"/>
    <xf numFmtId="0" fontId="0" fillId="0" borderId="1" xfId="0" applyFill="1" applyBorder="1"/>
    <xf numFmtId="0" fontId="2" fillId="0" borderId="0" xfId="0" applyFont="1" applyBorder="1"/>
    <xf numFmtId="0" fontId="3" fillId="2" borderId="1" xfId="0" applyFont="1" applyFill="1" applyBorder="1"/>
    <xf numFmtId="0" fontId="0" fillId="0" borderId="1" xfId="0" applyFont="1" applyBorder="1"/>
    <xf numFmtId="14" fontId="0" fillId="0" borderId="0" xfId="0" applyNumberFormat="1"/>
    <xf numFmtId="164" fontId="1" fillId="2" borderId="1" xfId="0" applyNumberFormat="1" applyFont="1" applyFill="1" applyBorder="1" applyAlignment="1">
      <alignment horizontal="center" vertical="center"/>
    </xf>
    <xf numFmtId="16" fontId="1" fillId="2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165" fontId="6" fillId="0" borderId="0" xfId="0" applyNumberFormat="1" applyFont="1" applyBorder="1" applyAlignment="1">
      <alignment horizontal="center" vertic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65" fontId="2" fillId="0" borderId="0" xfId="0" applyNumberFormat="1" applyFont="1" applyBorder="1"/>
    <xf numFmtId="0" fontId="0" fillId="0" borderId="4" xfId="0" applyBorder="1"/>
    <xf numFmtId="0" fontId="8" fillId="6" borderId="4" xfId="0" applyFont="1" applyFill="1" applyBorder="1" applyAlignment="1">
      <alignment horizontal="centerContinuous"/>
    </xf>
    <xf numFmtId="0" fontId="7" fillId="0" borderId="1" xfId="0" applyFont="1" applyBorder="1"/>
    <xf numFmtId="166" fontId="7" fillId="0" borderId="1" xfId="0" applyNumberFormat="1" applyFont="1" applyBorder="1"/>
    <xf numFmtId="0" fontId="0" fillId="7" borderId="1" xfId="0" applyFill="1" applyBorder="1" applyAlignment="1">
      <alignment horizontal="center"/>
    </xf>
    <xf numFmtId="0" fontId="9" fillId="0" borderId="0" xfId="0" applyFont="1" applyAlignment="1">
      <alignment horizontal="left" indent="1"/>
    </xf>
    <xf numFmtId="1" fontId="1" fillId="3" borderId="1" xfId="0" applyNumberFormat="1" applyFont="1" applyFill="1" applyBorder="1" applyAlignment="1">
      <alignment horizontal="center" vertical="center"/>
    </xf>
    <xf numFmtId="0" fontId="0" fillId="7" borderId="1" xfId="0" applyFill="1" applyBorder="1"/>
    <xf numFmtId="14" fontId="7" fillId="0" borderId="1" xfId="0" applyNumberFormat="1" applyFont="1" applyBorder="1"/>
    <xf numFmtId="0" fontId="7" fillId="0" borderId="1" xfId="0" applyFont="1" applyBorder="1" applyAlignment="1">
      <alignment horizontal="center"/>
    </xf>
    <xf numFmtId="0" fontId="10" fillId="3" borderId="1" xfId="0" applyFont="1" applyFill="1" applyBorder="1" applyAlignment="1">
      <alignment horizontal="center"/>
    </xf>
    <xf numFmtId="0" fontId="0" fillId="6" borderId="1" xfId="0" applyFill="1" applyBorder="1"/>
    <xf numFmtId="0" fontId="0" fillId="6" borderId="1" xfId="0" applyFill="1" applyBorder="1" applyAlignment="1">
      <alignment horizontal="center"/>
    </xf>
    <xf numFmtId="14" fontId="0" fillId="0" borderId="8" xfId="0" applyNumberFormat="1" applyBorder="1"/>
    <xf numFmtId="1" fontId="0" fillId="0" borderId="7" xfId="0" applyNumberFormat="1" applyBorder="1"/>
    <xf numFmtId="0" fontId="0" fillId="0" borderId="0" xfId="0" applyNumberFormat="1"/>
    <xf numFmtId="1" fontId="11" fillId="0" borderId="0" xfId="0" applyNumberFormat="1" applyFont="1" applyBorder="1" applyAlignment="1">
      <alignment horizontal="center" vertical="center"/>
    </xf>
    <xf numFmtId="0" fontId="2" fillId="0" borderId="3" xfId="0" applyFont="1" applyBorder="1"/>
    <xf numFmtId="0" fontId="2" fillId="0" borderId="6" xfId="0" applyFont="1" applyBorder="1"/>
    <xf numFmtId="0" fontId="2" fillId="0" borderId="2" xfId="0" applyFont="1" applyBorder="1"/>
    <xf numFmtId="0" fontId="0" fillId="0" borderId="6" xfId="0" applyFill="1" applyBorder="1"/>
    <xf numFmtId="0" fontId="0" fillId="0" borderId="10" xfId="0" applyFill="1" applyBorder="1"/>
    <xf numFmtId="0" fontId="12" fillId="0" borderId="3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7" fillId="0" borderId="9" xfId="0" applyFont="1" applyBorder="1"/>
    <xf numFmtId="0" fontId="0" fillId="0" borderId="10" xfId="0" applyBorder="1"/>
    <xf numFmtId="0" fontId="0" fillId="6" borderId="6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9" fontId="0" fillId="0" borderId="0" xfId="0" applyNumberFormat="1"/>
    <xf numFmtId="165" fontId="6" fillId="0" borderId="0" xfId="0" applyNumberFormat="1" applyFont="1" applyBorder="1"/>
    <xf numFmtId="165" fontId="6" fillId="8" borderId="0" xfId="0" applyNumberFormat="1" applyFont="1" applyFill="1" applyBorder="1"/>
    <xf numFmtId="0" fontId="0" fillId="0" borderId="0" xfId="0" quotePrefix="1"/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0" borderId="0" xfId="0" pivotButton="1"/>
    <xf numFmtId="1" fontId="0" fillId="0" borderId="0" xfId="0" applyNumberFormat="1"/>
    <xf numFmtId="0" fontId="7" fillId="0" borderId="0" xfId="0" applyFont="1" applyBorder="1"/>
    <xf numFmtId="0" fontId="7" fillId="0" borderId="0" xfId="0" applyFont="1" applyBorder="1" applyAlignment="1">
      <alignment horizontal="center"/>
    </xf>
    <xf numFmtId="0" fontId="14" fillId="9" borderId="0" xfId="1" applyAlignment="1">
      <alignment horizontal="left"/>
    </xf>
    <xf numFmtId="0" fontId="0" fillId="0" borderId="0" xfId="0" applyAlignment="1">
      <alignment horizontal="right"/>
    </xf>
    <xf numFmtId="0" fontId="10" fillId="10" borderId="0" xfId="2" applyFont="1"/>
    <xf numFmtId="0" fontId="0" fillId="0" borderId="5" xfId="0" applyBorder="1"/>
    <xf numFmtId="0" fontId="0" fillId="0" borderId="5" xfId="0" applyFill="1" applyBorder="1"/>
    <xf numFmtId="0" fontId="0" fillId="5" borderId="5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10" fillId="0" borderId="0" xfId="0" applyFont="1"/>
    <xf numFmtId="0" fontId="16" fillId="12" borderId="12" xfId="0" applyFont="1" applyFill="1" applyBorder="1"/>
    <xf numFmtId="0" fontId="0" fillId="3" borderId="0" xfId="0" applyFill="1" applyBorder="1"/>
    <xf numFmtId="0" fontId="0" fillId="0" borderId="1" xfId="0" applyNumberFormat="1" applyBorder="1"/>
    <xf numFmtId="1" fontId="15" fillId="11" borderId="9" xfId="3" applyNumberFormat="1" applyBorder="1"/>
    <xf numFmtId="0" fontId="14" fillId="9" borderId="13" xfId="1" applyBorder="1"/>
    <xf numFmtId="0" fontId="14" fillId="9" borderId="14" xfId="1" applyBorder="1"/>
    <xf numFmtId="0" fontId="14" fillId="9" borderId="9" xfId="1" applyBorder="1"/>
    <xf numFmtId="0" fontId="0" fillId="0" borderId="0" xfId="0" applyNumberFormat="1" applyBorder="1"/>
    <xf numFmtId="0" fontId="0" fillId="0" borderId="0" xfId="0" applyBorder="1"/>
    <xf numFmtId="9" fontId="0" fillId="0" borderId="0" xfId="0" applyNumberFormat="1" applyBorder="1"/>
    <xf numFmtId="0" fontId="0" fillId="0" borderId="5" xfId="0" applyNumberFormat="1" applyBorder="1"/>
    <xf numFmtId="1" fontId="17" fillId="0" borderId="0" xfId="0" applyNumberFormat="1" applyFont="1"/>
    <xf numFmtId="1" fontId="18" fillId="10" borderId="0" xfId="2" applyNumberFormat="1" applyFont="1"/>
    <xf numFmtId="0" fontId="4" fillId="3" borderId="5" xfId="0" applyFont="1" applyFill="1" applyBorder="1" applyAlignment="1">
      <alignment horizontal="center" vertical="center" wrapText="1"/>
    </xf>
    <xf numFmtId="0" fontId="4" fillId="3" borderId="6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 wrapText="1"/>
    </xf>
    <xf numFmtId="0" fontId="4" fillId="6" borderId="6" xfId="0" applyFont="1" applyFill="1" applyBorder="1" applyAlignment="1">
      <alignment horizontal="center" vertical="center" wrapText="1"/>
    </xf>
    <xf numFmtId="0" fontId="19" fillId="0" borderId="0" xfId="0" applyFont="1"/>
    <xf numFmtId="1" fontId="19" fillId="0" borderId="0" xfId="0" applyNumberFormat="1" applyFont="1"/>
  </cellXfs>
  <cellStyles count="4">
    <cellStyle name="20% - Accent1" xfId="2" builtinId="30"/>
    <cellStyle name="Input" xfId="3" builtinId="20"/>
    <cellStyle name="Neutral" xfId="1" builtinId="28"/>
    <cellStyle name="Normal" xfId="0" builtinId="0"/>
  </cellStyles>
  <dxfs count="114">
    <dxf>
      <font>
        <color theme="0" tint="-0.34998626667073579"/>
      </font>
    </dxf>
    <dxf>
      <font>
        <color theme="0" tint="-0.34998626667073579"/>
      </font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dd\ mmm\,\ 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border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dd\ mmm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border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6" formatCode="dd\ mmm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/>
      </font>
    </dxf>
    <dxf>
      <font>
        <color rgb="FFFF0000"/>
      </font>
    </dxf>
  </dxfs>
  <tableStyles count="0" defaultTableStyle="TableStyleMedium2" defaultPivotStyle="PivotStyleLight16"/>
  <colors>
    <mruColors>
      <color rgb="FF0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177053</xdr:colOff>
      <xdr:row>2</xdr:row>
      <xdr:rowOff>152401</xdr:rowOff>
    </xdr:from>
    <xdr:to>
      <xdr:col>21</xdr:col>
      <xdr:colOff>119810</xdr:colOff>
      <xdr:row>2</xdr:row>
      <xdr:rowOff>466726</xdr:rowOff>
    </xdr:to>
    <xdr:sp macro="" textlink="Sheet3!G2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982291" y="552451"/>
          <a:ext cx="2417669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4E15872-7C8C-4EBC-AD95-7C1F4FF55BFC}" type="TxLink">
            <a:rPr lang="en-US" sz="2400" b="1" i="1" u="none" strike="noStrike">
              <a:solidFill>
                <a:schemeClr val="tx2">
                  <a:lumMod val="60000"/>
                  <a:lumOff val="40000"/>
                </a:schemeClr>
              </a:solidFill>
              <a:latin typeface="Calibri"/>
            </a:rPr>
            <a:pPr algn="ctr"/>
            <a:t>October 2018</a:t>
          </a:fld>
          <a:endParaRPr lang="en-US" sz="2400" b="1" i="1" u="sng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 editAs="absolute">
    <xdr:from>
      <xdr:col>21</xdr:col>
      <xdr:colOff>7937</xdr:colOff>
      <xdr:row>2</xdr:row>
      <xdr:rowOff>100013</xdr:rowOff>
    </xdr:from>
    <xdr:to>
      <xdr:col>22</xdr:col>
      <xdr:colOff>185737</xdr:colOff>
      <xdr:row>3</xdr:row>
      <xdr:rowOff>953</xdr:rowOff>
    </xdr:to>
    <xdr:pic macro="[0]!NextMonth">
      <xdr:nvPicPr>
        <xdr:cNvPr id="7" name="Graphic 6" descr="Play">
          <a:extLst>
            <a:ext uri="{FF2B5EF4-FFF2-40B4-BE49-F238E27FC236}">
              <a16:creationId xmlns:a16="http://schemas.microsoft.com/office/drawing/2014/main" id="{4E016A8C-AB25-497C-8B50-83705B707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96025" y="500063"/>
          <a:ext cx="419100" cy="419100"/>
        </a:xfrm>
        <a:prstGeom prst="rect">
          <a:avLst/>
        </a:prstGeom>
      </xdr:spPr>
    </xdr:pic>
    <xdr:clientData/>
  </xdr:twoCellAnchor>
  <xdr:twoCellAnchor editAs="absolute">
    <xdr:from>
      <xdr:col>10</xdr:col>
      <xdr:colOff>157162</xdr:colOff>
      <xdr:row>2</xdr:row>
      <xdr:rowOff>100013</xdr:rowOff>
    </xdr:from>
    <xdr:to>
      <xdr:col>12</xdr:col>
      <xdr:colOff>88899</xdr:colOff>
      <xdr:row>3</xdr:row>
      <xdr:rowOff>953</xdr:rowOff>
    </xdr:to>
    <xdr:pic macro="[0]!PreviousMonth">
      <xdr:nvPicPr>
        <xdr:cNvPr id="9" name="Graphic 8" descr="Play">
          <a:extLst>
            <a:ext uri="{FF2B5EF4-FFF2-40B4-BE49-F238E27FC236}">
              <a16:creationId xmlns:a16="http://schemas.microsoft.com/office/drawing/2014/main" id="{831E49F6-402C-4EC9-BA26-23C4CD2B97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3714750" y="500063"/>
          <a:ext cx="419100" cy="4191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lex Folomechine" refreshedDate="43285.446916666668" createdVersion="6" refreshedVersion="6" minRefreshableVersion="3" recordCount="44">
  <cacheSource type="worksheet">
    <worksheetSource name="RdTeam"/>
  </cacheSource>
  <cacheFields count="20">
    <cacheField name="Name" numFmtId="0">
      <sharedItems/>
    </cacheField>
    <cacheField name="Team" numFmtId="0">
      <sharedItems count="5">
        <s v="NW"/>
        <s v="SoftTeco"/>
        <s v="Alpha"/>
        <s v="ngStars"/>
        <s v="Titan" u="1"/>
      </sharedItems>
    </cacheField>
    <cacheField name="Location" numFmtId="0">
      <sharedItems/>
    </cacheField>
    <cacheField name="Role" numFmtId="0">
      <sharedItems/>
    </cacheField>
    <cacheField name="Specialization" numFmtId="0">
      <sharedItems count="5">
        <s v="FS"/>
        <s v="FE"/>
        <s v="QA BA"/>
        <s v="QA Dev"/>
        <s v="BE"/>
      </sharedItems>
    </cacheField>
    <cacheField name="Utilization" numFmtId="9">
      <sharedItems containsSemiMixedTypes="0" containsString="0" containsNumber="1" minValue="0.15" maxValue="0.75"/>
    </cacheField>
    <cacheField name="R1" numFmtId="0">
      <sharedItems containsSemiMixedTypes="0" containsString="0" containsNumber="1" minValue="0.6" maxValue="3.0000000000000004"/>
    </cacheField>
    <cacheField name="R2" numFmtId="0">
      <sharedItems containsSemiMixedTypes="0" containsString="0" containsNumber="1" minValue="1.2" maxValue="6.0000000000000009"/>
    </cacheField>
    <cacheField name="R3" numFmtId="0">
      <sharedItems containsSemiMixedTypes="0" containsString="0" containsNumber="1" minValue="1.08" maxValue="6.0000000000000009"/>
    </cacheField>
    <cacheField name="R4" numFmtId="0">
      <sharedItems containsSemiMixedTypes="0" containsString="0" containsNumber="1" minValue="1.2" maxValue="6.0000000000000009"/>
    </cacheField>
    <cacheField name="R5" numFmtId="0">
      <sharedItems containsSemiMixedTypes="0" containsString="0" containsNumber="1" minValue="1.2" maxValue="6.0000000000000009"/>
    </cacheField>
    <cacheField name="R6" numFmtId="0">
      <sharedItems containsSemiMixedTypes="0" containsString="0" containsNumber="1" minValue="0.84" maxValue="4.8000000000000007"/>
    </cacheField>
    <cacheField name="R7" numFmtId="0">
      <sharedItems containsSemiMixedTypes="0" containsString="0" containsNumber="1" minValue="1.08" maxValue="6.0000000000000009"/>
    </cacheField>
    <cacheField name="R8" numFmtId="0">
      <sharedItems containsSemiMixedTypes="0" containsString="0" containsNumber="1" minValue="0.6" maxValue="3.0000000000000004"/>
    </cacheField>
    <cacheField name="R9" numFmtId="0">
      <sharedItems containsSemiMixedTypes="0" containsString="0" containsNumber="1" minValue="1.2" maxValue="6.0000000000000009"/>
    </cacheField>
    <cacheField name="R10" numFmtId="0">
      <sharedItems containsSemiMixedTypes="0" containsString="0" containsNumber="1" minValue="1.08" maxValue="6.0000000000000009"/>
    </cacheField>
    <cacheField name="R11" numFmtId="0">
      <sharedItems containsSemiMixedTypes="0" containsString="0" containsNumber="1" minValue="1.2" maxValue="6.0000000000000009"/>
    </cacheField>
    <cacheField name="R12" numFmtId="0">
      <sharedItems containsSemiMixedTypes="0" containsString="0" containsNumber="1" minValue="1.08" maxValue="6.0000000000000009"/>
    </cacheField>
    <cacheField name="Remaining" numFmtId="0">
      <sharedItems containsSemiMixedTypes="0" containsString="0" containsNumber="1" minValue="12.6" maxValue="63.600000000000009"/>
    </cacheField>
    <cacheField name="R" numFmtId="0" formula="R1+R2+R3+R4+R5+R6+R7+R8+R9+R10+R11+R12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4">
  <r>
    <s v="Albert Wong"/>
    <x v="0"/>
    <s v="Canada"/>
    <s v="Dev"/>
    <x v="0"/>
    <n v="0.75"/>
    <n v="3.0000000000000004"/>
    <n v="6.0000000000000009"/>
    <n v="6.0000000000000009"/>
    <n v="6.0000000000000009"/>
    <n v="6.0000000000000009"/>
    <n v="4.2000000000000011"/>
    <n v="6.0000000000000009"/>
    <n v="3.0000000000000004"/>
    <n v="6.0000000000000009"/>
    <n v="5.4"/>
    <n v="6.0000000000000009"/>
    <n v="6.0000000000000009"/>
    <n v="63.600000000000009"/>
  </r>
  <r>
    <s v="Aleksandr Pototskiy"/>
    <x v="1"/>
    <s v="Belarus"/>
    <s v="Dev"/>
    <x v="1"/>
    <n v="0.75"/>
    <n v="3.0000000000000004"/>
    <n v="6.0000000000000009"/>
    <n v="5.4"/>
    <n v="6.0000000000000009"/>
    <n v="6.0000000000000009"/>
    <n v="4.8000000000000007"/>
    <n v="5.4"/>
    <n v="3.0000000000000004"/>
    <n v="6.0000000000000009"/>
    <n v="6.0000000000000009"/>
    <n v="6.0000000000000009"/>
    <n v="5.4"/>
    <n v="63.000000000000007"/>
  </r>
  <r>
    <s v="Aleksandr Yashyn"/>
    <x v="1"/>
    <s v="Belarus"/>
    <s v="QA"/>
    <x v="2"/>
    <n v="0.75"/>
    <n v="3.0000000000000004"/>
    <n v="6.0000000000000009"/>
    <n v="5.4"/>
    <n v="6.0000000000000009"/>
    <n v="6.0000000000000009"/>
    <n v="4.8000000000000007"/>
    <n v="5.4"/>
    <n v="3.0000000000000004"/>
    <n v="6.0000000000000009"/>
    <n v="6.0000000000000009"/>
    <n v="6.0000000000000009"/>
    <n v="5.4"/>
    <n v="63.000000000000007"/>
  </r>
  <r>
    <s v="Aleksey Glushchenko"/>
    <x v="1"/>
    <s v="Belarus"/>
    <s v="QA"/>
    <x v="3"/>
    <n v="0.75"/>
    <n v="3.0000000000000004"/>
    <n v="6.0000000000000009"/>
    <n v="5.4"/>
    <n v="6.0000000000000009"/>
    <n v="6.0000000000000009"/>
    <n v="4.8000000000000007"/>
    <n v="5.4"/>
    <n v="3.0000000000000004"/>
    <n v="6.0000000000000009"/>
    <n v="6.0000000000000009"/>
    <n v="6.0000000000000009"/>
    <n v="5.4"/>
    <n v="63.000000000000007"/>
  </r>
  <r>
    <s v="Alexander Groman"/>
    <x v="2"/>
    <s v="Canada"/>
    <s v="Dev"/>
    <x v="4"/>
    <n v="0.5"/>
    <n v="2"/>
    <n v="4"/>
    <n v="4"/>
    <n v="4"/>
    <n v="4"/>
    <n v="2.8000000000000003"/>
    <n v="4"/>
    <n v="2"/>
    <n v="4"/>
    <n v="3.6"/>
    <n v="4"/>
    <n v="4"/>
    <n v="42.400000000000006"/>
  </r>
  <r>
    <s v="Alexander Simanovich"/>
    <x v="0"/>
    <s v="Belarus"/>
    <s v="QA"/>
    <x v="2"/>
    <n v="0.75"/>
    <n v="3.0000000000000004"/>
    <n v="6.0000000000000009"/>
    <n v="5.4"/>
    <n v="6.0000000000000009"/>
    <n v="6.0000000000000009"/>
    <n v="4.8000000000000007"/>
    <n v="5.4"/>
    <n v="3.0000000000000004"/>
    <n v="6.0000000000000009"/>
    <n v="6.0000000000000009"/>
    <n v="6.0000000000000009"/>
    <n v="5.4"/>
    <n v="63.000000000000007"/>
  </r>
  <r>
    <s v="Alexander Utkin "/>
    <x v="3"/>
    <s v="Canada"/>
    <s v="Team Lead"/>
    <x v="0"/>
    <n v="0.2"/>
    <n v="0.80000000000000016"/>
    <n v="1.6000000000000003"/>
    <n v="1.6000000000000003"/>
    <n v="1.6000000000000003"/>
    <n v="1.6000000000000003"/>
    <n v="1.1200000000000001"/>
    <n v="1.6000000000000003"/>
    <n v="0.80000000000000016"/>
    <n v="1.6000000000000003"/>
    <n v="1.4400000000000004"/>
    <n v="1.6000000000000003"/>
    <n v="1.6000000000000003"/>
    <n v="16.960000000000004"/>
  </r>
  <r>
    <s v="Anna Kalimouline"/>
    <x v="3"/>
    <s v="Canada"/>
    <s v="QA"/>
    <x v="2"/>
    <n v="0.75"/>
    <n v="3.0000000000000004"/>
    <n v="6.0000000000000009"/>
    <n v="6.0000000000000009"/>
    <n v="6.0000000000000009"/>
    <n v="6.0000000000000009"/>
    <n v="4.2000000000000011"/>
    <n v="6.0000000000000009"/>
    <n v="3.0000000000000004"/>
    <n v="6.0000000000000009"/>
    <n v="5.4"/>
    <n v="6.0000000000000009"/>
    <n v="6.0000000000000009"/>
    <n v="63.600000000000009"/>
  </r>
  <r>
    <s v="Anna Shchemel"/>
    <x v="1"/>
    <s v="Belarus"/>
    <s v="QA Lead"/>
    <x v="2"/>
    <n v="0.6"/>
    <n v="2.4"/>
    <n v="4.8"/>
    <n v="4.32"/>
    <n v="4.8"/>
    <n v="4.8"/>
    <n v="3.84"/>
    <n v="4.32"/>
    <n v="2.4"/>
    <n v="4.8"/>
    <n v="4.8"/>
    <n v="4.8"/>
    <n v="4.32"/>
    <n v="50.4"/>
  </r>
  <r>
    <s v="Anton Trinkunas "/>
    <x v="3"/>
    <s v="Canada"/>
    <s v="Dev"/>
    <x v="0"/>
    <n v="0.75"/>
    <n v="3.0000000000000004"/>
    <n v="6.0000000000000009"/>
    <n v="6.0000000000000009"/>
    <n v="6.0000000000000009"/>
    <n v="6.0000000000000009"/>
    <n v="4.2000000000000011"/>
    <n v="6.0000000000000009"/>
    <n v="3.0000000000000004"/>
    <n v="6.0000000000000009"/>
    <n v="5.4"/>
    <n v="6.0000000000000009"/>
    <n v="6.0000000000000009"/>
    <n v="63.600000000000009"/>
  </r>
  <r>
    <s v="Areag Osman"/>
    <x v="3"/>
    <s v="Canada"/>
    <s v="Dev"/>
    <x v="0"/>
    <n v="0.75"/>
    <n v="3.0000000000000004"/>
    <n v="6.0000000000000009"/>
    <n v="6.0000000000000009"/>
    <n v="6.0000000000000009"/>
    <n v="6.0000000000000009"/>
    <n v="4.2000000000000011"/>
    <n v="6.0000000000000009"/>
    <n v="3.0000000000000004"/>
    <n v="6.0000000000000009"/>
    <n v="5.4"/>
    <n v="6.0000000000000009"/>
    <n v="6.0000000000000009"/>
    <n v="63.600000000000009"/>
  </r>
  <r>
    <s v="Chris Just"/>
    <x v="0"/>
    <s v="Canada"/>
    <s v="QA"/>
    <x v="3"/>
    <n v="0.75"/>
    <n v="3.0000000000000004"/>
    <n v="6.0000000000000009"/>
    <n v="6.0000000000000009"/>
    <n v="6.0000000000000009"/>
    <n v="6.0000000000000009"/>
    <n v="4.2000000000000011"/>
    <n v="6.0000000000000009"/>
    <n v="3.0000000000000004"/>
    <n v="6.0000000000000009"/>
    <n v="5.4"/>
    <n v="6.0000000000000009"/>
    <n v="6.0000000000000009"/>
    <n v="63.600000000000009"/>
  </r>
  <r>
    <s v="Daniil Morozov"/>
    <x v="1"/>
    <s v="Belarus"/>
    <s v="Dev"/>
    <x v="1"/>
    <n v="0.75"/>
    <n v="3.0000000000000004"/>
    <n v="6.0000000000000009"/>
    <n v="5.4"/>
    <n v="6.0000000000000009"/>
    <n v="6.0000000000000009"/>
    <n v="4.8000000000000007"/>
    <n v="5.4"/>
    <n v="3.0000000000000004"/>
    <n v="6.0000000000000009"/>
    <n v="6.0000000000000009"/>
    <n v="6.0000000000000009"/>
    <n v="5.4"/>
    <n v="63.000000000000007"/>
  </r>
  <r>
    <s v="Darya Kovalevskaya"/>
    <x v="1"/>
    <s v="Belarus"/>
    <s v="QA"/>
    <x v="2"/>
    <n v="0.75"/>
    <n v="3.0000000000000004"/>
    <n v="6.0000000000000009"/>
    <n v="5.4"/>
    <n v="6.0000000000000009"/>
    <n v="6.0000000000000009"/>
    <n v="4.8000000000000007"/>
    <n v="5.4"/>
    <n v="3.0000000000000004"/>
    <n v="6.0000000000000009"/>
    <n v="6.0000000000000009"/>
    <n v="6.0000000000000009"/>
    <n v="5.4"/>
    <n v="63.000000000000007"/>
  </r>
  <r>
    <s v="Dmitri Golovenkin"/>
    <x v="0"/>
    <s v="Canada"/>
    <s v="QA"/>
    <x v="2"/>
    <n v="0.75"/>
    <n v="3.0000000000000004"/>
    <n v="6.0000000000000009"/>
    <n v="6.0000000000000009"/>
    <n v="6.0000000000000009"/>
    <n v="6.0000000000000009"/>
    <n v="4.2000000000000011"/>
    <n v="6.0000000000000009"/>
    <n v="3.0000000000000004"/>
    <n v="6.0000000000000009"/>
    <n v="5.4"/>
    <n v="6.0000000000000009"/>
    <n v="6.0000000000000009"/>
    <n v="63.600000000000009"/>
  </r>
  <r>
    <s v="Dmitry Agapitov"/>
    <x v="2"/>
    <s v="Canada"/>
    <s v="Manager"/>
    <x v="0"/>
    <n v="0.2"/>
    <n v="0.80000000000000016"/>
    <n v="1.6000000000000003"/>
    <n v="1.6000000000000003"/>
    <n v="1.6000000000000003"/>
    <n v="1.6000000000000003"/>
    <n v="1.1200000000000001"/>
    <n v="1.6000000000000003"/>
    <n v="0.80000000000000016"/>
    <n v="1.6000000000000003"/>
    <n v="1.4400000000000004"/>
    <n v="1.6000000000000003"/>
    <n v="1.6000000000000003"/>
    <n v="16.960000000000004"/>
  </r>
  <r>
    <s v="Dmitry Lopyrev"/>
    <x v="3"/>
    <s v="Canada"/>
    <s v="Team Lead"/>
    <x v="0"/>
    <n v="0.5"/>
    <n v="2"/>
    <n v="4"/>
    <n v="4"/>
    <n v="4"/>
    <n v="4"/>
    <n v="2.8000000000000003"/>
    <n v="4"/>
    <n v="2"/>
    <n v="4"/>
    <n v="3.6"/>
    <n v="4"/>
    <n v="4"/>
    <n v="42.400000000000006"/>
  </r>
  <r>
    <s v="Elena Rabko"/>
    <x v="3"/>
    <s v="Belarus"/>
    <s v="QA"/>
    <x v="2"/>
    <n v="0.75"/>
    <n v="3.0000000000000004"/>
    <n v="6.0000000000000009"/>
    <n v="5.4"/>
    <n v="6.0000000000000009"/>
    <n v="6.0000000000000009"/>
    <n v="4.8000000000000007"/>
    <n v="5.4"/>
    <n v="3.0000000000000004"/>
    <n v="6.0000000000000009"/>
    <n v="6.0000000000000009"/>
    <n v="6.0000000000000009"/>
    <n v="5.4"/>
    <n v="63.000000000000007"/>
  </r>
  <r>
    <s v="Eugen Goroluov"/>
    <x v="1"/>
    <s v="Belarus"/>
    <s v="BE Lead"/>
    <x v="4"/>
    <n v="0.6"/>
    <n v="2.4"/>
    <n v="4.8"/>
    <n v="4.32"/>
    <n v="4.8"/>
    <n v="4.8"/>
    <n v="3.84"/>
    <n v="4.32"/>
    <n v="2.4"/>
    <n v="4.8"/>
    <n v="4.8"/>
    <n v="4.8"/>
    <n v="4.32"/>
    <n v="50.4"/>
  </r>
  <r>
    <s v="Fabio Gallo"/>
    <x v="2"/>
    <s v="Canada"/>
    <s v="Dev"/>
    <x v="1"/>
    <n v="0.5"/>
    <n v="2"/>
    <n v="4"/>
    <n v="4"/>
    <n v="4"/>
    <n v="4"/>
    <n v="2.8000000000000003"/>
    <n v="4"/>
    <n v="2"/>
    <n v="4"/>
    <n v="3.6"/>
    <n v="4"/>
    <n v="4"/>
    <n v="42.400000000000006"/>
  </r>
  <r>
    <s v="Glen Stone"/>
    <x v="2"/>
    <s v="Canada"/>
    <s v="Dev"/>
    <x v="0"/>
    <n v="0.75"/>
    <n v="3.0000000000000004"/>
    <n v="6.0000000000000009"/>
    <n v="6.0000000000000009"/>
    <n v="6.0000000000000009"/>
    <n v="6.0000000000000009"/>
    <n v="4.2000000000000011"/>
    <n v="6.0000000000000009"/>
    <n v="3.0000000000000004"/>
    <n v="6.0000000000000009"/>
    <n v="5.4"/>
    <n v="6.0000000000000009"/>
    <n v="6.0000000000000009"/>
    <n v="63.600000000000009"/>
  </r>
  <r>
    <s v="Guy Geles "/>
    <x v="3"/>
    <s v="Canada"/>
    <s v="Dev"/>
    <x v="0"/>
    <n v="0.75"/>
    <n v="3.0000000000000004"/>
    <n v="6.0000000000000009"/>
    <n v="6.0000000000000009"/>
    <n v="6.0000000000000009"/>
    <n v="6.0000000000000009"/>
    <n v="4.2000000000000011"/>
    <n v="6.0000000000000009"/>
    <n v="3.0000000000000004"/>
    <n v="6.0000000000000009"/>
    <n v="5.4"/>
    <n v="6.0000000000000009"/>
    <n v="6.0000000000000009"/>
    <n v="63.600000000000009"/>
  </r>
  <r>
    <s v="Irina Gribushkina"/>
    <x v="1"/>
    <s v="Belarus"/>
    <s v="QA Lead"/>
    <x v="2"/>
    <n v="0.6"/>
    <n v="2.4"/>
    <n v="4.8"/>
    <n v="4.32"/>
    <n v="4.8"/>
    <n v="4.8"/>
    <n v="3.84"/>
    <n v="4.32"/>
    <n v="2.4"/>
    <n v="4.8"/>
    <n v="4.8"/>
    <n v="4.8"/>
    <n v="4.32"/>
    <n v="50.4"/>
  </r>
  <r>
    <s v="Makar Bougaev "/>
    <x v="3"/>
    <s v="Canada"/>
    <s v="Dev"/>
    <x v="1"/>
    <n v="0.75"/>
    <n v="3.0000000000000004"/>
    <n v="6.0000000000000009"/>
    <n v="6.0000000000000009"/>
    <n v="6.0000000000000009"/>
    <n v="6.0000000000000009"/>
    <n v="4.2000000000000011"/>
    <n v="6.0000000000000009"/>
    <n v="3.0000000000000004"/>
    <n v="6.0000000000000009"/>
    <n v="5.4"/>
    <n v="6.0000000000000009"/>
    <n v="6.0000000000000009"/>
    <n v="63.600000000000009"/>
  </r>
  <r>
    <s v="Matthew Ellwood"/>
    <x v="3"/>
    <s v="Canada"/>
    <s v="Dev"/>
    <x v="0"/>
    <n v="0.75"/>
    <n v="3.0000000000000004"/>
    <n v="6.0000000000000009"/>
    <n v="6.0000000000000009"/>
    <n v="6.0000000000000009"/>
    <n v="6.0000000000000009"/>
    <n v="4.2000000000000011"/>
    <n v="6.0000000000000009"/>
    <n v="3.0000000000000004"/>
    <n v="6.0000000000000009"/>
    <n v="5.4"/>
    <n v="6.0000000000000009"/>
    <n v="6.0000000000000009"/>
    <n v="63.600000000000009"/>
  </r>
  <r>
    <s v="Maxim Yakushkin"/>
    <x v="1"/>
    <s v="Belarus"/>
    <s v="Dev"/>
    <x v="4"/>
    <n v="0.75"/>
    <n v="3.0000000000000004"/>
    <n v="6.0000000000000009"/>
    <n v="5.4"/>
    <n v="6.0000000000000009"/>
    <n v="6.0000000000000009"/>
    <n v="4.8000000000000007"/>
    <n v="5.4"/>
    <n v="3.0000000000000004"/>
    <n v="6.0000000000000009"/>
    <n v="6.0000000000000009"/>
    <n v="6.0000000000000009"/>
    <n v="5.4"/>
    <n v="63.000000000000007"/>
  </r>
  <r>
    <s v="May Lam"/>
    <x v="3"/>
    <s v="Canada"/>
    <s v="QA"/>
    <x v="2"/>
    <n v="0.75"/>
    <n v="3.0000000000000004"/>
    <n v="6.0000000000000009"/>
    <n v="6.0000000000000009"/>
    <n v="6.0000000000000009"/>
    <n v="6.0000000000000009"/>
    <n v="4.2000000000000011"/>
    <n v="6.0000000000000009"/>
    <n v="3.0000000000000004"/>
    <n v="6.0000000000000009"/>
    <n v="5.4"/>
    <n v="6.0000000000000009"/>
    <n v="6.0000000000000009"/>
    <n v="63.600000000000009"/>
  </r>
  <r>
    <s v="Michael Talis"/>
    <x v="0"/>
    <s v="Canada"/>
    <s v="Dev"/>
    <x v="0"/>
    <n v="0.75"/>
    <n v="3.0000000000000004"/>
    <n v="6.0000000000000009"/>
    <n v="6.0000000000000009"/>
    <n v="6.0000000000000009"/>
    <n v="6.0000000000000009"/>
    <n v="4.2000000000000011"/>
    <n v="6.0000000000000009"/>
    <n v="3.0000000000000004"/>
    <n v="6.0000000000000009"/>
    <n v="5.4"/>
    <n v="6.0000000000000009"/>
    <n v="6.0000000000000009"/>
    <n v="63.600000000000009"/>
  </r>
  <r>
    <s v="Michail Tolmats"/>
    <x v="1"/>
    <s v="Belarus"/>
    <s v="Dev"/>
    <x v="1"/>
    <n v="0.75"/>
    <n v="3.0000000000000004"/>
    <n v="6.0000000000000009"/>
    <n v="5.4"/>
    <n v="6.0000000000000009"/>
    <n v="6.0000000000000009"/>
    <n v="4.8000000000000007"/>
    <n v="5.4"/>
    <n v="3.0000000000000004"/>
    <n v="6.0000000000000009"/>
    <n v="6.0000000000000009"/>
    <n v="6.0000000000000009"/>
    <n v="5.4"/>
    <n v="63.000000000000007"/>
  </r>
  <r>
    <s v="Mohammed Akbar"/>
    <x v="0"/>
    <s v="Canada"/>
    <s v="Team Lead"/>
    <x v="0"/>
    <n v="0.15"/>
    <n v="0.6"/>
    <n v="1.2"/>
    <n v="1.2"/>
    <n v="1.2"/>
    <n v="1.2"/>
    <n v="0.84"/>
    <n v="1.2"/>
    <n v="0.6"/>
    <n v="1.2"/>
    <n v="1.08"/>
    <n v="1.2"/>
    <n v="1.2"/>
    <n v="12.719999999999999"/>
  </r>
  <r>
    <s v="Nikita Pliassounov"/>
    <x v="0"/>
    <s v="Canada"/>
    <s v="Dev"/>
    <x v="0"/>
    <n v="0.75"/>
    <n v="3.0000000000000004"/>
    <n v="6.0000000000000009"/>
    <n v="6.0000000000000009"/>
    <n v="6.0000000000000009"/>
    <n v="6.0000000000000009"/>
    <n v="4.2000000000000011"/>
    <n v="6.0000000000000009"/>
    <n v="3.0000000000000004"/>
    <n v="6.0000000000000009"/>
    <n v="5.4"/>
    <n v="6.0000000000000009"/>
    <n v="6.0000000000000009"/>
    <n v="63.600000000000009"/>
  </r>
  <r>
    <s v="Olga Matsiuk"/>
    <x v="1"/>
    <s v="Belarus"/>
    <s v="Dev"/>
    <x v="1"/>
    <n v="0.75"/>
    <n v="3.0000000000000004"/>
    <n v="6.0000000000000009"/>
    <n v="5.4"/>
    <n v="6.0000000000000009"/>
    <n v="6.0000000000000009"/>
    <n v="4.8000000000000007"/>
    <n v="5.4"/>
    <n v="3.0000000000000004"/>
    <n v="6.0000000000000009"/>
    <n v="6.0000000000000009"/>
    <n v="6.0000000000000009"/>
    <n v="5.4"/>
    <n v="63.000000000000007"/>
  </r>
  <r>
    <s v="Olga Zimina"/>
    <x v="0"/>
    <s v="Belarus"/>
    <s v="QA"/>
    <x v="2"/>
    <n v="0.15"/>
    <n v="0.6"/>
    <n v="1.2"/>
    <n v="1.08"/>
    <n v="1.2"/>
    <n v="1.2"/>
    <n v="0.96"/>
    <n v="1.08"/>
    <n v="0.6"/>
    <n v="1.2"/>
    <n v="1.2"/>
    <n v="1.2"/>
    <n v="1.08"/>
    <n v="12.6"/>
  </r>
  <r>
    <s v="Pulkit Bhatia"/>
    <x v="3"/>
    <s v="Canada"/>
    <s v="QA"/>
    <x v="2"/>
    <n v="0.4"/>
    <n v="1.6000000000000003"/>
    <n v="3.2000000000000006"/>
    <n v="3.2000000000000006"/>
    <n v="3.2000000000000006"/>
    <n v="3.2000000000000006"/>
    <n v="2.2400000000000002"/>
    <n v="3.2000000000000006"/>
    <n v="1.6000000000000003"/>
    <n v="3.2000000000000006"/>
    <n v="2.8800000000000008"/>
    <n v="3.2000000000000006"/>
    <n v="3.2000000000000006"/>
    <n v="33.920000000000009"/>
  </r>
  <r>
    <s v="Roman Dolgov"/>
    <x v="1"/>
    <s v="Canada"/>
    <s v="Team Lead"/>
    <x v="0"/>
    <n v="0.2"/>
    <n v="0.80000000000000016"/>
    <n v="1.6000000000000003"/>
    <n v="1.6000000000000003"/>
    <n v="1.6000000000000003"/>
    <n v="1.6000000000000003"/>
    <n v="1.1200000000000001"/>
    <n v="1.6000000000000003"/>
    <n v="0.80000000000000016"/>
    <n v="1.6000000000000003"/>
    <n v="1.4400000000000004"/>
    <n v="1.6000000000000003"/>
    <n v="1.6000000000000003"/>
    <n v="16.960000000000004"/>
  </r>
  <r>
    <s v="Roman Ogolikhin"/>
    <x v="1"/>
    <s v="Belarus"/>
    <s v="Dev"/>
    <x v="4"/>
    <n v="0.75"/>
    <n v="3.0000000000000004"/>
    <n v="6.0000000000000009"/>
    <n v="5.4"/>
    <n v="6.0000000000000009"/>
    <n v="6.0000000000000009"/>
    <n v="4.8000000000000007"/>
    <n v="5.4"/>
    <n v="3.0000000000000004"/>
    <n v="6.0000000000000009"/>
    <n v="6.0000000000000009"/>
    <n v="6.0000000000000009"/>
    <n v="5.4"/>
    <n v="63.000000000000007"/>
  </r>
  <r>
    <s v="Steven Snowdon"/>
    <x v="0"/>
    <s v="Canada"/>
    <s v="Dev"/>
    <x v="0"/>
    <n v="0.75"/>
    <n v="3.0000000000000004"/>
    <n v="6.0000000000000009"/>
    <n v="6.0000000000000009"/>
    <n v="6.0000000000000009"/>
    <n v="6.0000000000000009"/>
    <n v="4.2000000000000011"/>
    <n v="6.0000000000000009"/>
    <n v="3.0000000000000004"/>
    <n v="6.0000000000000009"/>
    <n v="5.4"/>
    <n v="6.0000000000000009"/>
    <n v="6.0000000000000009"/>
    <n v="63.600000000000009"/>
  </r>
  <r>
    <s v="Susan Lu"/>
    <x v="2"/>
    <s v="Canada"/>
    <s v="QA"/>
    <x v="2"/>
    <n v="0.75"/>
    <n v="3.0000000000000004"/>
    <n v="6.0000000000000009"/>
    <n v="6.0000000000000009"/>
    <n v="6.0000000000000009"/>
    <n v="6.0000000000000009"/>
    <n v="4.2000000000000011"/>
    <n v="6.0000000000000009"/>
    <n v="3.0000000000000004"/>
    <n v="6.0000000000000009"/>
    <n v="5.4"/>
    <n v="6.0000000000000009"/>
    <n v="6.0000000000000009"/>
    <n v="63.600000000000009"/>
  </r>
  <r>
    <s v="Tally Bechard"/>
    <x v="0"/>
    <s v="Canada"/>
    <s v="Dev"/>
    <x v="4"/>
    <n v="0.4"/>
    <n v="1.6000000000000003"/>
    <n v="3.2000000000000006"/>
    <n v="3.2000000000000006"/>
    <n v="3.2000000000000006"/>
    <n v="3.2000000000000006"/>
    <n v="2.2400000000000002"/>
    <n v="3.2000000000000006"/>
    <n v="1.6000000000000003"/>
    <n v="3.2000000000000006"/>
    <n v="2.8800000000000008"/>
    <n v="3.2000000000000006"/>
    <n v="3.2000000000000006"/>
    <n v="33.920000000000009"/>
  </r>
  <r>
    <s v="Val Romashkin"/>
    <x v="0"/>
    <s v="Canada"/>
    <s v="Dev"/>
    <x v="0"/>
    <n v="0.75"/>
    <n v="3.0000000000000004"/>
    <n v="6.0000000000000009"/>
    <n v="6.0000000000000009"/>
    <n v="6.0000000000000009"/>
    <n v="6.0000000000000009"/>
    <n v="4.2000000000000011"/>
    <n v="6.0000000000000009"/>
    <n v="3.0000000000000004"/>
    <n v="6.0000000000000009"/>
    <n v="5.4"/>
    <n v="6.0000000000000009"/>
    <n v="6.0000000000000009"/>
    <n v="63.600000000000009"/>
  </r>
  <r>
    <s v="Valentina Alekseeva"/>
    <x v="3"/>
    <s v="Canada"/>
    <s v="QA"/>
    <x v="3"/>
    <n v="0.375"/>
    <n v="1.5000000000000002"/>
    <n v="3.0000000000000004"/>
    <n v="3.0000000000000004"/>
    <n v="3.0000000000000004"/>
    <n v="3.0000000000000004"/>
    <n v="2.1000000000000005"/>
    <n v="3.0000000000000004"/>
    <n v="1.5000000000000002"/>
    <n v="3.0000000000000004"/>
    <n v="2.7"/>
    <n v="3.0000000000000004"/>
    <n v="3.0000000000000004"/>
    <n v="31.800000000000004"/>
  </r>
  <r>
    <s v="Valentina Alekseeva"/>
    <x v="3"/>
    <s v="Canada"/>
    <s v="QA"/>
    <x v="2"/>
    <n v="0.375"/>
    <n v="1.5000000000000002"/>
    <n v="3.0000000000000004"/>
    <n v="3.0000000000000004"/>
    <n v="3.0000000000000004"/>
    <n v="3.0000000000000004"/>
    <n v="2.1000000000000005"/>
    <n v="3.0000000000000004"/>
    <n v="1.5000000000000002"/>
    <n v="3.0000000000000004"/>
    <n v="2.7"/>
    <n v="3.0000000000000004"/>
    <n v="3.0000000000000004"/>
    <n v="31.800000000000004"/>
  </r>
  <r>
    <s v="Vitaliy Kotov"/>
    <x v="1"/>
    <s v="Belarus"/>
    <s v="Dev"/>
    <x v="1"/>
    <n v="0.75"/>
    <n v="3.0000000000000004"/>
    <n v="6.0000000000000009"/>
    <n v="5.4"/>
    <n v="6.0000000000000009"/>
    <n v="6.0000000000000009"/>
    <n v="4.8000000000000007"/>
    <n v="5.4"/>
    <n v="3.0000000000000004"/>
    <n v="6.0000000000000009"/>
    <n v="6.0000000000000009"/>
    <n v="6.0000000000000009"/>
    <n v="5.4"/>
    <n v="63.000000000000007"/>
  </r>
  <r>
    <s v="Yegor Kozlov"/>
    <x v="1"/>
    <s v="Belarus"/>
    <s v="FE Lead"/>
    <x v="1"/>
    <n v="0.6"/>
    <n v="2.4"/>
    <n v="4.8"/>
    <n v="4.32"/>
    <n v="4.8"/>
    <n v="4.8"/>
    <n v="3.84"/>
    <n v="4.32"/>
    <n v="2.4"/>
    <n v="4.8"/>
    <n v="4.8"/>
    <n v="4.8"/>
    <n v="4.32"/>
    <n v="50.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Team">
  <location ref="A1:N6" firstHeaderRow="0" firstDataRow="1" firstDataCol="1"/>
  <pivotFields count="20">
    <pivotField subtotalTop="0" showAll="0"/>
    <pivotField axis="axisRow" subtotalTop="0" showAll="0">
      <items count="6">
        <item sd="0" x="2"/>
        <item sd="0" x="3"/>
        <item sd="0" x="0"/>
        <item sd="0" x="1"/>
        <item sd="0" m="1" x="4"/>
        <item t="default" sd="0"/>
      </items>
    </pivotField>
    <pivotField subtotalTop="0" showAll="0"/>
    <pivotField subtotalTop="0" showAll="0"/>
    <pivotField axis="axisRow" subtotalTop="0" showAll="0">
      <items count="6">
        <item x="4"/>
        <item x="1"/>
        <item x="0"/>
        <item x="2"/>
        <item x="3"/>
        <item t="default"/>
      </items>
    </pivotField>
    <pivotField numFmtId="9" subtotalTop="0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dragToRow="0" dragToCol="0" dragToPage="0" showAll="0"/>
  </pivotFields>
  <rowFields count="2">
    <field x="1"/>
    <field x="4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 R1" fld="6" baseField="0" baseItem="0"/>
    <dataField name=" R2" fld="7" baseField="0" baseItem="0"/>
    <dataField name=" R3" fld="8" baseField="0" baseItem="0"/>
    <dataField name=" R4" fld="9" baseField="0" baseItem="0"/>
    <dataField name=" R5" fld="10" baseField="0" baseItem="0"/>
    <dataField name=" R6" fld="11" baseField="0" baseItem="0"/>
    <dataField name=" R7" fld="12" baseField="0" baseItem="0"/>
    <dataField name=" R8" fld="13" baseField="0" baseItem="0"/>
    <dataField name=" R9" fld="14" baseField="0" baseItem="0"/>
    <dataField name=" R10" fld="15" baseField="0" baseItem="0"/>
    <dataField name=" R11" fld="16" baseField="0" baseItem="0"/>
    <dataField name=" R12" fld="17" baseField="0" baseItem="0"/>
    <dataField name=" R" fld="19" baseField="1" baseItem="0"/>
  </dataFields>
  <formats count="3">
    <format dxfId="16">
      <pivotArea outline="0" collapsedLevelsAreSubtotals="1" fieldPosition="0"/>
    </format>
    <format dxfId="1">
      <pivotArea outline="0" collapsedLevelsAreSubtotals="1" fieldPosition="0">
        <references count="1">
          <reference field="4294967294" count="5" selected="0">
            <x v="8"/>
            <x v="9"/>
            <x v="10"/>
            <x v="11"/>
            <x v="12"/>
          </reference>
        </references>
      </pivotArea>
    </format>
    <format dxfId="0">
      <pivotArea dataOnly="0" labelOnly="1" outline="0" fieldPosition="0">
        <references count="1">
          <reference field="4294967294" count="5">
            <x v="8"/>
            <x v="9"/>
            <x v="10"/>
            <x v="11"/>
            <x v="1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HolidayList" displayName="HolidayList" ref="A1:B2" totalsRowShown="0" headerRowDxfId="56" headerRowBorderDxfId="55" tableBorderDxfId="54" totalsRowBorderDxfId="53">
  <autoFilter ref="A1:B2">
    <filterColumn colId="0" hiddenButton="1"/>
    <filterColumn colId="1" hiddenButton="1"/>
  </autoFilter>
  <tableColumns count="2">
    <tableColumn id="1" name="Holiday" dataDxfId="52"/>
    <tableColumn id="2" name="Date" dataDxfId="5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E1:G2" headerRowCount="0" totalsRowShown="0" headerRowDxfId="50" tableBorderDxfId="49" totalsRowBorderDxfId="48">
  <tableColumns count="3">
    <tableColumn id="1" name="Column1" dataDxfId="47"/>
    <tableColumn id="2" name="Column2" dataDxfId="46"/>
    <tableColumn id="3" name="Column3" dataDxfId="45"/>
  </tableColumns>
  <tableStyleInfo name="TableStyleMedium21" showFirstColumn="0" showLastColumn="0" showRowStripes="1" showColumnStripes="0"/>
</table>
</file>

<file path=xl/tables/table3.xml><?xml version="1.0" encoding="utf-8"?>
<table xmlns="http://schemas.openxmlformats.org/spreadsheetml/2006/main" id="4" name="CanadaHolidays" displayName="CanadaHolidays" ref="A5:B14" totalsRowShown="0" headerRowDxfId="44" dataDxfId="42" headerRowBorderDxfId="43" tableBorderDxfId="41" totalsRowBorderDxfId="40">
  <autoFilter ref="A5:B14">
    <filterColumn colId="0" hiddenButton="1"/>
    <filterColumn colId="1" hiddenButton="1"/>
  </autoFilter>
  <tableColumns count="2">
    <tableColumn id="1" name="Canada Holiday" dataDxfId="39"/>
    <tableColumn id="2" name="Date" dataDxfId="3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BelarusHolidays" displayName="BelarusHolidays" ref="A17:B26" totalsRowShown="0" headerRowDxfId="37" dataDxfId="35" headerRowBorderDxfId="36" tableBorderDxfId="34" totalsRowBorderDxfId="33">
  <autoFilter ref="A17:B26">
    <filterColumn colId="0" hiddenButton="1"/>
    <filterColumn colId="1" hiddenButton="1"/>
  </autoFilter>
  <tableColumns count="2">
    <tableColumn id="1" name="Belarus Holiday" dataDxfId="32"/>
    <tableColumn id="2" name="Date" dataDxfId="3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RdTeam" displayName="RdTeam" ref="A1:S45" totalsRowShown="0">
  <sortState ref="A2:S45">
    <sortCondition ref="A1"/>
  </sortState>
  <tableColumns count="19">
    <tableColumn id="1" name="Name"/>
    <tableColumn id="2" name="Team"/>
    <tableColumn id="3" name="Location"/>
    <tableColumn id="4" name="Role"/>
    <tableColumn id="11" name="Specialization"/>
    <tableColumn id="5" name="Utilization" dataDxfId="30"/>
    <tableColumn id="6" name="R1" dataDxfId="29">
      <calculatedColumnFormula array="1">Sheet3!$W$2*$F2*(NETWORKDAYS(VLOOKUP(G$1,Sprints[],2,FALSE), VLOOKUP(G$1,Sprints[],3,FALSE))-SUMPRODUCT((OFFSET(INDIRECT(CELL("address",INDEX('Leave Tracker'!$A$8:$A$92,MATCH($A2,'Leave Tracker'!$A$8:$A$92,0)))),0,31*(VLOOKUP(G$1,Sprints[],5,FALSE))+DAY(VLOOKUP(G$1,Sprints[],2,FALSE)),1,VLOOKUP(G$1,Sprints[],4,FALSE))&lt;&gt;"")*(IF(OFFSET(INDIRECT(CELL("address",INDEX('Leave Tracker'!$A$8:$A$92,MATCH($A2,'Leave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calculatedColumnFormula>
    </tableColumn>
    <tableColumn id="7" name="R2" dataDxfId="28">
      <calculatedColumnFormula array="1">Sheet3!$W$2*$F2*(NETWORKDAYS(VLOOKUP(H$1,Sprints[],2,FALSE), VLOOKUP(H$1,Sprints[],3,FALSE))-SUMPRODUCT((OFFSET(INDIRECT(CELL("address",INDEX('Leave Tracker'!$A$8:$A$92,MATCH($A2,'Leave Tracker'!$A$8:$A$92,0)))),0,31*(VLOOKUP(H$1,Sprints[],5,FALSE))+DAY(VLOOKUP(H$1,Sprints[],2,FALSE)),1,VLOOKUP(H$1,Sprints[],4,FALSE))&lt;&gt;"")*(IF(OFFSET(INDIRECT(CELL("address",INDEX('Leave Tracker'!$A$8:$A$92,MATCH($A2,'Leave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calculatedColumnFormula>
    </tableColumn>
    <tableColumn id="8" name="R3" dataDxfId="27">
      <calculatedColumnFormula array="1">Sheet3!$W$2*$F2*(NETWORKDAYS(VLOOKUP(I$1,Sprints[],2,FALSE), VLOOKUP(I$1,Sprints[],3,FALSE))-SUMPRODUCT((OFFSET(INDIRECT(CELL("address",INDEX('Leave Tracker'!$A$8:$A$92,MATCH($A2,'Leave Tracker'!$A$8:$A$92,0)))),0,31*(VLOOKUP(I$1,Sprints[],5,FALSE))+DAY(VLOOKUP(I$1,Sprints[],2,FALSE)),1,VLOOKUP(I$1,Sprints[],4,FALSE))&lt;&gt;"")*(IF(OFFSET(INDIRECT(CELL("address",INDEX('Leave Tracker'!$A$8:$A$92,MATCH($A2,'Leave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calculatedColumnFormula>
    </tableColumn>
    <tableColumn id="9" name="R4" dataDxfId="26">
      <calculatedColumnFormula array="1">Sheet3!$W$2*$F2*(NETWORKDAYS(VLOOKUP(J$1,Sprints[],2,FALSE), VLOOKUP(J$1,Sprints[],3,FALSE))-SUMPRODUCT((OFFSET(INDIRECT(CELL("address",INDEX('Leave Tracker'!$A$8:$A$92,MATCH($A2,'Leave Tracker'!$A$8:$A$92,0)))),0,31*(VLOOKUP(J$1,Sprints[],5,FALSE))+DAY(VLOOKUP(J$1,Sprints[],2,FALSE)),1,VLOOKUP(J$1,Sprints[],4,FALSE))&lt;&gt;"")*(IF(OFFSET(INDIRECT(CELL("address",INDEX('Leave Tracker'!$A$8:$A$92,MATCH($A2,'Leave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calculatedColumnFormula>
    </tableColumn>
    <tableColumn id="10" name="R5" dataDxfId="25">
      <calculatedColumnFormula array="1">Sheet3!$W$2*$F2*(NETWORKDAYS(VLOOKUP(K$1,Sprints[],2,FALSE), VLOOKUP(K$1,Sprints[],3,FALSE))-SUMPRODUCT((OFFSET(INDIRECT(CELL("address",INDEX('Leave Tracker'!$A$8:$A$92,MATCH($A2,'Leave Tracker'!$A$8:$A$92,0)))),0,31*(VLOOKUP(K$1,Sprints[],5,FALSE))+DAY(VLOOKUP(K$1,Sprints[],2,FALSE)),1,VLOOKUP(K$1,Sprints[],4,FALSE))&lt;&gt;"")*(IF(OFFSET(INDIRECT(CELL("address",INDEX('Leave Tracker'!$A$8:$A$92,MATCH($A2,'Leave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calculatedColumnFormula>
    </tableColumn>
    <tableColumn id="12" name="R6" dataDxfId="24">
      <calculatedColumnFormula array="1">Sheet3!$W$2*$F2*(NETWORKDAYS(VLOOKUP(L$1,Sprints[],2,FALSE), VLOOKUP(L$1,Sprints[],3,FALSE))-SUMPRODUCT((OFFSET(INDIRECT(CELL("address",INDEX('Leave Tracker'!$A$8:$A$92,MATCH($A2,'Leave Tracker'!$A$8:$A$92,0)))),0,31*(VLOOKUP(L$1,Sprints[],5,FALSE))+DAY(VLOOKUP(L$1,Sprints[],2,FALSE)),1,VLOOKUP(L$1,Sprints[],4,FALSE))&lt;&gt;"")*(IF(OFFSET(INDIRECT(CELL("address",INDEX('Leave Tracker'!$A$8:$A$92,MATCH($A2,'Leave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calculatedColumnFormula>
    </tableColumn>
    <tableColumn id="13" name="R7" dataDxfId="23">
      <calculatedColumnFormula array="1">Sheet3!$W$2*$F2*(NETWORKDAYS(VLOOKUP(M$1,Sprints[],2,FALSE), VLOOKUP(M$1,Sprints[],3,FALSE))-SUMPRODUCT((OFFSET(INDIRECT(CELL("address",INDEX('Leave Tracker'!$A$8:$A$92,MATCH($A2,'Leave Tracker'!$A$8:$A$92,0)))),0,31*(VLOOKUP(M$1,Sprints[],5,FALSE))+DAY(VLOOKUP(M$1,Sprints[],2,FALSE)),1,VLOOKUP(M$1,Sprints[],4,FALSE))&lt;&gt;"")*(IF(OFFSET(INDIRECT(CELL("address",INDEX('Leave Tracker'!$A$8:$A$92,MATCH($A2,'Leave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calculatedColumnFormula>
    </tableColumn>
    <tableColumn id="14" name="R8" dataDxfId="22">
      <calculatedColumnFormula array="1">Sheet3!$W$2*$F2*(NETWORKDAYS(VLOOKUP(N$1,Sprints[],2,FALSE), VLOOKUP(N$1,Sprints[],3,FALSE))-SUMPRODUCT((OFFSET(INDIRECT(CELL("address",INDEX('Leave Tracker'!$A$8:$A$92,MATCH($A2,'Leave Tracker'!$A$8:$A$92,0)))),0,31*(VLOOKUP(N$1,Sprints[],5,FALSE))+DAY(VLOOKUP(N$1,Sprints[],2,FALSE)),1,VLOOKUP(N$1,Sprints[],4,FALSE))&lt;&gt;"")*(IF(OFFSET(INDIRECT(CELL("address",INDEX('Leave Tracker'!$A$8:$A$92,MATCH($A2,'Leave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calculatedColumnFormula>
    </tableColumn>
    <tableColumn id="15" name="R9" dataDxfId="21">
      <calculatedColumnFormula array="1">Sheet3!$W$2*$F2*(NETWORKDAYS(VLOOKUP(O$1,Sprints[],2,FALSE), VLOOKUP(O$1,Sprints[],3,FALSE))-SUMPRODUCT((OFFSET(INDIRECT(CELL("address",INDEX('Leave Tracker'!$A$8:$A$92,MATCH($A2,'Leave Tracker'!$A$8:$A$92,0)))),0,31*(VLOOKUP(O$1,Sprints[],5,FALSE))+DAY(VLOOKUP(O$1,Sprints[],2,FALSE)),1,VLOOKUP(O$1,Sprints[],4,FALSE))&lt;&gt;"")*(IF(OFFSET(INDIRECT(CELL("address",INDEX('Leave Tracker'!$A$8:$A$92,MATCH($A2,'Leave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calculatedColumnFormula>
    </tableColumn>
    <tableColumn id="16" name="R10" dataDxfId="20">
      <calculatedColumnFormula array="1">Sheet3!$W$2*$F2*(NETWORKDAYS(VLOOKUP(P$1,Sprints[],2,FALSE), VLOOKUP(P$1,Sprints[],3,FALSE))-SUMPRODUCT((OFFSET(INDIRECT(CELL("address",INDEX('Leave Tracker'!$A$8:$A$92,MATCH($A2,'Leave Tracker'!$A$8:$A$92,0)))),0,31*(VLOOKUP(P$1,Sprints[],5,FALSE))+DAY(VLOOKUP(P$1,Sprints[],2,FALSE)),1,VLOOKUP(P$1,Sprints[],4,FALSE))&lt;&gt;"")*(IF(OFFSET(INDIRECT(CELL("address",INDEX('Leave Tracker'!$A$8:$A$92,MATCH($A2,'Leave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calculatedColumnFormula>
    </tableColumn>
    <tableColumn id="17" name="R11" dataDxfId="19">
      <calculatedColumnFormula array="1">Sheet3!$W$2*$F2*(NETWORKDAYS(VLOOKUP(Q$1,Sprints[],2,FALSE), VLOOKUP(Q$1,Sprints[],3,FALSE))-SUMPRODUCT((OFFSET(INDIRECT(CELL("address",INDEX('Leave Tracker'!$A$8:$A$92,MATCH($A2,'Leave Tracker'!$A$8:$A$92,0)))),0,31*(VLOOKUP(Q$1,Sprints[],5,FALSE))+DAY(VLOOKUP(Q$1,Sprints[],2,FALSE)),1,VLOOKUP(Q$1,Sprints[],4,FALSE))&lt;&gt;"")*(IF(OFFSET(INDIRECT(CELL("address",INDEX('Leave Tracker'!$A$8:$A$92,MATCH($A2,'Leave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calculatedColumnFormula>
    </tableColumn>
    <tableColumn id="18" name="R12" dataDxfId="18">
      <calculatedColumnFormula array="1">Sheet3!$W$2*$F2*(NETWORKDAYS(VLOOKUP(R$1,Sprints[],2,FALSE), VLOOKUP(R$1,Sprints[],3,FALSE))-SUMPRODUCT((OFFSET(INDIRECT(CELL("address",INDEX('Leave Tracker'!$A$8:$A$92,MATCH($A2,'Leave Tracker'!$A$8:$A$92,0)))),0,31*(VLOOKUP(R$1,Sprints[],5,FALSE))+DAY(VLOOKUP(R$1,Sprints[],2,FALSE)),1,VLOOKUP(R$1,Sprints[],4,FALSE))&lt;&gt;"")*(IF(OFFSET(INDIRECT(CELL("address",INDEX('Leave Tracker'!$A$8:$A$92,MATCH($A2,'Leave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calculatedColumnFormula>
    </tableColumn>
    <tableColumn id="21" name="Remaining" dataDxfId="17">
      <calculatedColumnFormula array="1">Sheet3!$W$2*$F2*(NETWORKDAYS(VLOOKUP(S$1,Sprints[],2,FALSE), VLOOKUP(S$1,Sprints[],3,FALSE))-SUMPRODUCT((OFFSET(INDIRECT(CELL("address",INDEX('Leave Tracker'!$A$8:$A$92,MATCH($A2,'Leave Tracker'!$A$8:$A$92,0)))),0,31*(VLOOKUP(S$1,Sprints[],5,FALSE))+DAY(VLOOKUP(S$1,Sprints[],2,FALSE)),1,VLOOKUP(S$1,Sprints[],4,FALSE))&lt;&gt;"")*(IF(OFFSET(INDIRECT(CELL("address",INDEX('Leave Tracker'!$A$8:$A$92,MATCH($A2,'Leave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calculatedColumnFormula>
    </tableColumn>
  </tableColumns>
  <tableStyleInfo name="TableStyleLight9" showFirstColumn="0" showLastColumn="0" showRowStripes="1" showColumnStripes="1"/>
</table>
</file>

<file path=xl/tables/table6.xml><?xml version="1.0" encoding="utf-8"?>
<table xmlns="http://schemas.openxmlformats.org/spreadsheetml/2006/main" id="12" name="Table12" displayName="Table12" ref="R2:AE7">
  <autoFilter ref="R2:AE7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name="Team" totalsRowLabel="Total"/>
    <tableColumn id="2" name="R1" totalsRowFunction="sum"/>
    <tableColumn id="3" name="R2"/>
    <tableColumn id="4" name="R3"/>
    <tableColumn id="5" name="R4"/>
    <tableColumn id="6" name="R5"/>
    <tableColumn id="7" name="R6" dataDxfId="15">
      <calculatedColumnFormula>G2</calculatedColumnFormula>
    </tableColumn>
    <tableColumn id="8" name="R7" dataDxfId="14">
      <calculatedColumnFormula>H1</calculatedColumnFormula>
    </tableColumn>
    <tableColumn id="13" name="R8" dataDxfId="13">
      <calculatedColumnFormula>H2</calculatedColumnFormula>
    </tableColumn>
    <tableColumn id="9" name="R9" dataDxfId="12">
      <calculatedColumnFormula>I1</calculatedColumnFormula>
    </tableColumn>
    <tableColumn id="10" name="R10" dataDxfId="11">
      <calculatedColumnFormula>J1</calculatedColumnFormula>
    </tableColumn>
    <tableColumn id="11" name="R11" dataDxfId="10">
      <calculatedColumnFormula>K1</calculatedColumnFormula>
    </tableColumn>
    <tableColumn id="12" name="R12" dataDxfId="9">
      <calculatedColumnFormula>L1</calculatedColumnFormula>
    </tableColumn>
    <tableColumn id="15" name="R" totalsRowFunction="count" dataDxfId="8">
      <calculatedColumnFormula>SUM(S3:AD3)</calculatedColumnFormula>
    </tableColumn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id="6" name="Teams" displayName="Teams" ref="I1:I6" totalsRowShown="0">
  <autoFilter ref="I1:I6">
    <filterColumn colId="0" hiddenButton="1"/>
  </autoFilter>
  <tableColumns count="1">
    <tableColumn id="1" name="Teams"/>
  </tableColumns>
  <tableStyleInfo name="TableStyleLight1" showFirstColumn="0" showLastColumn="0" showRowStripes="0" showColumnStripes="0"/>
</table>
</file>

<file path=xl/tables/table8.xml><?xml version="1.0" encoding="utf-8"?>
<table xmlns="http://schemas.openxmlformats.org/spreadsheetml/2006/main" id="7" name="Table7" displayName="Table7" ref="K1:K3" totalsRowShown="0">
  <autoFilter ref="K1:K3">
    <filterColumn colId="0" hiddenButton="1"/>
  </autoFilter>
  <tableColumns count="1">
    <tableColumn id="1" name="Location"/>
  </tableColumns>
  <tableStyleInfo name="TableStyleLight1" showFirstColumn="0" showLastColumn="0" showRowStripes="0" showColumnStripes="0"/>
</table>
</file>

<file path=xl/tables/table9.xml><?xml version="1.0" encoding="utf-8"?>
<table xmlns="http://schemas.openxmlformats.org/spreadsheetml/2006/main" id="8" name="Table8" displayName="Table8" ref="M1:M11" totalsRowShown="0">
  <autoFilter ref="M1:M11">
    <filterColumn colId="0" hiddenButton="1"/>
  </autoFilter>
  <tableColumns count="1">
    <tableColumn id="1" name="Role"/>
  </tableColumns>
  <tableStyleInfo name="TableStyleLight1" showFirstColumn="0" showLastColumn="0" showRowStripes="0" showColumnStripes="0"/>
</table>
</file>

<file path=xl/tables/table10.xml><?xml version="1.0" encoding="utf-8"?>
<table xmlns="http://schemas.openxmlformats.org/spreadsheetml/2006/main" id="9" name="Table9" displayName="Table9" ref="O1:O6" totalsRowShown="0">
  <autoFilter ref="O1:O6">
    <filterColumn colId="0" hiddenButton="1"/>
  </autoFilter>
  <tableColumns count="1">
    <tableColumn id="1" name="Specialization"/>
  </tableColumns>
  <tableStyleInfo name="TableStyleLight1" showFirstColumn="0" showLastColumn="0" showRowStripes="0" showColumnStripes="0"/>
</table>
</file>

<file path=xl/tables/table11.xml><?xml version="1.0" encoding="utf-8"?>
<table xmlns="http://schemas.openxmlformats.org/spreadsheetml/2006/main" id="11" name="Sprints" displayName="Sprints" ref="Q1:U14" totalsRowShown="0">
  <autoFilter ref="Q1:U14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Dev Sprint"/>
    <tableColumn id="2" name="Start Date" dataDxfId="7"/>
    <tableColumn id="3" name="End Date" dataDxfId="6"/>
    <tableColumn id="4" name="Days (with 31 Days per Month)" dataDxfId="5">
      <calculatedColumnFormula>DATEDIF(R2,S2,"d") + 1 + (DATEDIF(DATE(YEAR(R2),MONTH(R2),1),DATE(YEAR(S2),MONTH(S2),1),"m")*31 - DATEDIF(DATE(YEAR(R2),MONTH(R2),1),DATE(YEAR(S2),MONTH(S2),1),"d"))</calculatedColumnFormula>
    </tableColumn>
    <tableColumn id="5" name="Month Shift" dataDxfId="4">
      <calculatedColumnFormula>DATEDIF(DATE('Leave Tracker'!$A$2,'Leave Tracker'!$A$1,1),DATE(YEAR(R2),MONTH(R2),1),"m")</calculatedColumnFormula>
    </tableColumn>
  </tableColumns>
  <tableStyleInfo name="TableStyleLight1" showFirstColumn="0" showLastColumn="0" showRowStripes="0" showColumnStripes="0"/>
</table>
</file>

<file path=xl/tables/table12.xml><?xml version="1.0" encoding="utf-8"?>
<table xmlns="http://schemas.openxmlformats.org/spreadsheetml/2006/main" id="10" name="Table10" displayName="Table10" ref="W1:W2" totalsRowShown="0" dataDxfId="3">
  <autoFilter ref="W1:W2">
    <filterColumn colId="0" hiddenButton="1"/>
  </autoFilter>
  <tableColumns count="1">
    <tableColumn id="1" name="Capacity Buffer" dataDxfId="2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aveTracker"/>
  <dimension ref="A1:ACK52"/>
  <sheetViews>
    <sheetView showGridLines="0" showWhiteSpace="0" zoomScale="50" zoomScaleNormal="50" zoomScaleSheetLayoutView="10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FH34" sqref="FH34:FH50"/>
    </sheetView>
  </sheetViews>
  <sheetFormatPr defaultColWidth="8.796875" defaultRowHeight="14.25" x14ac:dyDescent="0.45"/>
  <cols>
    <col min="1" max="1" width="19.6640625" customWidth="1"/>
    <col min="2" max="32" width="3.59765625" customWidth="1"/>
    <col min="33" max="279" width="3.59765625" hidden="1" customWidth="1"/>
    <col min="280" max="280" width="3.33203125" hidden="1" customWidth="1"/>
    <col min="281" max="373" width="3.59765625" hidden="1" customWidth="1"/>
    <col min="374" max="374" width="9.46484375" customWidth="1"/>
    <col min="375" max="375" width="8.46484375" customWidth="1"/>
    <col min="376" max="376" width="18.796875" customWidth="1"/>
    <col min="377" max="388" width="6.46484375" style="45" customWidth="1"/>
    <col min="389" max="389" width="8.33203125" style="45" customWidth="1"/>
    <col min="390" max="390" width="6.59765625" customWidth="1"/>
    <col min="391" max="391" width="14.46484375" bestFit="1" customWidth="1"/>
    <col min="392" max="392" width="10.06640625" bestFit="1" customWidth="1"/>
  </cols>
  <sheetData>
    <row r="1" spans="1:765" ht="15.75" x14ac:dyDescent="0.5">
      <c r="A1" s="9">
        <v>10</v>
      </c>
      <c r="B1" s="21"/>
      <c r="NK1" s="6"/>
    </row>
    <row r="2" spans="1:765" ht="15.75" x14ac:dyDescent="0.5">
      <c r="A2" s="9">
        <v>2018</v>
      </c>
      <c r="B2" s="21"/>
      <c r="NJ2" s="6"/>
    </row>
    <row r="3" spans="1:765" ht="41.25" customHeight="1" x14ac:dyDescent="0.45">
      <c r="A3" s="12">
        <v>1</v>
      </c>
      <c r="B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C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D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E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F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G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H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I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J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K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L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M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N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O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P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Q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R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S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T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U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V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W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X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Y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Z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AA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AB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AC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AD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AE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AF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AG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AH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AI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AJ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AK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AL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AM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AN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AO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AP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AQ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AR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AS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AT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AU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AV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AW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AX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AY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AZ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BA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BB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BC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BD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BE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BF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BG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BH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BI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BJ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BK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BL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BM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BN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BO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BP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BQ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BR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BS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BT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BU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BV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BW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BX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BY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BZ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CA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CB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CC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CD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CE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CF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CG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CH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CI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CJ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CK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CL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CM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CN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CO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CP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CQ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CR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CS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CT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CU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CV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CW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CX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CY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CZ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DA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DB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DC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DD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DE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DF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DG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DH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DI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DJ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DK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DL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DM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DN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DO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DP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DQ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DR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DS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DT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DU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DV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DW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DX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DY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DZ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EA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EB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EC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ED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EE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EF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EG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EH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EI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EJ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EK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EL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EM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EN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EO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EP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EQ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ER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ES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ET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EU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EV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EW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EX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EY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EZ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FA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FB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FC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FD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FE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FF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FG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FH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FI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FJ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FK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FL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FM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FN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FO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FP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FQ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FR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FS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FT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FU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FV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FW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FX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FY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FZ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GA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GB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GC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GD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GE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GF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GG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GH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GI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GJ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GK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GL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GM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GN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GO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GP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GQ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GR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GS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GT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GU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GV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GW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GX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GY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GZ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HA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HB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HC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HD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HE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HF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HG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HH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HI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HJ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HK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HL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HM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HN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HO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HP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HQ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HR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HS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HT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HU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HV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HW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HX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HY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HZ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IA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IB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IC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ID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IE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IF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IG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IH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II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IJ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IK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IL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IM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IN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IO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IP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IQ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IR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IS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IT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IU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IV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IW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IX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IY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IZ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JA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JB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JC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JD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JE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JF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JG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JH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JI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JJ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JK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JL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JM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JN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JO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JP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JQ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JR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JS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JT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JU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JV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JW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JX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JY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JZ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KA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KB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KC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KD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KE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KF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KG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KH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KI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KJ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KK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KL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KM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KN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KO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KP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KQ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KR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KS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KT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KU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KV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KW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KX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KY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KZ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LA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LB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LC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LD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LE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LF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LG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LH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LI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LJ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LK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LL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LM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LN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LO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LP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LQ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LR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LS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LT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LU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LV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LW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LX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LY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LZ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MA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MB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MC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MD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ME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MF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MG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MH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MI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MJ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MK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ML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MM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MN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MO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MP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MQ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MR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MS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MT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MU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MV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MW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MX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MY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MZ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NA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NB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NC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ND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NE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NF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NG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NH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NI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NJ3" s="3"/>
      <c r="NK3" s="3"/>
      <c r="NL3" s="3"/>
      <c r="NM3" s="3"/>
      <c r="NN3" s="3"/>
      <c r="NO3" s="3"/>
      <c r="NP3" s="3"/>
      <c r="NQ3" s="3"/>
      <c r="NR3" s="3"/>
      <c r="NS3" s="3"/>
      <c r="NT3" s="3"/>
      <c r="NU3" s="3"/>
      <c r="NV3" s="3"/>
      <c r="NW3" s="3"/>
      <c r="NX3" s="3"/>
      <c r="NY3" s="3"/>
      <c r="NZ3" s="3"/>
      <c r="OC3" s="3"/>
      <c r="OD3" s="3"/>
      <c r="OE3" s="3"/>
      <c r="OF3" s="3"/>
      <c r="OG3" s="3"/>
      <c r="OH3" s="3"/>
      <c r="OI3" s="3"/>
      <c r="OJ3" s="3"/>
      <c r="OK3" s="3"/>
      <c r="OL3" s="3"/>
      <c r="OM3" s="3"/>
      <c r="ON3" s="3"/>
      <c r="OO3" s="3"/>
      <c r="OP3" s="3"/>
      <c r="OQ3" s="3"/>
      <c r="OR3" s="3"/>
      <c r="OS3" s="3"/>
      <c r="OT3" s="3"/>
      <c r="OU3" s="3"/>
      <c r="OV3" s="3"/>
      <c r="OW3" s="3"/>
      <c r="OX3" s="3"/>
      <c r="OY3" s="3"/>
      <c r="OZ3" s="3"/>
      <c r="PA3" s="3"/>
      <c r="PB3" s="3"/>
      <c r="PC3" s="3"/>
      <c r="PD3" s="3"/>
      <c r="PE3" s="3"/>
      <c r="PF3" s="3"/>
      <c r="PG3" s="3"/>
      <c r="PH3" s="3"/>
      <c r="PI3" s="3"/>
      <c r="PJ3" s="3"/>
      <c r="PK3" s="3"/>
      <c r="PL3" s="3"/>
      <c r="PM3" s="3"/>
      <c r="PN3" s="3"/>
      <c r="PO3" s="3"/>
      <c r="PP3" s="3"/>
      <c r="PQ3" s="3"/>
      <c r="PR3" s="3"/>
      <c r="PS3" s="3"/>
      <c r="PT3" s="3"/>
      <c r="PU3" s="3"/>
      <c r="PV3" s="3"/>
      <c r="PW3" s="3"/>
      <c r="PX3" s="3"/>
      <c r="PY3" s="3"/>
      <c r="PZ3" s="3"/>
      <c r="QA3" s="3"/>
      <c r="QB3" s="3"/>
      <c r="QC3" s="3"/>
      <c r="QD3" s="3"/>
      <c r="QE3" s="3"/>
      <c r="QF3" s="3"/>
      <c r="QG3" s="3"/>
      <c r="QH3" s="3"/>
      <c r="QI3" s="3"/>
      <c r="QJ3" s="3"/>
      <c r="QK3" s="3"/>
      <c r="QL3" s="3"/>
      <c r="QM3" s="3"/>
      <c r="QN3" s="3"/>
      <c r="QO3" s="3"/>
      <c r="QP3" s="3"/>
      <c r="QQ3" s="3"/>
      <c r="QR3" s="3"/>
      <c r="QS3" s="3"/>
      <c r="QT3" s="3"/>
      <c r="QU3" s="3"/>
      <c r="QV3" s="3"/>
      <c r="QW3" s="3"/>
      <c r="QX3" s="3"/>
      <c r="QY3" s="3"/>
      <c r="QZ3" s="3"/>
      <c r="RA3" s="3"/>
      <c r="RB3" s="3"/>
      <c r="RC3" s="3"/>
      <c r="RD3" s="3"/>
      <c r="RE3" s="3"/>
      <c r="RF3" s="3"/>
      <c r="RG3" s="3"/>
      <c r="RH3" s="3"/>
      <c r="RI3" s="3"/>
      <c r="RJ3" s="3"/>
      <c r="RK3" s="3"/>
      <c r="RL3" s="3"/>
      <c r="RM3" s="3"/>
      <c r="RN3" s="3"/>
      <c r="RO3" s="3"/>
      <c r="RP3" s="3"/>
      <c r="RQ3" s="3"/>
      <c r="RR3" s="3"/>
      <c r="RS3" s="3"/>
      <c r="RT3" s="3"/>
      <c r="RU3" s="3"/>
      <c r="RV3" s="3"/>
      <c r="RW3" s="3"/>
      <c r="RX3" s="3"/>
      <c r="RY3" s="3"/>
      <c r="RZ3" s="3"/>
      <c r="SA3" s="3"/>
      <c r="SB3" s="3"/>
      <c r="SC3" s="3"/>
      <c r="SD3" s="3"/>
      <c r="SE3" s="3"/>
      <c r="SF3" s="3"/>
      <c r="SG3" s="3"/>
      <c r="SH3" s="3"/>
      <c r="SI3" s="3"/>
      <c r="SJ3" s="3"/>
      <c r="SK3" s="3"/>
      <c r="SL3" s="3"/>
      <c r="SM3" s="3"/>
      <c r="SN3" s="3"/>
      <c r="SO3" s="3"/>
      <c r="SP3" s="3"/>
      <c r="SQ3" s="3"/>
      <c r="SR3" s="3"/>
      <c r="SS3" s="3"/>
      <c r="ST3" s="3"/>
      <c r="SU3" s="3"/>
      <c r="SV3" s="3"/>
      <c r="SW3" s="3"/>
      <c r="SX3" s="3"/>
      <c r="SY3" s="3"/>
      <c r="SZ3" s="3"/>
      <c r="TA3" s="3"/>
      <c r="TB3" s="3"/>
      <c r="TC3" s="3"/>
      <c r="TD3" s="3"/>
      <c r="TE3" s="3"/>
      <c r="TF3" s="3"/>
      <c r="TG3" s="3"/>
      <c r="TH3" s="3"/>
      <c r="TI3" s="3"/>
      <c r="TJ3" s="3"/>
      <c r="TK3" s="3"/>
      <c r="TL3" s="3"/>
      <c r="TM3" s="3"/>
      <c r="TN3" s="3"/>
      <c r="TO3" s="3"/>
      <c r="TP3" s="3"/>
      <c r="TQ3" s="3"/>
      <c r="TR3" s="3"/>
      <c r="TS3" s="3"/>
      <c r="TT3" s="3"/>
      <c r="TU3" s="3"/>
      <c r="TV3" s="3"/>
      <c r="TW3" s="3"/>
      <c r="TX3" s="3"/>
      <c r="TY3" s="3"/>
      <c r="TZ3" s="3"/>
      <c r="UA3" s="3"/>
      <c r="UB3" s="3"/>
      <c r="UC3" s="3"/>
      <c r="UD3" s="3"/>
      <c r="UE3" s="3"/>
      <c r="UF3" s="3"/>
      <c r="UG3" s="3"/>
      <c r="UH3" s="3"/>
      <c r="UI3" s="3"/>
      <c r="UJ3" s="3"/>
      <c r="UK3" s="3"/>
      <c r="UL3" s="3"/>
      <c r="UM3" s="3"/>
      <c r="UN3" s="3"/>
      <c r="UO3" s="3"/>
      <c r="UP3" s="3"/>
      <c r="UQ3" s="3"/>
      <c r="UR3" s="3"/>
      <c r="US3" s="3"/>
      <c r="UT3" s="3"/>
      <c r="UU3" s="3"/>
      <c r="UV3" s="3"/>
      <c r="UW3" s="3"/>
      <c r="UX3" s="3"/>
      <c r="UY3" s="3"/>
      <c r="UZ3" s="3"/>
      <c r="VA3" s="3"/>
      <c r="VB3" s="3"/>
      <c r="VC3" s="3"/>
      <c r="VD3" s="3"/>
      <c r="VE3" s="3"/>
      <c r="VF3" s="3"/>
      <c r="VG3" s="3"/>
      <c r="VH3" s="3"/>
      <c r="VI3" s="3"/>
      <c r="VJ3" s="3"/>
      <c r="VK3" s="3"/>
      <c r="VL3" s="3"/>
      <c r="VM3" s="3"/>
      <c r="VN3" s="3"/>
      <c r="VO3" s="3"/>
      <c r="VP3" s="3"/>
      <c r="VQ3" s="3"/>
      <c r="VR3" s="3"/>
      <c r="VS3" s="3"/>
      <c r="VT3" s="3"/>
      <c r="VU3" s="3"/>
      <c r="VV3" s="3"/>
      <c r="VW3" s="3"/>
      <c r="VX3" s="3"/>
      <c r="VY3" s="3"/>
      <c r="VZ3" s="3"/>
      <c r="WA3" s="3"/>
      <c r="WB3" s="3"/>
      <c r="WC3" s="3"/>
      <c r="WD3" s="3"/>
      <c r="WE3" s="3"/>
      <c r="WF3" s="3"/>
      <c r="WG3" s="3"/>
      <c r="WH3" s="3"/>
      <c r="WI3" s="3"/>
      <c r="WJ3" s="3"/>
      <c r="WK3" s="3"/>
      <c r="WL3" s="3"/>
      <c r="WM3" s="3"/>
      <c r="WN3" s="3"/>
      <c r="WO3" s="3"/>
      <c r="WP3" s="3"/>
      <c r="WQ3" s="3"/>
      <c r="WR3" s="3"/>
      <c r="WS3" s="3"/>
      <c r="WT3" s="3"/>
      <c r="WU3" s="3"/>
      <c r="WV3" s="3"/>
      <c r="WW3" s="3"/>
      <c r="WX3" s="3"/>
      <c r="WY3" s="3"/>
      <c r="WZ3" s="3"/>
      <c r="XA3" s="3"/>
      <c r="XB3" s="3"/>
      <c r="XC3" s="3"/>
      <c r="XD3" s="3"/>
      <c r="XE3" s="3"/>
      <c r="XF3" s="3"/>
      <c r="XG3" s="3"/>
      <c r="XH3" s="3"/>
      <c r="XI3" s="3"/>
      <c r="XJ3" s="3"/>
      <c r="XK3" s="3"/>
      <c r="XL3" s="3"/>
      <c r="XM3" s="3"/>
      <c r="XN3" s="3"/>
      <c r="XO3" s="3"/>
      <c r="XP3" s="3"/>
      <c r="XQ3" s="3"/>
      <c r="XR3" s="3"/>
      <c r="XS3" s="3"/>
      <c r="XT3" s="3"/>
      <c r="XU3" s="3"/>
      <c r="XV3" s="3"/>
      <c r="XW3" s="3"/>
      <c r="XX3" s="3"/>
      <c r="XY3" s="3"/>
      <c r="XZ3" s="3"/>
      <c r="YA3" s="3"/>
      <c r="YB3" s="3"/>
      <c r="YC3" s="3"/>
      <c r="YD3" s="3"/>
      <c r="YE3" s="3"/>
      <c r="YF3" s="3"/>
      <c r="YG3" s="3"/>
      <c r="YH3" s="3"/>
      <c r="YI3" s="3"/>
      <c r="YJ3" s="3"/>
      <c r="YK3" s="3"/>
      <c r="YL3" s="3"/>
      <c r="YM3" s="3"/>
      <c r="YN3" s="3"/>
      <c r="YO3" s="3"/>
      <c r="YP3" s="3"/>
      <c r="YQ3" s="3"/>
      <c r="YR3" s="3"/>
      <c r="YS3" s="3"/>
      <c r="YT3" s="3"/>
      <c r="YU3" s="3"/>
      <c r="YV3" s="3"/>
      <c r="YW3" s="3"/>
      <c r="YX3" s="3"/>
      <c r="YY3" s="3"/>
      <c r="YZ3" s="3"/>
      <c r="ZA3" s="3"/>
      <c r="ZB3" s="3"/>
      <c r="ZC3" s="3"/>
      <c r="ZD3" s="3"/>
      <c r="ZE3" s="3"/>
      <c r="ZF3" s="3"/>
      <c r="ZG3" s="3"/>
      <c r="ZH3" s="3"/>
      <c r="ZI3" s="3"/>
      <c r="ZJ3" s="3"/>
      <c r="ZK3" s="3"/>
      <c r="ZL3" s="3"/>
      <c r="ZM3" s="3"/>
      <c r="ZN3" s="3"/>
      <c r="ZO3" s="3"/>
      <c r="ZP3" s="3"/>
      <c r="ZQ3" s="3"/>
      <c r="ZR3" s="3"/>
      <c r="ZS3" s="3"/>
      <c r="ZT3" s="3"/>
      <c r="ZU3" s="3"/>
      <c r="ZV3" s="3"/>
      <c r="ZW3" s="3"/>
      <c r="ZX3" s="3"/>
      <c r="ZY3" s="3"/>
      <c r="ZZ3" s="3"/>
      <c r="AAA3" s="3"/>
      <c r="AAB3" s="3"/>
      <c r="AAC3" s="3"/>
      <c r="AAD3" s="3"/>
      <c r="AAE3" s="3"/>
      <c r="AAF3" s="3"/>
      <c r="AAG3" s="3"/>
      <c r="AAH3" s="3"/>
      <c r="AAI3" s="3"/>
      <c r="AAJ3" s="3"/>
      <c r="AAK3" s="3"/>
      <c r="AAL3" s="3"/>
      <c r="AAM3" s="3"/>
      <c r="AAN3" s="3"/>
      <c r="AAO3" s="3"/>
      <c r="AAP3" s="3"/>
      <c r="AAQ3" s="3"/>
      <c r="AAR3" s="3"/>
      <c r="AAS3" s="3"/>
      <c r="AAT3" s="3"/>
      <c r="AAU3" s="3"/>
      <c r="AAV3" s="3"/>
      <c r="AAW3" s="3"/>
      <c r="AAX3" s="3"/>
      <c r="AAY3" s="3"/>
      <c r="AAZ3" s="3"/>
      <c r="ABA3" s="3"/>
      <c r="ABB3" s="3"/>
      <c r="ABC3" s="3"/>
      <c r="ABD3" s="3"/>
      <c r="ABE3" s="3"/>
      <c r="ABF3" s="3"/>
      <c r="ABG3" s="3"/>
      <c r="ABH3" s="3"/>
      <c r="ABI3" s="3"/>
      <c r="ABJ3" s="3"/>
      <c r="ABK3" s="3"/>
      <c r="ABL3" s="3"/>
      <c r="ABM3" s="3"/>
      <c r="ABN3" s="3"/>
      <c r="ABO3" s="3"/>
      <c r="ABP3" s="3"/>
      <c r="ABQ3" s="3"/>
      <c r="ABR3" s="3"/>
      <c r="ABS3" s="3"/>
      <c r="ABT3" s="3"/>
      <c r="ABU3" s="3"/>
      <c r="ABV3" s="3"/>
      <c r="ABW3" s="3"/>
      <c r="ABX3" s="3"/>
      <c r="ABY3" s="3"/>
      <c r="ABZ3" s="3"/>
      <c r="ACA3" s="3"/>
      <c r="ACB3" s="3"/>
      <c r="ACC3" s="3"/>
      <c r="ACD3" s="3"/>
      <c r="ACE3" s="3"/>
      <c r="ACF3" s="3"/>
      <c r="ACG3" s="3"/>
      <c r="ACH3" s="3"/>
      <c r="ACI3" s="3"/>
      <c r="ACJ3" s="3"/>
      <c r="ACK3" s="3"/>
    </row>
    <row r="4" spans="1:765" x14ac:dyDescent="0.45">
      <c r="A4" s="32">
        <f>DATEDIF(DATE($A$2,$A$1,1),DATE(YEAR(Holidays!E2),MONTH(Holidays!E2),1),"m")</f>
        <v>0</v>
      </c>
      <c r="B4" s="15" t="b">
        <f>IFERROR(IF(AND(VLOOKUP(B6,$OA$17:$OB$23,2,0)="Yes",NOT(ISNUMBER(VLOOKUP(DATE($A$2,$A$3+$A$1-1,B5),HolidayList[Date],1,0)))),TRUE,FALSE),FALSE)</f>
        <v>1</v>
      </c>
      <c r="C4" s="15" t="b">
        <f>IFERROR(IF(AND(VLOOKUP(C6,$OA$17:$OB$23,2,0)="Yes",NOT(ISNUMBER(VLOOKUP(DATE($A$2,$A$3+$A$1-1,C5),HolidayList[Date],1,0)))),TRUE,FALSE),FALSE)</f>
        <v>1</v>
      </c>
      <c r="D4" s="15" t="b">
        <f>IFERROR(IF(AND(VLOOKUP(D6,$OA$17:$OB$23,2,0)="Yes",NOT(ISNUMBER(VLOOKUP(DATE($A$2,$A$3+$A$1-1,D5),HolidayList[Date],1,0)))),TRUE,FALSE),FALSE)</f>
        <v>1</v>
      </c>
      <c r="E4" s="15" t="b">
        <f>IFERROR(IF(AND(VLOOKUP(E6,$OA$17:$OB$23,2,0)="Yes",NOT(ISNUMBER(VLOOKUP(DATE($A$2,$A$3+$A$1-1,E5),HolidayList[Date],1,0)))),TRUE,FALSE),FALSE)</f>
        <v>1</v>
      </c>
      <c r="F4" s="15" t="b">
        <f>IFERROR(IF(AND(VLOOKUP(F6,$OA$17:$OB$23,2,0)="Yes",NOT(ISNUMBER(VLOOKUP(DATE($A$2,$A$3+$A$1-1,F5),HolidayList[Date],1,0)))),TRUE,FALSE),FALSE)</f>
        <v>1</v>
      </c>
      <c r="G4" s="15" t="b">
        <f>IFERROR(IF(AND(VLOOKUP(G6,$OA$17:$OB$23,2,0)="Yes",NOT(ISNUMBER(VLOOKUP(DATE($A$2,$A$3+$A$1-1,G5),HolidayList[Date],1,0)))),TRUE,FALSE),FALSE)</f>
        <v>0</v>
      </c>
      <c r="H4" s="15" t="b">
        <f>IFERROR(IF(AND(VLOOKUP(H6,$OA$17:$OB$23,2,0)="Yes",NOT(ISNUMBER(VLOOKUP(DATE($A$2,$A$3+$A$1-1,H5),HolidayList[Date],1,0)))),TRUE,FALSE),FALSE)</f>
        <v>0</v>
      </c>
      <c r="I4" s="15" t="b">
        <f>IFERROR(IF(AND(VLOOKUP(I6,$OA$17:$OB$23,2,0)="Yes",NOT(ISNUMBER(VLOOKUP(DATE($A$2,$A$3+$A$1-1,I5),HolidayList[Date],1,0)))),TRUE,FALSE),FALSE)</f>
        <v>1</v>
      </c>
      <c r="J4" s="15" t="b">
        <f>IFERROR(IF(AND(VLOOKUP(J6,$OA$17:$OB$23,2,0)="Yes",NOT(ISNUMBER(VLOOKUP(DATE($A$2,$A$3+$A$1-1,J5),HolidayList[Date],1,0)))),TRUE,FALSE),FALSE)</f>
        <v>1</v>
      </c>
      <c r="K4" s="15" t="b">
        <f>IFERROR(IF(AND(VLOOKUP(K6,$OA$17:$OB$23,2,0)="Yes",NOT(ISNUMBER(VLOOKUP(DATE($A$2,$A$3+$A$1-1,K5),HolidayList[Date],1,0)))),TRUE,FALSE),FALSE)</f>
        <v>1</v>
      </c>
      <c r="L4" s="15" t="b">
        <f>IFERROR(IF(AND(VLOOKUP(L6,$OA$17:$OB$23,2,0)="Yes",NOT(ISNUMBER(VLOOKUP(DATE($A$2,$A$3+$A$1-1,L5),HolidayList[Date],1,0)))),TRUE,FALSE),FALSE)</f>
        <v>1</v>
      </c>
      <c r="M4" s="15" t="b">
        <f>IFERROR(IF(AND(VLOOKUP(M6,$OA$17:$OB$23,2,0)="Yes",NOT(ISNUMBER(VLOOKUP(DATE($A$2,$A$3+$A$1-1,M5),HolidayList[Date],1,0)))),TRUE,FALSE),FALSE)</f>
        <v>1</v>
      </c>
      <c r="N4" s="15" t="b">
        <f>IFERROR(IF(AND(VLOOKUP(N6,$OA$17:$OB$23,2,0)="Yes",NOT(ISNUMBER(VLOOKUP(DATE($A$2,$A$3+$A$1-1,N5),HolidayList[Date],1,0)))),TRUE,FALSE),FALSE)</f>
        <v>0</v>
      </c>
      <c r="O4" s="15" t="b">
        <f>IFERROR(IF(AND(VLOOKUP(O6,$OA$17:$OB$23,2,0)="Yes",NOT(ISNUMBER(VLOOKUP(DATE($A$2,$A$3+$A$1-1,O5),HolidayList[Date],1,0)))),TRUE,FALSE),FALSE)</f>
        <v>0</v>
      </c>
      <c r="P4" s="15" t="b">
        <f>IFERROR(IF(AND(VLOOKUP(P6,$OA$17:$OB$23,2,0)="Yes",NOT(ISNUMBER(VLOOKUP(DATE($A$2,$A$3+$A$1-1,P5),HolidayList[Date],1,0)))),TRUE,FALSE),FALSE)</f>
        <v>1</v>
      </c>
      <c r="Q4" s="15" t="b">
        <f>IFERROR(IF(AND(VLOOKUP(Q6,$OA$17:$OB$23,2,0)="Yes",NOT(ISNUMBER(VLOOKUP(DATE($A$2,$A$3+$A$1-1,Q5),HolidayList[Date],1,0)))),TRUE,FALSE),FALSE)</f>
        <v>1</v>
      </c>
      <c r="R4" s="15" t="b">
        <f>IFERROR(IF(AND(VLOOKUP(R6,$OA$17:$OB$23,2,0)="Yes",NOT(ISNUMBER(VLOOKUP(DATE($A$2,$A$3+$A$1-1,R5),HolidayList[Date],1,0)))),TRUE,FALSE),FALSE)</f>
        <v>1</v>
      </c>
      <c r="S4" s="15" t="b">
        <f>IFERROR(IF(AND(VLOOKUP(S6,$OA$17:$OB$23,2,0)="Yes",NOT(ISNUMBER(VLOOKUP(DATE($A$2,$A$3+$A$1-1,S5),HolidayList[Date],1,0)))),TRUE,FALSE),FALSE)</f>
        <v>1</v>
      </c>
      <c r="T4" s="15" t="b">
        <f>IFERROR(IF(AND(VLOOKUP(T6,$OA$17:$OB$23,2,0)="Yes",NOT(ISNUMBER(VLOOKUP(DATE($A$2,$A$3+$A$1-1,T5),HolidayList[Date],1,0)))),TRUE,FALSE),FALSE)</f>
        <v>1</v>
      </c>
      <c r="U4" s="15" t="b">
        <f>IFERROR(IF(AND(VLOOKUP(U6,$OA$17:$OB$23,2,0)="Yes",NOT(ISNUMBER(VLOOKUP(DATE($A$2,$A$3+$A$1-1,U5),HolidayList[Date],1,0)))),TRUE,FALSE),FALSE)</f>
        <v>0</v>
      </c>
      <c r="V4" s="15" t="b">
        <f>IFERROR(IF(AND(VLOOKUP(V6,$OA$17:$OB$23,2,0)="Yes",NOT(ISNUMBER(VLOOKUP(DATE($A$2,$A$3+$A$1-1,V5),HolidayList[Date],1,0)))),TRUE,FALSE),FALSE)</f>
        <v>0</v>
      </c>
      <c r="W4" s="15" t="b">
        <f>IFERROR(IF(AND(VLOOKUP(W6,$OA$17:$OB$23,2,0)="Yes",NOT(ISNUMBER(VLOOKUP(DATE($A$2,$A$3+$A$1-1,W5),HolidayList[Date],1,0)))),TRUE,FALSE),FALSE)</f>
        <v>1</v>
      </c>
      <c r="X4" s="15" t="b">
        <f>IFERROR(IF(AND(VLOOKUP(X6,$OA$17:$OB$23,2,0)="Yes",NOT(ISNUMBER(VLOOKUP(DATE($A$2,$A$3+$A$1-1,X5),HolidayList[Date],1,0)))),TRUE,FALSE),FALSE)</f>
        <v>1</v>
      </c>
      <c r="Y4" s="15" t="b">
        <f>IFERROR(IF(AND(VLOOKUP(Y6,$OA$17:$OB$23,2,0)="Yes",NOT(ISNUMBER(VLOOKUP(DATE($A$2,$A$3+$A$1-1,Y5),HolidayList[Date],1,0)))),TRUE,FALSE),FALSE)</f>
        <v>1</v>
      </c>
      <c r="Z4" s="15" t="b">
        <f>IFERROR(IF(AND(VLOOKUP(Z6,$OA$17:$OB$23,2,0)="Yes",NOT(ISNUMBER(VLOOKUP(DATE($A$2,$A$3+$A$1-1,Z5),HolidayList[Date],1,0)))),TRUE,FALSE),FALSE)</f>
        <v>1</v>
      </c>
      <c r="AA4" s="49" t="b">
        <f>IFERROR(IF(AND(VLOOKUP(AA6,$OA$17:$OB$23,2,0)="Yes",NOT(ISNUMBER(VLOOKUP(DATE($A$2,$A$3+$A$1-1,AA5),HolidayList[Date],1,0)))),TRUE,FALSE),FALSE)</f>
        <v>1</v>
      </c>
      <c r="AB4" s="48" t="b">
        <f>IFERROR(IF(AND(VLOOKUP(AB6,$OA$17:$OB$23,2,0)="Yes",NOT(ISNUMBER(VLOOKUP(DATE($A$2,$A$3+$A$1-1,AB5),HolidayList[Date],1,0)))),TRUE,FALSE),FALSE)</f>
        <v>0</v>
      </c>
      <c r="AC4" s="15" t="b">
        <f>IFERROR(IF(AND(VLOOKUP(AC6,$OA$17:$OB$23,2,0)="Yes",NOT(ISNUMBER(VLOOKUP(DATE($A$2,$A$3+$A$1-1,AC5),HolidayList[Date],1,0)))),TRUE,FALSE),FALSE)</f>
        <v>0</v>
      </c>
      <c r="AD4" s="15" t="b">
        <f>IFERROR(IF(AND(VLOOKUP(AD6,$OA$17:$OB$23,2,0)="Yes",NOT(ISNUMBER(VLOOKUP(DATE($A$2,$A$3+$A$1-1,AD5),HolidayList[Date],1,0)))),TRUE,FALSE),FALSE)</f>
        <v>1</v>
      </c>
      <c r="AE4" s="15" t="b">
        <f>IFERROR(IF(AND(VLOOKUP(AE6,$OA$17:$OB$23,2,0)="Yes",NOT(ISNUMBER(VLOOKUP(DATE($A$2,$A$3+$A$1-1,AE5),HolidayList[Date],1,0)))),TRUE,FALSE),FALSE)</f>
        <v>1</v>
      </c>
      <c r="AF4" s="15" t="b">
        <f>IFERROR(IF(AND(VLOOKUP(AF6,$OA$17:$OB$23,2,0)="Yes",NOT(ISNUMBER(VLOOKUP(DATE($A$2,$A$3+$A$1-1,AF5),HolidayList[Date],1,0)))),TRUE,FALSE),FALSE)</f>
        <v>1</v>
      </c>
      <c r="AG4" s="15" t="b">
        <f>IFERROR(IF(AND(VLOOKUP(AG6,$OA$17:$OB$23,2,0)="Yes",NOT(ISNUMBER(VLOOKUP(DATE($A$2,$A$3+$A$1-1,AG5),HolidayList[Date],1,0)))),TRUE,FALSE),FALSE)</f>
        <v>0</v>
      </c>
      <c r="AH4" s="15" t="b">
        <f>IFERROR(IF(AND(VLOOKUP(AH6,$OA$17:$OB$23,2,0)="Yes",NOT(ISNUMBER(VLOOKUP(DATE($A$2,$A$3+$A$1-1,AH5),HolidayList[Date],1,0)))),TRUE,FALSE),FALSE)</f>
        <v>0</v>
      </c>
      <c r="AI4" s="15" t="b">
        <f>IFERROR(IF(AND(VLOOKUP(AI6,$OA$17:$OB$23,2,0)="Yes",NOT(ISNUMBER(VLOOKUP(DATE($A$2,$A$3+$A$1-1,AI5),HolidayList[Date],1,0)))),TRUE,FALSE),FALSE)</f>
        <v>0</v>
      </c>
      <c r="AJ4" s="15" t="b">
        <f>IFERROR(IF(AND(VLOOKUP(AJ6,$OA$17:$OB$23,2,0)="Yes",NOT(ISNUMBER(VLOOKUP(DATE($A$2,$A$3+$A$1-1,AJ5),HolidayList[Date],1,0)))),TRUE,FALSE),FALSE)</f>
        <v>0</v>
      </c>
      <c r="AK4" s="15" t="b">
        <f>IFERROR(IF(AND(VLOOKUP(AK6,$OA$17:$OB$23,2,0)="Yes",NOT(ISNUMBER(VLOOKUP(DATE($A$2,$A$3+$A$1-1,AK5),HolidayList[Date],1,0)))),TRUE,FALSE),FALSE)</f>
        <v>0</v>
      </c>
      <c r="AL4" s="15" t="b">
        <f>IFERROR(IF(AND(VLOOKUP(AL6,$OA$17:$OB$23,2,0)="Yes",NOT(ISNUMBER(VLOOKUP(DATE($A$2,$A$3+$A$1-1,AL5),HolidayList[Date],1,0)))),TRUE,FALSE),FALSE)</f>
        <v>0</v>
      </c>
      <c r="AM4" s="15" t="b">
        <f>IFERROR(IF(AND(VLOOKUP(AM6,$OA$17:$OB$23,2,0)="Yes",NOT(ISNUMBER(VLOOKUP(DATE($A$2,$A$3+$A$1-1,AM5),HolidayList[Date],1,0)))),TRUE,FALSE),FALSE)</f>
        <v>0</v>
      </c>
      <c r="AN4" s="15" t="b">
        <f>IFERROR(IF(AND(VLOOKUP(AN6,$OA$17:$OB$23,2,0)="Yes",NOT(ISNUMBER(VLOOKUP(DATE($A$2,$A$3+$A$1-1,AN5),HolidayList[Date],1,0)))),TRUE,FALSE),FALSE)</f>
        <v>0</v>
      </c>
      <c r="AO4" s="15" t="b">
        <f>IFERROR(IF(AND(VLOOKUP(AO6,$OA$17:$OB$23,2,0)="Yes",NOT(ISNUMBER(VLOOKUP(DATE($A$2,$A$3+$A$1-1,AO5),HolidayList[Date],1,0)))),TRUE,FALSE),FALSE)</f>
        <v>0</v>
      </c>
      <c r="AP4" s="15" t="b">
        <f>IFERROR(IF(AND(VLOOKUP(AP6,$OA$17:$OB$23,2,0)="Yes",NOT(ISNUMBER(VLOOKUP(DATE($A$2,$A$3+$A$1-1,AP5),HolidayList[Date],1,0)))),TRUE,FALSE),FALSE)</f>
        <v>0</v>
      </c>
      <c r="AQ4" s="15" t="b">
        <f>IFERROR(IF(AND(VLOOKUP(AQ6,$OA$17:$OB$23,2,0)="Yes",NOT(ISNUMBER(VLOOKUP(DATE($A$2,$A$3+$A$1-1,AQ5),HolidayList[Date],1,0)))),TRUE,FALSE),FALSE)</f>
        <v>0</v>
      </c>
      <c r="AR4" s="15" t="b">
        <f>IFERROR(IF(AND(VLOOKUP(AR6,$OA$17:$OB$23,2,0)="Yes",NOT(ISNUMBER(VLOOKUP(DATE($A$2,$A$3+$A$1-1,AR5),HolidayList[Date],1,0)))),TRUE,FALSE),FALSE)</f>
        <v>0</v>
      </c>
      <c r="AS4" s="15" t="b">
        <f>IFERROR(IF(AND(VLOOKUP(AS6,$OA$17:$OB$23,2,0)="Yes",NOT(ISNUMBER(VLOOKUP(DATE($A$2,$A$3+$A$1-1,AS5),HolidayList[Date],1,0)))),TRUE,FALSE),FALSE)</f>
        <v>0</v>
      </c>
      <c r="AT4" s="15" t="b">
        <f>IFERROR(IF(AND(VLOOKUP(AT6,$OA$17:$OB$23,2,0)="Yes",NOT(ISNUMBER(VLOOKUP(DATE($A$2,$A$3+$A$1-1,AT5),HolidayList[Date],1,0)))),TRUE,FALSE),FALSE)</f>
        <v>0</v>
      </c>
      <c r="AU4" s="15" t="b">
        <f>IFERROR(IF(AND(VLOOKUP(AU6,$OA$17:$OB$23,2,0)="Yes",NOT(ISNUMBER(VLOOKUP(DATE($A$2,$A$3+$A$1-1,AU5),HolidayList[Date],1,0)))),TRUE,FALSE),FALSE)</f>
        <v>0</v>
      </c>
      <c r="AV4" s="15" t="b">
        <f>IFERROR(IF(AND(VLOOKUP(AV6,$OA$17:$OB$23,2,0)="Yes",NOT(ISNUMBER(VLOOKUP(DATE($A$2,$A$3+$A$1-1,AV5),HolidayList[Date],1,0)))),TRUE,FALSE),FALSE)</f>
        <v>0</v>
      </c>
      <c r="AW4" s="15" t="b">
        <f>IFERROR(IF(AND(VLOOKUP(AW6,$OA$17:$OB$23,2,0)="Yes",NOT(ISNUMBER(VLOOKUP(DATE($A$2,$A$3+$A$1-1,AW5),HolidayList[Date],1,0)))),TRUE,FALSE),FALSE)</f>
        <v>0</v>
      </c>
      <c r="AX4" s="15" t="b">
        <f>IFERROR(IF(AND(VLOOKUP(AX6,$OA$17:$OB$23,2,0)="Yes",NOT(ISNUMBER(VLOOKUP(DATE($A$2,$A$3+$A$1-1,AX5),HolidayList[Date],1,0)))),TRUE,FALSE),FALSE)</f>
        <v>0</v>
      </c>
      <c r="AY4" s="15" t="b">
        <f>IFERROR(IF(AND(VLOOKUP(AY6,$OA$17:$OB$23,2,0)="Yes",NOT(ISNUMBER(VLOOKUP(DATE($A$2,$A$3+$A$1-1,AY5),HolidayList[Date],1,0)))),TRUE,FALSE),FALSE)</f>
        <v>0</v>
      </c>
      <c r="AZ4" s="15" t="b">
        <f>IFERROR(IF(AND(VLOOKUP(AZ6,$OA$17:$OB$23,2,0)="Yes",NOT(ISNUMBER(VLOOKUP(DATE($A$2,$A$3+$A$1-1,AZ5),HolidayList[Date],1,0)))),TRUE,FALSE),FALSE)</f>
        <v>0</v>
      </c>
      <c r="BA4" s="15" t="b">
        <f>IFERROR(IF(AND(VLOOKUP(BA6,$OA$17:$OB$23,2,0)="Yes",NOT(ISNUMBER(VLOOKUP(DATE($A$2,$A$3+$A$1-1,BA5),HolidayList[Date],1,0)))),TRUE,FALSE),FALSE)</f>
        <v>0</v>
      </c>
      <c r="BB4" s="15" t="b">
        <f>IFERROR(IF(AND(VLOOKUP(BB6,$OA$17:$OB$23,2,0)="Yes",NOT(ISNUMBER(VLOOKUP(DATE($A$2,$A$3+$A$1-1,BB5),HolidayList[Date],1,0)))),TRUE,FALSE),FALSE)</f>
        <v>0</v>
      </c>
      <c r="BC4" s="15" t="b">
        <f>IFERROR(IF(AND(VLOOKUP(BC6,$OA$17:$OB$23,2,0)="Yes",NOT(ISNUMBER(VLOOKUP(DATE($A$2,$A$3+$A$1-1,BC5),HolidayList[Date],1,0)))),TRUE,FALSE),FALSE)</f>
        <v>0</v>
      </c>
      <c r="BD4" s="15" t="b">
        <f>IFERROR(IF(AND(VLOOKUP(BD6,$OA$17:$OB$23,2,0)="Yes",NOT(ISNUMBER(VLOOKUP(DATE($A$2,$A$3+$A$1-1,BD5),HolidayList[Date],1,0)))),TRUE,FALSE),FALSE)</f>
        <v>0</v>
      </c>
      <c r="BE4" s="15" t="b">
        <f>IFERROR(IF(AND(VLOOKUP(BE6,$OA$17:$OB$23,2,0)="Yes",NOT(ISNUMBER(VLOOKUP(DATE($A$2,$A$3+$A$1-1,BE5),HolidayList[Date],1,0)))),TRUE,FALSE),FALSE)</f>
        <v>0</v>
      </c>
      <c r="BF4" s="15" t="b">
        <f>IFERROR(IF(AND(VLOOKUP(BF6,$OA$17:$OB$23,2,0)="Yes",NOT(ISNUMBER(VLOOKUP(DATE($A$2,$A$3+$A$1-1,BF5),HolidayList[Date],1,0)))),TRUE,FALSE),FALSE)</f>
        <v>0</v>
      </c>
      <c r="BG4" s="15" t="b">
        <f>IFERROR(IF(AND(VLOOKUP(BG6,$OA$17:$OB$23,2,0)="Yes",NOT(ISNUMBER(VLOOKUP(DATE($A$2,$A$3+$A$1-1,BG5),HolidayList[Date],1,0)))),TRUE,FALSE),FALSE)</f>
        <v>0</v>
      </c>
      <c r="BH4" s="15" t="b">
        <f>IFERROR(IF(AND(VLOOKUP(BH6,$OA$17:$OB$23,2,0)="Yes",NOT(ISNUMBER(VLOOKUP(DATE($A$2,$A$3+$A$1-1,BH5),HolidayList[Date],1,0)))),TRUE,FALSE),FALSE)</f>
        <v>0</v>
      </c>
      <c r="BI4" s="15" t="b">
        <f>IFERROR(IF(AND(VLOOKUP(BI6,$OA$17:$OB$23,2,0)="Yes",NOT(ISNUMBER(VLOOKUP(DATE($A$2,$A$3+$A$1-1,BI5),HolidayList[Date],1,0)))),TRUE,FALSE),FALSE)</f>
        <v>0</v>
      </c>
      <c r="BJ4" s="15" t="b">
        <f>IFERROR(IF(AND(VLOOKUP(BJ6,$OA$17:$OB$23,2,0)="Yes",NOT(ISNUMBER(VLOOKUP(DATE($A$2,$A$3+$A$1-1,BJ5),HolidayList[Date],1,0)))),TRUE,FALSE),FALSE)</f>
        <v>0</v>
      </c>
      <c r="BK4" s="15" t="b">
        <f>IFERROR(IF(AND(VLOOKUP(BK6,$OA$17:$OB$23,2,0)="Yes",NOT(ISNUMBER(VLOOKUP(DATE($A$2,$A$3+$A$1-1,BK5),HolidayList[Date],1,0)))),TRUE,FALSE),FALSE)</f>
        <v>0</v>
      </c>
      <c r="BL4" s="15" t="b">
        <f>IFERROR(IF(AND(VLOOKUP(BL6,$OA$17:$OB$23,2,0)="Yes",NOT(ISNUMBER(VLOOKUP(DATE($A$2,$A$3+$A$1-1,BL5),HolidayList[Date],1,0)))),TRUE,FALSE),FALSE)</f>
        <v>0</v>
      </c>
      <c r="BM4" s="15" t="b">
        <f>IFERROR(IF(AND(VLOOKUP(BM6,$OA$17:$OB$23,2,0)="Yes",NOT(ISNUMBER(VLOOKUP(DATE($A$2,$A$3+$A$1-1,BM5),HolidayList[Date],1,0)))),TRUE,FALSE),FALSE)</f>
        <v>0</v>
      </c>
      <c r="BN4" s="15" t="b">
        <f>IFERROR(IF(AND(VLOOKUP(BN6,$OA$17:$OB$23,2,0)="Yes",NOT(ISNUMBER(VLOOKUP(DATE($A$2,$A$3+$A$1-1,BN5),HolidayList[Date],1,0)))),TRUE,FALSE),FALSE)</f>
        <v>0</v>
      </c>
      <c r="BO4" s="15" t="b">
        <f>IFERROR(IF(AND(VLOOKUP(BO6,$OA$17:$OB$23,2,0)="Yes",NOT(ISNUMBER(VLOOKUP(DATE($A$2,$A$3+$A$1-1,BO5),HolidayList[Date],1,0)))),TRUE,FALSE),FALSE)</f>
        <v>0</v>
      </c>
      <c r="BP4" s="15" t="b">
        <f>IFERROR(IF(AND(VLOOKUP(BP6,$OA$17:$OB$23,2,0)="Yes",NOT(ISNUMBER(VLOOKUP(DATE($A$2,$A$3+$A$1-1,BP5),HolidayList[Date],1,0)))),TRUE,FALSE),FALSE)</f>
        <v>0</v>
      </c>
      <c r="BQ4" s="15" t="b">
        <f>IFERROR(IF(AND(VLOOKUP(BQ6,$OA$17:$OB$23,2,0)="Yes",NOT(ISNUMBER(VLOOKUP(DATE($A$2,$A$3+$A$1-1,BQ5),HolidayList[Date],1,0)))),TRUE,FALSE),FALSE)</f>
        <v>0</v>
      </c>
      <c r="BR4" s="15" t="b">
        <f>IFERROR(IF(AND(VLOOKUP(BR6,$OA$17:$OB$23,2,0)="Yes",NOT(ISNUMBER(VLOOKUP(DATE($A$2,$A$3+$A$1-1,BR5),HolidayList[Date],1,0)))),TRUE,FALSE),FALSE)</f>
        <v>0</v>
      </c>
      <c r="BS4" s="15" t="b">
        <f>IFERROR(IF(AND(VLOOKUP(BS6,$OA$17:$OB$23,2,0)="Yes",NOT(ISNUMBER(VLOOKUP(DATE($A$2,$A$3+$A$1-1,BS5),HolidayList[Date],1,0)))),TRUE,FALSE),FALSE)</f>
        <v>0</v>
      </c>
      <c r="BT4" s="15" t="b">
        <f>IFERROR(IF(AND(VLOOKUP(BT6,$OA$17:$OB$23,2,0)="Yes",NOT(ISNUMBER(VLOOKUP(DATE($A$2,$A$3+$A$1-1,BT5),HolidayList[Date],1,0)))),TRUE,FALSE),FALSE)</f>
        <v>0</v>
      </c>
      <c r="BU4" s="15" t="b">
        <f>IFERROR(IF(AND(VLOOKUP(BU6,$OA$17:$OB$23,2,0)="Yes",NOT(ISNUMBER(VLOOKUP(DATE($A$2,$A$3+$A$1-1,BU5),HolidayList[Date],1,0)))),TRUE,FALSE),FALSE)</f>
        <v>0</v>
      </c>
      <c r="BV4" s="15" t="b">
        <f>IFERROR(IF(AND(VLOOKUP(BV6,$OA$17:$OB$23,2,0)="Yes",NOT(ISNUMBER(VLOOKUP(DATE($A$2,$A$3+$A$1-1,BV5),HolidayList[Date],1,0)))),TRUE,FALSE),FALSE)</f>
        <v>0</v>
      </c>
      <c r="BW4" s="15" t="b">
        <f>IFERROR(IF(AND(VLOOKUP(BW6,$OA$17:$OB$23,2,0)="Yes",NOT(ISNUMBER(VLOOKUP(DATE($A$2,$A$3+$A$1-1,BW5),HolidayList[Date],1,0)))),TRUE,FALSE),FALSE)</f>
        <v>0</v>
      </c>
      <c r="BX4" s="15" t="b">
        <f>IFERROR(IF(AND(VLOOKUP(BX6,$OA$17:$OB$23,2,0)="Yes",NOT(ISNUMBER(VLOOKUP(DATE($A$2,$A$3+$A$1-1,BX5),HolidayList[Date],1,0)))),TRUE,FALSE),FALSE)</f>
        <v>0</v>
      </c>
      <c r="BY4" s="15" t="b">
        <f>IFERROR(IF(AND(VLOOKUP(BY6,$OA$17:$OB$23,2,0)="Yes",NOT(ISNUMBER(VLOOKUP(DATE($A$2,$A$3+$A$1-1,BY5),HolidayList[Date],1,0)))),TRUE,FALSE),FALSE)</f>
        <v>0</v>
      </c>
      <c r="BZ4" s="15" t="b">
        <f>IFERROR(IF(AND(VLOOKUP(BZ6,$OA$17:$OB$23,2,0)="Yes",NOT(ISNUMBER(VLOOKUP(DATE($A$2,$A$3+$A$1-1,BZ5),HolidayList[Date],1,0)))),TRUE,FALSE),FALSE)</f>
        <v>0</v>
      </c>
      <c r="CA4" s="15" t="b">
        <f>IFERROR(IF(AND(VLOOKUP(CA6,$OA$17:$OB$23,2,0)="Yes",NOT(ISNUMBER(VLOOKUP(DATE($A$2,$A$3+$A$1-1,CA5),HolidayList[Date],1,0)))),TRUE,FALSE),FALSE)</f>
        <v>0</v>
      </c>
      <c r="CB4" s="15" t="b">
        <f>IFERROR(IF(AND(VLOOKUP(CB6,$OA$17:$OB$23,2,0)="Yes",NOT(ISNUMBER(VLOOKUP(DATE($A$2,$A$3+$A$1-1,CB5),HolidayList[Date],1,0)))),TRUE,FALSE),FALSE)</f>
        <v>0</v>
      </c>
      <c r="CC4" s="15" t="b">
        <f>IFERROR(IF(AND(VLOOKUP(CC6,$OA$17:$OB$23,2,0)="Yes",NOT(ISNUMBER(VLOOKUP(DATE($A$2,$A$3+$A$1-1,CC5),HolidayList[Date],1,0)))),TRUE,FALSE),FALSE)</f>
        <v>0</v>
      </c>
      <c r="CD4" s="15" t="b">
        <f>IFERROR(IF(AND(VLOOKUP(CD6,$OA$17:$OB$23,2,0)="Yes",NOT(ISNUMBER(VLOOKUP(DATE($A$2,$A$3+$A$1-1,CD5),HolidayList[Date],1,0)))),TRUE,FALSE),FALSE)</f>
        <v>0</v>
      </c>
      <c r="CE4" s="15" t="b">
        <f>IFERROR(IF(AND(VLOOKUP(CE6,$OA$17:$OB$23,2,0)="Yes",NOT(ISNUMBER(VLOOKUP(DATE($A$2,$A$3+$A$1-1,CE5),HolidayList[Date],1,0)))),TRUE,FALSE),FALSE)</f>
        <v>0</v>
      </c>
      <c r="CF4" s="15" t="b">
        <f>IFERROR(IF(AND(VLOOKUP(CF6,$OA$17:$OB$23,2,0)="Yes",NOT(ISNUMBER(VLOOKUP(DATE($A$2,$A$3+$A$1-1,CF5),HolidayList[Date],1,0)))),TRUE,FALSE),FALSE)</f>
        <v>0</v>
      </c>
      <c r="CG4" s="15" t="b">
        <f>IFERROR(IF(AND(VLOOKUP(CG6,$OA$17:$OB$23,2,0)="Yes",NOT(ISNUMBER(VLOOKUP(DATE($A$2,$A$3+$A$1-1,CG5),HolidayList[Date],1,0)))),TRUE,FALSE),FALSE)</f>
        <v>0</v>
      </c>
      <c r="CH4" s="15" t="b">
        <f>IFERROR(IF(AND(VLOOKUP(CH6,$OA$17:$OB$23,2,0)="Yes",NOT(ISNUMBER(VLOOKUP(DATE($A$2,$A$3+$A$1-1,CH5),HolidayList[Date],1,0)))),TRUE,FALSE),FALSE)</f>
        <v>0</v>
      </c>
      <c r="CI4" s="15" t="b">
        <f>IFERROR(IF(AND(VLOOKUP(CI6,$OA$17:$OB$23,2,0)="Yes",NOT(ISNUMBER(VLOOKUP(DATE($A$2,$A$3+$A$1-1,CI5),HolidayList[Date],1,0)))),TRUE,FALSE),FALSE)</f>
        <v>0</v>
      </c>
      <c r="CJ4" s="15" t="b">
        <f>IFERROR(IF(AND(VLOOKUP(CJ6,$OA$17:$OB$23,2,0)="Yes",NOT(ISNUMBER(VLOOKUP(DATE($A$2,$A$3+$A$1-1,CJ5),HolidayList[Date],1,0)))),TRUE,FALSE),FALSE)</f>
        <v>0</v>
      </c>
      <c r="CK4" s="15" t="b">
        <f>IFERROR(IF(AND(VLOOKUP(CK6,$OA$17:$OB$23,2,0)="Yes",NOT(ISNUMBER(VLOOKUP(DATE($A$2,$A$3+$A$1-1,CK5),HolidayList[Date],1,0)))),TRUE,FALSE),FALSE)</f>
        <v>0</v>
      </c>
      <c r="CL4" s="15" t="b">
        <f>IFERROR(IF(AND(VLOOKUP(CL6,$OA$17:$OB$23,2,0)="Yes",NOT(ISNUMBER(VLOOKUP(DATE($A$2,$A$3+$A$1-1,CL5),HolidayList[Date],1,0)))),TRUE,FALSE),FALSE)</f>
        <v>0</v>
      </c>
      <c r="CM4" s="15" t="b">
        <f>IFERROR(IF(AND(VLOOKUP(CM6,$OA$17:$OB$23,2,0)="Yes",NOT(ISNUMBER(VLOOKUP(DATE($A$2,$A$3+$A$1-1,CM5),HolidayList[Date],1,0)))),TRUE,FALSE),FALSE)</f>
        <v>0</v>
      </c>
      <c r="CN4" s="15" t="b">
        <f>IFERROR(IF(AND(VLOOKUP(CN6,$OA$17:$OB$23,2,0)="Yes",NOT(ISNUMBER(VLOOKUP(DATE($A$2,$A$3+$A$1-1,CN5),HolidayList[Date],1,0)))),TRUE,FALSE),FALSE)</f>
        <v>0</v>
      </c>
      <c r="CO4" s="15" t="b">
        <f>IFERROR(IF(AND(VLOOKUP(CO6,$OA$17:$OB$23,2,0)="Yes",NOT(ISNUMBER(VLOOKUP(DATE($A$2,$A$3+$A$1-1,CO5),HolidayList[Date],1,0)))),TRUE,FALSE),FALSE)</f>
        <v>0</v>
      </c>
      <c r="CP4" s="15" t="b">
        <f>IFERROR(IF(AND(VLOOKUP(CP6,$OA$17:$OB$23,2,0)="Yes",NOT(ISNUMBER(VLOOKUP(DATE($A$2,$A$3+$A$1-1,CP5),HolidayList[Date],1,0)))),TRUE,FALSE),FALSE)</f>
        <v>0</v>
      </c>
      <c r="CQ4" s="15" t="b">
        <f>IFERROR(IF(AND(VLOOKUP(CQ6,$OA$17:$OB$23,2,0)="Yes",NOT(ISNUMBER(VLOOKUP(DATE($A$2,$A$3+$A$1-1,CQ5),HolidayList[Date],1,0)))),TRUE,FALSE),FALSE)</f>
        <v>0</v>
      </c>
      <c r="CR4" s="15" t="b">
        <f>IFERROR(IF(AND(VLOOKUP(CR6,$OA$17:$OB$23,2,0)="Yes",NOT(ISNUMBER(VLOOKUP(DATE($A$2,$A$3+$A$1-1,CR5),HolidayList[Date],1,0)))),TRUE,FALSE),FALSE)</f>
        <v>0</v>
      </c>
      <c r="CS4" s="15" t="b">
        <f>IFERROR(IF(AND(VLOOKUP(CS6,$OA$17:$OB$23,2,0)="Yes",NOT(ISNUMBER(VLOOKUP(DATE($A$2,$A$3+$A$1-1,CS5),HolidayList[Date],1,0)))),TRUE,FALSE),FALSE)</f>
        <v>0</v>
      </c>
      <c r="CT4" s="15" t="b">
        <f>IFERROR(IF(AND(VLOOKUP(CT6,$OA$17:$OB$23,2,0)="Yes",NOT(ISNUMBER(VLOOKUP(DATE($A$2,$A$3+$A$1-1,CT5),HolidayList[Date],1,0)))),TRUE,FALSE),FALSE)</f>
        <v>0</v>
      </c>
      <c r="CU4" s="15" t="b">
        <f>IFERROR(IF(AND(VLOOKUP(CU6,$OA$17:$OB$23,2,0)="Yes",NOT(ISNUMBER(VLOOKUP(DATE($A$2,$A$3+$A$1-1,CU5),HolidayList[Date],1,0)))),TRUE,FALSE),FALSE)</f>
        <v>0</v>
      </c>
      <c r="CV4" s="15" t="b">
        <f>IFERROR(IF(AND(VLOOKUP(CV6,$OA$17:$OB$23,2,0)="Yes",NOT(ISNUMBER(VLOOKUP(DATE($A$2,$A$3+$A$1-1,CV5),HolidayList[Date],1,0)))),TRUE,FALSE),FALSE)</f>
        <v>0</v>
      </c>
      <c r="CW4" s="15" t="b">
        <f>IFERROR(IF(AND(VLOOKUP(CW6,$OA$17:$OB$23,2,0)="Yes",NOT(ISNUMBER(VLOOKUP(DATE($A$2,$A$3+$A$1-1,CW5),HolidayList[Date],1,0)))),TRUE,FALSE),FALSE)</f>
        <v>0</v>
      </c>
      <c r="CX4" s="15" t="b">
        <f>IFERROR(IF(AND(VLOOKUP(CX6,$OA$17:$OB$23,2,0)="Yes",NOT(ISNUMBER(VLOOKUP(DATE($A$2,$A$3+$A$1-1,CX5),HolidayList[Date],1,0)))),TRUE,FALSE),FALSE)</f>
        <v>0</v>
      </c>
      <c r="CY4" s="15" t="b">
        <f>IFERROR(IF(AND(VLOOKUP(CY6,$OA$17:$OB$23,2,0)="Yes",NOT(ISNUMBER(VLOOKUP(DATE($A$2,$A$3+$A$1-1,CY5),HolidayList[Date],1,0)))),TRUE,FALSE),FALSE)</f>
        <v>0</v>
      </c>
      <c r="CZ4" s="15" t="b">
        <f>IFERROR(IF(AND(VLOOKUP(CZ6,$OA$17:$OB$23,2,0)="Yes",NOT(ISNUMBER(VLOOKUP(DATE($A$2,$A$3+$A$1-1,CZ5),HolidayList[Date],1,0)))),TRUE,FALSE),FALSE)</f>
        <v>0</v>
      </c>
      <c r="DA4" s="15" t="b">
        <f>IFERROR(IF(AND(VLOOKUP(DA6,$OA$17:$OB$23,2,0)="Yes",NOT(ISNUMBER(VLOOKUP(DATE($A$2,$A$3+$A$1-1,DA5),HolidayList[Date],1,0)))),TRUE,FALSE),FALSE)</f>
        <v>0</v>
      </c>
      <c r="DB4" s="15" t="b">
        <f>IFERROR(IF(AND(VLOOKUP(DB6,$OA$17:$OB$23,2,0)="Yes",NOT(ISNUMBER(VLOOKUP(DATE($A$2,$A$3+$A$1-1,DB5),HolidayList[Date],1,0)))),TRUE,FALSE),FALSE)</f>
        <v>0</v>
      </c>
      <c r="DC4" s="15" t="b">
        <f>IFERROR(IF(AND(VLOOKUP(DC6,$OA$17:$OB$23,2,0)="Yes",NOT(ISNUMBER(VLOOKUP(DATE($A$2,$A$3+$A$1-1,DC5),HolidayList[Date],1,0)))),TRUE,FALSE),FALSE)</f>
        <v>0</v>
      </c>
      <c r="DD4" s="15" t="b">
        <f>IFERROR(IF(AND(VLOOKUP(DD6,$OA$17:$OB$23,2,0)="Yes",NOT(ISNUMBER(VLOOKUP(DATE($A$2,$A$3+$A$1-1,DD5),HolidayList[Date],1,0)))),TRUE,FALSE),FALSE)</f>
        <v>0</v>
      </c>
      <c r="DE4" s="15" t="b">
        <f>IFERROR(IF(AND(VLOOKUP(DE6,$OA$17:$OB$23,2,0)="Yes",NOT(ISNUMBER(VLOOKUP(DATE($A$2,$A$3+$A$1-1,DE5),HolidayList[Date],1,0)))),TRUE,FALSE),FALSE)</f>
        <v>0</v>
      </c>
      <c r="DF4" s="15" t="b">
        <f>IFERROR(IF(AND(VLOOKUP(DF6,$OA$17:$OB$23,2,0)="Yes",NOT(ISNUMBER(VLOOKUP(DATE($A$2,$A$3+$A$1-1,DF5),HolidayList[Date],1,0)))),TRUE,FALSE),FALSE)</f>
        <v>0</v>
      </c>
      <c r="DG4" s="15" t="b">
        <f>IFERROR(IF(AND(VLOOKUP(DG6,$OA$17:$OB$23,2,0)="Yes",NOT(ISNUMBER(VLOOKUP(DATE($A$2,$A$3+$A$1-1,DG5),HolidayList[Date],1,0)))),TRUE,FALSE),FALSE)</f>
        <v>0</v>
      </c>
      <c r="DH4" s="15" t="b">
        <f>IFERROR(IF(AND(VLOOKUP(DH6,$OA$17:$OB$23,2,0)="Yes",NOT(ISNUMBER(VLOOKUP(DATE($A$2,$A$3+$A$1-1,DH5),HolidayList[Date],1,0)))),TRUE,FALSE),FALSE)</f>
        <v>0</v>
      </c>
      <c r="DI4" s="15" t="b">
        <f>IFERROR(IF(AND(VLOOKUP(DI6,$OA$17:$OB$23,2,0)="Yes",NOT(ISNUMBER(VLOOKUP(DATE($A$2,$A$3+$A$1-1,DI5),HolidayList[Date],1,0)))),TRUE,FALSE),FALSE)</f>
        <v>0</v>
      </c>
      <c r="DJ4" s="15" t="b">
        <f>IFERROR(IF(AND(VLOOKUP(DJ6,$OA$17:$OB$23,2,0)="Yes",NOT(ISNUMBER(VLOOKUP(DATE($A$2,$A$3+$A$1-1,DJ5),HolidayList[Date],1,0)))),TRUE,FALSE),FALSE)</f>
        <v>0</v>
      </c>
      <c r="DK4" s="15" t="b">
        <f>IFERROR(IF(AND(VLOOKUP(DK6,$OA$17:$OB$23,2,0)="Yes",NOT(ISNUMBER(VLOOKUP(DATE($A$2,$A$3+$A$1-1,DK5),HolidayList[Date],1,0)))),TRUE,FALSE),FALSE)</f>
        <v>0</v>
      </c>
      <c r="DL4" s="15" t="b">
        <f>IFERROR(IF(AND(VLOOKUP(DL6,$OA$17:$OB$23,2,0)="Yes",NOT(ISNUMBER(VLOOKUP(DATE($A$2,$A$3+$A$1-1,DL5),HolidayList[Date],1,0)))),TRUE,FALSE),FALSE)</f>
        <v>0</v>
      </c>
      <c r="DM4" s="15" t="b">
        <f>IFERROR(IF(AND(VLOOKUP(DM6,$OA$17:$OB$23,2,0)="Yes",NOT(ISNUMBER(VLOOKUP(DATE($A$2,$A$3+$A$1-1,DM5),HolidayList[Date],1,0)))),TRUE,FALSE),FALSE)</f>
        <v>0</v>
      </c>
      <c r="DN4" s="15" t="b">
        <f>IFERROR(IF(AND(VLOOKUP(DN6,$OA$17:$OB$23,2,0)="Yes",NOT(ISNUMBER(VLOOKUP(DATE($A$2,$A$3+$A$1-1,DN5),HolidayList[Date],1,0)))),TRUE,FALSE),FALSE)</f>
        <v>0</v>
      </c>
      <c r="DO4" s="15" t="b">
        <f>IFERROR(IF(AND(VLOOKUP(DO6,$OA$17:$OB$23,2,0)="Yes",NOT(ISNUMBER(VLOOKUP(DATE($A$2,$A$3+$A$1-1,DO5),HolidayList[Date],1,0)))),TRUE,FALSE),FALSE)</f>
        <v>0</v>
      </c>
      <c r="DP4" s="15" t="b">
        <f>IFERROR(IF(AND(VLOOKUP(DP6,$OA$17:$OB$23,2,0)="Yes",NOT(ISNUMBER(VLOOKUP(DATE($A$2,$A$3+$A$1-1,DP5),HolidayList[Date],1,0)))),TRUE,FALSE),FALSE)</f>
        <v>0</v>
      </c>
      <c r="DQ4" s="15" t="b">
        <f>IFERROR(IF(AND(VLOOKUP(DQ6,$OA$17:$OB$23,2,0)="Yes",NOT(ISNUMBER(VLOOKUP(DATE($A$2,$A$3+$A$1-1,DQ5),HolidayList[Date],1,0)))),TRUE,FALSE),FALSE)</f>
        <v>0</v>
      </c>
      <c r="DR4" s="15" t="b">
        <f>IFERROR(IF(AND(VLOOKUP(DR6,$OA$17:$OB$23,2,0)="Yes",NOT(ISNUMBER(VLOOKUP(DATE($A$2,$A$3+$A$1-1,DR5),HolidayList[Date],1,0)))),TRUE,FALSE),FALSE)</f>
        <v>0</v>
      </c>
      <c r="DS4" s="15" t="b">
        <f>IFERROR(IF(AND(VLOOKUP(DS6,$OA$17:$OB$23,2,0)="Yes",NOT(ISNUMBER(VLOOKUP(DATE($A$2,$A$3+$A$1-1,DS5),HolidayList[Date],1,0)))),TRUE,FALSE),FALSE)</f>
        <v>0</v>
      </c>
      <c r="DT4" s="15" t="b">
        <f>IFERROR(IF(AND(VLOOKUP(DT6,$OA$17:$OB$23,2,0)="Yes",NOT(ISNUMBER(VLOOKUP(DATE($A$2,$A$3+$A$1-1,DT5),HolidayList[Date],1,0)))),TRUE,FALSE),FALSE)</f>
        <v>0</v>
      </c>
      <c r="DU4" s="15" t="b">
        <f>IFERROR(IF(AND(VLOOKUP(DU6,$OA$17:$OB$23,2,0)="Yes",NOT(ISNUMBER(VLOOKUP(DATE($A$2,$A$3+$A$1-1,DU5),HolidayList[Date],1,0)))),TRUE,FALSE),FALSE)</f>
        <v>0</v>
      </c>
      <c r="DV4" s="15" t="b">
        <f>IFERROR(IF(AND(VLOOKUP(DV6,$OA$17:$OB$23,2,0)="Yes",NOT(ISNUMBER(VLOOKUP(DATE($A$2,$A$3+$A$1-1,DV5),HolidayList[Date],1,0)))),TRUE,FALSE),FALSE)</f>
        <v>0</v>
      </c>
      <c r="DW4" s="15" t="b">
        <f>IFERROR(IF(AND(VLOOKUP(DW6,$OA$17:$OB$23,2,0)="Yes",NOT(ISNUMBER(VLOOKUP(DATE($A$2,$A$3+$A$1-1,DW5),HolidayList[Date],1,0)))),TRUE,FALSE),FALSE)</f>
        <v>0</v>
      </c>
      <c r="DX4" s="15" t="b">
        <f>IFERROR(IF(AND(VLOOKUP(DX6,$OA$17:$OB$23,2,0)="Yes",NOT(ISNUMBER(VLOOKUP(DATE($A$2,$A$3+$A$1-1,DX5),HolidayList[Date],1,0)))),TRUE,FALSE),FALSE)</f>
        <v>0</v>
      </c>
      <c r="DY4" s="15" t="b">
        <f>IFERROR(IF(AND(VLOOKUP(DY6,$OA$17:$OB$23,2,0)="Yes",NOT(ISNUMBER(VLOOKUP(DATE($A$2,$A$3+$A$1-1,DY5),HolidayList[Date],1,0)))),TRUE,FALSE),FALSE)</f>
        <v>0</v>
      </c>
      <c r="DZ4" s="15" t="b">
        <f>IFERROR(IF(AND(VLOOKUP(DZ6,$OA$17:$OB$23,2,0)="Yes",NOT(ISNUMBER(VLOOKUP(DATE($A$2,$A$3+$A$1-1,DZ5),HolidayList[Date],1,0)))),TRUE,FALSE),FALSE)</f>
        <v>0</v>
      </c>
      <c r="EA4" s="15" t="b">
        <f>IFERROR(IF(AND(VLOOKUP(EA6,$OA$17:$OB$23,2,0)="Yes",NOT(ISNUMBER(VLOOKUP(DATE($A$2,$A$3+$A$1-1,EA5),HolidayList[Date],1,0)))),TRUE,FALSE),FALSE)</f>
        <v>0</v>
      </c>
      <c r="EB4" s="15" t="b">
        <f>IFERROR(IF(AND(VLOOKUP(EB6,$OA$17:$OB$23,2,0)="Yes",NOT(ISNUMBER(VLOOKUP(DATE($A$2,$A$3+$A$1-1,EB5),HolidayList[Date],1,0)))),TRUE,FALSE),FALSE)</f>
        <v>0</v>
      </c>
      <c r="EC4" s="15" t="b">
        <f>IFERROR(IF(AND(VLOOKUP(EC6,$OA$17:$OB$23,2,0)="Yes",NOT(ISNUMBER(VLOOKUP(DATE($A$2,$A$3+$A$1-1,EC5),HolidayList[Date],1,0)))),TRUE,FALSE),FALSE)</f>
        <v>0</v>
      </c>
      <c r="ED4" s="15" t="b">
        <f>IFERROR(IF(AND(VLOOKUP(ED6,$OA$17:$OB$23,2,0)="Yes",NOT(ISNUMBER(VLOOKUP(DATE($A$2,$A$3+$A$1-1,ED5),HolidayList[Date],1,0)))),TRUE,FALSE),FALSE)</f>
        <v>0</v>
      </c>
      <c r="EE4" s="15" t="b">
        <f>IFERROR(IF(AND(VLOOKUP(EE6,$OA$17:$OB$23,2,0)="Yes",NOT(ISNUMBER(VLOOKUP(DATE($A$2,$A$3+$A$1-1,EE5),HolidayList[Date],1,0)))),TRUE,FALSE),FALSE)</f>
        <v>0</v>
      </c>
      <c r="EF4" s="15" t="b">
        <f>IFERROR(IF(AND(VLOOKUP(EF6,$OA$17:$OB$23,2,0)="Yes",NOT(ISNUMBER(VLOOKUP(DATE($A$2,$A$3+$A$1-1,EF5),HolidayList[Date],1,0)))),TRUE,FALSE),FALSE)</f>
        <v>0</v>
      </c>
      <c r="EG4" s="15" t="b">
        <f>IFERROR(IF(AND(VLOOKUP(EG6,$OA$17:$OB$23,2,0)="Yes",NOT(ISNUMBER(VLOOKUP(DATE($A$2,$A$3+$A$1-1,EG5),HolidayList[Date],1,0)))),TRUE,FALSE),FALSE)</f>
        <v>0</v>
      </c>
      <c r="EH4" s="15" t="b">
        <f>IFERROR(IF(AND(VLOOKUP(EH6,$OA$17:$OB$23,2,0)="Yes",NOT(ISNUMBER(VLOOKUP(DATE($A$2,$A$3+$A$1-1,EH5),HolidayList[Date],1,0)))),TRUE,FALSE),FALSE)</f>
        <v>0</v>
      </c>
      <c r="EI4" s="15" t="b">
        <f>IFERROR(IF(AND(VLOOKUP(EI6,$OA$17:$OB$23,2,0)="Yes",NOT(ISNUMBER(VLOOKUP(DATE($A$2,$A$3+$A$1-1,EI5),HolidayList[Date],1,0)))),TRUE,FALSE),FALSE)</f>
        <v>0</v>
      </c>
      <c r="EJ4" s="15" t="b">
        <f>IFERROR(IF(AND(VLOOKUP(EJ6,$OA$17:$OB$23,2,0)="Yes",NOT(ISNUMBER(VLOOKUP(DATE($A$2,$A$3+$A$1-1,EJ5),HolidayList[Date],1,0)))),TRUE,FALSE),FALSE)</f>
        <v>0</v>
      </c>
      <c r="EK4" s="15" t="b">
        <f>IFERROR(IF(AND(VLOOKUP(EK6,$OA$17:$OB$23,2,0)="Yes",NOT(ISNUMBER(VLOOKUP(DATE($A$2,$A$3+$A$1-1,EK5),HolidayList[Date],1,0)))),TRUE,FALSE),FALSE)</f>
        <v>0</v>
      </c>
      <c r="EL4" s="15" t="b">
        <f>IFERROR(IF(AND(VLOOKUP(EL6,$OA$17:$OB$23,2,0)="Yes",NOT(ISNUMBER(VLOOKUP(DATE($A$2,$A$3+$A$1-1,EL5),HolidayList[Date],1,0)))),TRUE,FALSE),FALSE)</f>
        <v>0</v>
      </c>
      <c r="EM4" s="15" t="b">
        <f>IFERROR(IF(AND(VLOOKUP(EM6,$OA$17:$OB$23,2,0)="Yes",NOT(ISNUMBER(VLOOKUP(DATE($A$2,$A$3+$A$1-1,EM5),HolidayList[Date],1,0)))),TRUE,FALSE),FALSE)</f>
        <v>0</v>
      </c>
      <c r="EN4" s="15" t="b">
        <f>IFERROR(IF(AND(VLOOKUP(EN6,$OA$17:$OB$23,2,0)="Yes",NOT(ISNUMBER(VLOOKUP(DATE($A$2,$A$3+$A$1-1,EN5),HolidayList[Date],1,0)))),TRUE,FALSE),FALSE)</f>
        <v>0</v>
      </c>
      <c r="EO4" s="15" t="b">
        <f>IFERROR(IF(AND(VLOOKUP(EO6,$OA$17:$OB$23,2,0)="Yes",NOT(ISNUMBER(VLOOKUP(DATE($A$2,$A$3+$A$1-1,EO5),HolidayList[Date],1,0)))),TRUE,FALSE),FALSE)</f>
        <v>0</v>
      </c>
      <c r="EP4" s="15" t="b">
        <f>IFERROR(IF(AND(VLOOKUP(EP6,$OA$17:$OB$23,2,0)="Yes",NOT(ISNUMBER(VLOOKUP(DATE($A$2,$A$3+$A$1-1,EP5),HolidayList[Date],1,0)))),TRUE,FALSE),FALSE)</f>
        <v>0</v>
      </c>
      <c r="EQ4" s="15" t="b">
        <f>IFERROR(IF(AND(VLOOKUP(EQ6,$OA$17:$OB$23,2,0)="Yes",NOT(ISNUMBER(VLOOKUP(DATE($A$2,$A$3+$A$1-1,EQ5),HolidayList[Date],1,0)))),TRUE,FALSE),FALSE)</f>
        <v>0</v>
      </c>
      <c r="ER4" s="15" t="b">
        <f>IFERROR(IF(AND(VLOOKUP(ER6,$OA$17:$OB$23,2,0)="Yes",NOT(ISNUMBER(VLOOKUP(DATE($A$2,$A$3+$A$1-1,ER5),HolidayList[Date],1,0)))),TRUE,FALSE),FALSE)</f>
        <v>0</v>
      </c>
      <c r="ES4" s="15" t="b">
        <f>IFERROR(IF(AND(VLOOKUP(ES6,$OA$17:$OB$23,2,0)="Yes",NOT(ISNUMBER(VLOOKUP(DATE($A$2,$A$3+$A$1-1,ES5),HolidayList[Date],1,0)))),TRUE,FALSE),FALSE)</f>
        <v>0</v>
      </c>
      <c r="ET4" s="15" t="b">
        <f>IFERROR(IF(AND(VLOOKUP(ET6,$OA$17:$OB$23,2,0)="Yes",NOT(ISNUMBER(VLOOKUP(DATE($A$2,$A$3+$A$1-1,ET5),HolidayList[Date],1,0)))),TRUE,FALSE),FALSE)</f>
        <v>0</v>
      </c>
      <c r="EU4" s="15" t="b">
        <f>IFERROR(IF(AND(VLOOKUP(EU6,$OA$17:$OB$23,2,0)="Yes",NOT(ISNUMBER(VLOOKUP(DATE($A$2,$A$3+$A$1-1,EU5),HolidayList[Date],1,0)))),TRUE,FALSE),FALSE)</f>
        <v>0</v>
      </c>
      <c r="EV4" s="15" t="b">
        <f>IFERROR(IF(AND(VLOOKUP(EV6,$OA$17:$OB$23,2,0)="Yes",NOT(ISNUMBER(VLOOKUP(DATE($A$2,$A$3+$A$1-1,EV5),HolidayList[Date],1,0)))),TRUE,FALSE),FALSE)</f>
        <v>0</v>
      </c>
      <c r="EW4" s="15" t="b">
        <f>IFERROR(IF(AND(VLOOKUP(EW6,$OA$17:$OB$23,2,0)="Yes",NOT(ISNUMBER(VLOOKUP(DATE($A$2,$A$3+$A$1-1,EW5),HolidayList[Date],1,0)))),TRUE,FALSE),FALSE)</f>
        <v>0</v>
      </c>
      <c r="EX4" s="15" t="b">
        <f>IFERROR(IF(AND(VLOOKUP(EX6,$OA$17:$OB$23,2,0)="Yes",NOT(ISNUMBER(VLOOKUP(DATE($A$2,$A$3+$A$1-1,EX5),HolidayList[Date],1,0)))),TRUE,FALSE),FALSE)</f>
        <v>0</v>
      </c>
      <c r="EY4" s="15" t="b">
        <f>IFERROR(IF(AND(VLOOKUP(EY6,$OA$17:$OB$23,2,0)="Yes",NOT(ISNUMBER(VLOOKUP(DATE($A$2,$A$3+$A$1-1,EY5),HolidayList[Date],1,0)))),TRUE,FALSE),FALSE)</f>
        <v>0</v>
      </c>
      <c r="EZ4" s="15" t="b">
        <f>IFERROR(IF(AND(VLOOKUP(EZ6,$OA$17:$OB$23,2,0)="Yes",NOT(ISNUMBER(VLOOKUP(DATE($A$2,$A$3+$A$1-1,EZ5),HolidayList[Date],1,0)))),TRUE,FALSE),FALSE)</f>
        <v>0</v>
      </c>
      <c r="FA4" s="15" t="b">
        <f>IFERROR(IF(AND(VLOOKUP(FA6,$OA$17:$OB$23,2,0)="Yes",NOT(ISNUMBER(VLOOKUP(DATE($A$2,$A$3+$A$1-1,FA5),HolidayList[Date],1,0)))),TRUE,FALSE),FALSE)</f>
        <v>0</v>
      </c>
      <c r="FB4" s="15" t="b">
        <f>IFERROR(IF(AND(VLOOKUP(FB6,$OA$17:$OB$23,2,0)="Yes",NOT(ISNUMBER(VLOOKUP(DATE($A$2,$A$3+$A$1-1,FB5),HolidayList[Date],1,0)))),TRUE,FALSE),FALSE)</f>
        <v>0</v>
      </c>
      <c r="FC4" s="15" t="b">
        <f>IFERROR(IF(AND(VLOOKUP(FC6,$OA$17:$OB$23,2,0)="Yes",NOT(ISNUMBER(VLOOKUP(DATE($A$2,$A$3+$A$1-1,FC5),HolidayList[Date],1,0)))),TRUE,FALSE),FALSE)</f>
        <v>0</v>
      </c>
      <c r="FD4" s="15" t="b">
        <f>IFERROR(IF(AND(VLOOKUP(FD6,$OA$17:$OB$23,2,0)="Yes",NOT(ISNUMBER(VLOOKUP(DATE($A$2,$A$3+$A$1-1,FD5),HolidayList[Date],1,0)))),TRUE,FALSE),FALSE)</f>
        <v>0</v>
      </c>
      <c r="FE4" s="15" t="b">
        <f>IFERROR(IF(AND(VLOOKUP(FE6,$OA$17:$OB$23,2,0)="Yes",NOT(ISNUMBER(VLOOKUP(DATE($A$2,$A$3+$A$1-1,FE5),HolidayList[Date],1,0)))),TRUE,FALSE),FALSE)</f>
        <v>0</v>
      </c>
      <c r="FF4" s="15" t="b">
        <f>IFERROR(IF(AND(VLOOKUP(FF6,$OA$17:$OB$23,2,0)="Yes",NOT(ISNUMBER(VLOOKUP(DATE($A$2,$A$3+$A$1-1,FF5),HolidayList[Date],1,0)))),TRUE,FALSE),FALSE)</f>
        <v>0</v>
      </c>
      <c r="FG4" s="15" t="b">
        <f>IFERROR(IF(AND(VLOOKUP(FG6,$OA$17:$OB$23,2,0)="Yes",NOT(ISNUMBER(VLOOKUP(DATE($A$2,$A$3+$A$1-1,FG5),HolidayList[Date],1,0)))),TRUE,FALSE),FALSE)</f>
        <v>0</v>
      </c>
      <c r="FH4" s="15" t="b">
        <f>IFERROR(IF(AND(VLOOKUP(FH6,$OA$17:$OB$23,2,0)="Yes",NOT(ISNUMBER(VLOOKUP(DATE($A$2,$A$3+$A$1-1,FH5),HolidayList[Date],1,0)))),TRUE,FALSE),FALSE)</f>
        <v>0</v>
      </c>
      <c r="FI4" s="15" t="b">
        <f>IFERROR(IF(AND(VLOOKUP(FI6,$OA$17:$OB$23,2,0)="Yes",NOT(ISNUMBER(VLOOKUP(DATE($A$2,$A$3+$A$1-1,FI5),HolidayList[Date],1,0)))),TRUE,FALSE),FALSE)</f>
        <v>0</v>
      </c>
      <c r="FJ4" s="15" t="b">
        <f>IFERROR(IF(AND(VLOOKUP(FJ6,$OA$17:$OB$23,2,0)="Yes",NOT(ISNUMBER(VLOOKUP(DATE($A$2,$A$3+$A$1-1,FJ5),HolidayList[Date],1,0)))),TRUE,FALSE),FALSE)</f>
        <v>0</v>
      </c>
      <c r="FK4" s="15" t="b">
        <f>IFERROR(IF(AND(VLOOKUP(FK6,$OA$17:$OB$23,2,0)="Yes",NOT(ISNUMBER(VLOOKUP(DATE($A$2,$A$3+$A$1-1,FK5),HolidayList[Date],1,0)))),TRUE,FALSE),FALSE)</f>
        <v>0</v>
      </c>
      <c r="FL4" s="15" t="b">
        <f>IFERROR(IF(AND(VLOOKUP(FL6,$OA$17:$OB$23,2,0)="Yes",NOT(ISNUMBER(VLOOKUP(DATE($A$2,$A$3+$A$1-1,FL5),HolidayList[Date],1,0)))),TRUE,FALSE),FALSE)</f>
        <v>0</v>
      </c>
      <c r="FM4" s="15" t="b">
        <f>IFERROR(IF(AND(VLOOKUP(FM6,$OA$17:$OB$23,2,0)="Yes",NOT(ISNUMBER(VLOOKUP(DATE($A$2,$A$3+$A$1-1,FM5),HolidayList[Date],1,0)))),TRUE,FALSE),FALSE)</f>
        <v>0</v>
      </c>
      <c r="FN4" s="15" t="b">
        <f>IFERROR(IF(AND(VLOOKUP(FN6,$OA$17:$OB$23,2,0)="Yes",NOT(ISNUMBER(VLOOKUP(DATE($A$2,$A$3+$A$1-1,FN5),HolidayList[Date],1,0)))),TRUE,FALSE),FALSE)</f>
        <v>0</v>
      </c>
      <c r="FO4" s="15" t="b">
        <f>IFERROR(IF(AND(VLOOKUP(FO6,$OA$17:$OB$23,2,0)="Yes",NOT(ISNUMBER(VLOOKUP(DATE($A$2,$A$3+$A$1-1,FO5),HolidayList[Date],1,0)))),TRUE,FALSE),FALSE)</f>
        <v>0</v>
      </c>
      <c r="FP4" s="15" t="b">
        <f>IFERROR(IF(AND(VLOOKUP(FP6,$OA$17:$OB$23,2,0)="Yes",NOT(ISNUMBER(VLOOKUP(DATE($A$2,$A$3+$A$1-1,FP5),HolidayList[Date],1,0)))),TRUE,FALSE),FALSE)</f>
        <v>0</v>
      </c>
      <c r="FQ4" s="15" t="b">
        <f>IFERROR(IF(AND(VLOOKUP(FQ6,$OA$17:$OB$23,2,0)="Yes",NOT(ISNUMBER(VLOOKUP(DATE($A$2,$A$3+$A$1-1,FQ5),HolidayList[Date],1,0)))),TRUE,FALSE),FALSE)</f>
        <v>0</v>
      </c>
      <c r="FR4" s="15" t="b">
        <f>IFERROR(IF(AND(VLOOKUP(FR6,$OA$17:$OB$23,2,0)="Yes",NOT(ISNUMBER(VLOOKUP(DATE($A$2,$A$3+$A$1-1,FR5),HolidayList[Date],1,0)))),TRUE,FALSE),FALSE)</f>
        <v>0</v>
      </c>
      <c r="FS4" s="15" t="b">
        <f>IFERROR(IF(AND(VLOOKUP(FS6,$OA$17:$OB$23,2,0)="Yes",NOT(ISNUMBER(VLOOKUP(DATE($A$2,$A$3+$A$1-1,FS5),HolidayList[Date],1,0)))),TRUE,FALSE),FALSE)</f>
        <v>0</v>
      </c>
      <c r="FT4" s="15" t="b">
        <f>IFERROR(IF(AND(VLOOKUP(FT6,$OA$17:$OB$23,2,0)="Yes",NOT(ISNUMBER(VLOOKUP(DATE($A$2,$A$3+$A$1-1,FT5),HolidayList[Date],1,0)))),TRUE,FALSE),FALSE)</f>
        <v>0</v>
      </c>
      <c r="FU4" s="15" t="b">
        <f>IFERROR(IF(AND(VLOOKUP(FU6,$OA$17:$OB$23,2,0)="Yes",NOT(ISNUMBER(VLOOKUP(DATE($A$2,$A$3+$A$1-1,FU5),HolidayList[Date],1,0)))),TRUE,FALSE),FALSE)</f>
        <v>0</v>
      </c>
      <c r="FV4" s="15" t="b">
        <f>IFERROR(IF(AND(VLOOKUP(FV6,$OA$17:$OB$23,2,0)="Yes",NOT(ISNUMBER(VLOOKUP(DATE($A$2,$A$3+$A$1-1,FV5),HolidayList[Date],1,0)))),TRUE,FALSE),FALSE)</f>
        <v>0</v>
      </c>
      <c r="FW4" s="15" t="b">
        <f>IFERROR(IF(AND(VLOOKUP(FW6,$OA$17:$OB$23,2,0)="Yes",NOT(ISNUMBER(VLOOKUP(DATE($A$2,$A$3+$A$1-1,FW5),HolidayList[Date],1,0)))),TRUE,FALSE),FALSE)</f>
        <v>0</v>
      </c>
      <c r="FX4" s="15" t="b">
        <f>IFERROR(IF(AND(VLOOKUP(FX6,$OA$17:$OB$23,2,0)="Yes",NOT(ISNUMBER(VLOOKUP(DATE($A$2,$A$3+$A$1-1,FX5),HolidayList[Date],1,0)))),TRUE,FALSE),FALSE)</f>
        <v>0</v>
      </c>
      <c r="FY4" s="15" t="b">
        <f>IFERROR(IF(AND(VLOOKUP(FY6,$OA$17:$OB$23,2,0)="Yes",NOT(ISNUMBER(VLOOKUP(DATE($A$2,$A$3+$A$1-1,FY5),HolidayList[Date],1,0)))),TRUE,FALSE),FALSE)</f>
        <v>0</v>
      </c>
      <c r="FZ4" s="15" t="b">
        <f>IFERROR(IF(AND(VLOOKUP(FZ6,$OA$17:$OB$23,2,0)="Yes",NOT(ISNUMBER(VLOOKUP(DATE($A$2,$A$3+$A$1-1,FZ5),HolidayList[Date],1,0)))),TRUE,FALSE),FALSE)</f>
        <v>0</v>
      </c>
      <c r="GA4" s="15" t="b">
        <f>IFERROR(IF(AND(VLOOKUP(GA6,$OA$17:$OB$23,2,0)="Yes",NOT(ISNUMBER(VLOOKUP(DATE($A$2,$A$3+$A$1-1,GA5),HolidayList[Date],1,0)))),TRUE,FALSE),FALSE)</f>
        <v>0</v>
      </c>
      <c r="GB4" s="15" t="b">
        <f>IFERROR(IF(AND(VLOOKUP(GB6,$OA$17:$OB$23,2,0)="Yes",NOT(ISNUMBER(VLOOKUP(DATE($A$2,$A$3+$A$1-1,GB5),HolidayList[Date],1,0)))),TRUE,FALSE),FALSE)</f>
        <v>0</v>
      </c>
      <c r="GC4" s="15" t="b">
        <f>IFERROR(IF(AND(VLOOKUP(GC6,$OA$17:$OB$23,2,0)="Yes",NOT(ISNUMBER(VLOOKUP(DATE($A$2,$A$3+$A$1-1,GC5),HolidayList[Date],1,0)))),TRUE,FALSE),FALSE)</f>
        <v>0</v>
      </c>
      <c r="GD4" s="15" t="b">
        <f>IFERROR(IF(AND(VLOOKUP(GD6,$OA$17:$OB$23,2,0)="Yes",NOT(ISNUMBER(VLOOKUP(DATE($A$2,$A$3+$A$1-1,GD5),HolidayList[Date],1,0)))),TRUE,FALSE),FALSE)</f>
        <v>0</v>
      </c>
      <c r="GE4" s="15" t="b">
        <f>IFERROR(IF(AND(VLOOKUP(GE6,$OA$17:$OB$23,2,0)="Yes",NOT(ISNUMBER(VLOOKUP(DATE($A$2,$A$3+$A$1-1,GE5),HolidayList[Date],1,0)))),TRUE,FALSE),FALSE)</f>
        <v>0</v>
      </c>
      <c r="GF4" s="15" t="b">
        <f>IFERROR(IF(AND(VLOOKUP(GF6,$OA$17:$OB$23,2,0)="Yes",NOT(ISNUMBER(VLOOKUP(DATE($A$2,$A$3+$A$1-1,GF5),HolidayList[Date],1,0)))),TRUE,FALSE),FALSE)</f>
        <v>0</v>
      </c>
      <c r="GG4" s="15" t="b">
        <f>IFERROR(IF(AND(VLOOKUP(GG6,$OA$17:$OB$23,2,0)="Yes",NOT(ISNUMBER(VLOOKUP(DATE($A$2,$A$3+$A$1-1,GG5),HolidayList[Date],1,0)))),TRUE,FALSE),FALSE)</f>
        <v>0</v>
      </c>
      <c r="GH4" s="15" t="b">
        <f>IFERROR(IF(AND(VLOOKUP(GH6,$OA$17:$OB$23,2,0)="Yes",NOT(ISNUMBER(VLOOKUP(DATE($A$2,$A$3+$A$1-1,GH5),HolidayList[Date],1,0)))),TRUE,FALSE),FALSE)</f>
        <v>0</v>
      </c>
      <c r="GI4" s="15" t="b">
        <f>IFERROR(IF(AND(VLOOKUP(GI6,$OA$17:$OB$23,2,0)="Yes",NOT(ISNUMBER(VLOOKUP(DATE($A$2,$A$3+$A$1-1,GI5),HolidayList[Date],1,0)))),TRUE,FALSE),FALSE)</f>
        <v>0</v>
      </c>
      <c r="GJ4" s="15" t="b">
        <f>IFERROR(IF(AND(VLOOKUP(GJ6,$OA$17:$OB$23,2,0)="Yes",NOT(ISNUMBER(VLOOKUP(DATE($A$2,$A$3+$A$1-1,GJ5),HolidayList[Date],1,0)))),TRUE,FALSE),FALSE)</f>
        <v>0</v>
      </c>
      <c r="GK4" s="15" t="b">
        <f>IFERROR(IF(AND(VLOOKUP(GK6,$OA$17:$OB$23,2,0)="Yes",NOT(ISNUMBER(VLOOKUP(DATE($A$2,$A$3+$A$1-1,GK5),HolidayList[Date],1,0)))),TRUE,FALSE),FALSE)</f>
        <v>0</v>
      </c>
      <c r="GL4" s="15" t="b">
        <f>IFERROR(IF(AND(VLOOKUP(GL6,$OA$17:$OB$23,2,0)="Yes",NOT(ISNUMBER(VLOOKUP(DATE($A$2,$A$3+$A$1-1,GL5),HolidayList[Date],1,0)))),TRUE,FALSE),FALSE)</f>
        <v>0</v>
      </c>
      <c r="GM4" s="15" t="b">
        <f>IFERROR(IF(AND(VLOOKUP(GM6,$OA$17:$OB$23,2,0)="Yes",NOT(ISNUMBER(VLOOKUP(DATE($A$2,$A$3+$A$1-1,GM5),HolidayList[Date],1,0)))),TRUE,FALSE),FALSE)</f>
        <v>0</v>
      </c>
      <c r="GN4" s="15" t="b">
        <f>IFERROR(IF(AND(VLOOKUP(GN6,$OA$17:$OB$23,2,0)="Yes",NOT(ISNUMBER(VLOOKUP(DATE($A$2,$A$3+$A$1-1,GN5),HolidayList[Date],1,0)))),TRUE,FALSE),FALSE)</f>
        <v>0</v>
      </c>
      <c r="GO4" s="15" t="b">
        <f>IFERROR(IF(AND(VLOOKUP(GO6,$OA$17:$OB$23,2,0)="Yes",NOT(ISNUMBER(VLOOKUP(DATE($A$2,$A$3+$A$1-1,GO5),HolidayList[Date],1,0)))),TRUE,FALSE),FALSE)</f>
        <v>0</v>
      </c>
      <c r="GP4" s="15" t="b">
        <f>IFERROR(IF(AND(VLOOKUP(GP6,$OA$17:$OB$23,2,0)="Yes",NOT(ISNUMBER(VLOOKUP(DATE($A$2,$A$3+$A$1-1,GP5),HolidayList[Date],1,0)))),TRUE,FALSE),FALSE)</f>
        <v>0</v>
      </c>
      <c r="GQ4" s="15" t="b">
        <f>IFERROR(IF(AND(VLOOKUP(GQ6,$OA$17:$OB$23,2,0)="Yes",NOT(ISNUMBER(VLOOKUP(DATE($A$2,$A$3+$A$1-1,GQ5),HolidayList[Date],1,0)))),TRUE,FALSE),FALSE)</f>
        <v>0</v>
      </c>
      <c r="GR4" s="15" t="b">
        <f>IFERROR(IF(AND(VLOOKUP(GR6,$OA$17:$OB$23,2,0)="Yes",NOT(ISNUMBER(VLOOKUP(DATE($A$2,$A$3+$A$1-1,GR5),HolidayList[Date],1,0)))),TRUE,FALSE),FALSE)</f>
        <v>0</v>
      </c>
      <c r="GS4" s="15" t="b">
        <f>IFERROR(IF(AND(VLOOKUP(GS6,$OA$17:$OB$23,2,0)="Yes",NOT(ISNUMBER(VLOOKUP(DATE($A$2,$A$3+$A$1-1,GS5),HolidayList[Date],1,0)))),TRUE,FALSE),FALSE)</f>
        <v>0</v>
      </c>
      <c r="GT4" s="15" t="b">
        <f>IFERROR(IF(AND(VLOOKUP(GT6,$OA$17:$OB$23,2,0)="Yes",NOT(ISNUMBER(VLOOKUP(DATE($A$2,$A$3+$A$1-1,GT5),HolidayList[Date],1,0)))),TRUE,FALSE),FALSE)</f>
        <v>0</v>
      </c>
      <c r="GU4" s="15" t="b">
        <f>IFERROR(IF(AND(VLOOKUP(GU6,$OA$17:$OB$23,2,0)="Yes",NOT(ISNUMBER(VLOOKUP(DATE($A$2,$A$3+$A$1-1,GU5),HolidayList[Date],1,0)))),TRUE,FALSE),FALSE)</f>
        <v>0</v>
      </c>
      <c r="GV4" s="15" t="b">
        <f>IFERROR(IF(AND(VLOOKUP(GV6,$OA$17:$OB$23,2,0)="Yes",NOT(ISNUMBER(VLOOKUP(DATE($A$2,$A$3+$A$1-1,GV5),HolidayList[Date],1,0)))),TRUE,FALSE),FALSE)</f>
        <v>0</v>
      </c>
      <c r="GW4" s="15" t="b">
        <f>IFERROR(IF(AND(VLOOKUP(GW6,$OA$17:$OB$23,2,0)="Yes",NOT(ISNUMBER(VLOOKUP(DATE($A$2,$A$3+$A$1-1,GW5),HolidayList[Date],1,0)))),TRUE,FALSE),FALSE)</f>
        <v>0</v>
      </c>
      <c r="GX4" s="15" t="b">
        <f>IFERROR(IF(AND(VLOOKUP(GX6,$OA$17:$OB$23,2,0)="Yes",NOT(ISNUMBER(VLOOKUP(DATE($A$2,$A$3+$A$1-1,GX5),HolidayList[Date],1,0)))),TRUE,FALSE),FALSE)</f>
        <v>0</v>
      </c>
      <c r="GY4" s="15" t="b">
        <f>IFERROR(IF(AND(VLOOKUP(GY6,$OA$17:$OB$23,2,0)="Yes",NOT(ISNUMBER(VLOOKUP(DATE($A$2,$A$3+$A$1-1,GY5),HolidayList[Date],1,0)))),TRUE,FALSE),FALSE)</f>
        <v>0</v>
      </c>
      <c r="GZ4" s="15" t="b">
        <f>IFERROR(IF(AND(VLOOKUP(GZ6,$OA$17:$OB$23,2,0)="Yes",NOT(ISNUMBER(VLOOKUP(DATE($A$2,$A$3+$A$1-1,GZ5),HolidayList[Date],1,0)))),TRUE,FALSE),FALSE)</f>
        <v>0</v>
      </c>
      <c r="HA4" s="15" t="b">
        <f>IFERROR(IF(AND(VLOOKUP(HA6,$OA$17:$OB$23,2,0)="Yes",NOT(ISNUMBER(VLOOKUP(DATE($A$2,$A$3+$A$1-1,HA5),HolidayList[Date],1,0)))),TRUE,FALSE),FALSE)</f>
        <v>0</v>
      </c>
      <c r="HB4" s="15" t="b">
        <f>IFERROR(IF(AND(VLOOKUP(HB6,$OA$17:$OB$23,2,0)="Yes",NOT(ISNUMBER(VLOOKUP(DATE($A$2,$A$3+$A$1-1,HB5),HolidayList[Date],1,0)))),TRUE,FALSE),FALSE)</f>
        <v>0</v>
      </c>
      <c r="HC4" s="15" t="b">
        <f>IFERROR(IF(AND(VLOOKUP(HC6,$OA$17:$OB$23,2,0)="Yes",NOT(ISNUMBER(VLOOKUP(DATE($A$2,$A$3+$A$1-1,HC5),HolidayList[Date],1,0)))),TRUE,FALSE),FALSE)</f>
        <v>0</v>
      </c>
      <c r="HD4" s="15" t="b">
        <f>IFERROR(IF(AND(VLOOKUP(HD6,$OA$17:$OB$23,2,0)="Yes",NOT(ISNUMBER(VLOOKUP(DATE($A$2,$A$3+$A$1-1,HD5),HolidayList[Date],1,0)))),TRUE,FALSE),FALSE)</f>
        <v>0</v>
      </c>
      <c r="HE4" s="15" t="b">
        <f>IFERROR(IF(AND(VLOOKUP(HE6,$OA$17:$OB$23,2,0)="Yes",NOT(ISNUMBER(VLOOKUP(DATE($A$2,$A$3+$A$1-1,HE5),HolidayList[Date],1,0)))),TRUE,FALSE),FALSE)</f>
        <v>0</v>
      </c>
      <c r="HF4" s="15" t="b">
        <f>IFERROR(IF(AND(VLOOKUP(HF6,$OA$17:$OB$23,2,0)="Yes",NOT(ISNUMBER(VLOOKUP(DATE($A$2,$A$3+$A$1-1,HF5),HolidayList[Date],1,0)))),TRUE,FALSE),FALSE)</f>
        <v>0</v>
      </c>
      <c r="HG4" s="15" t="b">
        <f>IFERROR(IF(AND(VLOOKUP(HG6,$OA$17:$OB$23,2,0)="Yes",NOT(ISNUMBER(VLOOKUP(DATE($A$2,$A$3+$A$1-1,HG5),HolidayList[Date],1,0)))),TRUE,FALSE),FALSE)</f>
        <v>0</v>
      </c>
      <c r="HH4" s="15" t="b">
        <f>IFERROR(IF(AND(VLOOKUP(HH6,$OA$17:$OB$23,2,0)="Yes",NOT(ISNUMBER(VLOOKUP(DATE($A$2,$A$3+$A$1-1,HH5),HolidayList[Date],1,0)))),TRUE,FALSE),FALSE)</f>
        <v>0</v>
      </c>
      <c r="HI4" s="15" t="b">
        <f>IFERROR(IF(AND(VLOOKUP(HI6,$OA$17:$OB$23,2,0)="Yes",NOT(ISNUMBER(VLOOKUP(DATE($A$2,$A$3+$A$1-1,HI5),HolidayList[Date],1,0)))),TRUE,FALSE),FALSE)</f>
        <v>0</v>
      </c>
      <c r="HJ4" s="15" t="b">
        <f>IFERROR(IF(AND(VLOOKUP(HJ6,$OA$17:$OB$23,2,0)="Yes",NOT(ISNUMBER(VLOOKUP(DATE($A$2,$A$3+$A$1-1,HJ5),HolidayList[Date],1,0)))),TRUE,FALSE),FALSE)</f>
        <v>0</v>
      </c>
      <c r="HK4" s="15" t="b">
        <f>IFERROR(IF(AND(VLOOKUP(HK6,$OA$17:$OB$23,2,0)="Yes",NOT(ISNUMBER(VLOOKUP(DATE($A$2,$A$3+$A$1-1,HK5),HolidayList[Date],1,0)))),TRUE,FALSE),FALSE)</f>
        <v>0</v>
      </c>
      <c r="HL4" s="15" t="b">
        <f>IFERROR(IF(AND(VLOOKUP(HL6,$OA$17:$OB$23,2,0)="Yes",NOT(ISNUMBER(VLOOKUP(DATE($A$2,$A$3+$A$1-1,HL5),HolidayList[Date],1,0)))),TRUE,FALSE),FALSE)</f>
        <v>0</v>
      </c>
      <c r="HM4" s="15" t="b">
        <f>IFERROR(IF(AND(VLOOKUP(HM6,$OA$17:$OB$23,2,0)="Yes",NOT(ISNUMBER(VLOOKUP(DATE($A$2,$A$3+$A$1-1,HM5),HolidayList[Date],1,0)))),TRUE,FALSE),FALSE)</f>
        <v>0</v>
      </c>
      <c r="HN4" s="15" t="b">
        <f>IFERROR(IF(AND(VLOOKUP(HN6,$OA$17:$OB$23,2,0)="Yes",NOT(ISNUMBER(VLOOKUP(DATE($A$2,$A$3+$A$1-1,HN5),HolidayList[Date],1,0)))),TRUE,FALSE),FALSE)</f>
        <v>0</v>
      </c>
      <c r="HO4" s="15" t="b">
        <f>IFERROR(IF(AND(VLOOKUP(HO6,$OA$17:$OB$23,2,0)="Yes",NOT(ISNUMBER(VLOOKUP(DATE($A$2,$A$3+$A$1-1,HO5),HolidayList[Date],1,0)))),TRUE,FALSE),FALSE)</f>
        <v>0</v>
      </c>
      <c r="HP4" s="15" t="b">
        <f>IFERROR(IF(AND(VLOOKUP(HP6,$OA$17:$OB$23,2,0)="Yes",NOT(ISNUMBER(VLOOKUP(DATE($A$2,$A$3+$A$1-1,HP5),HolidayList[Date],1,0)))),TRUE,FALSE),FALSE)</f>
        <v>0</v>
      </c>
      <c r="HQ4" s="15" t="b">
        <f>IFERROR(IF(AND(VLOOKUP(HQ6,$OA$17:$OB$23,2,0)="Yes",NOT(ISNUMBER(VLOOKUP(DATE($A$2,$A$3+$A$1-1,HQ5),HolidayList[Date],1,0)))),TRUE,FALSE),FALSE)</f>
        <v>0</v>
      </c>
      <c r="HR4" s="15" t="b">
        <f>IFERROR(IF(AND(VLOOKUP(HR6,$OA$17:$OB$23,2,0)="Yes",NOT(ISNUMBER(VLOOKUP(DATE($A$2,$A$3+$A$1-1,HR5),HolidayList[Date],1,0)))),TRUE,FALSE),FALSE)</f>
        <v>0</v>
      </c>
      <c r="HS4" s="15" t="b">
        <f>IFERROR(IF(AND(VLOOKUP(HS6,$OA$17:$OB$23,2,0)="Yes",NOT(ISNUMBER(VLOOKUP(DATE($A$2,$A$3+$A$1-1,HS5),HolidayList[Date],1,0)))),TRUE,FALSE),FALSE)</f>
        <v>0</v>
      </c>
      <c r="HT4" s="15" t="b">
        <f>IFERROR(IF(AND(VLOOKUP(HT6,$OA$17:$OB$23,2,0)="Yes",NOT(ISNUMBER(VLOOKUP(DATE($A$2,$A$3+$A$1-1,HT5),HolidayList[Date],1,0)))),TRUE,FALSE),FALSE)</f>
        <v>0</v>
      </c>
      <c r="HU4" s="15" t="b">
        <f>IFERROR(IF(AND(VLOOKUP(HU6,$OA$17:$OB$23,2,0)="Yes",NOT(ISNUMBER(VLOOKUP(DATE($A$2,$A$3+$A$1-1,HU5),HolidayList[Date],1,0)))),TRUE,FALSE),FALSE)</f>
        <v>0</v>
      </c>
      <c r="HV4" s="15" t="b">
        <f>IFERROR(IF(AND(VLOOKUP(HV6,$OA$17:$OB$23,2,0)="Yes",NOT(ISNUMBER(VLOOKUP(DATE($A$2,$A$3+$A$1-1,HV5),HolidayList[Date],1,0)))),TRUE,FALSE),FALSE)</f>
        <v>0</v>
      </c>
      <c r="HW4" s="15" t="b">
        <f>IFERROR(IF(AND(VLOOKUP(HW6,$OA$17:$OB$23,2,0)="Yes",NOT(ISNUMBER(VLOOKUP(DATE($A$2,$A$3+$A$1-1,HW5),HolidayList[Date],1,0)))),TRUE,FALSE),FALSE)</f>
        <v>0</v>
      </c>
      <c r="HX4" s="15" t="b">
        <f>IFERROR(IF(AND(VLOOKUP(HX6,$OA$17:$OB$23,2,0)="Yes",NOT(ISNUMBER(VLOOKUP(DATE($A$2,$A$3+$A$1-1,HX5),HolidayList[Date],1,0)))),TRUE,FALSE),FALSE)</f>
        <v>0</v>
      </c>
      <c r="HY4" s="15" t="b">
        <f>IFERROR(IF(AND(VLOOKUP(HY6,$OA$17:$OB$23,2,0)="Yes",NOT(ISNUMBER(VLOOKUP(DATE($A$2,$A$3+$A$1-1,HY5),HolidayList[Date],1,0)))),TRUE,FALSE),FALSE)</f>
        <v>0</v>
      </c>
      <c r="HZ4" s="15" t="b">
        <f>IFERROR(IF(AND(VLOOKUP(HZ6,$OA$17:$OB$23,2,0)="Yes",NOT(ISNUMBER(VLOOKUP(DATE($A$2,$A$3+$A$1-1,HZ5),HolidayList[Date],1,0)))),TRUE,FALSE),FALSE)</f>
        <v>0</v>
      </c>
      <c r="IA4" s="15" t="b">
        <f>IFERROR(IF(AND(VLOOKUP(IA6,$OA$17:$OB$23,2,0)="Yes",NOT(ISNUMBER(VLOOKUP(DATE($A$2,$A$3+$A$1-1,IA5),HolidayList[Date],1,0)))),TRUE,FALSE),FALSE)</f>
        <v>0</v>
      </c>
      <c r="IB4" s="15" t="b">
        <f>IFERROR(IF(AND(VLOOKUP(IB6,$OA$17:$OB$23,2,0)="Yes",NOT(ISNUMBER(VLOOKUP(DATE($A$2,$A$3+$A$1-1,IB5),HolidayList[Date],1,0)))),TRUE,FALSE),FALSE)</f>
        <v>0</v>
      </c>
      <c r="IC4" s="15" t="b">
        <f>IFERROR(IF(AND(VLOOKUP(IC6,$OA$17:$OB$23,2,0)="Yes",NOT(ISNUMBER(VLOOKUP(DATE($A$2,$A$3+$A$1-1,IC5),HolidayList[Date],1,0)))),TRUE,FALSE),FALSE)</f>
        <v>0</v>
      </c>
      <c r="ID4" s="15" t="b">
        <f>IFERROR(IF(AND(VLOOKUP(ID6,$OA$17:$OB$23,2,0)="Yes",NOT(ISNUMBER(VLOOKUP(DATE($A$2,$A$3+$A$1-1,ID5),HolidayList[Date],1,0)))),TRUE,FALSE),FALSE)</f>
        <v>0</v>
      </c>
      <c r="IE4" s="15" t="b">
        <f>IFERROR(IF(AND(VLOOKUP(IE6,$OA$17:$OB$23,2,0)="Yes",NOT(ISNUMBER(VLOOKUP(DATE($A$2,$A$3+$A$1-1,IE5),HolidayList[Date],1,0)))),TRUE,FALSE),FALSE)</f>
        <v>0</v>
      </c>
      <c r="IF4" s="15" t="b">
        <f>IFERROR(IF(AND(VLOOKUP(IF6,$OA$17:$OB$23,2,0)="Yes",NOT(ISNUMBER(VLOOKUP(DATE($A$2,$A$3+$A$1-1,IF5),HolidayList[Date],1,0)))),TRUE,FALSE),FALSE)</f>
        <v>0</v>
      </c>
      <c r="IG4" s="15" t="b">
        <f>IFERROR(IF(AND(VLOOKUP(IG6,$OA$17:$OB$23,2,0)="Yes",NOT(ISNUMBER(VLOOKUP(DATE($A$2,$A$3+$A$1-1,IG5),HolidayList[Date],1,0)))),TRUE,FALSE),FALSE)</f>
        <v>0</v>
      </c>
      <c r="IH4" s="15" t="b">
        <f>IFERROR(IF(AND(VLOOKUP(IH6,$OA$17:$OB$23,2,0)="Yes",NOT(ISNUMBER(VLOOKUP(DATE($A$2,$A$3+$A$1-1,IH5),HolidayList[Date],1,0)))),TRUE,FALSE),FALSE)</f>
        <v>0</v>
      </c>
      <c r="II4" s="15" t="b">
        <f>IFERROR(IF(AND(VLOOKUP(II6,$OA$17:$OB$23,2,0)="Yes",NOT(ISNUMBER(VLOOKUP(DATE($A$2,$A$3+$A$1-1,II5),HolidayList[Date],1,0)))),TRUE,FALSE),FALSE)</f>
        <v>0</v>
      </c>
      <c r="IJ4" s="15" t="b">
        <f>IFERROR(IF(AND(VLOOKUP(IJ6,$OA$17:$OB$23,2,0)="Yes",NOT(ISNUMBER(VLOOKUP(DATE($A$2,$A$3+$A$1-1,IJ5),HolidayList[Date],1,0)))),TRUE,FALSE),FALSE)</f>
        <v>0</v>
      </c>
      <c r="IK4" s="15" t="b">
        <f>IFERROR(IF(AND(VLOOKUP(IK6,$OA$17:$OB$23,2,0)="Yes",NOT(ISNUMBER(VLOOKUP(DATE($A$2,$A$3+$A$1-1,IK5),HolidayList[Date],1,0)))),TRUE,FALSE),FALSE)</f>
        <v>0</v>
      </c>
      <c r="IL4" s="15" t="b">
        <f>IFERROR(IF(AND(VLOOKUP(IL6,$OA$17:$OB$23,2,0)="Yes",NOT(ISNUMBER(VLOOKUP(DATE($A$2,$A$3+$A$1-1,IL5),HolidayList[Date],1,0)))),TRUE,FALSE),FALSE)</f>
        <v>0</v>
      </c>
      <c r="IM4" s="15" t="b">
        <f>IFERROR(IF(AND(VLOOKUP(IM6,$OA$17:$OB$23,2,0)="Yes",NOT(ISNUMBER(VLOOKUP(DATE($A$2,$A$3+$A$1-1,IM5),HolidayList[Date],1,0)))),TRUE,FALSE),FALSE)</f>
        <v>0</v>
      </c>
      <c r="IN4" s="15" t="b">
        <f>IFERROR(IF(AND(VLOOKUP(IN6,$OA$17:$OB$23,2,0)="Yes",NOT(ISNUMBER(VLOOKUP(DATE($A$2,$A$3+$A$1-1,IN5),HolidayList[Date],1,0)))),TRUE,FALSE),FALSE)</f>
        <v>0</v>
      </c>
      <c r="IO4" s="15" t="b">
        <f>IFERROR(IF(AND(VLOOKUP(IO6,$OA$17:$OB$23,2,0)="Yes",NOT(ISNUMBER(VLOOKUP(DATE($A$2,$A$3+$A$1-1,IO5),HolidayList[Date],1,0)))),TRUE,FALSE),FALSE)</f>
        <v>0</v>
      </c>
      <c r="IP4" s="15" t="b">
        <f>IFERROR(IF(AND(VLOOKUP(IP6,$OA$17:$OB$23,2,0)="Yes",NOT(ISNUMBER(VLOOKUP(DATE($A$2,$A$3+$A$1-1,IP5),HolidayList[Date],1,0)))),TRUE,FALSE),FALSE)</f>
        <v>0</v>
      </c>
      <c r="IQ4" s="15" t="b">
        <f>IFERROR(IF(AND(VLOOKUP(IQ6,$OA$17:$OB$23,2,0)="Yes",NOT(ISNUMBER(VLOOKUP(DATE($A$2,$A$3+$A$1-1,IQ5),HolidayList[Date],1,0)))),TRUE,FALSE),FALSE)</f>
        <v>0</v>
      </c>
      <c r="IR4" s="15" t="b">
        <f>IFERROR(IF(AND(VLOOKUP(IR6,$OA$17:$OB$23,2,0)="Yes",NOT(ISNUMBER(VLOOKUP(DATE($A$2,$A$3+$A$1-1,IR5),HolidayList[Date],1,0)))),TRUE,FALSE),FALSE)</f>
        <v>0</v>
      </c>
      <c r="IS4" s="15" t="b">
        <f>IFERROR(IF(AND(VLOOKUP(IS6,$OA$17:$OB$23,2,0)="Yes",NOT(ISNUMBER(VLOOKUP(DATE($A$2,$A$3+$A$1-1,IS5),HolidayList[Date],1,0)))),TRUE,FALSE),FALSE)</f>
        <v>0</v>
      </c>
      <c r="IT4" s="15" t="b">
        <f>IFERROR(IF(AND(VLOOKUP(IT6,$OA$17:$OB$23,2,0)="Yes",NOT(ISNUMBER(VLOOKUP(DATE($A$2,$A$3+$A$1-1,IT5),HolidayList[Date],1,0)))),TRUE,FALSE),FALSE)</f>
        <v>0</v>
      </c>
      <c r="IU4" s="15" t="b">
        <f>IFERROR(IF(AND(VLOOKUP(IU6,$OA$17:$OB$23,2,0)="Yes",NOT(ISNUMBER(VLOOKUP(DATE($A$2,$A$3+$A$1-1,IU5),HolidayList[Date],1,0)))),TRUE,FALSE),FALSE)</f>
        <v>0</v>
      </c>
      <c r="IV4" s="15" t="b">
        <f>IFERROR(IF(AND(VLOOKUP(IV6,$OA$17:$OB$23,2,0)="Yes",NOT(ISNUMBER(VLOOKUP(DATE($A$2,$A$3+$A$1-1,IV5),HolidayList[Date],1,0)))),TRUE,FALSE),FALSE)</f>
        <v>0</v>
      </c>
      <c r="IW4" s="15" t="b">
        <f>IFERROR(IF(AND(VLOOKUP(IW6,$OA$17:$OB$23,2,0)="Yes",NOT(ISNUMBER(VLOOKUP(DATE($A$2,$A$3+$A$1-1,IW5),HolidayList[Date],1,0)))),TRUE,FALSE),FALSE)</f>
        <v>0</v>
      </c>
      <c r="IX4" s="15" t="b">
        <f>IFERROR(IF(AND(VLOOKUP(IX6,$OA$17:$OB$23,2,0)="Yes",NOT(ISNUMBER(VLOOKUP(DATE($A$2,$A$3+$A$1-1,IX5),HolidayList[Date],1,0)))),TRUE,FALSE),FALSE)</f>
        <v>0</v>
      </c>
      <c r="IY4" s="15" t="b">
        <f>IFERROR(IF(AND(VLOOKUP(IY6,$OA$17:$OB$23,2,0)="Yes",NOT(ISNUMBER(VLOOKUP(DATE($A$2,$A$3+$A$1-1,IY5),HolidayList[Date],1,0)))),TRUE,FALSE),FALSE)</f>
        <v>0</v>
      </c>
      <c r="IZ4" s="15" t="b">
        <f>IFERROR(IF(AND(VLOOKUP(IZ6,$OA$17:$OB$23,2,0)="Yes",NOT(ISNUMBER(VLOOKUP(DATE($A$2,$A$3+$A$1-1,IZ5),HolidayList[Date],1,0)))),TRUE,FALSE),FALSE)</f>
        <v>0</v>
      </c>
      <c r="JA4" s="15" t="b">
        <f>IFERROR(IF(AND(VLOOKUP(JA6,$OA$17:$OB$23,2,0)="Yes",NOT(ISNUMBER(VLOOKUP(DATE($A$2,$A$3+$A$1-1,JA5),HolidayList[Date],1,0)))),TRUE,FALSE),FALSE)</f>
        <v>0</v>
      </c>
      <c r="JB4" s="15" t="b">
        <f>IFERROR(IF(AND(VLOOKUP(JB6,$OA$17:$OB$23,2,0)="Yes",NOT(ISNUMBER(VLOOKUP(DATE($A$2,$A$3+$A$1-1,JB5),HolidayList[Date],1,0)))),TRUE,FALSE),FALSE)</f>
        <v>0</v>
      </c>
      <c r="JC4" s="15" t="b">
        <f>IFERROR(IF(AND(VLOOKUP(JC6,$OA$17:$OB$23,2,0)="Yes",NOT(ISNUMBER(VLOOKUP(DATE($A$2,$A$3+$A$1-1,JC5),HolidayList[Date],1,0)))),TRUE,FALSE),FALSE)</f>
        <v>0</v>
      </c>
      <c r="JD4" s="15" t="b">
        <f>IFERROR(IF(AND(VLOOKUP(JD6,$OA$17:$OB$23,2,0)="Yes",NOT(ISNUMBER(VLOOKUP(DATE($A$2,$A$3+$A$1-1,JD5),HolidayList[Date],1,0)))),TRUE,FALSE),FALSE)</f>
        <v>0</v>
      </c>
      <c r="JE4" s="15" t="b">
        <f>IFERROR(IF(AND(VLOOKUP(JE6,$OA$17:$OB$23,2,0)="Yes",NOT(ISNUMBER(VLOOKUP(DATE($A$2,$A$3+$A$1-1,JE5),HolidayList[Date],1,0)))),TRUE,FALSE),FALSE)</f>
        <v>0</v>
      </c>
      <c r="JF4" s="15" t="b">
        <f>IFERROR(IF(AND(VLOOKUP(JF6,$OA$17:$OB$23,2,0)="Yes",NOT(ISNUMBER(VLOOKUP(DATE($A$2,$A$3+$A$1-1,JF5),HolidayList[Date],1,0)))),TRUE,FALSE),FALSE)</f>
        <v>0</v>
      </c>
      <c r="JG4" s="15" t="b">
        <f>IFERROR(IF(AND(VLOOKUP(JG6,$OA$17:$OB$23,2,0)="Yes",NOT(ISNUMBER(VLOOKUP(DATE($A$2,$A$3+$A$1-1,JG5),HolidayList[Date],1,0)))),TRUE,FALSE),FALSE)</f>
        <v>0</v>
      </c>
      <c r="JH4" s="15" t="b">
        <f>IFERROR(IF(AND(VLOOKUP(JH6,$OA$17:$OB$23,2,0)="Yes",NOT(ISNUMBER(VLOOKUP(DATE($A$2,$A$3+$A$1-1,JH5),HolidayList[Date],1,0)))),TRUE,FALSE),FALSE)</f>
        <v>0</v>
      </c>
      <c r="JI4" s="15" t="b">
        <f>IFERROR(IF(AND(VLOOKUP(JI6,$OA$17:$OB$23,2,0)="Yes",NOT(ISNUMBER(VLOOKUP(DATE($A$2,$A$3+$A$1-1,JI5),HolidayList[Date],1,0)))),TRUE,FALSE),FALSE)</f>
        <v>0</v>
      </c>
      <c r="JJ4" s="15" t="b">
        <f>IFERROR(IF(AND(VLOOKUP(JJ6,$OA$17:$OB$23,2,0)="Yes",NOT(ISNUMBER(VLOOKUP(DATE($A$2,$A$3+$A$1-1,JJ5),HolidayList[Date],1,0)))),TRUE,FALSE),FALSE)</f>
        <v>0</v>
      </c>
      <c r="JK4" s="15" t="b">
        <f>IFERROR(IF(AND(VLOOKUP(JK6,$OA$17:$OB$23,2,0)="Yes",NOT(ISNUMBER(VLOOKUP(DATE($A$2,$A$3+$A$1-1,JK5),HolidayList[Date],1,0)))),TRUE,FALSE),FALSE)</f>
        <v>0</v>
      </c>
      <c r="JL4" s="15" t="b">
        <f>IFERROR(IF(AND(VLOOKUP(JL6,$OA$17:$OB$23,2,0)="Yes",NOT(ISNUMBER(VLOOKUP(DATE($A$2,$A$3+$A$1-1,JL5),HolidayList[Date],1,0)))),TRUE,FALSE),FALSE)</f>
        <v>0</v>
      </c>
      <c r="JM4" s="15" t="b">
        <f>IFERROR(IF(AND(VLOOKUP(JM6,$OA$17:$OB$23,2,0)="Yes",NOT(ISNUMBER(VLOOKUP(DATE($A$2,$A$3+$A$1-1,JM5),HolidayList[Date],1,0)))),TRUE,FALSE),FALSE)</f>
        <v>0</v>
      </c>
      <c r="JN4" s="15" t="b">
        <f>IFERROR(IF(AND(VLOOKUP(JN6,$OA$17:$OB$23,2,0)="Yes",NOT(ISNUMBER(VLOOKUP(DATE($A$2,$A$3+$A$1-1,JN5),HolidayList[Date],1,0)))),TRUE,FALSE),FALSE)</f>
        <v>0</v>
      </c>
      <c r="JO4" s="15" t="b">
        <f>IFERROR(IF(AND(VLOOKUP(JO6,$OA$17:$OB$23,2,0)="Yes",NOT(ISNUMBER(VLOOKUP(DATE($A$2,$A$3+$A$1-1,JO5),HolidayList[Date],1,0)))),TRUE,FALSE),FALSE)</f>
        <v>0</v>
      </c>
      <c r="JP4" s="15" t="b">
        <f>IFERROR(IF(AND(VLOOKUP(JP6,$OA$17:$OB$23,2,0)="Yes",NOT(ISNUMBER(VLOOKUP(DATE($A$2,$A$3+$A$1-1,JP5),HolidayList[Date],1,0)))),TRUE,FALSE),FALSE)</f>
        <v>0</v>
      </c>
      <c r="JQ4" s="15" t="b">
        <f>IFERROR(IF(AND(VLOOKUP(JQ6,$OA$17:$OB$23,2,0)="Yes",NOT(ISNUMBER(VLOOKUP(DATE($A$2,$A$3+$A$1-1,JQ5),HolidayList[Date],1,0)))),TRUE,FALSE),FALSE)</f>
        <v>0</v>
      </c>
      <c r="JR4" s="15" t="b">
        <f>IFERROR(IF(AND(VLOOKUP(JR6,$OA$17:$OB$23,2,0)="Yes",NOT(ISNUMBER(VLOOKUP(DATE($A$2,$A$3+$A$1-1,JR5),HolidayList[Date],1,0)))),TRUE,FALSE),FALSE)</f>
        <v>0</v>
      </c>
      <c r="JS4" s="15" t="b">
        <f>IFERROR(IF(AND(VLOOKUP(JS6,$OA$17:$OB$23,2,0)="Yes",NOT(ISNUMBER(VLOOKUP(DATE($A$2,$A$3+$A$1-1,JS5),HolidayList[Date],1,0)))),TRUE,FALSE),FALSE)</f>
        <v>0</v>
      </c>
      <c r="JT4" s="15" t="b">
        <f>IFERROR(IF(AND(VLOOKUP(JT6,$OA$17:$OB$23,2,0)="Yes",NOT(ISNUMBER(VLOOKUP(DATE($A$2,$A$3+$A$1-1,JT5),HolidayList[Date],1,0)))),TRUE,FALSE),FALSE)</f>
        <v>0</v>
      </c>
      <c r="JU4" s="15" t="b">
        <f>IFERROR(IF(AND(VLOOKUP(JU6,$OA$17:$OB$23,2,0)="Yes",NOT(ISNUMBER(VLOOKUP(DATE($A$2,$A$3+$A$1-1,JU5),HolidayList[Date],1,0)))),TRUE,FALSE),FALSE)</f>
        <v>0</v>
      </c>
      <c r="JV4" s="15" t="b">
        <f>IFERROR(IF(AND(VLOOKUP(JV6,$OA$17:$OB$23,2,0)="Yes",NOT(ISNUMBER(VLOOKUP(DATE($A$2,$A$3+$A$1-1,JV5),HolidayList[Date],1,0)))),TRUE,FALSE),FALSE)</f>
        <v>0</v>
      </c>
      <c r="JW4" s="15" t="b">
        <f>IFERROR(IF(AND(VLOOKUP(JW6,$OA$17:$OB$23,2,0)="Yes",NOT(ISNUMBER(VLOOKUP(DATE($A$2,$A$3+$A$1-1,JW5),HolidayList[Date],1,0)))),TRUE,FALSE),FALSE)</f>
        <v>0</v>
      </c>
      <c r="JX4" s="15" t="b">
        <f>IFERROR(IF(AND(VLOOKUP(JX6,$OA$17:$OB$23,2,0)="Yes",NOT(ISNUMBER(VLOOKUP(DATE($A$2,$A$3+$A$1-1,JX5),HolidayList[Date],1,0)))),TRUE,FALSE),FALSE)</f>
        <v>0</v>
      </c>
      <c r="JY4" s="15" t="b">
        <f>IFERROR(IF(AND(VLOOKUP(JY6,$OA$17:$OB$23,2,0)="Yes",NOT(ISNUMBER(VLOOKUP(DATE($A$2,$A$3+$A$1-1,JY5),HolidayList[Date],1,0)))),TRUE,FALSE),FALSE)</f>
        <v>0</v>
      </c>
      <c r="JZ4" s="15" t="b">
        <f>IFERROR(IF(AND(VLOOKUP(JZ6,$OA$17:$OB$23,2,0)="Yes",NOT(ISNUMBER(VLOOKUP(DATE($A$2,$A$3+$A$1-1,JZ5),HolidayList[Date],1,0)))),TRUE,FALSE),FALSE)</f>
        <v>0</v>
      </c>
      <c r="KA4" s="15" t="b">
        <f>IFERROR(IF(AND(VLOOKUP(KA6,$OA$17:$OB$23,2,0)="Yes",NOT(ISNUMBER(VLOOKUP(DATE($A$2,$A$3+$A$1-1,KA5),HolidayList[Date],1,0)))),TRUE,FALSE),FALSE)</f>
        <v>0</v>
      </c>
      <c r="KB4" s="15" t="b">
        <f>IFERROR(IF(AND(VLOOKUP(KB6,$OA$17:$OB$23,2,0)="Yes",NOT(ISNUMBER(VLOOKUP(DATE($A$2,$A$3+$A$1-1,KB5),HolidayList[Date],1,0)))),TRUE,FALSE),FALSE)</f>
        <v>0</v>
      </c>
      <c r="KC4" s="15" t="b">
        <f>IFERROR(IF(AND(VLOOKUP(KC6,$OA$17:$OB$23,2,0)="Yes",NOT(ISNUMBER(VLOOKUP(DATE($A$2,$A$3+$A$1-1,KC5),HolidayList[Date],1,0)))),TRUE,FALSE),FALSE)</f>
        <v>0</v>
      </c>
      <c r="KD4" s="15" t="b">
        <f>IFERROR(IF(AND(VLOOKUP(KD6,$OA$17:$OB$23,2,0)="Yes",NOT(ISNUMBER(VLOOKUP(DATE($A$2,$A$3+$A$1-1,KD5),HolidayList[Date],1,0)))),TRUE,FALSE),FALSE)</f>
        <v>0</v>
      </c>
      <c r="KE4" s="15" t="b">
        <f>IFERROR(IF(AND(VLOOKUP(KE6,$OA$17:$OB$23,2,0)="Yes",NOT(ISNUMBER(VLOOKUP(DATE($A$2,$A$3+$A$1-1,KE5),HolidayList[Date],1,0)))),TRUE,FALSE),FALSE)</f>
        <v>0</v>
      </c>
      <c r="KF4" s="15" t="b">
        <f>IFERROR(IF(AND(VLOOKUP(KF6,$OA$17:$OB$23,2,0)="Yes",NOT(ISNUMBER(VLOOKUP(DATE($A$2,$A$3+$A$1-1,KF5),HolidayList[Date],1,0)))),TRUE,FALSE),FALSE)</f>
        <v>0</v>
      </c>
      <c r="KG4" s="15" t="b">
        <f>IFERROR(IF(AND(VLOOKUP(KG6,$OA$17:$OB$23,2,0)="Yes",NOT(ISNUMBER(VLOOKUP(DATE($A$2,$A$3+$A$1-1,KG5),HolidayList[Date],1,0)))),TRUE,FALSE),FALSE)</f>
        <v>0</v>
      </c>
      <c r="KH4" s="15" t="b">
        <f>IFERROR(IF(AND(VLOOKUP(KH6,$OA$17:$OB$23,2,0)="Yes",NOT(ISNUMBER(VLOOKUP(DATE($A$2,$A$3+$A$1-1,KH5),HolidayList[Date],1,0)))),TRUE,FALSE),FALSE)</f>
        <v>0</v>
      </c>
      <c r="KI4" s="15" t="b">
        <f>IFERROR(IF(AND(VLOOKUP(KI6,$OA$17:$OB$23,2,0)="Yes",NOT(ISNUMBER(VLOOKUP(DATE($A$2,$A$3+$A$1-1,KI5),HolidayList[Date],1,0)))),TRUE,FALSE),FALSE)</f>
        <v>0</v>
      </c>
      <c r="KJ4" s="15" t="b">
        <f>IFERROR(IF(AND(VLOOKUP(KJ6,$OA$17:$OB$23,2,0)="Yes",NOT(ISNUMBER(VLOOKUP(DATE($A$2,$A$3+$A$1-1,KJ5),HolidayList[Date],1,0)))),TRUE,FALSE),FALSE)</f>
        <v>0</v>
      </c>
      <c r="KK4" s="15" t="b">
        <f>IFERROR(IF(AND(VLOOKUP(KK6,$OA$17:$OB$23,2,0)="Yes",NOT(ISNUMBER(VLOOKUP(DATE($A$2,$A$3+$A$1-1,KK5),HolidayList[Date],1,0)))),TRUE,FALSE),FALSE)</f>
        <v>0</v>
      </c>
      <c r="KL4" s="15" t="b">
        <f>IFERROR(IF(AND(VLOOKUP(KL6,$OA$17:$OB$23,2,0)="Yes",NOT(ISNUMBER(VLOOKUP(DATE($A$2,$A$3+$A$1-1,KL5),HolidayList[Date],1,0)))),TRUE,FALSE),FALSE)</f>
        <v>0</v>
      </c>
      <c r="KM4" s="15" t="b">
        <f>IFERROR(IF(AND(VLOOKUP(KM6,$OA$17:$OB$23,2,0)="Yes",NOT(ISNUMBER(VLOOKUP(DATE($A$2,$A$3+$A$1-1,KM5),HolidayList[Date],1,0)))),TRUE,FALSE),FALSE)</f>
        <v>0</v>
      </c>
      <c r="KN4" s="15" t="b">
        <f>IFERROR(IF(AND(VLOOKUP(KN6,$OA$17:$OB$23,2,0)="Yes",NOT(ISNUMBER(VLOOKUP(DATE($A$2,$A$3+$A$1-1,KN5),HolidayList[Date],1,0)))),TRUE,FALSE),FALSE)</f>
        <v>0</v>
      </c>
      <c r="KO4" s="15" t="b">
        <f>IFERROR(IF(AND(VLOOKUP(KO6,$OA$17:$OB$23,2,0)="Yes",NOT(ISNUMBER(VLOOKUP(DATE($A$2,$A$3+$A$1-1,KO5),HolidayList[Date],1,0)))),TRUE,FALSE),FALSE)</f>
        <v>0</v>
      </c>
      <c r="KP4" s="15" t="b">
        <f>IFERROR(IF(AND(VLOOKUP(KP6,$OA$17:$OB$23,2,0)="Yes",NOT(ISNUMBER(VLOOKUP(DATE($A$2,$A$3+$A$1-1,KP5),HolidayList[Date],1,0)))),TRUE,FALSE),FALSE)</f>
        <v>0</v>
      </c>
      <c r="KQ4" s="15" t="b">
        <f>IFERROR(IF(AND(VLOOKUP(KQ6,$OA$17:$OB$23,2,0)="Yes",NOT(ISNUMBER(VLOOKUP(DATE($A$2,$A$3+$A$1-1,KQ5),HolidayList[Date],1,0)))),TRUE,FALSE),FALSE)</f>
        <v>0</v>
      </c>
      <c r="KR4" s="15" t="b">
        <f>IFERROR(IF(AND(VLOOKUP(KR6,$OA$17:$OB$23,2,0)="Yes",NOT(ISNUMBER(VLOOKUP(DATE($A$2,$A$3+$A$1-1,KR5),HolidayList[Date],1,0)))),TRUE,FALSE),FALSE)</f>
        <v>0</v>
      </c>
      <c r="KS4" s="15" t="b">
        <f>IFERROR(IF(AND(VLOOKUP(KS6,$OA$17:$OB$23,2,0)="Yes",NOT(ISNUMBER(VLOOKUP(DATE($A$2,$A$3+$A$1-1,KS5),HolidayList[Date],1,0)))),TRUE,FALSE),FALSE)</f>
        <v>0</v>
      </c>
      <c r="KT4" s="15" t="b">
        <f>IFERROR(IF(AND(VLOOKUP(KT6,$OA$17:$OB$23,2,0)="Yes",NOT(ISNUMBER(VLOOKUP(DATE($A$2,$A$3+$A$1-1,KT5),HolidayList[Date],1,0)))),TRUE,FALSE),FALSE)</f>
        <v>0</v>
      </c>
      <c r="KU4" s="15" t="b">
        <f>IFERROR(IF(AND(VLOOKUP(KU6,$OA$17:$OB$23,2,0)="Yes",NOT(ISNUMBER(VLOOKUP(DATE($A$2,$A$3+$A$1-1,KU5),HolidayList[Date],1,0)))),TRUE,FALSE),FALSE)</f>
        <v>0</v>
      </c>
      <c r="KV4" s="15" t="b">
        <f>IFERROR(IF(AND(VLOOKUP(KV6,$OA$17:$OB$23,2,0)="Yes",NOT(ISNUMBER(VLOOKUP(DATE($A$2,$A$3+$A$1-1,KV5),HolidayList[Date],1,0)))),TRUE,FALSE),FALSE)</f>
        <v>0</v>
      </c>
      <c r="KW4" s="15" t="b">
        <f>IFERROR(IF(AND(VLOOKUP(KW6,$OA$17:$OB$23,2,0)="Yes",NOT(ISNUMBER(VLOOKUP(DATE($A$2,$A$3+$A$1-1,KW5),HolidayList[Date],1,0)))),TRUE,FALSE),FALSE)</f>
        <v>0</v>
      </c>
      <c r="KX4" s="15" t="b">
        <f>IFERROR(IF(AND(VLOOKUP(KX6,$OA$17:$OB$23,2,0)="Yes",NOT(ISNUMBER(VLOOKUP(DATE($A$2,$A$3+$A$1-1,KX5),HolidayList[Date],1,0)))),TRUE,FALSE),FALSE)</f>
        <v>0</v>
      </c>
      <c r="KY4" s="15" t="b">
        <f>IFERROR(IF(AND(VLOOKUP(KY6,$OA$17:$OB$23,2,0)="Yes",NOT(ISNUMBER(VLOOKUP(DATE($A$2,$A$3+$A$1-1,KY5),HolidayList[Date],1,0)))),TRUE,FALSE),FALSE)</f>
        <v>0</v>
      </c>
      <c r="KZ4" s="15" t="b">
        <f>IFERROR(IF(AND(VLOOKUP(KZ6,$OA$17:$OB$23,2,0)="Yes",NOT(ISNUMBER(VLOOKUP(DATE($A$2,$A$3+$A$1-1,KZ5),HolidayList[Date],1,0)))),TRUE,FALSE),FALSE)</f>
        <v>0</v>
      </c>
      <c r="LA4" s="15" t="b">
        <f>IFERROR(IF(AND(VLOOKUP(LA6,$OA$17:$OB$23,2,0)="Yes",NOT(ISNUMBER(VLOOKUP(DATE($A$2,$A$3+$A$1-1,LA5),HolidayList[Date],1,0)))),TRUE,FALSE),FALSE)</f>
        <v>0</v>
      </c>
      <c r="LB4" s="15" t="b">
        <f>IFERROR(IF(AND(VLOOKUP(LB6,$OA$17:$OB$23,2,0)="Yes",NOT(ISNUMBER(VLOOKUP(DATE($A$2,$A$3+$A$1-1,LB5),HolidayList[Date],1,0)))),TRUE,FALSE),FALSE)</f>
        <v>0</v>
      </c>
      <c r="LC4" s="15" t="b">
        <f>IFERROR(IF(AND(VLOOKUP(LC6,$OA$17:$OB$23,2,0)="Yes",NOT(ISNUMBER(VLOOKUP(DATE($A$2,$A$3+$A$1-1,LC5),HolidayList[Date],1,0)))),TRUE,FALSE),FALSE)</f>
        <v>0</v>
      </c>
      <c r="LD4" s="15" t="b">
        <f>IFERROR(IF(AND(VLOOKUP(LD6,$OA$17:$OB$23,2,0)="Yes",NOT(ISNUMBER(VLOOKUP(DATE($A$2,$A$3+$A$1-1,LD5),HolidayList[Date],1,0)))),TRUE,FALSE),FALSE)</f>
        <v>0</v>
      </c>
      <c r="LE4" s="15" t="b">
        <f>IFERROR(IF(AND(VLOOKUP(LE6,$OA$17:$OB$23,2,0)="Yes",NOT(ISNUMBER(VLOOKUP(DATE($A$2,$A$3+$A$1-1,LE5),HolidayList[Date],1,0)))),TRUE,FALSE),FALSE)</f>
        <v>0</v>
      </c>
      <c r="LF4" s="15" t="b">
        <f>IFERROR(IF(AND(VLOOKUP(LF6,$OA$17:$OB$23,2,0)="Yes",NOT(ISNUMBER(VLOOKUP(DATE($A$2,$A$3+$A$1-1,LF5),HolidayList[Date],1,0)))),TRUE,FALSE),FALSE)</f>
        <v>0</v>
      </c>
      <c r="LG4" s="15" t="b">
        <f>IFERROR(IF(AND(VLOOKUP(LG6,$OA$17:$OB$23,2,0)="Yes",NOT(ISNUMBER(VLOOKUP(DATE($A$2,$A$3+$A$1-1,LG5),HolidayList[Date],1,0)))),TRUE,FALSE),FALSE)</f>
        <v>0</v>
      </c>
      <c r="LH4" s="15" t="b">
        <f>IFERROR(IF(AND(VLOOKUP(LH6,$OA$17:$OB$23,2,0)="Yes",NOT(ISNUMBER(VLOOKUP(DATE($A$2,$A$3+$A$1-1,LH5),HolidayList[Date],1,0)))),TRUE,FALSE),FALSE)</f>
        <v>0</v>
      </c>
      <c r="LI4" s="15" t="b">
        <f>IFERROR(IF(AND(VLOOKUP(LI6,$OA$17:$OB$23,2,0)="Yes",NOT(ISNUMBER(VLOOKUP(DATE($A$2,$A$3+$A$1-1,LI5),HolidayList[Date],1,0)))),TRUE,FALSE),FALSE)</f>
        <v>0</v>
      </c>
      <c r="LJ4" s="15" t="b">
        <f>IFERROR(IF(AND(VLOOKUP(LJ6,$OA$17:$OB$23,2,0)="Yes",NOT(ISNUMBER(VLOOKUP(DATE($A$2,$A$3+$A$1-1,LJ5),HolidayList[Date],1,0)))),TRUE,FALSE),FALSE)</f>
        <v>0</v>
      </c>
      <c r="LK4" s="15" t="b">
        <f>IFERROR(IF(AND(VLOOKUP(LK6,$OA$17:$OB$23,2,0)="Yes",NOT(ISNUMBER(VLOOKUP(DATE($A$2,$A$3+$A$1-1,LK5),HolidayList[Date],1,0)))),TRUE,FALSE),FALSE)</f>
        <v>0</v>
      </c>
      <c r="LL4" s="15" t="b">
        <f>IFERROR(IF(AND(VLOOKUP(LL6,$OA$17:$OB$23,2,0)="Yes",NOT(ISNUMBER(VLOOKUP(DATE($A$2,$A$3+$A$1-1,LL5),HolidayList[Date],1,0)))),TRUE,FALSE),FALSE)</f>
        <v>0</v>
      </c>
      <c r="LM4" s="15" t="b">
        <f>IFERROR(IF(AND(VLOOKUP(LM6,$OA$17:$OB$23,2,0)="Yes",NOT(ISNUMBER(VLOOKUP(DATE($A$2,$A$3+$A$1-1,LM5),HolidayList[Date],1,0)))),TRUE,FALSE),FALSE)</f>
        <v>0</v>
      </c>
      <c r="LN4" s="15" t="b">
        <f>IFERROR(IF(AND(VLOOKUP(LN6,$OA$17:$OB$23,2,0)="Yes",NOT(ISNUMBER(VLOOKUP(DATE($A$2,$A$3+$A$1-1,LN5),HolidayList[Date],1,0)))),TRUE,FALSE),FALSE)</f>
        <v>0</v>
      </c>
      <c r="LO4" s="15" t="b">
        <f>IFERROR(IF(AND(VLOOKUP(LO6,$OA$17:$OB$23,2,0)="Yes",NOT(ISNUMBER(VLOOKUP(DATE($A$2,$A$3+$A$1-1,LO5),HolidayList[Date],1,0)))),TRUE,FALSE),FALSE)</f>
        <v>0</v>
      </c>
      <c r="LP4" s="15" t="b">
        <f>IFERROR(IF(AND(VLOOKUP(LP6,$OA$17:$OB$23,2,0)="Yes",NOT(ISNUMBER(VLOOKUP(DATE($A$2,$A$3+$A$1-1,LP5),HolidayList[Date],1,0)))),TRUE,FALSE),FALSE)</f>
        <v>0</v>
      </c>
      <c r="LQ4" s="15" t="b">
        <f>IFERROR(IF(AND(VLOOKUP(LQ6,$OA$17:$OB$23,2,0)="Yes",NOT(ISNUMBER(VLOOKUP(DATE($A$2,$A$3+$A$1-1,LQ5),HolidayList[Date],1,0)))),TRUE,FALSE),FALSE)</f>
        <v>0</v>
      </c>
      <c r="LR4" s="15" t="b">
        <f>IFERROR(IF(AND(VLOOKUP(LR6,$OA$17:$OB$23,2,0)="Yes",NOT(ISNUMBER(VLOOKUP(DATE($A$2,$A$3+$A$1-1,LR5),HolidayList[Date],1,0)))),TRUE,FALSE),FALSE)</f>
        <v>0</v>
      </c>
      <c r="LS4" s="15" t="b">
        <f>IFERROR(IF(AND(VLOOKUP(LS6,$OA$17:$OB$23,2,0)="Yes",NOT(ISNUMBER(VLOOKUP(DATE($A$2,$A$3+$A$1-1,LS5),HolidayList[Date],1,0)))),TRUE,FALSE),FALSE)</f>
        <v>0</v>
      </c>
      <c r="LT4" s="15" t="b">
        <f>IFERROR(IF(AND(VLOOKUP(LT6,$OA$17:$OB$23,2,0)="Yes",NOT(ISNUMBER(VLOOKUP(DATE($A$2,$A$3+$A$1-1,LT5),HolidayList[Date],1,0)))),TRUE,FALSE),FALSE)</f>
        <v>0</v>
      </c>
      <c r="LU4" s="15" t="b">
        <f>IFERROR(IF(AND(VLOOKUP(LU6,$OA$17:$OB$23,2,0)="Yes",NOT(ISNUMBER(VLOOKUP(DATE($A$2,$A$3+$A$1-1,LU5),HolidayList[Date],1,0)))),TRUE,FALSE),FALSE)</f>
        <v>0</v>
      </c>
      <c r="LV4" s="15" t="b">
        <f>IFERROR(IF(AND(VLOOKUP(LV6,$OA$17:$OB$23,2,0)="Yes",NOT(ISNUMBER(VLOOKUP(DATE($A$2,$A$3+$A$1-1,LV5),HolidayList[Date],1,0)))),TRUE,FALSE),FALSE)</f>
        <v>0</v>
      </c>
      <c r="LW4" s="15" t="b">
        <f>IFERROR(IF(AND(VLOOKUP(LW6,$OA$17:$OB$23,2,0)="Yes",NOT(ISNUMBER(VLOOKUP(DATE($A$2,$A$3+$A$1-1,LW5),HolidayList[Date],1,0)))),TRUE,FALSE),FALSE)</f>
        <v>0</v>
      </c>
      <c r="LX4" s="15" t="b">
        <f>IFERROR(IF(AND(VLOOKUP(LX6,$OA$17:$OB$23,2,0)="Yes",NOT(ISNUMBER(VLOOKUP(DATE($A$2,$A$3+$A$1-1,LX5),HolidayList[Date],1,0)))),TRUE,FALSE),FALSE)</f>
        <v>0</v>
      </c>
      <c r="LY4" s="15" t="b">
        <f>IFERROR(IF(AND(VLOOKUP(LY6,$OA$17:$OB$23,2,0)="Yes",NOT(ISNUMBER(VLOOKUP(DATE($A$2,$A$3+$A$1-1,LY5),HolidayList[Date],1,0)))),TRUE,FALSE),FALSE)</f>
        <v>0</v>
      </c>
      <c r="LZ4" s="15" t="b">
        <f>IFERROR(IF(AND(VLOOKUP(LZ6,$OA$17:$OB$23,2,0)="Yes",NOT(ISNUMBER(VLOOKUP(DATE($A$2,$A$3+$A$1-1,LZ5),HolidayList[Date],1,0)))),TRUE,FALSE),FALSE)</f>
        <v>0</v>
      </c>
      <c r="MA4" s="15" t="b">
        <f>IFERROR(IF(AND(VLOOKUP(MA6,$OA$17:$OB$23,2,0)="Yes",NOT(ISNUMBER(VLOOKUP(DATE($A$2,$A$3+$A$1-1,MA5),HolidayList[Date],1,0)))),TRUE,FALSE),FALSE)</f>
        <v>0</v>
      </c>
      <c r="MB4" s="15" t="b">
        <f>IFERROR(IF(AND(VLOOKUP(MB6,$OA$17:$OB$23,2,0)="Yes",NOT(ISNUMBER(VLOOKUP(DATE($A$2,$A$3+$A$1-1,MB5),HolidayList[Date],1,0)))),TRUE,FALSE),FALSE)</f>
        <v>0</v>
      </c>
      <c r="MC4" s="15" t="b">
        <f>IFERROR(IF(AND(VLOOKUP(MC6,$OA$17:$OB$23,2,0)="Yes",NOT(ISNUMBER(VLOOKUP(DATE($A$2,$A$3+$A$1-1,MC5),HolidayList[Date],1,0)))),TRUE,FALSE),FALSE)</f>
        <v>0</v>
      </c>
      <c r="MD4" s="15" t="b">
        <f>IFERROR(IF(AND(VLOOKUP(MD6,$OA$17:$OB$23,2,0)="Yes",NOT(ISNUMBER(VLOOKUP(DATE($A$2,$A$3+$A$1-1,MD5),HolidayList[Date],1,0)))),TRUE,FALSE),FALSE)</f>
        <v>0</v>
      </c>
      <c r="ME4" s="15" t="b">
        <f>IFERROR(IF(AND(VLOOKUP(ME6,$OA$17:$OB$23,2,0)="Yes",NOT(ISNUMBER(VLOOKUP(DATE($A$2,$A$3+$A$1-1,ME5),HolidayList[Date],1,0)))),TRUE,FALSE),FALSE)</f>
        <v>0</v>
      </c>
      <c r="MF4" s="15" t="b">
        <f>IFERROR(IF(AND(VLOOKUP(MF6,$OA$17:$OB$23,2,0)="Yes",NOT(ISNUMBER(VLOOKUP(DATE($A$2,$A$3+$A$1-1,MF5),HolidayList[Date],1,0)))),TRUE,FALSE),FALSE)</f>
        <v>0</v>
      </c>
      <c r="MG4" s="15" t="b">
        <f>IFERROR(IF(AND(VLOOKUP(MG6,$OA$17:$OB$23,2,0)="Yes",NOT(ISNUMBER(VLOOKUP(DATE($A$2,$A$3+$A$1-1,MG5),HolidayList[Date],1,0)))),TRUE,FALSE),FALSE)</f>
        <v>0</v>
      </c>
      <c r="MH4" s="15" t="b">
        <f>IFERROR(IF(AND(VLOOKUP(MH6,$OA$17:$OB$23,2,0)="Yes",NOT(ISNUMBER(VLOOKUP(DATE($A$2,$A$3+$A$1-1,MH5),HolidayList[Date],1,0)))),TRUE,FALSE),FALSE)</f>
        <v>0</v>
      </c>
      <c r="MI4" s="15" t="b">
        <f>IFERROR(IF(AND(VLOOKUP(MI6,$OA$17:$OB$23,2,0)="Yes",NOT(ISNUMBER(VLOOKUP(DATE($A$2,$A$3+$A$1-1,MI5),HolidayList[Date],1,0)))),TRUE,FALSE),FALSE)</f>
        <v>0</v>
      </c>
      <c r="MJ4" s="15" t="b">
        <f>IFERROR(IF(AND(VLOOKUP(MJ6,$OA$17:$OB$23,2,0)="Yes",NOT(ISNUMBER(VLOOKUP(DATE($A$2,$A$3+$A$1-1,MJ5),HolidayList[Date],1,0)))),TRUE,FALSE),FALSE)</f>
        <v>0</v>
      </c>
      <c r="MK4" s="15" t="b">
        <f>IFERROR(IF(AND(VLOOKUP(MK6,$OA$17:$OB$23,2,0)="Yes",NOT(ISNUMBER(VLOOKUP(DATE($A$2,$A$3+$A$1-1,MK5),HolidayList[Date],1,0)))),TRUE,FALSE),FALSE)</f>
        <v>0</v>
      </c>
      <c r="ML4" s="15" t="b">
        <f>IFERROR(IF(AND(VLOOKUP(ML6,$OA$17:$OB$23,2,0)="Yes",NOT(ISNUMBER(VLOOKUP(DATE($A$2,$A$3+$A$1-1,ML5),HolidayList[Date],1,0)))),TRUE,FALSE),FALSE)</f>
        <v>0</v>
      </c>
      <c r="MM4" s="15" t="b">
        <f>IFERROR(IF(AND(VLOOKUP(MM6,$OA$17:$OB$23,2,0)="Yes",NOT(ISNUMBER(VLOOKUP(DATE($A$2,$A$3+$A$1-1,MM5),HolidayList[Date],1,0)))),TRUE,FALSE),FALSE)</f>
        <v>0</v>
      </c>
      <c r="MN4" s="15" t="b">
        <f>IFERROR(IF(AND(VLOOKUP(MN6,$OA$17:$OB$23,2,0)="Yes",NOT(ISNUMBER(VLOOKUP(DATE($A$2,$A$3+$A$1-1,MN5),HolidayList[Date],1,0)))),TRUE,FALSE),FALSE)</f>
        <v>0</v>
      </c>
      <c r="MO4" s="15" t="b">
        <f>IFERROR(IF(AND(VLOOKUP(MO6,$OA$17:$OB$23,2,0)="Yes",NOT(ISNUMBER(VLOOKUP(DATE($A$2,$A$3+$A$1-1,MO5),HolidayList[Date],1,0)))),TRUE,FALSE),FALSE)</f>
        <v>0</v>
      </c>
      <c r="MP4" s="15" t="b">
        <f>IFERROR(IF(AND(VLOOKUP(MP6,$OA$17:$OB$23,2,0)="Yes",NOT(ISNUMBER(VLOOKUP(DATE($A$2,$A$3+$A$1-1,MP5),HolidayList[Date],1,0)))),TRUE,FALSE),FALSE)</f>
        <v>0</v>
      </c>
      <c r="MQ4" s="15" t="b">
        <f>IFERROR(IF(AND(VLOOKUP(MQ6,$OA$17:$OB$23,2,0)="Yes",NOT(ISNUMBER(VLOOKUP(DATE($A$2,$A$3+$A$1-1,MQ5),HolidayList[Date],1,0)))),TRUE,FALSE),FALSE)</f>
        <v>0</v>
      </c>
      <c r="MR4" s="15" t="b">
        <f>IFERROR(IF(AND(VLOOKUP(MR6,$OA$17:$OB$23,2,0)="Yes",NOT(ISNUMBER(VLOOKUP(DATE($A$2,$A$3+$A$1-1,MR5),HolidayList[Date],1,0)))),TRUE,FALSE),FALSE)</f>
        <v>0</v>
      </c>
      <c r="MS4" s="15" t="b">
        <f>IFERROR(IF(AND(VLOOKUP(MS6,$OA$17:$OB$23,2,0)="Yes",NOT(ISNUMBER(VLOOKUP(DATE($A$2,$A$3+$A$1-1,MS5),HolidayList[Date],1,0)))),TRUE,FALSE),FALSE)</f>
        <v>0</v>
      </c>
      <c r="MT4" s="15" t="b">
        <f>IFERROR(IF(AND(VLOOKUP(MT6,$OA$17:$OB$23,2,0)="Yes",NOT(ISNUMBER(VLOOKUP(DATE($A$2,$A$3+$A$1-1,MT5),HolidayList[Date],1,0)))),TRUE,FALSE),FALSE)</f>
        <v>0</v>
      </c>
      <c r="MU4" s="15" t="b">
        <f>IFERROR(IF(AND(VLOOKUP(MU6,$OA$17:$OB$23,2,0)="Yes",NOT(ISNUMBER(VLOOKUP(DATE($A$2,$A$3+$A$1-1,MU5),HolidayList[Date],1,0)))),TRUE,FALSE),FALSE)</f>
        <v>0</v>
      </c>
      <c r="MV4" s="15" t="b">
        <f>IFERROR(IF(AND(VLOOKUP(MV6,$OA$17:$OB$23,2,0)="Yes",NOT(ISNUMBER(VLOOKUP(DATE($A$2,$A$3+$A$1-1,MV5),HolidayList[Date],1,0)))),TRUE,FALSE),FALSE)</f>
        <v>0</v>
      </c>
      <c r="MW4" s="15" t="b">
        <f>IFERROR(IF(AND(VLOOKUP(MW6,$OA$17:$OB$23,2,0)="Yes",NOT(ISNUMBER(VLOOKUP(DATE($A$2,$A$3+$A$1-1,MW5),HolidayList[Date],1,0)))),TRUE,FALSE),FALSE)</f>
        <v>0</v>
      </c>
      <c r="MX4" s="15" t="b">
        <f>IFERROR(IF(AND(VLOOKUP(MX6,$OA$17:$OB$23,2,0)="Yes",NOT(ISNUMBER(VLOOKUP(DATE($A$2,$A$3+$A$1-1,MX5),HolidayList[Date],1,0)))),TRUE,FALSE),FALSE)</f>
        <v>0</v>
      </c>
      <c r="MY4" s="15" t="b">
        <f>IFERROR(IF(AND(VLOOKUP(MY6,$OA$17:$OB$23,2,0)="Yes",NOT(ISNUMBER(VLOOKUP(DATE($A$2,$A$3+$A$1-1,MY5),HolidayList[Date],1,0)))),TRUE,FALSE),FALSE)</f>
        <v>0</v>
      </c>
      <c r="MZ4" s="15" t="b">
        <f>IFERROR(IF(AND(VLOOKUP(MZ6,$OA$17:$OB$23,2,0)="Yes",NOT(ISNUMBER(VLOOKUP(DATE($A$2,$A$3+$A$1-1,MZ5),HolidayList[Date],1,0)))),TRUE,FALSE),FALSE)</f>
        <v>0</v>
      </c>
      <c r="NA4" s="15" t="b">
        <f>IFERROR(IF(AND(VLOOKUP(NA6,$OA$17:$OB$23,2,0)="Yes",NOT(ISNUMBER(VLOOKUP(DATE($A$2,$A$3+$A$1-1,NA5),HolidayList[Date],1,0)))),TRUE,FALSE),FALSE)</f>
        <v>0</v>
      </c>
      <c r="NB4" s="15" t="b">
        <f>IFERROR(IF(AND(VLOOKUP(NB6,$OA$17:$OB$23,2,0)="Yes",NOT(ISNUMBER(VLOOKUP(DATE($A$2,$A$3+$A$1-1,NB5),HolidayList[Date],1,0)))),TRUE,FALSE),FALSE)</f>
        <v>0</v>
      </c>
      <c r="NC4" s="15" t="b">
        <f>IFERROR(IF(AND(VLOOKUP(NC6,$OA$17:$OB$23,2,0)="Yes",NOT(ISNUMBER(VLOOKUP(DATE($A$2,$A$3+$A$1-1,NC5),HolidayList[Date],1,0)))),TRUE,FALSE),FALSE)</f>
        <v>0</v>
      </c>
      <c r="ND4" s="15" t="b">
        <f>IFERROR(IF(AND(VLOOKUP(ND6,$OA$17:$OB$23,2,0)="Yes",NOT(ISNUMBER(VLOOKUP(DATE($A$2,$A$3+$A$1-1,ND5),HolidayList[Date],1,0)))),TRUE,FALSE),FALSE)</f>
        <v>0</v>
      </c>
      <c r="NE4" s="15" t="b">
        <f>IFERROR(IF(AND(VLOOKUP(NE6,$OA$17:$OB$23,2,0)="Yes",NOT(ISNUMBER(VLOOKUP(DATE($A$2,$A$3+$A$1-1,NE5),HolidayList[Date],1,0)))),TRUE,FALSE),FALSE)</f>
        <v>0</v>
      </c>
      <c r="NF4" s="15" t="b">
        <f>IFERROR(IF(AND(VLOOKUP(NF6,$OA$17:$OB$23,2,0)="Yes",NOT(ISNUMBER(VLOOKUP(DATE($A$2,$A$3+$A$1-1,NF5),HolidayList[Date],1,0)))),TRUE,FALSE),FALSE)</f>
        <v>0</v>
      </c>
      <c r="NG4" s="15" t="b">
        <f>IFERROR(IF(AND(VLOOKUP(NG6,$OA$17:$OB$23,2,0)="Yes",NOT(ISNUMBER(VLOOKUP(DATE($A$2,$A$3+$A$1-1,NG5),HolidayList[Date],1,0)))),TRUE,FALSE),FALSE)</f>
        <v>0</v>
      </c>
      <c r="NH4" s="15" t="b">
        <f>IFERROR(IF(AND(VLOOKUP(NH6,$OA$17:$OB$23,2,0)="Yes",NOT(ISNUMBER(VLOOKUP(DATE($A$2,$A$3+$A$1-1,NH5),HolidayList[Date],1,0)))),TRUE,FALSE),FALSE)</f>
        <v>0</v>
      </c>
      <c r="NI4" s="15" t="b">
        <f>IFERROR(IF(AND(VLOOKUP(NI6,$OA$17:$OB$23,2,0)="Yes",NOT(ISNUMBER(VLOOKUP(DATE($A$2,$A$3+$A$1-1,NI5),HolidayList[Date],1,0)))),TRUE,FALSE),FALSE)</f>
        <v>1</v>
      </c>
    </row>
    <row r="5" spans="1:765" x14ac:dyDescent="0.45">
      <c r="A5" s="1"/>
      <c r="B5" s="7">
        <f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>1</v>
      </c>
      <c r="C5" s="7">
        <f t="shared" ref="C5:BN5" si="0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>2</v>
      </c>
      <c r="D5" s="7">
        <f t="shared" si="0"/>
        <v>3</v>
      </c>
      <c r="E5" s="7">
        <f t="shared" si="0"/>
        <v>4</v>
      </c>
      <c r="F5" s="7">
        <f t="shared" si="0"/>
        <v>5</v>
      </c>
      <c r="G5" s="7">
        <f t="shared" si="0"/>
        <v>6</v>
      </c>
      <c r="H5" s="7">
        <f t="shared" si="0"/>
        <v>7</v>
      </c>
      <c r="I5" s="7">
        <f t="shared" si="0"/>
        <v>8</v>
      </c>
      <c r="J5" s="7">
        <f t="shared" si="0"/>
        <v>9</v>
      </c>
      <c r="K5" s="7">
        <f t="shared" si="0"/>
        <v>10</v>
      </c>
      <c r="L5" s="7">
        <f t="shared" si="0"/>
        <v>11</v>
      </c>
      <c r="M5" s="7">
        <f t="shared" si="0"/>
        <v>12</v>
      </c>
      <c r="N5" s="7">
        <f t="shared" si="0"/>
        <v>13</v>
      </c>
      <c r="O5" s="7">
        <f t="shared" si="0"/>
        <v>14</v>
      </c>
      <c r="P5" s="7">
        <f t="shared" si="0"/>
        <v>15</v>
      </c>
      <c r="Q5" s="7">
        <f t="shared" si="0"/>
        <v>16</v>
      </c>
      <c r="R5" s="7">
        <f t="shared" si="0"/>
        <v>17</v>
      </c>
      <c r="S5" s="7">
        <f t="shared" si="0"/>
        <v>18</v>
      </c>
      <c r="T5" s="7">
        <f t="shared" si="0"/>
        <v>19</v>
      </c>
      <c r="U5" s="7">
        <f t="shared" si="0"/>
        <v>20</v>
      </c>
      <c r="V5" s="7">
        <f t="shared" si="0"/>
        <v>21</v>
      </c>
      <c r="W5" s="7">
        <f t="shared" si="0"/>
        <v>22</v>
      </c>
      <c r="X5" s="7">
        <f t="shared" si="0"/>
        <v>23</v>
      </c>
      <c r="Y5" s="7">
        <f t="shared" si="0"/>
        <v>24</v>
      </c>
      <c r="Z5" s="7">
        <f t="shared" si="0"/>
        <v>25</v>
      </c>
      <c r="AA5" s="7">
        <f t="shared" si="0"/>
        <v>26</v>
      </c>
      <c r="AB5" s="7">
        <f t="shared" si="0"/>
        <v>27</v>
      </c>
      <c r="AC5" s="7">
        <f t="shared" si="0"/>
        <v>28</v>
      </c>
      <c r="AD5" s="7">
        <f t="shared" si="0"/>
        <v>29</v>
      </c>
      <c r="AE5" s="7">
        <f t="shared" si="0"/>
        <v>30</v>
      </c>
      <c r="AF5" s="7">
        <f t="shared" si="0"/>
        <v>31</v>
      </c>
      <c r="AG5" s="7" t="str">
        <f t="shared" si="0"/>
        <v/>
      </c>
      <c r="AH5" s="7" t="str">
        <f t="shared" si="0"/>
        <v/>
      </c>
      <c r="AI5" s="7" t="str">
        <f t="shared" si="0"/>
        <v/>
      </c>
      <c r="AJ5" s="7" t="str">
        <f t="shared" si="0"/>
        <v/>
      </c>
      <c r="AK5" s="7" t="str">
        <f t="shared" si="0"/>
        <v/>
      </c>
      <c r="AL5" s="7" t="str">
        <f t="shared" si="0"/>
        <v/>
      </c>
      <c r="AM5" s="7" t="str">
        <f t="shared" si="0"/>
        <v/>
      </c>
      <c r="AN5" s="7" t="str">
        <f t="shared" si="0"/>
        <v/>
      </c>
      <c r="AO5" s="7" t="str">
        <f t="shared" si="0"/>
        <v/>
      </c>
      <c r="AP5" s="7" t="str">
        <f t="shared" si="0"/>
        <v/>
      </c>
      <c r="AQ5" s="7" t="str">
        <f t="shared" si="0"/>
        <v/>
      </c>
      <c r="AR5" s="7" t="str">
        <f t="shared" si="0"/>
        <v/>
      </c>
      <c r="AS5" s="7" t="str">
        <f t="shared" si="0"/>
        <v/>
      </c>
      <c r="AT5" s="7" t="str">
        <f t="shared" si="0"/>
        <v/>
      </c>
      <c r="AU5" s="7" t="str">
        <f t="shared" si="0"/>
        <v/>
      </c>
      <c r="AV5" s="7" t="str">
        <f t="shared" si="0"/>
        <v/>
      </c>
      <c r="AW5" s="7" t="str">
        <f t="shared" si="0"/>
        <v/>
      </c>
      <c r="AX5" s="7" t="str">
        <f t="shared" si="0"/>
        <v/>
      </c>
      <c r="AY5" s="7" t="str">
        <f t="shared" si="0"/>
        <v/>
      </c>
      <c r="AZ5" s="7" t="str">
        <f t="shared" si="0"/>
        <v/>
      </c>
      <c r="BA5" s="7" t="str">
        <f t="shared" si="0"/>
        <v/>
      </c>
      <c r="BB5" s="7" t="str">
        <f t="shared" si="0"/>
        <v/>
      </c>
      <c r="BC5" s="7" t="str">
        <f t="shared" si="0"/>
        <v/>
      </c>
      <c r="BD5" s="7" t="str">
        <f t="shared" si="0"/>
        <v/>
      </c>
      <c r="BE5" s="7" t="str">
        <f t="shared" si="0"/>
        <v/>
      </c>
      <c r="BF5" s="7" t="str">
        <f t="shared" si="0"/>
        <v/>
      </c>
      <c r="BG5" s="7" t="str">
        <f t="shared" si="0"/>
        <v/>
      </c>
      <c r="BH5" s="7" t="str">
        <f t="shared" si="0"/>
        <v/>
      </c>
      <c r="BI5" s="7" t="str">
        <f t="shared" si="0"/>
        <v/>
      </c>
      <c r="BJ5" s="7" t="str">
        <f t="shared" si="0"/>
        <v/>
      </c>
      <c r="BK5" s="7" t="str">
        <f t="shared" si="0"/>
        <v/>
      </c>
      <c r="BL5" s="7" t="str">
        <f t="shared" si="0"/>
        <v/>
      </c>
      <c r="BM5" s="7" t="str">
        <f t="shared" si="0"/>
        <v/>
      </c>
      <c r="BN5" s="7" t="str">
        <f t="shared" si="0"/>
        <v/>
      </c>
      <c r="BO5" s="7" t="str">
        <f t="shared" ref="BO5:DZ5" si="1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BP5" s="7" t="str">
        <f t="shared" si="1"/>
        <v/>
      </c>
      <c r="BQ5" s="7" t="str">
        <f t="shared" si="1"/>
        <v/>
      </c>
      <c r="BR5" s="7" t="str">
        <f t="shared" si="1"/>
        <v/>
      </c>
      <c r="BS5" s="7" t="str">
        <f t="shared" si="1"/>
        <v/>
      </c>
      <c r="BT5" s="7" t="str">
        <f t="shared" si="1"/>
        <v/>
      </c>
      <c r="BU5" s="7" t="str">
        <f t="shared" si="1"/>
        <v/>
      </c>
      <c r="BV5" s="7" t="str">
        <f t="shared" si="1"/>
        <v/>
      </c>
      <c r="BW5" s="7" t="str">
        <f t="shared" si="1"/>
        <v/>
      </c>
      <c r="BX5" s="7" t="str">
        <f t="shared" si="1"/>
        <v/>
      </c>
      <c r="BY5" s="7" t="str">
        <f t="shared" si="1"/>
        <v/>
      </c>
      <c r="BZ5" s="7" t="str">
        <f t="shared" si="1"/>
        <v/>
      </c>
      <c r="CA5" s="7" t="str">
        <f t="shared" si="1"/>
        <v/>
      </c>
      <c r="CB5" s="7" t="str">
        <f t="shared" si="1"/>
        <v/>
      </c>
      <c r="CC5" s="7" t="str">
        <f t="shared" si="1"/>
        <v/>
      </c>
      <c r="CD5" s="7" t="str">
        <f t="shared" si="1"/>
        <v/>
      </c>
      <c r="CE5" s="7" t="str">
        <f t="shared" si="1"/>
        <v/>
      </c>
      <c r="CF5" s="7" t="str">
        <f t="shared" si="1"/>
        <v/>
      </c>
      <c r="CG5" s="7" t="str">
        <f t="shared" si="1"/>
        <v/>
      </c>
      <c r="CH5" s="7" t="str">
        <f t="shared" si="1"/>
        <v/>
      </c>
      <c r="CI5" s="7" t="str">
        <f t="shared" si="1"/>
        <v/>
      </c>
      <c r="CJ5" s="7" t="str">
        <f t="shared" si="1"/>
        <v/>
      </c>
      <c r="CK5" s="7" t="str">
        <f t="shared" si="1"/>
        <v/>
      </c>
      <c r="CL5" s="7" t="str">
        <f t="shared" si="1"/>
        <v/>
      </c>
      <c r="CM5" s="7" t="str">
        <f t="shared" si="1"/>
        <v/>
      </c>
      <c r="CN5" s="7" t="str">
        <f t="shared" si="1"/>
        <v/>
      </c>
      <c r="CO5" s="7" t="str">
        <f t="shared" si="1"/>
        <v/>
      </c>
      <c r="CP5" s="7" t="str">
        <f t="shared" si="1"/>
        <v/>
      </c>
      <c r="CQ5" s="7" t="str">
        <f t="shared" si="1"/>
        <v/>
      </c>
      <c r="CR5" s="7" t="str">
        <f t="shared" si="1"/>
        <v/>
      </c>
      <c r="CS5" s="7" t="str">
        <f t="shared" si="1"/>
        <v/>
      </c>
      <c r="CT5" s="7" t="str">
        <f t="shared" si="1"/>
        <v/>
      </c>
      <c r="CU5" s="7" t="str">
        <f t="shared" si="1"/>
        <v/>
      </c>
      <c r="CV5" s="7" t="str">
        <f t="shared" si="1"/>
        <v/>
      </c>
      <c r="CW5" s="7" t="str">
        <f t="shared" si="1"/>
        <v/>
      </c>
      <c r="CX5" s="7" t="str">
        <f t="shared" si="1"/>
        <v/>
      </c>
      <c r="CY5" s="7" t="str">
        <f t="shared" si="1"/>
        <v/>
      </c>
      <c r="CZ5" s="7" t="str">
        <f t="shared" si="1"/>
        <v/>
      </c>
      <c r="DA5" s="7" t="str">
        <f t="shared" si="1"/>
        <v/>
      </c>
      <c r="DB5" s="7" t="str">
        <f t="shared" si="1"/>
        <v/>
      </c>
      <c r="DC5" s="7" t="str">
        <f t="shared" si="1"/>
        <v/>
      </c>
      <c r="DD5" s="7" t="str">
        <f t="shared" si="1"/>
        <v/>
      </c>
      <c r="DE5" s="7" t="str">
        <f t="shared" si="1"/>
        <v/>
      </c>
      <c r="DF5" s="7" t="str">
        <f t="shared" si="1"/>
        <v/>
      </c>
      <c r="DG5" s="7" t="str">
        <f t="shared" si="1"/>
        <v/>
      </c>
      <c r="DH5" s="7" t="str">
        <f t="shared" si="1"/>
        <v/>
      </c>
      <c r="DI5" s="7" t="str">
        <f t="shared" si="1"/>
        <v/>
      </c>
      <c r="DJ5" s="7" t="str">
        <f t="shared" si="1"/>
        <v/>
      </c>
      <c r="DK5" s="7" t="str">
        <f t="shared" si="1"/>
        <v/>
      </c>
      <c r="DL5" s="7" t="str">
        <f t="shared" si="1"/>
        <v/>
      </c>
      <c r="DM5" s="7" t="str">
        <f t="shared" si="1"/>
        <v/>
      </c>
      <c r="DN5" s="7" t="str">
        <f t="shared" si="1"/>
        <v/>
      </c>
      <c r="DO5" s="7" t="str">
        <f t="shared" si="1"/>
        <v/>
      </c>
      <c r="DP5" s="7" t="str">
        <f t="shared" si="1"/>
        <v/>
      </c>
      <c r="DQ5" s="7" t="str">
        <f t="shared" si="1"/>
        <v/>
      </c>
      <c r="DR5" s="7" t="str">
        <f t="shared" si="1"/>
        <v/>
      </c>
      <c r="DS5" s="7" t="str">
        <f t="shared" si="1"/>
        <v/>
      </c>
      <c r="DT5" s="7" t="str">
        <f t="shared" si="1"/>
        <v/>
      </c>
      <c r="DU5" s="7" t="str">
        <f t="shared" si="1"/>
        <v/>
      </c>
      <c r="DV5" s="7" t="str">
        <f t="shared" si="1"/>
        <v/>
      </c>
      <c r="DW5" s="7" t="str">
        <f t="shared" si="1"/>
        <v/>
      </c>
      <c r="DX5" s="7" t="str">
        <f t="shared" si="1"/>
        <v/>
      </c>
      <c r="DY5" s="7" t="str">
        <f t="shared" si="1"/>
        <v/>
      </c>
      <c r="DZ5" s="7" t="str">
        <f t="shared" si="1"/>
        <v/>
      </c>
      <c r="EA5" s="7" t="str">
        <f t="shared" ref="EA5:GL5" si="2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EB5" s="7" t="str">
        <f t="shared" si="2"/>
        <v/>
      </c>
      <c r="EC5" s="7" t="str">
        <f t="shared" si="2"/>
        <v/>
      </c>
      <c r="ED5" s="7" t="str">
        <f t="shared" si="2"/>
        <v/>
      </c>
      <c r="EE5" s="7" t="str">
        <f t="shared" si="2"/>
        <v/>
      </c>
      <c r="EF5" s="7" t="str">
        <f t="shared" si="2"/>
        <v/>
      </c>
      <c r="EG5" s="7" t="str">
        <f t="shared" si="2"/>
        <v/>
      </c>
      <c r="EH5" s="7" t="str">
        <f t="shared" si="2"/>
        <v/>
      </c>
      <c r="EI5" s="7" t="str">
        <f t="shared" si="2"/>
        <v/>
      </c>
      <c r="EJ5" s="7" t="str">
        <f t="shared" si="2"/>
        <v/>
      </c>
      <c r="EK5" s="7" t="str">
        <f t="shared" si="2"/>
        <v/>
      </c>
      <c r="EL5" s="7" t="str">
        <f t="shared" si="2"/>
        <v/>
      </c>
      <c r="EM5" s="7" t="str">
        <f t="shared" si="2"/>
        <v/>
      </c>
      <c r="EN5" s="7" t="str">
        <f t="shared" si="2"/>
        <v/>
      </c>
      <c r="EO5" s="7" t="str">
        <f t="shared" si="2"/>
        <v/>
      </c>
      <c r="EP5" s="7" t="str">
        <f t="shared" si="2"/>
        <v/>
      </c>
      <c r="EQ5" s="7" t="str">
        <f t="shared" si="2"/>
        <v/>
      </c>
      <c r="ER5" s="7" t="str">
        <f t="shared" si="2"/>
        <v/>
      </c>
      <c r="ES5" s="7" t="str">
        <f t="shared" si="2"/>
        <v/>
      </c>
      <c r="ET5" s="7" t="str">
        <f t="shared" si="2"/>
        <v/>
      </c>
      <c r="EU5" s="7" t="str">
        <f t="shared" si="2"/>
        <v/>
      </c>
      <c r="EV5" s="7" t="str">
        <f t="shared" si="2"/>
        <v/>
      </c>
      <c r="EW5" s="7" t="str">
        <f t="shared" si="2"/>
        <v/>
      </c>
      <c r="EX5" s="7" t="str">
        <f t="shared" si="2"/>
        <v/>
      </c>
      <c r="EY5" s="7" t="str">
        <f t="shared" si="2"/>
        <v/>
      </c>
      <c r="EZ5" s="7" t="str">
        <f t="shared" si="2"/>
        <v/>
      </c>
      <c r="FA5" s="7" t="str">
        <f t="shared" si="2"/>
        <v/>
      </c>
      <c r="FB5" s="7" t="str">
        <f t="shared" si="2"/>
        <v/>
      </c>
      <c r="FC5" s="7" t="str">
        <f t="shared" si="2"/>
        <v/>
      </c>
      <c r="FD5" s="7" t="str">
        <f t="shared" si="2"/>
        <v/>
      </c>
      <c r="FE5" s="7" t="str">
        <f t="shared" si="2"/>
        <v/>
      </c>
      <c r="FF5" s="7" t="str">
        <f t="shared" si="2"/>
        <v/>
      </c>
      <c r="FG5" s="7" t="str">
        <f t="shared" si="2"/>
        <v/>
      </c>
      <c r="FH5" s="7" t="str">
        <f t="shared" si="2"/>
        <v/>
      </c>
      <c r="FI5" s="7" t="str">
        <f t="shared" si="2"/>
        <v/>
      </c>
      <c r="FJ5" s="7" t="str">
        <f t="shared" si="2"/>
        <v/>
      </c>
      <c r="FK5" s="7" t="str">
        <f t="shared" si="2"/>
        <v/>
      </c>
      <c r="FL5" s="7" t="str">
        <f t="shared" si="2"/>
        <v/>
      </c>
      <c r="FM5" s="7" t="str">
        <f t="shared" si="2"/>
        <v/>
      </c>
      <c r="FN5" s="7" t="str">
        <f t="shared" si="2"/>
        <v/>
      </c>
      <c r="FO5" s="7" t="str">
        <f t="shared" si="2"/>
        <v/>
      </c>
      <c r="FP5" s="7" t="str">
        <f t="shared" si="2"/>
        <v/>
      </c>
      <c r="FQ5" s="7" t="str">
        <f t="shared" si="2"/>
        <v/>
      </c>
      <c r="FR5" s="7" t="str">
        <f t="shared" si="2"/>
        <v/>
      </c>
      <c r="FS5" s="7" t="str">
        <f t="shared" si="2"/>
        <v/>
      </c>
      <c r="FT5" s="7" t="str">
        <f t="shared" si="2"/>
        <v/>
      </c>
      <c r="FU5" s="7" t="str">
        <f t="shared" si="2"/>
        <v/>
      </c>
      <c r="FV5" s="7" t="str">
        <f t="shared" si="2"/>
        <v/>
      </c>
      <c r="FW5" s="7" t="str">
        <f t="shared" si="2"/>
        <v/>
      </c>
      <c r="FX5" s="7" t="str">
        <f t="shared" si="2"/>
        <v/>
      </c>
      <c r="FY5" s="7" t="str">
        <f t="shared" si="2"/>
        <v/>
      </c>
      <c r="FZ5" s="7" t="str">
        <f t="shared" si="2"/>
        <v/>
      </c>
      <c r="GA5" s="7" t="str">
        <f t="shared" si="2"/>
        <v/>
      </c>
      <c r="GB5" s="7" t="str">
        <f t="shared" si="2"/>
        <v/>
      </c>
      <c r="GC5" s="7" t="str">
        <f t="shared" si="2"/>
        <v/>
      </c>
      <c r="GD5" s="7" t="str">
        <f t="shared" si="2"/>
        <v/>
      </c>
      <c r="GE5" s="7" t="str">
        <f t="shared" si="2"/>
        <v/>
      </c>
      <c r="GF5" s="7" t="str">
        <f t="shared" si="2"/>
        <v/>
      </c>
      <c r="GG5" s="7" t="str">
        <f t="shared" si="2"/>
        <v/>
      </c>
      <c r="GH5" s="7" t="str">
        <f t="shared" si="2"/>
        <v/>
      </c>
      <c r="GI5" s="7" t="str">
        <f t="shared" si="2"/>
        <v/>
      </c>
      <c r="GJ5" s="7" t="str">
        <f t="shared" si="2"/>
        <v/>
      </c>
      <c r="GK5" s="7" t="str">
        <f t="shared" si="2"/>
        <v/>
      </c>
      <c r="GL5" s="7" t="str">
        <f t="shared" si="2"/>
        <v/>
      </c>
      <c r="GM5" s="7" t="str">
        <f t="shared" ref="GM5:IX5" si="3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GN5" s="7" t="str">
        <f t="shared" si="3"/>
        <v/>
      </c>
      <c r="GO5" s="7" t="str">
        <f t="shared" si="3"/>
        <v/>
      </c>
      <c r="GP5" s="7" t="str">
        <f t="shared" si="3"/>
        <v/>
      </c>
      <c r="GQ5" s="7" t="str">
        <f t="shared" si="3"/>
        <v/>
      </c>
      <c r="GR5" s="7" t="str">
        <f t="shared" si="3"/>
        <v/>
      </c>
      <c r="GS5" s="7" t="str">
        <f t="shared" si="3"/>
        <v/>
      </c>
      <c r="GT5" s="7" t="str">
        <f t="shared" si="3"/>
        <v/>
      </c>
      <c r="GU5" s="7" t="str">
        <f t="shared" si="3"/>
        <v/>
      </c>
      <c r="GV5" s="7" t="str">
        <f t="shared" si="3"/>
        <v/>
      </c>
      <c r="GW5" s="7" t="str">
        <f t="shared" si="3"/>
        <v/>
      </c>
      <c r="GX5" s="7" t="str">
        <f t="shared" si="3"/>
        <v/>
      </c>
      <c r="GY5" s="7" t="str">
        <f t="shared" si="3"/>
        <v/>
      </c>
      <c r="GZ5" s="7" t="str">
        <f t="shared" si="3"/>
        <v/>
      </c>
      <c r="HA5" s="7" t="str">
        <f t="shared" si="3"/>
        <v/>
      </c>
      <c r="HB5" s="7" t="str">
        <f t="shared" si="3"/>
        <v/>
      </c>
      <c r="HC5" s="7" t="str">
        <f t="shared" si="3"/>
        <v/>
      </c>
      <c r="HD5" s="7" t="str">
        <f t="shared" si="3"/>
        <v/>
      </c>
      <c r="HE5" s="7" t="str">
        <f t="shared" si="3"/>
        <v/>
      </c>
      <c r="HF5" s="7" t="str">
        <f t="shared" si="3"/>
        <v/>
      </c>
      <c r="HG5" s="7" t="str">
        <f t="shared" si="3"/>
        <v/>
      </c>
      <c r="HH5" s="7" t="str">
        <f t="shared" si="3"/>
        <v/>
      </c>
      <c r="HI5" s="7" t="str">
        <f t="shared" si="3"/>
        <v/>
      </c>
      <c r="HJ5" s="7" t="str">
        <f t="shared" si="3"/>
        <v/>
      </c>
      <c r="HK5" s="7" t="str">
        <f t="shared" si="3"/>
        <v/>
      </c>
      <c r="HL5" s="7" t="str">
        <f t="shared" si="3"/>
        <v/>
      </c>
      <c r="HM5" s="7" t="str">
        <f t="shared" si="3"/>
        <v/>
      </c>
      <c r="HN5" s="7" t="str">
        <f t="shared" si="3"/>
        <v/>
      </c>
      <c r="HO5" s="7" t="str">
        <f t="shared" si="3"/>
        <v/>
      </c>
      <c r="HP5" s="7" t="str">
        <f t="shared" si="3"/>
        <v/>
      </c>
      <c r="HQ5" s="7" t="str">
        <f t="shared" si="3"/>
        <v/>
      </c>
      <c r="HR5" s="7" t="str">
        <f t="shared" si="3"/>
        <v/>
      </c>
      <c r="HS5" s="7" t="str">
        <f t="shared" si="3"/>
        <v/>
      </c>
      <c r="HT5" s="7" t="str">
        <f t="shared" si="3"/>
        <v/>
      </c>
      <c r="HU5" s="7" t="str">
        <f t="shared" si="3"/>
        <v/>
      </c>
      <c r="HV5" s="7" t="str">
        <f t="shared" si="3"/>
        <v/>
      </c>
      <c r="HW5" s="7" t="str">
        <f t="shared" si="3"/>
        <v/>
      </c>
      <c r="HX5" s="7" t="str">
        <f t="shared" si="3"/>
        <v/>
      </c>
      <c r="HY5" s="7" t="str">
        <f t="shared" si="3"/>
        <v/>
      </c>
      <c r="HZ5" s="7" t="str">
        <f t="shared" si="3"/>
        <v/>
      </c>
      <c r="IA5" s="7" t="str">
        <f t="shared" si="3"/>
        <v/>
      </c>
      <c r="IB5" s="7" t="str">
        <f t="shared" si="3"/>
        <v/>
      </c>
      <c r="IC5" s="7" t="str">
        <f t="shared" si="3"/>
        <v/>
      </c>
      <c r="ID5" s="7" t="str">
        <f t="shared" si="3"/>
        <v/>
      </c>
      <c r="IE5" s="7" t="str">
        <f t="shared" si="3"/>
        <v/>
      </c>
      <c r="IF5" s="7" t="str">
        <f t="shared" si="3"/>
        <v/>
      </c>
      <c r="IG5" s="7" t="str">
        <f t="shared" si="3"/>
        <v/>
      </c>
      <c r="IH5" s="7" t="str">
        <f t="shared" si="3"/>
        <v/>
      </c>
      <c r="II5" s="7" t="str">
        <f t="shared" si="3"/>
        <v/>
      </c>
      <c r="IJ5" s="7" t="str">
        <f t="shared" si="3"/>
        <v/>
      </c>
      <c r="IK5" s="7" t="str">
        <f t="shared" si="3"/>
        <v/>
      </c>
      <c r="IL5" s="7" t="str">
        <f t="shared" si="3"/>
        <v/>
      </c>
      <c r="IM5" s="7" t="str">
        <f t="shared" si="3"/>
        <v/>
      </c>
      <c r="IN5" s="7" t="str">
        <f t="shared" si="3"/>
        <v/>
      </c>
      <c r="IO5" s="7" t="str">
        <f t="shared" si="3"/>
        <v/>
      </c>
      <c r="IP5" s="7" t="str">
        <f t="shared" si="3"/>
        <v/>
      </c>
      <c r="IQ5" s="7" t="str">
        <f t="shared" si="3"/>
        <v/>
      </c>
      <c r="IR5" s="7" t="str">
        <f t="shared" si="3"/>
        <v/>
      </c>
      <c r="IS5" s="7" t="str">
        <f t="shared" si="3"/>
        <v/>
      </c>
      <c r="IT5" s="7" t="str">
        <f t="shared" si="3"/>
        <v/>
      </c>
      <c r="IU5" s="7" t="str">
        <f t="shared" si="3"/>
        <v/>
      </c>
      <c r="IV5" s="7" t="str">
        <f t="shared" si="3"/>
        <v/>
      </c>
      <c r="IW5" s="7" t="str">
        <f t="shared" si="3"/>
        <v/>
      </c>
      <c r="IX5" s="7" t="str">
        <f t="shared" si="3"/>
        <v/>
      </c>
      <c r="IY5" s="7" t="str">
        <f t="shared" ref="IY5:LJ5" si="4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IZ5" s="7" t="str">
        <f t="shared" si="4"/>
        <v/>
      </c>
      <c r="JA5" s="7" t="str">
        <f t="shared" si="4"/>
        <v/>
      </c>
      <c r="JB5" s="7" t="str">
        <f t="shared" si="4"/>
        <v/>
      </c>
      <c r="JC5" s="7" t="str">
        <f t="shared" si="4"/>
        <v/>
      </c>
      <c r="JD5" s="7" t="str">
        <f t="shared" si="4"/>
        <v/>
      </c>
      <c r="JE5" s="7" t="str">
        <f t="shared" si="4"/>
        <v/>
      </c>
      <c r="JF5" s="7" t="str">
        <f t="shared" si="4"/>
        <v/>
      </c>
      <c r="JG5" s="7" t="str">
        <f t="shared" si="4"/>
        <v/>
      </c>
      <c r="JH5" s="7" t="str">
        <f t="shared" si="4"/>
        <v/>
      </c>
      <c r="JI5" s="7" t="str">
        <f t="shared" si="4"/>
        <v/>
      </c>
      <c r="JJ5" s="7" t="str">
        <f t="shared" si="4"/>
        <v/>
      </c>
      <c r="JK5" s="7" t="str">
        <f t="shared" si="4"/>
        <v/>
      </c>
      <c r="JL5" s="7" t="str">
        <f t="shared" si="4"/>
        <v/>
      </c>
      <c r="JM5" s="7" t="str">
        <f t="shared" si="4"/>
        <v/>
      </c>
      <c r="JN5" s="7" t="str">
        <f t="shared" si="4"/>
        <v/>
      </c>
      <c r="JO5" s="7" t="str">
        <f t="shared" si="4"/>
        <v/>
      </c>
      <c r="JP5" s="7" t="str">
        <f t="shared" si="4"/>
        <v/>
      </c>
      <c r="JQ5" s="7" t="str">
        <f t="shared" si="4"/>
        <v/>
      </c>
      <c r="JR5" s="7" t="str">
        <f t="shared" si="4"/>
        <v/>
      </c>
      <c r="JS5" s="7" t="str">
        <f t="shared" si="4"/>
        <v/>
      </c>
      <c r="JT5" s="7" t="str">
        <f t="shared" si="4"/>
        <v/>
      </c>
      <c r="JU5" s="7" t="str">
        <f t="shared" si="4"/>
        <v/>
      </c>
      <c r="JV5" s="7" t="str">
        <f t="shared" si="4"/>
        <v/>
      </c>
      <c r="JW5" s="7" t="str">
        <f t="shared" si="4"/>
        <v/>
      </c>
      <c r="JX5" s="7" t="str">
        <f t="shared" si="4"/>
        <v/>
      </c>
      <c r="JY5" s="7" t="str">
        <f t="shared" si="4"/>
        <v/>
      </c>
      <c r="JZ5" s="7" t="str">
        <f t="shared" si="4"/>
        <v/>
      </c>
      <c r="KA5" s="7" t="str">
        <f t="shared" si="4"/>
        <v/>
      </c>
      <c r="KB5" s="7" t="str">
        <f t="shared" si="4"/>
        <v/>
      </c>
      <c r="KC5" s="7" t="str">
        <f t="shared" si="4"/>
        <v/>
      </c>
      <c r="KD5" s="7" t="str">
        <f t="shared" si="4"/>
        <v/>
      </c>
      <c r="KE5" s="7" t="str">
        <f t="shared" si="4"/>
        <v/>
      </c>
      <c r="KF5" s="7" t="str">
        <f t="shared" si="4"/>
        <v/>
      </c>
      <c r="KG5" s="7" t="str">
        <f t="shared" si="4"/>
        <v/>
      </c>
      <c r="KH5" s="7" t="str">
        <f t="shared" si="4"/>
        <v/>
      </c>
      <c r="KI5" s="7" t="str">
        <f t="shared" si="4"/>
        <v/>
      </c>
      <c r="KJ5" s="7" t="str">
        <f t="shared" si="4"/>
        <v/>
      </c>
      <c r="KK5" s="7" t="str">
        <f t="shared" si="4"/>
        <v/>
      </c>
      <c r="KL5" s="7" t="str">
        <f t="shared" si="4"/>
        <v/>
      </c>
      <c r="KM5" s="7" t="str">
        <f t="shared" si="4"/>
        <v/>
      </c>
      <c r="KN5" s="7" t="str">
        <f t="shared" si="4"/>
        <v/>
      </c>
      <c r="KO5" s="7" t="str">
        <f t="shared" si="4"/>
        <v/>
      </c>
      <c r="KP5" s="7" t="str">
        <f t="shared" si="4"/>
        <v/>
      </c>
      <c r="KQ5" s="7" t="str">
        <f t="shared" si="4"/>
        <v/>
      </c>
      <c r="KR5" s="7" t="str">
        <f t="shared" si="4"/>
        <v/>
      </c>
      <c r="KS5" s="7" t="str">
        <f t="shared" si="4"/>
        <v/>
      </c>
      <c r="KT5" s="7" t="str">
        <f t="shared" si="4"/>
        <v/>
      </c>
      <c r="KU5" s="7" t="str">
        <f t="shared" si="4"/>
        <v/>
      </c>
      <c r="KV5" s="7" t="str">
        <f t="shared" si="4"/>
        <v/>
      </c>
      <c r="KW5" s="7" t="str">
        <f t="shared" si="4"/>
        <v/>
      </c>
      <c r="KX5" s="7" t="str">
        <f t="shared" si="4"/>
        <v/>
      </c>
      <c r="KY5" s="7" t="str">
        <f t="shared" si="4"/>
        <v/>
      </c>
      <c r="KZ5" s="7" t="str">
        <f t="shared" si="4"/>
        <v/>
      </c>
      <c r="LA5" s="7" t="str">
        <f t="shared" si="4"/>
        <v/>
      </c>
      <c r="LB5" s="7" t="str">
        <f t="shared" si="4"/>
        <v/>
      </c>
      <c r="LC5" s="7" t="str">
        <f t="shared" si="4"/>
        <v/>
      </c>
      <c r="LD5" s="7" t="str">
        <f t="shared" si="4"/>
        <v/>
      </c>
      <c r="LE5" s="7" t="str">
        <f t="shared" si="4"/>
        <v/>
      </c>
      <c r="LF5" s="7" t="str">
        <f t="shared" si="4"/>
        <v/>
      </c>
      <c r="LG5" s="7" t="str">
        <f t="shared" si="4"/>
        <v/>
      </c>
      <c r="LH5" s="7" t="str">
        <f t="shared" si="4"/>
        <v/>
      </c>
      <c r="LI5" s="7" t="str">
        <f t="shared" si="4"/>
        <v/>
      </c>
      <c r="LJ5" s="7" t="str">
        <f t="shared" si="4"/>
        <v/>
      </c>
      <c r="LK5" s="7" t="str">
        <f t="shared" ref="LK5:NI5" si="5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LL5" s="7" t="str">
        <f t="shared" si="5"/>
        <v/>
      </c>
      <c r="LM5" s="7" t="str">
        <f t="shared" si="5"/>
        <v/>
      </c>
      <c r="LN5" s="7" t="str">
        <f t="shared" si="5"/>
        <v/>
      </c>
      <c r="LO5" s="7" t="str">
        <f t="shared" si="5"/>
        <v/>
      </c>
      <c r="LP5" s="7" t="str">
        <f t="shared" si="5"/>
        <v/>
      </c>
      <c r="LQ5" s="7" t="str">
        <f t="shared" si="5"/>
        <v/>
      </c>
      <c r="LR5" s="7" t="str">
        <f t="shared" si="5"/>
        <v/>
      </c>
      <c r="LS5" s="7" t="str">
        <f t="shared" si="5"/>
        <v/>
      </c>
      <c r="LT5" s="7" t="str">
        <f t="shared" si="5"/>
        <v/>
      </c>
      <c r="LU5" s="7" t="str">
        <f t="shared" si="5"/>
        <v/>
      </c>
      <c r="LV5" s="7" t="str">
        <f t="shared" si="5"/>
        <v/>
      </c>
      <c r="LW5" s="7" t="str">
        <f t="shared" si="5"/>
        <v/>
      </c>
      <c r="LX5" s="7" t="str">
        <f t="shared" si="5"/>
        <v/>
      </c>
      <c r="LY5" s="7" t="str">
        <f t="shared" si="5"/>
        <v/>
      </c>
      <c r="LZ5" s="7" t="str">
        <f t="shared" si="5"/>
        <v/>
      </c>
      <c r="MA5" s="7" t="str">
        <f t="shared" si="5"/>
        <v/>
      </c>
      <c r="MB5" s="7" t="str">
        <f t="shared" si="5"/>
        <v/>
      </c>
      <c r="MC5" s="7" t="str">
        <f t="shared" si="5"/>
        <v/>
      </c>
      <c r="MD5" s="7" t="str">
        <f t="shared" si="5"/>
        <v/>
      </c>
      <c r="ME5" s="7" t="str">
        <f t="shared" si="5"/>
        <v/>
      </c>
      <c r="MF5" s="7" t="str">
        <f t="shared" si="5"/>
        <v/>
      </c>
      <c r="MG5" s="7" t="str">
        <f t="shared" si="5"/>
        <v/>
      </c>
      <c r="MH5" s="7" t="str">
        <f t="shared" si="5"/>
        <v/>
      </c>
      <c r="MI5" s="7" t="str">
        <f t="shared" si="5"/>
        <v/>
      </c>
      <c r="MJ5" s="7" t="str">
        <f t="shared" si="5"/>
        <v/>
      </c>
      <c r="MK5" s="7" t="str">
        <f t="shared" si="5"/>
        <v/>
      </c>
      <c r="ML5" s="7" t="str">
        <f t="shared" si="5"/>
        <v/>
      </c>
      <c r="MM5" s="7" t="str">
        <f t="shared" si="5"/>
        <v/>
      </c>
      <c r="MN5" s="7" t="str">
        <f t="shared" si="5"/>
        <v/>
      </c>
      <c r="MO5" s="7" t="str">
        <f t="shared" si="5"/>
        <v/>
      </c>
      <c r="MP5" s="7" t="str">
        <f t="shared" si="5"/>
        <v/>
      </c>
      <c r="MQ5" s="7" t="str">
        <f t="shared" si="5"/>
        <v/>
      </c>
      <c r="MR5" s="7" t="str">
        <f t="shared" si="5"/>
        <v/>
      </c>
      <c r="MS5" s="7" t="str">
        <f t="shared" si="5"/>
        <v/>
      </c>
      <c r="MT5" s="7" t="str">
        <f t="shared" si="5"/>
        <v/>
      </c>
      <c r="MU5" s="7" t="str">
        <f t="shared" si="5"/>
        <v/>
      </c>
      <c r="MV5" s="7" t="str">
        <f t="shared" si="5"/>
        <v/>
      </c>
      <c r="MW5" s="7" t="str">
        <f t="shared" si="5"/>
        <v/>
      </c>
      <c r="MX5" s="7" t="str">
        <f t="shared" si="5"/>
        <v/>
      </c>
      <c r="MY5" s="7" t="str">
        <f t="shared" si="5"/>
        <v/>
      </c>
      <c r="MZ5" s="7" t="str">
        <f t="shared" si="5"/>
        <v/>
      </c>
      <c r="NA5" s="7" t="str">
        <f t="shared" si="5"/>
        <v/>
      </c>
      <c r="NB5" s="7" t="str">
        <f t="shared" si="5"/>
        <v/>
      </c>
      <c r="NC5" s="7" t="str">
        <f t="shared" si="5"/>
        <v/>
      </c>
      <c r="ND5" s="7" t="str">
        <f t="shared" si="5"/>
        <v/>
      </c>
      <c r="NE5" s="7" t="str">
        <f t="shared" si="5"/>
        <v/>
      </c>
      <c r="NF5" s="7" t="str">
        <f t="shared" si="5"/>
        <v/>
      </c>
      <c r="NG5" s="7" t="str">
        <f t="shared" si="5"/>
        <v/>
      </c>
      <c r="NH5" s="7" t="str">
        <f t="shared" si="5"/>
        <v/>
      </c>
      <c r="NI5" s="7">
        <f t="shared" si="5"/>
        <v>31</v>
      </c>
      <c r="NJ5" s="87" t="s">
        <v>26</v>
      </c>
      <c r="NK5" s="89" t="s">
        <v>27</v>
      </c>
      <c r="NL5" s="91" t="str">
        <f>"Leaves between " &amp; TEXT(Holidays!E2, "MM/DD/YYYY") &amp; " - " &amp; TEXT(Holidays!F2, "MM/DD/YYYY")</f>
        <v>Leaves between 10/10/2018 - 03/26/2019</v>
      </c>
      <c r="NM5" s="85" t="s">
        <v>141</v>
      </c>
      <c r="NN5" s="85" t="s">
        <v>142</v>
      </c>
      <c r="NO5" s="85" t="s">
        <v>143</v>
      </c>
      <c r="NP5" s="85" t="s">
        <v>144</v>
      </c>
      <c r="NQ5" s="85" t="s">
        <v>145</v>
      </c>
      <c r="NR5" s="85" t="s">
        <v>146</v>
      </c>
      <c r="NS5" s="85" t="s">
        <v>147</v>
      </c>
      <c r="NT5" s="85" t="s">
        <v>148</v>
      </c>
      <c r="NU5" s="85" t="s">
        <v>149</v>
      </c>
      <c r="NV5" s="85" t="s">
        <v>150</v>
      </c>
      <c r="NW5" s="85" t="s">
        <v>151</v>
      </c>
      <c r="NX5" s="85" t="s">
        <v>152</v>
      </c>
      <c r="NY5" s="85" t="s">
        <v>135</v>
      </c>
    </row>
    <row r="6" spans="1:765" x14ac:dyDescent="0.45">
      <c r="A6" s="4" t="s">
        <v>22</v>
      </c>
      <c r="B6" s="8" t="str">
        <f>IF(B$5="","",VLOOKUP(WEEKDAY(DATE($A$2,$A$3+$A$1-1,B5),2),Sheet3!$D$1:$E$7,2,0))</f>
        <v>Mon</v>
      </c>
      <c r="C6" s="8" t="str">
        <f>IF(C$5="","",VLOOKUP(WEEKDAY(DATE($A$2,$A$3+$A$1-1,C5),2),Sheet3!$D$1:$E$7,2,0))</f>
        <v>Tue</v>
      </c>
      <c r="D6" s="8" t="str">
        <f>IF(D$5="","",VLOOKUP(WEEKDAY(DATE($A$2,$A$3+$A$1-1,D5),2),Sheet3!$D$1:$E$7,2,0))</f>
        <v>Wed</v>
      </c>
      <c r="E6" s="8" t="str">
        <f>IF(E$5="","",VLOOKUP(WEEKDAY(DATE($A$2,$A$3+$A$1-1,E5),2),Sheet3!$D$1:$E$7,2,0))</f>
        <v>Thu</v>
      </c>
      <c r="F6" s="8" t="str">
        <f>IF(F$5="","",VLOOKUP(WEEKDAY(DATE($A$2,$A$3+$A$1-1,F5),2),Sheet3!$D$1:$E$7,2,0))</f>
        <v>Fri</v>
      </c>
      <c r="G6" s="8" t="str">
        <f>IF(G$5="","",VLOOKUP(WEEKDAY(DATE($A$2,$A$3+$A$1-1,G5),2),Sheet3!$D$1:$E$7,2,0))</f>
        <v>Sat</v>
      </c>
      <c r="H6" s="8" t="str">
        <f>IF(H$5="","",VLOOKUP(WEEKDAY(DATE($A$2,$A$3+$A$1-1,H5),2),Sheet3!$D$1:$E$7,2,0))</f>
        <v>Sun</v>
      </c>
      <c r="I6" s="8" t="str">
        <f>IF(I$5="","",VLOOKUP(WEEKDAY(DATE($A$2,$A$3+$A$1-1,I5),2),Sheet3!$D$1:$E$7,2,0))</f>
        <v>Mon</v>
      </c>
      <c r="J6" s="8" t="str">
        <f>IF(J$5="","",VLOOKUP(WEEKDAY(DATE($A$2,$A$3+$A$1-1,J5),2),Sheet3!$D$1:$E$7,2,0))</f>
        <v>Tue</v>
      </c>
      <c r="K6" s="8" t="str">
        <f>IF(K$5="","",VLOOKUP(WEEKDAY(DATE($A$2,$A$3+$A$1-1,K5),2),Sheet3!$D$1:$E$7,2,0))</f>
        <v>Wed</v>
      </c>
      <c r="L6" s="8" t="str">
        <f>IF(L$5="","",VLOOKUP(WEEKDAY(DATE($A$2,$A$3+$A$1-1,L5),2),Sheet3!$D$1:$E$7,2,0))</f>
        <v>Thu</v>
      </c>
      <c r="M6" s="8" t="str">
        <f>IF(M$5="","",VLOOKUP(WEEKDAY(DATE($A$2,$A$3+$A$1-1,M5),2),Sheet3!$D$1:$E$7,2,0))</f>
        <v>Fri</v>
      </c>
      <c r="N6" s="8" t="str">
        <f>IF(N$5="","",VLOOKUP(WEEKDAY(DATE($A$2,$A$3+$A$1-1,N5),2),Sheet3!$D$1:$E$7,2,0))</f>
        <v>Sat</v>
      </c>
      <c r="O6" s="8" t="str">
        <f>IF(O$5="","",VLOOKUP(WEEKDAY(DATE($A$2,$A$3+$A$1-1,O5),2),Sheet3!$D$1:$E$7,2,0))</f>
        <v>Sun</v>
      </c>
      <c r="P6" s="8" t="str">
        <f>IF(P$5="","",VLOOKUP(WEEKDAY(DATE($A$2,$A$3+$A$1-1,P5),2),Sheet3!$D$1:$E$7,2,0))</f>
        <v>Mon</v>
      </c>
      <c r="Q6" s="8" t="str">
        <f>IF(Q$5="","",VLOOKUP(WEEKDAY(DATE($A$2,$A$3+$A$1-1,Q5),2),Sheet3!$D$1:$E$7,2,0))</f>
        <v>Tue</v>
      </c>
      <c r="R6" s="8" t="str">
        <f>IF(R$5="","",VLOOKUP(WEEKDAY(DATE($A$2,$A$3+$A$1-1,R5),2),Sheet3!$D$1:$E$7,2,0))</f>
        <v>Wed</v>
      </c>
      <c r="S6" s="8" t="str">
        <f>IF(S$5="","",VLOOKUP(WEEKDAY(DATE($A$2,$A$3+$A$1-1,S5),2),Sheet3!$D$1:$E$7,2,0))</f>
        <v>Thu</v>
      </c>
      <c r="T6" s="8" t="str">
        <f>IF(T$5="","",VLOOKUP(WEEKDAY(DATE($A$2,$A$3+$A$1-1,T5),2),Sheet3!$D$1:$E$7,2,0))</f>
        <v>Fri</v>
      </c>
      <c r="U6" s="8" t="str">
        <f>IF(U$5="","",VLOOKUP(WEEKDAY(DATE($A$2,$A$3+$A$1-1,U5),2),Sheet3!$D$1:$E$7,2,0))</f>
        <v>Sat</v>
      </c>
      <c r="V6" s="8" t="str">
        <f>IF(V$5="","",VLOOKUP(WEEKDAY(DATE($A$2,$A$3+$A$1-1,V5),2),Sheet3!$D$1:$E$7,2,0))</f>
        <v>Sun</v>
      </c>
      <c r="W6" s="8" t="str">
        <f>IF(W$5="","",VLOOKUP(WEEKDAY(DATE($A$2,$A$3+$A$1-1,W5),2),Sheet3!$D$1:$E$7,2,0))</f>
        <v>Mon</v>
      </c>
      <c r="X6" s="8" t="str">
        <f>IF(X$5="","",VLOOKUP(WEEKDAY(DATE($A$2,$A$3+$A$1-1,X5),2),Sheet3!$D$1:$E$7,2,0))</f>
        <v>Tue</v>
      </c>
      <c r="Y6" s="8" t="str">
        <f>IF(Y$5="","",VLOOKUP(WEEKDAY(DATE($A$2,$A$3+$A$1-1,Y5),2),Sheet3!$D$1:$E$7,2,0))</f>
        <v>Wed</v>
      </c>
      <c r="Z6" s="8" t="str">
        <f>IF(Z$5="","",VLOOKUP(WEEKDAY(DATE($A$2,$A$3+$A$1-1,Z5),2),Sheet3!$D$1:$E$7,2,0))</f>
        <v>Thu</v>
      </c>
      <c r="AA6" s="8" t="str">
        <f>IF(AA$5="","",VLOOKUP(WEEKDAY(DATE($A$2,$A$3+$A$1-1,AA5),2),Sheet3!$D$1:$E$7,2,0))</f>
        <v>Fri</v>
      </c>
      <c r="AB6" s="8" t="str">
        <f>IF(AB$5="","",VLOOKUP(WEEKDAY(DATE($A$2,$A$3+$A$1-1,AB5),2),Sheet3!$D$1:$E$7,2,0))</f>
        <v>Sat</v>
      </c>
      <c r="AC6" s="8" t="str">
        <f>IF(AC$5="","",VLOOKUP(WEEKDAY(DATE($A$2,$A$3+$A$1-1,AC5),2),Sheet3!$D$1:$E$7,2,0))</f>
        <v>Sun</v>
      </c>
      <c r="AD6" s="8" t="str">
        <f>IF(AD$5="","",VLOOKUP(WEEKDAY(DATE($A$2,$A$3+$A$1-1,AD5),2),Sheet3!$D$1:$E$7,2,0))</f>
        <v>Mon</v>
      </c>
      <c r="AE6" s="8" t="str">
        <f>IF(AE$5="","",VLOOKUP(WEEKDAY(DATE($A$2,$A$3+$A$1-1,AE5),2),Sheet3!$D$1:$E$7,2,0))</f>
        <v>Tue</v>
      </c>
      <c r="AF6" s="8" t="str">
        <f>IF(AF$5="","",VLOOKUP(WEEKDAY(DATE($A$2,$A$3+$A$1-1,AF5),2),Sheet3!$D$1:$E$7,2,0))</f>
        <v>Wed</v>
      </c>
      <c r="AG6" s="8" t="str">
        <f>IF(AG$5="","",VLOOKUP(WEEKDAY(DATE($A$2,$A$3+$A$1-1,AG5),2),Sheet3!$D$1:$E$7,2,0))</f>
        <v/>
      </c>
      <c r="AH6" s="8" t="str">
        <f>IF(AH$5="","",VLOOKUP(WEEKDAY(DATE($A$2,$A$3+$A$1-1,AH5),2),Sheet3!$D$1:$E$7,2,0))</f>
        <v/>
      </c>
      <c r="AI6" s="8" t="str">
        <f>IF(AI$5="","",VLOOKUP(WEEKDAY(DATE($A$2,$A$3+$A$1-1,AI5),2),Sheet3!$D$1:$E$7,2,0))</f>
        <v/>
      </c>
      <c r="AJ6" s="8" t="str">
        <f>IF(AJ$5="","",VLOOKUP(WEEKDAY(DATE($A$2,$A$3+$A$1-1,AJ5),2),Sheet3!$D$1:$E$7,2,0))</f>
        <v/>
      </c>
      <c r="AK6" s="8" t="str">
        <f>IF(AK$5="","",VLOOKUP(WEEKDAY(DATE($A$2,$A$3+$A$1-1,AK5),2),Sheet3!$D$1:$E$7,2,0))</f>
        <v/>
      </c>
      <c r="AL6" s="8" t="str">
        <f>IF(AL$5="","",VLOOKUP(WEEKDAY(DATE($A$2,$A$3+$A$1-1,AL5),2),Sheet3!$D$1:$E$7,2,0))</f>
        <v/>
      </c>
      <c r="AM6" s="8" t="str">
        <f>IF(AM$5="","",VLOOKUP(WEEKDAY(DATE($A$2,$A$3+$A$1-1,AM5),2),Sheet3!$D$1:$E$7,2,0))</f>
        <v/>
      </c>
      <c r="AN6" s="8" t="str">
        <f>IF(AN$5="","",VLOOKUP(WEEKDAY(DATE($A$2,$A$3+$A$1-1,AN5),2),Sheet3!$D$1:$E$7,2,0))</f>
        <v/>
      </c>
      <c r="AO6" s="8" t="str">
        <f>IF(AO$5="","",VLOOKUP(WEEKDAY(DATE($A$2,$A$3+$A$1-1,AO5),2),Sheet3!$D$1:$E$7,2,0))</f>
        <v/>
      </c>
      <c r="AP6" s="8" t="str">
        <f>IF(AP$5="","",VLOOKUP(WEEKDAY(DATE($A$2,$A$3+$A$1-1,AP5),2),Sheet3!$D$1:$E$7,2,0))</f>
        <v/>
      </c>
      <c r="AQ6" s="8" t="str">
        <f>IF(AQ$5="","",VLOOKUP(WEEKDAY(DATE($A$2,$A$3+$A$1-1,AQ5),2),Sheet3!$D$1:$E$7,2,0))</f>
        <v/>
      </c>
      <c r="AR6" s="8" t="str">
        <f>IF(AR$5="","",VLOOKUP(WEEKDAY(DATE($A$2,$A$3+$A$1-1,AR5),2),Sheet3!$D$1:$E$7,2,0))</f>
        <v/>
      </c>
      <c r="AS6" s="8" t="str">
        <f>IF(AS$5="","",VLOOKUP(WEEKDAY(DATE($A$2,$A$3+$A$1-1,AS5),2),Sheet3!$D$1:$E$7,2,0))</f>
        <v/>
      </c>
      <c r="AT6" s="8" t="str">
        <f>IF(AT$5="","",VLOOKUP(WEEKDAY(DATE($A$2,$A$3+$A$1-1,AT5),2),Sheet3!$D$1:$E$7,2,0))</f>
        <v/>
      </c>
      <c r="AU6" s="8" t="str">
        <f>IF(AU$5="","",VLOOKUP(WEEKDAY(DATE($A$2,$A$3+$A$1-1,AU5),2),Sheet3!$D$1:$E$7,2,0))</f>
        <v/>
      </c>
      <c r="AV6" s="8" t="str">
        <f>IF(AV$5="","",VLOOKUP(WEEKDAY(DATE($A$2,$A$3+$A$1-1,AV5),2),Sheet3!$D$1:$E$7,2,0))</f>
        <v/>
      </c>
      <c r="AW6" s="8" t="str">
        <f>IF(AW$5="","",VLOOKUP(WEEKDAY(DATE($A$2,$A$3+$A$1-1,AW5),2),Sheet3!$D$1:$E$7,2,0))</f>
        <v/>
      </c>
      <c r="AX6" s="8" t="str">
        <f>IF(AX$5="","",VLOOKUP(WEEKDAY(DATE($A$2,$A$3+$A$1-1,AX5),2),Sheet3!$D$1:$E$7,2,0))</f>
        <v/>
      </c>
      <c r="AY6" s="8" t="str">
        <f>IF(AY$5="","",VLOOKUP(WEEKDAY(DATE($A$2,$A$3+$A$1-1,AY5),2),Sheet3!$D$1:$E$7,2,0))</f>
        <v/>
      </c>
      <c r="AZ6" s="8" t="str">
        <f>IF(AZ$5="","",VLOOKUP(WEEKDAY(DATE($A$2,$A$3+$A$1-1,AZ5),2),Sheet3!$D$1:$E$7,2,0))</f>
        <v/>
      </c>
      <c r="BA6" s="8" t="str">
        <f>IF(BA$5="","",VLOOKUP(WEEKDAY(DATE($A$2,$A$3+$A$1-1,BA5),2),Sheet3!$D$1:$E$7,2,0))</f>
        <v/>
      </c>
      <c r="BB6" s="8" t="str">
        <f>IF(BB$5="","",VLOOKUP(WEEKDAY(DATE($A$2,$A$3+$A$1-1,BB5),2),Sheet3!$D$1:$E$7,2,0))</f>
        <v/>
      </c>
      <c r="BC6" s="8" t="str">
        <f>IF(BC$5="","",VLOOKUP(WEEKDAY(DATE($A$2,$A$3+$A$1-1,BC5),2),Sheet3!$D$1:$E$7,2,0))</f>
        <v/>
      </c>
      <c r="BD6" s="8" t="str">
        <f>IF(BD$5="","",VLOOKUP(WEEKDAY(DATE($A$2,$A$3+$A$1-1,BD5),2),Sheet3!$D$1:$E$7,2,0))</f>
        <v/>
      </c>
      <c r="BE6" s="8" t="str">
        <f>IF(BE$5="","",VLOOKUP(WEEKDAY(DATE($A$2,$A$3+$A$1-1,BE5),2),Sheet3!$D$1:$E$7,2,0))</f>
        <v/>
      </c>
      <c r="BF6" s="8" t="str">
        <f>IF(BF$5="","",VLOOKUP(WEEKDAY(DATE($A$2,$A$3+$A$1-1,BF5),2),Sheet3!$D$1:$E$7,2,0))</f>
        <v/>
      </c>
      <c r="BG6" s="8" t="str">
        <f>IF(BG$5="","",VLOOKUP(WEEKDAY(DATE($A$2,$A$3+$A$1-1,BG5),2),Sheet3!$D$1:$E$7,2,0))</f>
        <v/>
      </c>
      <c r="BH6" s="8" t="str">
        <f>IF(BH$5="","",VLOOKUP(WEEKDAY(DATE($A$2,$A$3+$A$1-1,BH5),2),Sheet3!$D$1:$E$7,2,0))</f>
        <v/>
      </c>
      <c r="BI6" s="8" t="str">
        <f>IF(BI$5="","",VLOOKUP(WEEKDAY(DATE($A$2,$A$3+$A$1-1,BI5),2),Sheet3!$D$1:$E$7,2,0))</f>
        <v/>
      </c>
      <c r="BJ6" s="8" t="str">
        <f>IF(BJ$5="","",VLOOKUP(WEEKDAY(DATE($A$2,$A$3+$A$1-1,BJ5),2),Sheet3!$D$1:$E$7,2,0))</f>
        <v/>
      </c>
      <c r="BK6" s="8" t="str">
        <f>IF(BK$5="","",VLOOKUP(WEEKDAY(DATE($A$2,$A$3+$A$1-1,BK5),2),Sheet3!$D$1:$E$7,2,0))</f>
        <v/>
      </c>
      <c r="BL6" s="8" t="str">
        <f>IF(BL$5="","",VLOOKUP(WEEKDAY(DATE($A$2,$A$3+$A$1-1,BL5),2),Sheet3!$D$1:$E$7,2,0))</f>
        <v/>
      </c>
      <c r="BM6" s="8" t="str">
        <f>IF(BM$5="","",VLOOKUP(WEEKDAY(DATE($A$2,$A$3+$A$1-1,BM5),2),Sheet3!$D$1:$E$7,2,0))</f>
        <v/>
      </c>
      <c r="BN6" s="8" t="str">
        <f>IF(BN$5="","",VLOOKUP(WEEKDAY(DATE($A$2,$A$3+$A$1-1,BN5),2),Sheet3!$D$1:$E$7,2,0))</f>
        <v/>
      </c>
      <c r="BO6" s="8" t="str">
        <f>IF(BO$5="","",VLOOKUP(WEEKDAY(DATE($A$2,$A$3+$A$1-1,BO5),2),Sheet3!$D$1:$E$7,2,0))</f>
        <v/>
      </c>
      <c r="BP6" s="8" t="str">
        <f>IF(BP$5="","",VLOOKUP(WEEKDAY(DATE($A$2,$A$3+$A$1-1,BP5),2),Sheet3!$D$1:$E$7,2,0))</f>
        <v/>
      </c>
      <c r="BQ6" s="8" t="str">
        <f>IF(BQ$5="","",VLOOKUP(WEEKDAY(DATE($A$2,$A$3+$A$1-1,BQ5),2),Sheet3!$D$1:$E$7,2,0))</f>
        <v/>
      </c>
      <c r="BR6" s="8" t="str">
        <f>IF(BR$5="","",VLOOKUP(WEEKDAY(DATE($A$2,$A$3+$A$1-1,BR5),2),Sheet3!$D$1:$E$7,2,0))</f>
        <v/>
      </c>
      <c r="BS6" s="8" t="str">
        <f>IF(BS$5="","",VLOOKUP(WEEKDAY(DATE($A$2,$A$3+$A$1-1,BS5),2),Sheet3!$D$1:$E$7,2,0))</f>
        <v/>
      </c>
      <c r="BT6" s="8" t="str">
        <f>IF(BT$5="","",VLOOKUP(WEEKDAY(DATE($A$2,$A$3+$A$1-1,BT5),2),Sheet3!$D$1:$E$7,2,0))</f>
        <v/>
      </c>
      <c r="BU6" s="8" t="str">
        <f>IF(BU$5="","",VLOOKUP(WEEKDAY(DATE($A$2,$A$3+$A$1-1,BU5),2),Sheet3!$D$1:$E$7,2,0))</f>
        <v/>
      </c>
      <c r="BV6" s="8" t="str">
        <f>IF(BV$5="","",VLOOKUP(WEEKDAY(DATE($A$2,$A$3+$A$1-1,BV5),2),Sheet3!$D$1:$E$7,2,0))</f>
        <v/>
      </c>
      <c r="BW6" s="8" t="str">
        <f>IF(BW$5="","",VLOOKUP(WEEKDAY(DATE($A$2,$A$3+$A$1-1,BW5),2),Sheet3!$D$1:$E$7,2,0))</f>
        <v/>
      </c>
      <c r="BX6" s="8" t="str">
        <f>IF(BX$5="","",VLOOKUP(WEEKDAY(DATE($A$2,$A$3+$A$1-1,BX5),2),Sheet3!$D$1:$E$7,2,0))</f>
        <v/>
      </c>
      <c r="BY6" s="8" t="str">
        <f>IF(BY$5="","",VLOOKUP(WEEKDAY(DATE($A$2,$A$3+$A$1-1,BY5),2),Sheet3!$D$1:$E$7,2,0))</f>
        <v/>
      </c>
      <c r="BZ6" s="8" t="str">
        <f>IF(BZ$5="","",VLOOKUP(WEEKDAY(DATE($A$2,$A$3+$A$1-1,BZ5),2),Sheet3!$D$1:$E$7,2,0))</f>
        <v/>
      </c>
      <c r="CA6" s="8" t="str">
        <f>IF(CA$5="","",VLOOKUP(WEEKDAY(DATE($A$2,$A$3+$A$1-1,CA5),2),Sheet3!$D$1:$E$7,2,0))</f>
        <v/>
      </c>
      <c r="CB6" s="8" t="str">
        <f>IF(CB$5="","",VLOOKUP(WEEKDAY(DATE($A$2,$A$3+$A$1-1,CB5),2),Sheet3!$D$1:$E$7,2,0))</f>
        <v/>
      </c>
      <c r="CC6" s="8" t="str">
        <f>IF(CC$5="","",VLOOKUP(WEEKDAY(DATE($A$2,$A$3+$A$1-1,CC5),2),Sheet3!$D$1:$E$7,2,0))</f>
        <v/>
      </c>
      <c r="CD6" s="8" t="str">
        <f>IF(CD$5="","",VLOOKUP(WEEKDAY(DATE($A$2,$A$3+$A$1-1,CD5),2),Sheet3!$D$1:$E$7,2,0))</f>
        <v/>
      </c>
      <c r="CE6" s="8" t="str">
        <f>IF(CE$5="","",VLOOKUP(WEEKDAY(DATE($A$2,$A$3+$A$1-1,CE5),2),Sheet3!$D$1:$E$7,2,0))</f>
        <v/>
      </c>
      <c r="CF6" s="8" t="str">
        <f>IF(CF$5="","",VLOOKUP(WEEKDAY(DATE($A$2,$A$3+$A$1-1,CF5),2),Sheet3!$D$1:$E$7,2,0))</f>
        <v/>
      </c>
      <c r="CG6" s="8" t="str">
        <f>IF(CG$5="","",VLOOKUP(WEEKDAY(DATE($A$2,$A$3+$A$1-1,CG5),2),Sheet3!$D$1:$E$7,2,0))</f>
        <v/>
      </c>
      <c r="CH6" s="8" t="str">
        <f>IF(CH$5="","",VLOOKUP(WEEKDAY(DATE($A$2,$A$3+$A$1-1,CH5),2),Sheet3!$D$1:$E$7,2,0))</f>
        <v/>
      </c>
      <c r="CI6" s="8" t="str">
        <f>IF(CI$5="","",VLOOKUP(WEEKDAY(DATE($A$2,$A$3+$A$1-1,CI5),2),Sheet3!$D$1:$E$7,2,0))</f>
        <v/>
      </c>
      <c r="CJ6" s="8" t="str">
        <f>IF(CJ$5="","",VLOOKUP(WEEKDAY(DATE($A$2,$A$3+$A$1-1,CJ5),2),Sheet3!$D$1:$E$7,2,0))</f>
        <v/>
      </c>
      <c r="CK6" s="8" t="str">
        <f>IF(CK$5="","",VLOOKUP(WEEKDAY(DATE($A$2,$A$3+$A$1-1,CK5),2),Sheet3!$D$1:$E$7,2,0))</f>
        <v/>
      </c>
      <c r="CL6" s="8" t="str">
        <f>IF(CL$5="","",VLOOKUP(WEEKDAY(DATE($A$2,$A$3+$A$1-1,CL5),2),Sheet3!$D$1:$E$7,2,0))</f>
        <v/>
      </c>
      <c r="CM6" s="8" t="str">
        <f>IF(CM$5="","",VLOOKUP(WEEKDAY(DATE($A$2,$A$3+$A$1-1,CM5),2),Sheet3!$D$1:$E$7,2,0))</f>
        <v/>
      </c>
      <c r="CN6" s="8" t="str">
        <f>IF(CN$5="","",VLOOKUP(WEEKDAY(DATE($A$2,$A$3+$A$1-1,CN5),2),Sheet3!$D$1:$E$7,2,0))</f>
        <v/>
      </c>
      <c r="CO6" s="8" t="str">
        <f>IF(CO$5="","",VLOOKUP(WEEKDAY(DATE($A$2,$A$3+$A$1-1,CO5),2),Sheet3!$D$1:$E$7,2,0))</f>
        <v/>
      </c>
      <c r="CP6" s="8" t="str">
        <f>IF(CP$5="","",VLOOKUP(WEEKDAY(DATE($A$2,$A$3+$A$1-1,CP5),2),Sheet3!$D$1:$E$7,2,0))</f>
        <v/>
      </c>
      <c r="CQ6" s="8" t="str">
        <f>IF(CQ$5="","",VLOOKUP(WEEKDAY(DATE($A$2,$A$3+$A$1-1,CQ5),2),Sheet3!$D$1:$E$7,2,0))</f>
        <v/>
      </c>
      <c r="CR6" s="8" t="str">
        <f>IF(CR$5="","",VLOOKUP(WEEKDAY(DATE($A$2,$A$3+$A$1-1,CR5),2),Sheet3!$D$1:$E$7,2,0))</f>
        <v/>
      </c>
      <c r="CS6" s="8" t="str">
        <f>IF(CS$5="","",VLOOKUP(WEEKDAY(DATE($A$2,$A$3+$A$1-1,CS5),2),Sheet3!$D$1:$E$7,2,0))</f>
        <v/>
      </c>
      <c r="CT6" s="8" t="str">
        <f>IF(CT$5="","",VLOOKUP(WEEKDAY(DATE($A$2,$A$3+$A$1-1,CT5),2),Sheet3!$D$1:$E$7,2,0))</f>
        <v/>
      </c>
      <c r="CU6" s="8" t="str">
        <f>IF(CU$5="","",VLOOKUP(WEEKDAY(DATE($A$2,$A$3+$A$1-1,CU5),2),Sheet3!$D$1:$E$7,2,0))</f>
        <v/>
      </c>
      <c r="CV6" s="8" t="str">
        <f>IF(CV$5="","",VLOOKUP(WEEKDAY(DATE($A$2,$A$3+$A$1-1,CV5),2),Sheet3!$D$1:$E$7,2,0))</f>
        <v/>
      </c>
      <c r="CW6" s="8" t="str">
        <f>IF(CW$5="","",VLOOKUP(WEEKDAY(DATE($A$2,$A$3+$A$1-1,CW5),2),Sheet3!$D$1:$E$7,2,0))</f>
        <v/>
      </c>
      <c r="CX6" s="8" t="str">
        <f>IF(CX$5="","",VLOOKUP(WEEKDAY(DATE($A$2,$A$3+$A$1-1,CX5),2),Sheet3!$D$1:$E$7,2,0))</f>
        <v/>
      </c>
      <c r="CY6" s="8" t="str">
        <f>IF(CY$5="","",VLOOKUP(WEEKDAY(DATE($A$2,$A$3+$A$1-1,CY5),2),Sheet3!$D$1:$E$7,2,0))</f>
        <v/>
      </c>
      <c r="CZ6" s="8" t="str">
        <f>IF(CZ$5="","",VLOOKUP(WEEKDAY(DATE($A$2,$A$3+$A$1-1,CZ5),2),Sheet3!$D$1:$E$7,2,0))</f>
        <v/>
      </c>
      <c r="DA6" s="8" t="str">
        <f>IF(DA$5="","",VLOOKUP(WEEKDAY(DATE($A$2,$A$3+$A$1-1,DA5),2),Sheet3!$D$1:$E$7,2,0))</f>
        <v/>
      </c>
      <c r="DB6" s="8" t="str">
        <f>IF(DB$5="","",VLOOKUP(WEEKDAY(DATE($A$2,$A$3+$A$1-1,DB5),2),Sheet3!$D$1:$E$7,2,0))</f>
        <v/>
      </c>
      <c r="DC6" s="8" t="str">
        <f>IF(DC$5="","",VLOOKUP(WEEKDAY(DATE($A$2,$A$3+$A$1-1,DC5),2),Sheet3!$D$1:$E$7,2,0))</f>
        <v/>
      </c>
      <c r="DD6" s="8" t="str">
        <f>IF(DD$5="","",VLOOKUP(WEEKDAY(DATE($A$2,$A$3+$A$1-1,DD5),2),Sheet3!$D$1:$E$7,2,0))</f>
        <v/>
      </c>
      <c r="DE6" s="8" t="str">
        <f>IF(DE$5="","",VLOOKUP(WEEKDAY(DATE($A$2,$A$3+$A$1-1,DE5),2),Sheet3!$D$1:$E$7,2,0))</f>
        <v/>
      </c>
      <c r="DF6" s="8" t="str">
        <f>IF(DF$5="","",VLOOKUP(WEEKDAY(DATE($A$2,$A$3+$A$1-1,DF5),2),Sheet3!$D$1:$E$7,2,0))</f>
        <v/>
      </c>
      <c r="DG6" s="8" t="str">
        <f>IF(DG$5="","",VLOOKUP(WEEKDAY(DATE($A$2,$A$3+$A$1-1,DG5),2),Sheet3!$D$1:$E$7,2,0))</f>
        <v/>
      </c>
      <c r="DH6" s="8" t="str">
        <f>IF(DH$5="","",VLOOKUP(WEEKDAY(DATE($A$2,$A$3+$A$1-1,DH5),2),Sheet3!$D$1:$E$7,2,0))</f>
        <v/>
      </c>
      <c r="DI6" s="8" t="str">
        <f>IF(DI$5="","",VLOOKUP(WEEKDAY(DATE($A$2,$A$3+$A$1-1,DI5),2),Sheet3!$D$1:$E$7,2,0))</f>
        <v/>
      </c>
      <c r="DJ6" s="8" t="str">
        <f>IF(DJ$5="","",VLOOKUP(WEEKDAY(DATE($A$2,$A$3+$A$1-1,DJ5),2),Sheet3!$D$1:$E$7,2,0))</f>
        <v/>
      </c>
      <c r="DK6" s="8" t="str">
        <f>IF(DK$5="","",VLOOKUP(WEEKDAY(DATE($A$2,$A$3+$A$1-1,DK5),2),Sheet3!$D$1:$E$7,2,0))</f>
        <v/>
      </c>
      <c r="DL6" s="8" t="str">
        <f>IF(DL$5="","",VLOOKUP(WEEKDAY(DATE($A$2,$A$3+$A$1-1,DL5),2),Sheet3!$D$1:$E$7,2,0))</f>
        <v/>
      </c>
      <c r="DM6" s="8" t="str">
        <f>IF(DM$5="","",VLOOKUP(WEEKDAY(DATE($A$2,$A$3+$A$1-1,DM5),2),Sheet3!$D$1:$E$7,2,0))</f>
        <v/>
      </c>
      <c r="DN6" s="8" t="str">
        <f>IF(DN$5="","",VLOOKUP(WEEKDAY(DATE($A$2,$A$3+$A$1-1,DN5),2),Sheet3!$D$1:$E$7,2,0))</f>
        <v/>
      </c>
      <c r="DO6" s="8" t="str">
        <f>IF(DO$5="","",VLOOKUP(WEEKDAY(DATE($A$2,$A$3+$A$1-1,DO5),2),Sheet3!$D$1:$E$7,2,0))</f>
        <v/>
      </c>
      <c r="DP6" s="8" t="str">
        <f>IF(DP$5="","",VLOOKUP(WEEKDAY(DATE($A$2,$A$3+$A$1-1,DP5),2),Sheet3!$D$1:$E$7,2,0))</f>
        <v/>
      </c>
      <c r="DQ6" s="8" t="str">
        <f>IF(DQ$5="","",VLOOKUP(WEEKDAY(DATE($A$2,$A$3+$A$1-1,DQ5),2),Sheet3!$D$1:$E$7,2,0))</f>
        <v/>
      </c>
      <c r="DR6" s="8" t="str">
        <f>IF(DR$5="","",VLOOKUP(WEEKDAY(DATE($A$2,$A$3+$A$1-1,DR5),2),Sheet3!$D$1:$E$7,2,0))</f>
        <v/>
      </c>
      <c r="DS6" s="8" t="str">
        <f>IF(DS$5="","",VLOOKUP(WEEKDAY(DATE($A$2,$A$3+$A$1-1,DS5),2),Sheet3!$D$1:$E$7,2,0))</f>
        <v/>
      </c>
      <c r="DT6" s="8" t="str">
        <f>IF(DT$5="","",VLOOKUP(WEEKDAY(DATE($A$2,$A$3+$A$1-1,DT5),2),Sheet3!$D$1:$E$7,2,0))</f>
        <v/>
      </c>
      <c r="DU6" s="8" t="str">
        <f>IF(DU$5="","",VLOOKUP(WEEKDAY(DATE($A$2,$A$3+$A$1-1,DU5),2),Sheet3!$D$1:$E$7,2,0))</f>
        <v/>
      </c>
      <c r="DV6" s="8" t="str">
        <f>IF(DV$5="","",VLOOKUP(WEEKDAY(DATE($A$2,$A$3+$A$1-1,DV5),2),Sheet3!$D$1:$E$7,2,0))</f>
        <v/>
      </c>
      <c r="DW6" s="8" t="str">
        <f>IF(DW$5="","",VLOOKUP(WEEKDAY(DATE($A$2,$A$3+$A$1-1,DW5),2),Sheet3!$D$1:$E$7,2,0))</f>
        <v/>
      </c>
      <c r="DX6" s="8" t="str">
        <f>IF(DX$5="","",VLOOKUP(WEEKDAY(DATE($A$2,$A$3+$A$1-1,DX5),2),Sheet3!$D$1:$E$7,2,0))</f>
        <v/>
      </c>
      <c r="DY6" s="8" t="str">
        <f>IF(DY$5="","",VLOOKUP(WEEKDAY(DATE($A$2,$A$3+$A$1-1,DY5),2),Sheet3!$D$1:$E$7,2,0))</f>
        <v/>
      </c>
      <c r="DZ6" s="8" t="str">
        <f>IF(DZ$5="","",VLOOKUP(WEEKDAY(DATE($A$2,$A$3+$A$1-1,DZ5),2),Sheet3!$D$1:$E$7,2,0))</f>
        <v/>
      </c>
      <c r="EA6" s="8" t="str">
        <f>IF(EA$5="","",VLOOKUP(WEEKDAY(DATE($A$2,$A$3+$A$1-1,EA5),2),Sheet3!$D$1:$E$7,2,0))</f>
        <v/>
      </c>
      <c r="EB6" s="8" t="str">
        <f>IF(EB$5="","",VLOOKUP(WEEKDAY(DATE($A$2,$A$3+$A$1-1,EB5),2),Sheet3!$D$1:$E$7,2,0))</f>
        <v/>
      </c>
      <c r="EC6" s="8" t="str">
        <f>IF(EC$5="","",VLOOKUP(WEEKDAY(DATE($A$2,$A$3+$A$1-1,EC5),2),Sheet3!$D$1:$E$7,2,0))</f>
        <v/>
      </c>
      <c r="ED6" s="8" t="str">
        <f>IF(ED$5="","",VLOOKUP(WEEKDAY(DATE($A$2,$A$3+$A$1-1,ED5),2),Sheet3!$D$1:$E$7,2,0))</f>
        <v/>
      </c>
      <c r="EE6" s="8" t="str">
        <f>IF(EE$5="","",VLOOKUP(WEEKDAY(DATE($A$2,$A$3+$A$1-1,EE5),2),Sheet3!$D$1:$E$7,2,0))</f>
        <v/>
      </c>
      <c r="EF6" s="8" t="str">
        <f>IF(EF$5="","",VLOOKUP(WEEKDAY(DATE($A$2,$A$3+$A$1-1,EF5),2),Sheet3!$D$1:$E$7,2,0))</f>
        <v/>
      </c>
      <c r="EG6" s="8" t="str">
        <f>IF(EG$5="","",VLOOKUP(WEEKDAY(DATE($A$2,$A$3+$A$1-1,EG5),2),Sheet3!$D$1:$E$7,2,0))</f>
        <v/>
      </c>
      <c r="EH6" s="8" t="str">
        <f>IF(EH$5="","",VLOOKUP(WEEKDAY(DATE($A$2,$A$3+$A$1-1,EH5),2),Sheet3!$D$1:$E$7,2,0))</f>
        <v/>
      </c>
      <c r="EI6" s="8" t="str">
        <f>IF(EI$5="","",VLOOKUP(WEEKDAY(DATE($A$2,$A$3+$A$1-1,EI5),2),Sheet3!$D$1:$E$7,2,0))</f>
        <v/>
      </c>
      <c r="EJ6" s="8" t="str">
        <f>IF(EJ$5="","",VLOOKUP(WEEKDAY(DATE($A$2,$A$3+$A$1-1,EJ5),2),Sheet3!$D$1:$E$7,2,0))</f>
        <v/>
      </c>
      <c r="EK6" s="8" t="str">
        <f>IF(EK$5="","",VLOOKUP(WEEKDAY(DATE($A$2,$A$3+$A$1-1,EK5),2),Sheet3!$D$1:$E$7,2,0))</f>
        <v/>
      </c>
      <c r="EL6" s="8" t="str">
        <f>IF(EL$5="","",VLOOKUP(WEEKDAY(DATE($A$2,$A$3+$A$1-1,EL5),2),Sheet3!$D$1:$E$7,2,0))</f>
        <v/>
      </c>
      <c r="EM6" s="8" t="str">
        <f>IF(EM$5="","",VLOOKUP(WEEKDAY(DATE($A$2,$A$3+$A$1-1,EM5),2),Sheet3!$D$1:$E$7,2,0))</f>
        <v/>
      </c>
      <c r="EN6" s="8" t="str">
        <f>IF(EN$5="","",VLOOKUP(WEEKDAY(DATE($A$2,$A$3+$A$1-1,EN5),2),Sheet3!$D$1:$E$7,2,0))</f>
        <v/>
      </c>
      <c r="EO6" s="8" t="str">
        <f>IF(EO$5="","",VLOOKUP(WEEKDAY(DATE($A$2,$A$3+$A$1-1,EO5),2),Sheet3!$D$1:$E$7,2,0))</f>
        <v/>
      </c>
      <c r="EP6" s="8" t="str">
        <f>IF(EP$5="","",VLOOKUP(WEEKDAY(DATE($A$2,$A$3+$A$1-1,EP5),2),Sheet3!$D$1:$E$7,2,0))</f>
        <v/>
      </c>
      <c r="EQ6" s="8" t="str">
        <f>IF(EQ$5="","",VLOOKUP(WEEKDAY(DATE($A$2,$A$3+$A$1-1,EQ5),2),Sheet3!$D$1:$E$7,2,0))</f>
        <v/>
      </c>
      <c r="ER6" s="8" t="str">
        <f>IF(ER$5="","",VLOOKUP(WEEKDAY(DATE($A$2,$A$3+$A$1-1,ER5),2),Sheet3!$D$1:$E$7,2,0))</f>
        <v/>
      </c>
      <c r="ES6" s="8" t="str">
        <f>IF(ES$5="","",VLOOKUP(WEEKDAY(DATE($A$2,$A$3+$A$1-1,ES5),2),Sheet3!$D$1:$E$7,2,0))</f>
        <v/>
      </c>
      <c r="ET6" s="8" t="str">
        <f>IF(ET$5="","",VLOOKUP(WEEKDAY(DATE($A$2,$A$3+$A$1-1,ET5),2),Sheet3!$D$1:$E$7,2,0))</f>
        <v/>
      </c>
      <c r="EU6" s="8" t="str">
        <f>IF(EU$5="","",VLOOKUP(WEEKDAY(DATE($A$2,$A$3+$A$1-1,EU5),2),Sheet3!$D$1:$E$7,2,0))</f>
        <v/>
      </c>
      <c r="EV6" s="8" t="str">
        <f>IF(EV$5="","",VLOOKUP(WEEKDAY(DATE($A$2,$A$3+$A$1-1,EV5),2),Sheet3!$D$1:$E$7,2,0))</f>
        <v/>
      </c>
      <c r="EW6" s="8" t="str">
        <f>IF(EW$5="","",VLOOKUP(WEEKDAY(DATE($A$2,$A$3+$A$1-1,EW5),2),Sheet3!$D$1:$E$7,2,0))</f>
        <v/>
      </c>
      <c r="EX6" s="8" t="str">
        <f>IF(EX$5="","",VLOOKUP(WEEKDAY(DATE($A$2,$A$3+$A$1-1,EX5),2),Sheet3!$D$1:$E$7,2,0))</f>
        <v/>
      </c>
      <c r="EY6" s="8" t="str">
        <f>IF(EY$5="","",VLOOKUP(WEEKDAY(DATE($A$2,$A$3+$A$1-1,EY5),2),Sheet3!$D$1:$E$7,2,0))</f>
        <v/>
      </c>
      <c r="EZ6" s="8" t="str">
        <f>IF(EZ$5="","",VLOOKUP(WEEKDAY(DATE($A$2,$A$3+$A$1-1,EZ5),2),Sheet3!$D$1:$E$7,2,0))</f>
        <v/>
      </c>
      <c r="FA6" s="8" t="str">
        <f>IF(FA$5="","",VLOOKUP(WEEKDAY(DATE($A$2,$A$3+$A$1-1,FA5),2),Sheet3!$D$1:$E$7,2,0))</f>
        <v/>
      </c>
      <c r="FB6" s="8" t="str">
        <f>IF(FB$5="","",VLOOKUP(WEEKDAY(DATE($A$2,$A$3+$A$1-1,FB5),2),Sheet3!$D$1:$E$7,2,0))</f>
        <v/>
      </c>
      <c r="FC6" s="8" t="str">
        <f>IF(FC$5="","",VLOOKUP(WEEKDAY(DATE($A$2,$A$3+$A$1-1,FC5),2),Sheet3!$D$1:$E$7,2,0))</f>
        <v/>
      </c>
      <c r="FD6" s="8" t="str">
        <f>IF(FD$5="","",VLOOKUP(WEEKDAY(DATE($A$2,$A$3+$A$1-1,FD5),2),Sheet3!$D$1:$E$7,2,0))</f>
        <v/>
      </c>
      <c r="FE6" s="8" t="str">
        <f>IF(FE$5="","",VLOOKUP(WEEKDAY(DATE($A$2,$A$3+$A$1-1,FE5),2),Sheet3!$D$1:$E$7,2,0))</f>
        <v/>
      </c>
      <c r="FF6" s="8" t="str">
        <f>IF(FF$5="","",VLOOKUP(WEEKDAY(DATE($A$2,$A$3+$A$1-1,FF5),2),Sheet3!$D$1:$E$7,2,0))</f>
        <v/>
      </c>
      <c r="FG6" s="8" t="str">
        <f>IF(FG$5="","",VLOOKUP(WEEKDAY(DATE($A$2,$A$3+$A$1-1,FG5),2),Sheet3!$D$1:$E$7,2,0))</f>
        <v/>
      </c>
      <c r="FH6" s="8" t="str">
        <f>IF(FH$5="","",VLOOKUP(WEEKDAY(DATE($A$2,$A$3+$A$1-1,FH5),2),Sheet3!$D$1:$E$7,2,0))</f>
        <v/>
      </c>
      <c r="FI6" s="8" t="str">
        <f>IF(FI$5="","",VLOOKUP(WEEKDAY(DATE($A$2,$A$3+$A$1-1,FI5),2),Sheet3!$D$1:$E$7,2,0))</f>
        <v/>
      </c>
      <c r="FJ6" s="8" t="str">
        <f>IF(FJ$5="","",VLOOKUP(WEEKDAY(DATE($A$2,$A$3+$A$1-1,FJ5),2),Sheet3!$D$1:$E$7,2,0))</f>
        <v/>
      </c>
      <c r="FK6" s="8" t="str">
        <f>IF(FK$5="","",VLOOKUP(WEEKDAY(DATE($A$2,$A$3+$A$1-1,FK5),2),Sheet3!$D$1:$E$7,2,0))</f>
        <v/>
      </c>
      <c r="FL6" s="8" t="str">
        <f>IF(FL$5="","",VLOOKUP(WEEKDAY(DATE($A$2,$A$3+$A$1-1,FL5),2),Sheet3!$D$1:$E$7,2,0))</f>
        <v/>
      </c>
      <c r="FM6" s="8" t="str">
        <f>IF(FM$5="","",VLOOKUP(WEEKDAY(DATE($A$2,$A$3+$A$1-1,FM5),2),Sheet3!$D$1:$E$7,2,0))</f>
        <v/>
      </c>
      <c r="FN6" s="8" t="str">
        <f>IF(FN$5="","",VLOOKUP(WEEKDAY(DATE($A$2,$A$3+$A$1-1,FN5),2),Sheet3!$D$1:$E$7,2,0))</f>
        <v/>
      </c>
      <c r="FO6" s="8" t="str">
        <f>IF(FO$5="","",VLOOKUP(WEEKDAY(DATE($A$2,$A$3+$A$1-1,FO5),2),Sheet3!$D$1:$E$7,2,0))</f>
        <v/>
      </c>
      <c r="FP6" s="8" t="str">
        <f>IF(FP$5="","",VLOOKUP(WEEKDAY(DATE($A$2,$A$3+$A$1-1,FP5),2),Sheet3!$D$1:$E$7,2,0))</f>
        <v/>
      </c>
      <c r="FQ6" s="8" t="str">
        <f>IF(FQ$5="","",VLOOKUP(WEEKDAY(DATE($A$2,$A$3+$A$1-1,FQ5),2),Sheet3!$D$1:$E$7,2,0))</f>
        <v/>
      </c>
      <c r="FR6" s="8" t="str">
        <f>IF(FR$5="","",VLOOKUP(WEEKDAY(DATE($A$2,$A$3+$A$1-1,FR5),2),Sheet3!$D$1:$E$7,2,0))</f>
        <v/>
      </c>
      <c r="FS6" s="8" t="str">
        <f>IF(FS$5="","",VLOOKUP(WEEKDAY(DATE($A$2,$A$3+$A$1-1,FS5),2),Sheet3!$D$1:$E$7,2,0))</f>
        <v/>
      </c>
      <c r="FT6" s="8" t="str">
        <f>IF(FT$5="","",VLOOKUP(WEEKDAY(DATE($A$2,$A$3+$A$1-1,FT5),2),Sheet3!$D$1:$E$7,2,0))</f>
        <v/>
      </c>
      <c r="FU6" s="8" t="str">
        <f>IF(FU$5="","",VLOOKUP(WEEKDAY(DATE($A$2,$A$3+$A$1-1,FU5),2),Sheet3!$D$1:$E$7,2,0))</f>
        <v/>
      </c>
      <c r="FV6" s="8" t="str">
        <f>IF(FV$5="","",VLOOKUP(WEEKDAY(DATE($A$2,$A$3+$A$1-1,FV5),2),Sheet3!$D$1:$E$7,2,0))</f>
        <v/>
      </c>
      <c r="FW6" s="8" t="str">
        <f>IF(FW$5="","",VLOOKUP(WEEKDAY(DATE($A$2,$A$3+$A$1-1,FW5),2),Sheet3!$D$1:$E$7,2,0))</f>
        <v/>
      </c>
      <c r="FX6" s="8" t="str">
        <f>IF(FX$5="","",VLOOKUP(WEEKDAY(DATE($A$2,$A$3+$A$1-1,FX5),2),Sheet3!$D$1:$E$7,2,0))</f>
        <v/>
      </c>
      <c r="FY6" s="8" t="str">
        <f>IF(FY$5="","",VLOOKUP(WEEKDAY(DATE($A$2,$A$3+$A$1-1,FY5),2),Sheet3!$D$1:$E$7,2,0))</f>
        <v/>
      </c>
      <c r="FZ6" s="8" t="str">
        <f>IF(FZ$5="","",VLOOKUP(WEEKDAY(DATE($A$2,$A$3+$A$1-1,FZ5),2),Sheet3!$D$1:$E$7,2,0))</f>
        <v/>
      </c>
      <c r="GA6" s="8" t="str">
        <f>IF(GA$5="","",VLOOKUP(WEEKDAY(DATE($A$2,$A$3+$A$1-1,GA5),2),Sheet3!$D$1:$E$7,2,0))</f>
        <v/>
      </c>
      <c r="GB6" s="8" t="str">
        <f>IF(GB$5="","",VLOOKUP(WEEKDAY(DATE($A$2,$A$3+$A$1-1,GB5),2),Sheet3!$D$1:$E$7,2,0))</f>
        <v/>
      </c>
      <c r="GC6" s="8" t="str">
        <f>IF(GC$5="","",VLOOKUP(WEEKDAY(DATE($A$2,$A$3+$A$1-1,GC5),2),Sheet3!$D$1:$E$7,2,0))</f>
        <v/>
      </c>
      <c r="GD6" s="8" t="str">
        <f>IF(GD$5="","",VLOOKUP(WEEKDAY(DATE($A$2,$A$3+$A$1-1,GD5),2),Sheet3!$D$1:$E$7,2,0))</f>
        <v/>
      </c>
      <c r="GE6" s="8" t="str">
        <f>IF(GE$5="","",VLOOKUP(WEEKDAY(DATE($A$2,$A$3+$A$1-1,GE5),2),Sheet3!$D$1:$E$7,2,0))</f>
        <v/>
      </c>
      <c r="GF6" s="8" t="str">
        <f>IF(GF$5="","",VLOOKUP(WEEKDAY(DATE($A$2,$A$3+$A$1-1,GF5),2),Sheet3!$D$1:$E$7,2,0))</f>
        <v/>
      </c>
      <c r="GG6" s="8" t="str">
        <f>IF(GG$5="","",VLOOKUP(WEEKDAY(DATE($A$2,$A$3+$A$1-1,GG5),2),Sheet3!$D$1:$E$7,2,0))</f>
        <v/>
      </c>
      <c r="GH6" s="8" t="str">
        <f>IF(GH$5="","",VLOOKUP(WEEKDAY(DATE($A$2,$A$3+$A$1-1,GH5),2),Sheet3!$D$1:$E$7,2,0))</f>
        <v/>
      </c>
      <c r="GI6" s="8" t="str">
        <f>IF(GI$5="","",VLOOKUP(WEEKDAY(DATE($A$2,$A$3+$A$1-1,GI5),2),Sheet3!$D$1:$E$7,2,0))</f>
        <v/>
      </c>
      <c r="GJ6" s="8" t="str">
        <f>IF(GJ$5="","",VLOOKUP(WEEKDAY(DATE($A$2,$A$3+$A$1-1,GJ5),2),Sheet3!$D$1:$E$7,2,0))</f>
        <v/>
      </c>
      <c r="GK6" s="8" t="str">
        <f>IF(GK$5="","",VLOOKUP(WEEKDAY(DATE($A$2,$A$3+$A$1-1,GK5),2),Sheet3!$D$1:$E$7,2,0))</f>
        <v/>
      </c>
      <c r="GL6" s="8" t="str">
        <f>IF(GL$5="","",VLOOKUP(WEEKDAY(DATE($A$2,$A$3+$A$1-1,GL5),2),Sheet3!$D$1:$E$7,2,0))</f>
        <v/>
      </c>
      <c r="GM6" s="8" t="str">
        <f>IF(GM$5="","",VLOOKUP(WEEKDAY(DATE($A$2,$A$3+$A$1-1,GM5),2),Sheet3!$D$1:$E$7,2,0))</f>
        <v/>
      </c>
      <c r="GN6" s="8" t="str">
        <f>IF(GN$5="","",VLOOKUP(WEEKDAY(DATE($A$2,$A$3+$A$1-1,GN5),2),Sheet3!$D$1:$E$7,2,0))</f>
        <v/>
      </c>
      <c r="GO6" s="8" t="str">
        <f>IF(GO$5="","",VLOOKUP(WEEKDAY(DATE($A$2,$A$3+$A$1-1,GO5),2),Sheet3!$D$1:$E$7,2,0))</f>
        <v/>
      </c>
      <c r="GP6" s="8" t="str">
        <f>IF(GP$5="","",VLOOKUP(WEEKDAY(DATE($A$2,$A$3+$A$1-1,GP5),2),Sheet3!$D$1:$E$7,2,0))</f>
        <v/>
      </c>
      <c r="GQ6" s="8" t="str">
        <f>IF(GQ$5="","",VLOOKUP(WEEKDAY(DATE($A$2,$A$3+$A$1-1,GQ5),2),Sheet3!$D$1:$E$7,2,0))</f>
        <v/>
      </c>
      <c r="GR6" s="8" t="str">
        <f>IF(GR$5="","",VLOOKUP(WEEKDAY(DATE($A$2,$A$3+$A$1-1,GR5),2),Sheet3!$D$1:$E$7,2,0))</f>
        <v/>
      </c>
      <c r="GS6" s="8" t="str">
        <f>IF(GS$5="","",VLOOKUP(WEEKDAY(DATE($A$2,$A$3+$A$1-1,GS5),2),Sheet3!$D$1:$E$7,2,0))</f>
        <v/>
      </c>
      <c r="GT6" s="8" t="str">
        <f>IF(GT$5="","",VLOOKUP(WEEKDAY(DATE($A$2,$A$3+$A$1-1,GT5),2),Sheet3!$D$1:$E$7,2,0))</f>
        <v/>
      </c>
      <c r="GU6" s="8" t="str">
        <f>IF(GU$5="","",VLOOKUP(WEEKDAY(DATE($A$2,$A$3+$A$1-1,GU5),2),Sheet3!$D$1:$E$7,2,0))</f>
        <v/>
      </c>
      <c r="GV6" s="8" t="str">
        <f>IF(GV$5="","",VLOOKUP(WEEKDAY(DATE($A$2,$A$3+$A$1-1,GV5),2),Sheet3!$D$1:$E$7,2,0))</f>
        <v/>
      </c>
      <c r="GW6" s="8" t="str">
        <f>IF(GW$5="","",VLOOKUP(WEEKDAY(DATE($A$2,$A$3+$A$1-1,GW5),2),Sheet3!$D$1:$E$7,2,0))</f>
        <v/>
      </c>
      <c r="GX6" s="8" t="str">
        <f>IF(GX$5="","",VLOOKUP(WEEKDAY(DATE($A$2,$A$3+$A$1-1,GX5),2),Sheet3!$D$1:$E$7,2,0))</f>
        <v/>
      </c>
      <c r="GY6" s="8" t="str">
        <f>IF(GY$5="","",VLOOKUP(WEEKDAY(DATE($A$2,$A$3+$A$1-1,GY5),2),Sheet3!$D$1:$E$7,2,0))</f>
        <v/>
      </c>
      <c r="GZ6" s="8" t="str">
        <f>IF(GZ$5="","",VLOOKUP(WEEKDAY(DATE($A$2,$A$3+$A$1-1,GZ5),2),Sheet3!$D$1:$E$7,2,0))</f>
        <v/>
      </c>
      <c r="HA6" s="8" t="str">
        <f>IF(HA$5="","",VLOOKUP(WEEKDAY(DATE($A$2,$A$3+$A$1-1,HA5),2),Sheet3!$D$1:$E$7,2,0))</f>
        <v/>
      </c>
      <c r="HB6" s="8" t="str">
        <f>IF(HB$5="","",VLOOKUP(WEEKDAY(DATE($A$2,$A$3+$A$1-1,HB5),2),Sheet3!$D$1:$E$7,2,0))</f>
        <v/>
      </c>
      <c r="HC6" s="8" t="str">
        <f>IF(HC$5="","",VLOOKUP(WEEKDAY(DATE($A$2,$A$3+$A$1-1,HC5),2),Sheet3!$D$1:$E$7,2,0))</f>
        <v/>
      </c>
      <c r="HD6" s="8" t="str">
        <f>IF(HD$5="","",VLOOKUP(WEEKDAY(DATE($A$2,$A$3+$A$1-1,HD5),2),Sheet3!$D$1:$E$7,2,0))</f>
        <v/>
      </c>
      <c r="HE6" s="8" t="str">
        <f>IF(HE$5="","",VLOOKUP(WEEKDAY(DATE($A$2,$A$3+$A$1-1,HE5),2),Sheet3!$D$1:$E$7,2,0))</f>
        <v/>
      </c>
      <c r="HF6" s="8" t="str">
        <f>IF(HF$5="","",VLOOKUP(WEEKDAY(DATE($A$2,$A$3+$A$1-1,HF5),2),Sheet3!$D$1:$E$7,2,0))</f>
        <v/>
      </c>
      <c r="HG6" s="8" t="str">
        <f>IF(HG$5="","",VLOOKUP(WEEKDAY(DATE($A$2,$A$3+$A$1-1,HG5),2),Sheet3!$D$1:$E$7,2,0))</f>
        <v/>
      </c>
      <c r="HH6" s="8" t="str">
        <f>IF(HH$5="","",VLOOKUP(WEEKDAY(DATE($A$2,$A$3+$A$1-1,HH5),2),Sheet3!$D$1:$E$7,2,0))</f>
        <v/>
      </c>
      <c r="HI6" s="8" t="str">
        <f>IF(HI$5="","",VLOOKUP(WEEKDAY(DATE($A$2,$A$3+$A$1-1,HI5),2),Sheet3!$D$1:$E$7,2,0))</f>
        <v/>
      </c>
      <c r="HJ6" s="8" t="str">
        <f>IF(HJ$5="","",VLOOKUP(WEEKDAY(DATE($A$2,$A$3+$A$1-1,HJ5),2),Sheet3!$D$1:$E$7,2,0))</f>
        <v/>
      </c>
      <c r="HK6" s="8" t="str">
        <f>IF(HK$5="","",VLOOKUP(WEEKDAY(DATE($A$2,$A$3+$A$1-1,HK5),2),Sheet3!$D$1:$E$7,2,0))</f>
        <v/>
      </c>
      <c r="HL6" s="8" t="str">
        <f>IF(HL$5="","",VLOOKUP(WEEKDAY(DATE($A$2,$A$3+$A$1-1,HL5),2),Sheet3!$D$1:$E$7,2,0))</f>
        <v/>
      </c>
      <c r="HM6" s="8" t="str">
        <f>IF(HM$5="","",VLOOKUP(WEEKDAY(DATE($A$2,$A$3+$A$1-1,HM5),2),Sheet3!$D$1:$E$7,2,0))</f>
        <v/>
      </c>
      <c r="HN6" s="8" t="str">
        <f>IF(HN$5="","",VLOOKUP(WEEKDAY(DATE($A$2,$A$3+$A$1-1,HN5),2),Sheet3!$D$1:$E$7,2,0))</f>
        <v/>
      </c>
      <c r="HO6" s="8" t="str">
        <f>IF(HO$5="","",VLOOKUP(WEEKDAY(DATE($A$2,$A$3+$A$1-1,HO5),2),Sheet3!$D$1:$E$7,2,0))</f>
        <v/>
      </c>
      <c r="HP6" s="8" t="str">
        <f>IF(HP$5="","",VLOOKUP(WEEKDAY(DATE($A$2,$A$3+$A$1-1,HP5),2),Sheet3!$D$1:$E$7,2,0))</f>
        <v/>
      </c>
      <c r="HQ6" s="8" t="str">
        <f>IF(HQ$5="","",VLOOKUP(WEEKDAY(DATE($A$2,$A$3+$A$1-1,HQ5),2),Sheet3!$D$1:$E$7,2,0))</f>
        <v/>
      </c>
      <c r="HR6" s="8" t="str">
        <f>IF(HR$5="","",VLOOKUP(WEEKDAY(DATE($A$2,$A$3+$A$1-1,HR5),2),Sheet3!$D$1:$E$7,2,0))</f>
        <v/>
      </c>
      <c r="HS6" s="8" t="str">
        <f>IF(HS$5="","",VLOOKUP(WEEKDAY(DATE($A$2,$A$3+$A$1-1,HS5),2),Sheet3!$D$1:$E$7,2,0))</f>
        <v/>
      </c>
      <c r="HT6" s="8" t="str">
        <f>IF(HT$5="","",VLOOKUP(WEEKDAY(DATE($A$2,$A$3+$A$1-1,HT5),2),Sheet3!$D$1:$E$7,2,0))</f>
        <v/>
      </c>
      <c r="HU6" s="8" t="str">
        <f>IF(HU$5="","",VLOOKUP(WEEKDAY(DATE($A$2,$A$3+$A$1-1,HU5),2),Sheet3!$D$1:$E$7,2,0))</f>
        <v/>
      </c>
      <c r="HV6" s="8" t="str">
        <f>IF(HV$5="","",VLOOKUP(WEEKDAY(DATE($A$2,$A$3+$A$1-1,HV5),2),Sheet3!$D$1:$E$7,2,0))</f>
        <v/>
      </c>
      <c r="HW6" s="8" t="str">
        <f>IF(HW$5="","",VLOOKUP(WEEKDAY(DATE($A$2,$A$3+$A$1-1,HW5),2),Sheet3!$D$1:$E$7,2,0))</f>
        <v/>
      </c>
      <c r="HX6" s="8" t="str">
        <f>IF(HX$5="","",VLOOKUP(WEEKDAY(DATE($A$2,$A$3+$A$1-1,HX5),2),Sheet3!$D$1:$E$7,2,0))</f>
        <v/>
      </c>
      <c r="HY6" s="8" t="str">
        <f>IF(HY$5="","",VLOOKUP(WEEKDAY(DATE($A$2,$A$3+$A$1-1,HY5),2),Sheet3!$D$1:$E$7,2,0))</f>
        <v/>
      </c>
      <c r="HZ6" s="8" t="str">
        <f>IF(HZ$5="","",VLOOKUP(WEEKDAY(DATE($A$2,$A$3+$A$1-1,HZ5),2),Sheet3!$D$1:$E$7,2,0))</f>
        <v/>
      </c>
      <c r="IA6" s="8" t="str">
        <f>IF(IA$5="","",VLOOKUP(WEEKDAY(DATE($A$2,$A$3+$A$1-1,IA5),2),Sheet3!$D$1:$E$7,2,0))</f>
        <v/>
      </c>
      <c r="IB6" s="8" t="str">
        <f>IF(IB$5="","",VLOOKUP(WEEKDAY(DATE($A$2,$A$3+$A$1-1,IB5),2),Sheet3!$D$1:$E$7,2,0))</f>
        <v/>
      </c>
      <c r="IC6" s="8" t="str">
        <f>IF(IC$5="","",VLOOKUP(WEEKDAY(DATE($A$2,$A$3+$A$1-1,IC5),2),Sheet3!$D$1:$E$7,2,0))</f>
        <v/>
      </c>
      <c r="ID6" s="8" t="str">
        <f>IF(ID$5="","",VLOOKUP(WEEKDAY(DATE($A$2,$A$3+$A$1-1,ID5),2),Sheet3!$D$1:$E$7,2,0))</f>
        <v/>
      </c>
      <c r="IE6" s="8" t="str">
        <f>IF(IE$5="","",VLOOKUP(WEEKDAY(DATE($A$2,$A$3+$A$1-1,IE5),2),Sheet3!$D$1:$E$7,2,0))</f>
        <v/>
      </c>
      <c r="IF6" s="8" t="str">
        <f>IF(IF$5="","",VLOOKUP(WEEKDAY(DATE($A$2,$A$3+$A$1-1,IF5),2),Sheet3!$D$1:$E$7,2,0))</f>
        <v/>
      </c>
      <c r="IG6" s="8" t="str">
        <f>IF(IG$5="","",VLOOKUP(WEEKDAY(DATE($A$2,$A$3+$A$1-1,IG5),2),Sheet3!$D$1:$E$7,2,0))</f>
        <v/>
      </c>
      <c r="IH6" s="8" t="str">
        <f>IF(IH$5="","",VLOOKUP(WEEKDAY(DATE($A$2,$A$3+$A$1-1,IH5),2),Sheet3!$D$1:$E$7,2,0))</f>
        <v/>
      </c>
      <c r="II6" s="8" t="str">
        <f>IF(II$5="","",VLOOKUP(WEEKDAY(DATE($A$2,$A$3+$A$1-1,II5),2),Sheet3!$D$1:$E$7,2,0))</f>
        <v/>
      </c>
      <c r="IJ6" s="8" t="str">
        <f>IF(IJ$5="","",VLOOKUP(WEEKDAY(DATE($A$2,$A$3+$A$1-1,IJ5),2),Sheet3!$D$1:$E$7,2,0))</f>
        <v/>
      </c>
      <c r="IK6" s="8" t="str">
        <f>IF(IK$5="","",VLOOKUP(WEEKDAY(DATE($A$2,$A$3+$A$1-1,IK5),2),Sheet3!$D$1:$E$7,2,0))</f>
        <v/>
      </c>
      <c r="IL6" s="8" t="str">
        <f>IF(IL$5="","",VLOOKUP(WEEKDAY(DATE($A$2,$A$3+$A$1-1,IL5),2),Sheet3!$D$1:$E$7,2,0))</f>
        <v/>
      </c>
      <c r="IM6" s="8" t="str">
        <f>IF(IM$5="","",VLOOKUP(WEEKDAY(DATE($A$2,$A$3+$A$1-1,IM5),2),Sheet3!$D$1:$E$7,2,0))</f>
        <v/>
      </c>
      <c r="IN6" s="8" t="str">
        <f>IF(IN$5="","",VLOOKUP(WEEKDAY(DATE($A$2,$A$3+$A$1-1,IN5),2),Sheet3!$D$1:$E$7,2,0))</f>
        <v/>
      </c>
      <c r="IO6" s="8" t="str">
        <f>IF(IO$5="","",VLOOKUP(WEEKDAY(DATE($A$2,$A$3+$A$1-1,IO5),2),Sheet3!$D$1:$E$7,2,0))</f>
        <v/>
      </c>
      <c r="IP6" s="8" t="str">
        <f>IF(IP$5="","",VLOOKUP(WEEKDAY(DATE($A$2,$A$3+$A$1-1,IP5),2),Sheet3!$D$1:$E$7,2,0))</f>
        <v/>
      </c>
      <c r="IQ6" s="8" t="str">
        <f>IF(IQ$5="","",VLOOKUP(WEEKDAY(DATE($A$2,$A$3+$A$1-1,IQ5),2),Sheet3!$D$1:$E$7,2,0))</f>
        <v/>
      </c>
      <c r="IR6" s="8" t="str">
        <f>IF(IR$5="","",VLOOKUP(WEEKDAY(DATE($A$2,$A$3+$A$1-1,IR5),2),Sheet3!$D$1:$E$7,2,0))</f>
        <v/>
      </c>
      <c r="IS6" s="8" t="str">
        <f>IF(IS$5="","",VLOOKUP(WEEKDAY(DATE($A$2,$A$3+$A$1-1,IS5),2),Sheet3!$D$1:$E$7,2,0))</f>
        <v/>
      </c>
      <c r="IT6" s="8" t="str">
        <f>IF(IT$5="","",VLOOKUP(WEEKDAY(DATE($A$2,$A$3+$A$1-1,IT5),2),Sheet3!$D$1:$E$7,2,0))</f>
        <v/>
      </c>
      <c r="IU6" s="8" t="str">
        <f>IF(IU$5="","",VLOOKUP(WEEKDAY(DATE($A$2,$A$3+$A$1-1,IU5),2),Sheet3!$D$1:$E$7,2,0))</f>
        <v/>
      </c>
      <c r="IV6" s="8" t="str">
        <f>IF(IV$5="","",VLOOKUP(WEEKDAY(DATE($A$2,$A$3+$A$1-1,IV5),2),Sheet3!$D$1:$E$7,2,0))</f>
        <v/>
      </c>
      <c r="IW6" s="8" t="str">
        <f>IF(IW$5="","",VLOOKUP(WEEKDAY(DATE($A$2,$A$3+$A$1-1,IW5),2),Sheet3!$D$1:$E$7,2,0))</f>
        <v/>
      </c>
      <c r="IX6" s="8" t="str">
        <f>IF(IX$5="","",VLOOKUP(WEEKDAY(DATE($A$2,$A$3+$A$1-1,IX5),2),Sheet3!$D$1:$E$7,2,0))</f>
        <v/>
      </c>
      <c r="IY6" s="8" t="str">
        <f>IF(IY$5="","",VLOOKUP(WEEKDAY(DATE($A$2,$A$3+$A$1-1,IY5),2),Sheet3!$D$1:$E$7,2,0))</f>
        <v/>
      </c>
      <c r="IZ6" s="8" t="str">
        <f>IF(IZ$5="","",VLOOKUP(WEEKDAY(DATE($A$2,$A$3+$A$1-1,IZ5),2),Sheet3!$D$1:$E$7,2,0))</f>
        <v/>
      </c>
      <c r="JA6" s="8" t="str">
        <f>IF(JA$5="","",VLOOKUP(WEEKDAY(DATE($A$2,$A$3+$A$1-1,JA5),2),Sheet3!$D$1:$E$7,2,0))</f>
        <v/>
      </c>
      <c r="JB6" s="8" t="str">
        <f>IF(JB$5="","",VLOOKUP(WEEKDAY(DATE($A$2,$A$3+$A$1-1,JB5),2),Sheet3!$D$1:$E$7,2,0))</f>
        <v/>
      </c>
      <c r="JC6" s="8" t="str">
        <f>IF(JC$5="","",VLOOKUP(WEEKDAY(DATE($A$2,$A$3+$A$1-1,JC5),2),Sheet3!$D$1:$E$7,2,0))</f>
        <v/>
      </c>
      <c r="JD6" s="8" t="str">
        <f>IF(JD$5="","",VLOOKUP(WEEKDAY(DATE($A$2,$A$3+$A$1-1,JD5),2),Sheet3!$D$1:$E$7,2,0))</f>
        <v/>
      </c>
      <c r="JE6" s="8" t="str">
        <f>IF(JE$5="","",VLOOKUP(WEEKDAY(DATE($A$2,$A$3+$A$1-1,JE5),2),Sheet3!$D$1:$E$7,2,0))</f>
        <v/>
      </c>
      <c r="JF6" s="8" t="str">
        <f>IF(JF$5="","",VLOOKUP(WEEKDAY(DATE($A$2,$A$3+$A$1-1,JF5),2),Sheet3!$D$1:$E$7,2,0))</f>
        <v/>
      </c>
      <c r="JG6" s="8" t="str">
        <f>IF(JG$5="","",VLOOKUP(WEEKDAY(DATE($A$2,$A$3+$A$1-1,JG5),2),Sheet3!$D$1:$E$7,2,0))</f>
        <v/>
      </c>
      <c r="JH6" s="8" t="str">
        <f>IF(JH$5="","",VLOOKUP(WEEKDAY(DATE($A$2,$A$3+$A$1-1,JH5),2),Sheet3!$D$1:$E$7,2,0))</f>
        <v/>
      </c>
      <c r="JI6" s="8" t="str">
        <f>IF(JI$5="","",VLOOKUP(WEEKDAY(DATE($A$2,$A$3+$A$1-1,JI5),2),Sheet3!$D$1:$E$7,2,0))</f>
        <v/>
      </c>
      <c r="JJ6" s="8" t="str">
        <f>IF(JJ$5="","",VLOOKUP(WEEKDAY(DATE($A$2,$A$3+$A$1-1,JJ5),2),Sheet3!$D$1:$E$7,2,0))</f>
        <v/>
      </c>
      <c r="JK6" s="8" t="str">
        <f>IF(JK$5="","",VLOOKUP(WEEKDAY(DATE($A$2,$A$3+$A$1-1,JK5),2),Sheet3!$D$1:$E$7,2,0))</f>
        <v/>
      </c>
      <c r="JL6" s="8" t="str">
        <f>IF(JL$5="","",VLOOKUP(WEEKDAY(DATE($A$2,$A$3+$A$1-1,JL5),2),Sheet3!$D$1:$E$7,2,0))</f>
        <v/>
      </c>
      <c r="JM6" s="8" t="str">
        <f>IF(JM$5="","",VLOOKUP(WEEKDAY(DATE($A$2,$A$3+$A$1-1,JM5),2),Sheet3!$D$1:$E$7,2,0))</f>
        <v/>
      </c>
      <c r="JN6" s="8" t="str">
        <f>IF(JN$5="","",VLOOKUP(WEEKDAY(DATE($A$2,$A$3+$A$1-1,JN5),2),Sheet3!$D$1:$E$7,2,0))</f>
        <v/>
      </c>
      <c r="JO6" s="8" t="str">
        <f>IF(JO$5="","",VLOOKUP(WEEKDAY(DATE($A$2,$A$3+$A$1-1,JO5),2),Sheet3!$D$1:$E$7,2,0))</f>
        <v/>
      </c>
      <c r="JP6" s="8" t="str">
        <f>IF(JP$5="","",VLOOKUP(WEEKDAY(DATE($A$2,$A$3+$A$1-1,JP5),2),Sheet3!$D$1:$E$7,2,0))</f>
        <v/>
      </c>
      <c r="JQ6" s="8" t="str">
        <f>IF(JQ$5="","",VLOOKUP(WEEKDAY(DATE($A$2,$A$3+$A$1-1,JQ5),2),Sheet3!$D$1:$E$7,2,0))</f>
        <v/>
      </c>
      <c r="JR6" s="8" t="str">
        <f>IF(JR$5="","",VLOOKUP(WEEKDAY(DATE($A$2,$A$3+$A$1-1,JR5),2),Sheet3!$D$1:$E$7,2,0))</f>
        <v/>
      </c>
      <c r="JS6" s="8" t="str">
        <f>IF(JS$5="","",VLOOKUP(WEEKDAY(DATE($A$2,$A$3+$A$1-1,JS5),2),Sheet3!$D$1:$E$7,2,0))</f>
        <v/>
      </c>
      <c r="JT6" s="8" t="str">
        <f>IF(JT$5="","",VLOOKUP(WEEKDAY(DATE($A$2,$A$3+$A$1-1,JT5),2),Sheet3!$D$1:$E$7,2,0))</f>
        <v/>
      </c>
      <c r="JU6" s="8" t="str">
        <f>IF(JU$5="","",VLOOKUP(WEEKDAY(DATE($A$2,$A$3+$A$1-1,JU5),2),Sheet3!$D$1:$E$7,2,0))</f>
        <v/>
      </c>
      <c r="JV6" s="8" t="str">
        <f>IF(JV$5="","",VLOOKUP(WEEKDAY(DATE($A$2,$A$3+$A$1-1,JV5),2),Sheet3!$D$1:$E$7,2,0))</f>
        <v/>
      </c>
      <c r="JW6" s="8" t="str">
        <f>IF(JW$5="","",VLOOKUP(WEEKDAY(DATE($A$2,$A$3+$A$1-1,JW5),2),Sheet3!$D$1:$E$7,2,0))</f>
        <v/>
      </c>
      <c r="JX6" s="8" t="str">
        <f>IF(JX$5="","",VLOOKUP(WEEKDAY(DATE($A$2,$A$3+$A$1-1,JX5),2),Sheet3!$D$1:$E$7,2,0))</f>
        <v/>
      </c>
      <c r="JY6" s="8" t="str">
        <f>IF(JY$5="","",VLOOKUP(WEEKDAY(DATE($A$2,$A$3+$A$1-1,JY5),2),Sheet3!$D$1:$E$7,2,0))</f>
        <v/>
      </c>
      <c r="JZ6" s="8" t="str">
        <f>IF(JZ$5="","",VLOOKUP(WEEKDAY(DATE($A$2,$A$3+$A$1-1,JZ5),2),Sheet3!$D$1:$E$7,2,0))</f>
        <v/>
      </c>
      <c r="KA6" s="8" t="str">
        <f>IF(KA$5="","",VLOOKUP(WEEKDAY(DATE($A$2,$A$3+$A$1-1,KA5),2),Sheet3!$D$1:$E$7,2,0))</f>
        <v/>
      </c>
      <c r="KB6" s="8" t="str">
        <f>IF(KB$5="","",VLOOKUP(WEEKDAY(DATE($A$2,$A$3+$A$1-1,KB5),2),Sheet3!$D$1:$E$7,2,0))</f>
        <v/>
      </c>
      <c r="KC6" s="8" t="str">
        <f>IF(KC$5="","",VLOOKUP(WEEKDAY(DATE($A$2,$A$3+$A$1-1,KC5),2),Sheet3!$D$1:$E$7,2,0))</f>
        <v/>
      </c>
      <c r="KD6" s="8" t="str">
        <f>IF(KD$5="","",VLOOKUP(WEEKDAY(DATE($A$2,$A$3+$A$1-1,KD5),2),Sheet3!$D$1:$E$7,2,0))</f>
        <v/>
      </c>
      <c r="KE6" s="8" t="str">
        <f>IF(KE$5="","",VLOOKUP(WEEKDAY(DATE($A$2,$A$3+$A$1-1,KE5),2),Sheet3!$D$1:$E$7,2,0))</f>
        <v/>
      </c>
      <c r="KF6" s="8" t="str">
        <f>IF(KF$5="","",VLOOKUP(WEEKDAY(DATE($A$2,$A$3+$A$1-1,KF5),2),Sheet3!$D$1:$E$7,2,0))</f>
        <v/>
      </c>
      <c r="KG6" s="8" t="str">
        <f>IF(KG$5="","",VLOOKUP(WEEKDAY(DATE($A$2,$A$3+$A$1-1,KG5),2),Sheet3!$D$1:$E$7,2,0))</f>
        <v/>
      </c>
      <c r="KH6" s="8" t="str">
        <f>IF(KH$5="","",VLOOKUP(WEEKDAY(DATE($A$2,$A$3+$A$1-1,KH5),2),Sheet3!$D$1:$E$7,2,0))</f>
        <v/>
      </c>
      <c r="KI6" s="8" t="str">
        <f>IF(KI$5="","",VLOOKUP(WEEKDAY(DATE($A$2,$A$3+$A$1-1,KI5),2),Sheet3!$D$1:$E$7,2,0))</f>
        <v/>
      </c>
      <c r="KJ6" s="8" t="str">
        <f>IF(KJ$5="","",VLOOKUP(WEEKDAY(DATE($A$2,$A$3+$A$1-1,KJ5),2),Sheet3!$D$1:$E$7,2,0))</f>
        <v/>
      </c>
      <c r="KK6" s="8" t="str">
        <f>IF(KK$5="","",VLOOKUP(WEEKDAY(DATE($A$2,$A$3+$A$1-1,KK5),2),Sheet3!$D$1:$E$7,2,0))</f>
        <v/>
      </c>
      <c r="KL6" s="8" t="str">
        <f>IF(KL$5="","",VLOOKUP(WEEKDAY(DATE($A$2,$A$3+$A$1-1,KL5),2),Sheet3!$D$1:$E$7,2,0))</f>
        <v/>
      </c>
      <c r="KM6" s="8" t="str">
        <f>IF(KM$5="","",VLOOKUP(WEEKDAY(DATE($A$2,$A$3+$A$1-1,KM5),2),Sheet3!$D$1:$E$7,2,0))</f>
        <v/>
      </c>
      <c r="KN6" s="8" t="str">
        <f>IF(KN$5="","",VLOOKUP(WEEKDAY(DATE($A$2,$A$3+$A$1-1,KN5),2),Sheet3!$D$1:$E$7,2,0))</f>
        <v/>
      </c>
      <c r="KO6" s="8" t="str">
        <f>IF(KO$5="","",VLOOKUP(WEEKDAY(DATE($A$2,$A$3+$A$1-1,KO5),2),Sheet3!$D$1:$E$7,2,0))</f>
        <v/>
      </c>
      <c r="KP6" s="8" t="str">
        <f>IF(KP$5="","",VLOOKUP(WEEKDAY(DATE($A$2,$A$3+$A$1-1,KP5),2),Sheet3!$D$1:$E$7,2,0))</f>
        <v/>
      </c>
      <c r="KQ6" s="8" t="str">
        <f>IF(KQ$5="","",VLOOKUP(WEEKDAY(DATE($A$2,$A$3+$A$1-1,KQ5),2),Sheet3!$D$1:$E$7,2,0))</f>
        <v/>
      </c>
      <c r="KR6" s="8" t="str">
        <f>IF(KR$5="","",VLOOKUP(WEEKDAY(DATE($A$2,$A$3+$A$1-1,KR5),2),Sheet3!$D$1:$E$7,2,0))</f>
        <v/>
      </c>
      <c r="KS6" s="8" t="str">
        <f>IF(KS$5="","",VLOOKUP(WEEKDAY(DATE($A$2,$A$3+$A$1-1,KS5),2),Sheet3!$D$1:$E$7,2,0))</f>
        <v/>
      </c>
      <c r="KT6" s="8" t="str">
        <f>IF(KT$5="","",VLOOKUP(WEEKDAY(DATE($A$2,$A$3+$A$1-1,KT5),2),Sheet3!$D$1:$E$7,2,0))</f>
        <v/>
      </c>
      <c r="KU6" s="8" t="str">
        <f>IF(KU$5="","",VLOOKUP(WEEKDAY(DATE($A$2,$A$3+$A$1-1,KU5),2),Sheet3!$D$1:$E$7,2,0))</f>
        <v/>
      </c>
      <c r="KV6" s="8" t="str">
        <f>IF(KV$5="","",VLOOKUP(WEEKDAY(DATE($A$2,$A$3+$A$1-1,KV5),2),Sheet3!$D$1:$E$7,2,0))</f>
        <v/>
      </c>
      <c r="KW6" s="8" t="str">
        <f>IF(KW$5="","",VLOOKUP(WEEKDAY(DATE($A$2,$A$3+$A$1-1,KW5),2),Sheet3!$D$1:$E$7,2,0))</f>
        <v/>
      </c>
      <c r="KX6" s="8" t="str">
        <f>IF(KX$5="","",VLOOKUP(WEEKDAY(DATE($A$2,$A$3+$A$1-1,KX5),2),Sheet3!$D$1:$E$7,2,0))</f>
        <v/>
      </c>
      <c r="KY6" s="8" t="str">
        <f>IF(KY$5="","",VLOOKUP(WEEKDAY(DATE($A$2,$A$3+$A$1-1,KY5),2),Sheet3!$D$1:$E$7,2,0))</f>
        <v/>
      </c>
      <c r="KZ6" s="8" t="str">
        <f>IF(KZ$5="","",VLOOKUP(WEEKDAY(DATE($A$2,$A$3+$A$1-1,KZ5),2),Sheet3!$D$1:$E$7,2,0))</f>
        <v/>
      </c>
      <c r="LA6" s="8" t="str">
        <f>IF(LA$5="","",VLOOKUP(WEEKDAY(DATE($A$2,$A$3+$A$1-1,LA5),2),Sheet3!$D$1:$E$7,2,0))</f>
        <v/>
      </c>
      <c r="LB6" s="8" t="str">
        <f>IF(LB$5="","",VLOOKUP(WEEKDAY(DATE($A$2,$A$3+$A$1-1,LB5),2),Sheet3!$D$1:$E$7,2,0))</f>
        <v/>
      </c>
      <c r="LC6" s="8" t="str">
        <f>IF(LC$5="","",VLOOKUP(WEEKDAY(DATE($A$2,$A$3+$A$1-1,LC5),2),Sheet3!$D$1:$E$7,2,0))</f>
        <v/>
      </c>
      <c r="LD6" s="8" t="str">
        <f>IF(LD$5="","",VLOOKUP(WEEKDAY(DATE($A$2,$A$3+$A$1-1,LD5),2),Sheet3!$D$1:$E$7,2,0))</f>
        <v/>
      </c>
      <c r="LE6" s="8" t="str">
        <f>IF(LE$5="","",VLOOKUP(WEEKDAY(DATE($A$2,$A$3+$A$1-1,LE5),2),Sheet3!$D$1:$E$7,2,0))</f>
        <v/>
      </c>
      <c r="LF6" s="8" t="str">
        <f>IF(LF$5="","",VLOOKUP(WEEKDAY(DATE($A$2,$A$3+$A$1-1,LF5),2),Sheet3!$D$1:$E$7,2,0))</f>
        <v/>
      </c>
      <c r="LG6" s="8" t="str">
        <f>IF(LG$5="","",VLOOKUP(WEEKDAY(DATE($A$2,$A$3+$A$1-1,LG5),2),Sheet3!$D$1:$E$7,2,0))</f>
        <v/>
      </c>
      <c r="LH6" s="8" t="str">
        <f>IF(LH$5="","",VLOOKUP(WEEKDAY(DATE($A$2,$A$3+$A$1-1,LH5),2),Sheet3!$D$1:$E$7,2,0))</f>
        <v/>
      </c>
      <c r="LI6" s="8" t="str">
        <f>IF(LI$5="","",VLOOKUP(WEEKDAY(DATE($A$2,$A$3+$A$1-1,LI5),2),Sheet3!$D$1:$E$7,2,0))</f>
        <v/>
      </c>
      <c r="LJ6" s="8" t="str">
        <f>IF(LJ$5="","",VLOOKUP(WEEKDAY(DATE($A$2,$A$3+$A$1-1,LJ5),2),Sheet3!$D$1:$E$7,2,0))</f>
        <v/>
      </c>
      <c r="LK6" s="8" t="str">
        <f>IF(LK$5="","",VLOOKUP(WEEKDAY(DATE($A$2,$A$3+$A$1-1,LK5),2),Sheet3!$D$1:$E$7,2,0))</f>
        <v/>
      </c>
      <c r="LL6" s="8" t="str">
        <f>IF(LL$5="","",VLOOKUP(WEEKDAY(DATE($A$2,$A$3+$A$1-1,LL5),2),Sheet3!$D$1:$E$7,2,0))</f>
        <v/>
      </c>
      <c r="LM6" s="8" t="str">
        <f>IF(LM$5="","",VLOOKUP(WEEKDAY(DATE($A$2,$A$3+$A$1-1,LM5),2),Sheet3!$D$1:$E$7,2,0))</f>
        <v/>
      </c>
      <c r="LN6" s="8" t="str">
        <f>IF(LN$5="","",VLOOKUP(WEEKDAY(DATE($A$2,$A$3+$A$1-1,LN5),2),Sheet3!$D$1:$E$7,2,0))</f>
        <v/>
      </c>
      <c r="LO6" s="8" t="str">
        <f>IF(LO$5="","",VLOOKUP(WEEKDAY(DATE($A$2,$A$3+$A$1-1,LO5),2),Sheet3!$D$1:$E$7,2,0))</f>
        <v/>
      </c>
      <c r="LP6" s="8" t="str">
        <f>IF(LP$5="","",VLOOKUP(WEEKDAY(DATE($A$2,$A$3+$A$1-1,LP5),2),Sheet3!$D$1:$E$7,2,0))</f>
        <v/>
      </c>
      <c r="LQ6" s="8" t="str">
        <f>IF(LQ$5="","",VLOOKUP(WEEKDAY(DATE($A$2,$A$3+$A$1-1,LQ5),2),Sheet3!$D$1:$E$7,2,0))</f>
        <v/>
      </c>
      <c r="LR6" s="8" t="str">
        <f>IF(LR$5="","",VLOOKUP(WEEKDAY(DATE($A$2,$A$3+$A$1-1,LR5),2),Sheet3!$D$1:$E$7,2,0))</f>
        <v/>
      </c>
      <c r="LS6" s="8" t="str">
        <f>IF(LS$5="","",VLOOKUP(WEEKDAY(DATE($A$2,$A$3+$A$1-1,LS5),2),Sheet3!$D$1:$E$7,2,0))</f>
        <v/>
      </c>
      <c r="LT6" s="8" t="str">
        <f>IF(LT$5="","",VLOOKUP(WEEKDAY(DATE($A$2,$A$3+$A$1-1,LT5),2),Sheet3!$D$1:$E$7,2,0))</f>
        <v/>
      </c>
      <c r="LU6" s="8" t="str">
        <f>IF(LU$5="","",VLOOKUP(WEEKDAY(DATE($A$2,$A$3+$A$1-1,LU5),2),Sheet3!$D$1:$E$7,2,0))</f>
        <v/>
      </c>
      <c r="LV6" s="8" t="str">
        <f>IF(LV$5="","",VLOOKUP(WEEKDAY(DATE($A$2,$A$3+$A$1-1,LV5),2),Sheet3!$D$1:$E$7,2,0))</f>
        <v/>
      </c>
      <c r="LW6" s="8" t="str">
        <f>IF(LW$5="","",VLOOKUP(WEEKDAY(DATE($A$2,$A$3+$A$1-1,LW5),2),Sheet3!$D$1:$E$7,2,0))</f>
        <v/>
      </c>
      <c r="LX6" s="8" t="str">
        <f>IF(LX$5="","",VLOOKUP(WEEKDAY(DATE($A$2,$A$3+$A$1-1,LX5),2),Sheet3!$D$1:$E$7,2,0))</f>
        <v/>
      </c>
      <c r="LY6" s="8" t="str">
        <f>IF(LY$5="","",VLOOKUP(WEEKDAY(DATE($A$2,$A$3+$A$1-1,LY5),2),Sheet3!$D$1:$E$7,2,0))</f>
        <v/>
      </c>
      <c r="LZ6" s="8" t="str">
        <f>IF(LZ$5="","",VLOOKUP(WEEKDAY(DATE($A$2,$A$3+$A$1-1,LZ5),2),Sheet3!$D$1:$E$7,2,0))</f>
        <v/>
      </c>
      <c r="MA6" s="8" t="str">
        <f>IF(MA$5="","",VLOOKUP(WEEKDAY(DATE($A$2,$A$3+$A$1-1,MA5),2),Sheet3!$D$1:$E$7,2,0))</f>
        <v/>
      </c>
      <c r="MB6" s="8" t="str">
        <f>IF(MB$5="","",VLOOKUP(WEEKDAY(DATE($A$2,$A$3+$A$1-1,MB5),2),Sheet3!$D$1:$E$7,2,0))</f>
        <v/>
      </c>
      <c r="MC6" s="8" t="str">
        <f>IF(MC$5="","",VLOOKUP(WEEKDAY(DATE($A$2,$A$3+$A$1-1,MC5),2),Sheet3!$D$1:$E$7,2,0))</f>
        <v/>
      </c>
      <c r="MD6" s="8" t="str">
        <f>IF(MD$5="","",VLOOKUP(WEEKDAY(DATE($A$2,$A$3+$A$1-1,MD5),2),Sheet3!$D$1:$E$7,2,0))</f>
        <v/>
      </c>
      <c r="ME6" s="8" t="str">
        <f>IF(ME$5="","",VLOOKUP(WEEKDAY(DATE($A$2,$A$3+$A$1-1,ME5),2),Sheet3!$D$1:$E$7,2,0))</f>
        <v/>
      </c>
      <c r="MF6" s="8" t="str">
        <f>IF(MF$5="","",VLOOKUP(WEEKDAY(DATE($A$2,$A$3+$A$1-1,MF5),2),Sheet3!$D$1:$E$7,2,0))</f>
        <v/>
      </c>
      <c r="MG6" s="8" t="str">
        <f>IF(MG$5="","",VLOOKUP(WEEKDAY(DATE($A$2,$A$3+$A$1-1,MG5),2),Sheet3!$D$1:$E$7,2,0))</f>
        <v/>
      </c>
      <c r="MH6" s="8" t="str">
        <f>IF(MH$5="","",VLOOKUP(WEEKDAY(DATE($A$2,$A$3+$A$1-1,MH5),2),Sheet3!$D$1:$E$7,2,0))</f>
        <v/>
      </c>
      <c r="MI6" s="8" t="str">
        <f>IF(MI$5="","",VLOOKUP(WEEKDAY(DATE($A$2,$A$3+$A$1-1,MI5),2),Sheet3!$D$1:$E$7,2,0))</f>
        <v/>
      </c>
      <c r="MJ6" s="8" t="str">
        <f>IF(MJ$5="","",VLOOKUP(WEEKDAY(DATE($A$2,$A$3+$A$1-1,MJ5),2),Sheet3!$D$1:$E$7,2,0))</f>
        <v/>
      </c>
      <c r="MK6" s="8" t="str">
        <f>IF(MK$5="","",VLOOKUP(WEEKDAY(DATE($A$2,$A$3+$A$1-1,MK5),2),Sheet3!$D$1:$E$7,2,0))</f>
        <v/>
      </c>
      <c r="ML6" s="8" t="str">
        <f>IF(ML$5="","",VLOOKUP(WEEKDAY(DATE($A$2,$A$3+$A$1-1,ML5),2),Sheet3!$D$1:$E$7,2,0))</f>
        <v/>
      </c>
      <c r="MM6" s="8" t="str">
        <f>IF(MM$5="","",VLOOKUP(WEEKDAY(DATE($A$2,$A$3+$A$1-1,MM5),2),Sheet3!$D$1:$E$7,2,0))</f>
        <v/>
      </c>
      <c r="MN6" s="8" t="str">
        <f>IF(MN$5="","",VLOOKUP(WEEKDAY(DATE($A$2,$A$3+$A$1-1,MN5),2),Sheet3!$D$1:$E$7,2,0))</f>
        <v/>
      </c>
      <c r="MO6" s="8" t="str">
        <f>IF(MO$5="","",VLOOKUP(WEEKDAY(DATE($A$2,$A$3+$A$1-1,MO5),2),Sheet3!$D$1:$E$7,2,0))</f>
        <v/>
      </c>
      <c r="MP6" s="8" t="str">
        <f>IF(MP$5="","",VLOOKUP(WEEKDAY(DATE($A$2,$A$3+$A$1-1,MP5),2),Sheet3!$D$1:$E$7,2,0))</f>
        <v/>
      </c>
      <c r="MQ6" s="8" t="str">
        <f>IF(MQ$5="","",VLOOKUP(WEEKDAY(DATE($A$2,$A$3+$A$1-1,MQ5),2),Sheet3!$D$1:$E$7,2,0))</f>
        <v/>
      </c>
      <c r="MR6" s="8" t="str">
        <f>IF(MR$5="","",VLOOKUP(WEEKDAY(DATE($A$2,$A$3+$A$1-1,MR5),2),Sheet3!$D$1:$E$7,2,0))</f>
        <v/>
      </c>
      <c r="MS6" s="8" t="str">
        <f>IF(MS$5="","",VLOOKUP(WEEKDAY(DATE($A$2,$A$3+$A$1-1,MS5),2),Sheet3!$D$1:$E$7,2,0))</f>
        <v/>
      </c>
      <c r="MT6" s="8" t="str">
        <f>IF(MT$5="","",VLOOKUP(WEEKDAY(DATE($A$2,$A$3+$A$1-1,MT5),2),Sheet3!$D$1:$E$7,2,0))</f>
        <v/>
      </c>
      <c r="MU6" s="8" t="str">
        <f>IF(MU$5="","",VLOOKUP(WEEKDAY(DATE($A$2,$A$3+$A$1-1,MU5),2),Sheet3!$D$1:$E$7,2,0))</f>
        <v/>
      </c>
      <c r="MV6" s="8" t="str">
        <f>IF(MV$5="","",VLOOKUP(WEEKDAY(DATE($A$2,$A$3+$A$1-1,MV5),2),Sheet3!$D$1:$E$7,2,0))</f>
        <v/>
      </c>
      <c r="MW6" s="8" t="str">
        <f>IF(MW$5="","",VLOOKUP(WEEKDAY(DATE($A$2,$A$3+$A$1-1,MW5),2),Sheet3!$D$1:$E$7,2,0))</f>
        <v/>
      </c>
      <c r="MX6" s="8" t="str">
        <f>IF(MX$5="","",VLOOKUP(WEEKDAY(DATE($A$2,$A$3+$A$1-1,MX5),2),Sheet3!$D$1:$E$7,2,0))</f>
        <v/>
      </c>
      <c r="MY6" s="8" t="str">
        <f>IF(MY$5="","",VLOOKUP(WEEKDAY(DATE($A$2,$A$3+$A$1-1,MY5),2),Sheet3!$D$1:$E$7,2,0))</f>
        <v/>
      </c>
      <c r="MZ6" s="8" t="str">
        <f>IF(MZ$5="","",VLOOKUP(WEEKDAY(DATE($A$2,$A$3+$A$1-1,MZ5),2),Sheet3!$D$1:$E$7,2,0))</f>
        <v/>
      </c>
      <c r="NA6" s="8" t="str">
        <f>IF(NA$5="","",VLOOKUP(WEEKDAY(DATE($A$2,$A$3+$A$1-1,NA5),2),Sheet3!$D$1:$E$7,2,0))</f>
        <v/>
      </c>
      <c r="NB6" s="8" t="str">
        <f>IF(NB$5="","",VLOOKUP(WEEKDAY(DATE($A$2,$A$3+$A$1-1,NB5),2),Sheet3!$D$1:$E$7,2,0))</f>
        <v/>
      </c>
      <c r="NC6" s="8" t="str">
        <f>IF(NC$5="","",VLOOKUP(WEEKDAY(DATE($A$2,$A$3+$A$1-1,NC5),2),Sheet3!$D$1:$E$7,2,0))</f>
        <v/>
      </c>
      <c r="ND6" s="8" t="str">
        <f>IF(ND$5="","",VLOOKUP(WEEKDAY(DATE($A$2,$A$3+$A$1-1,ND5),2),Sheet3!$D$1:$E$7,2,0))</f>
        <v/>
      </c>
      <c r="NE6" s="8" t="str">
        <f>IF(NE$5="","",VLOOKUP(WEEKDAY(DATE($A$2,$A$3+$A$1-1,NE5),2),Sheet3!$D$1:$E$7,2,0))</f>
        <v/>
      </c>
      <c r="NF6" s="8" t="str">
        <f>IF(NF$5="","",VLOOKUP(WEEKDAY(DATE($A$2,$A$3+$A$1-1,NF5),2),Sheet3!$D$1:$E$7,2,0))</f>
        <v/>
      </c>
      <c r="NG6" s="8" t="str">
        <f>IF(NG$5="","",VLOOKUP(WEEKDAY(DATE($A$2,$A$3+$A$1-1,NG5),2),Sheet3!$D$1:$E$7,2,0))</f>
        <v/>
      </c>
      <c r="NH6" s="8" t="str">
        <f>IF(NH$5="","",VLOOKUP(WEEKDAY(DATE($A$2,$A$3+$A$1-1,NH5),2),Sheet3!$D$1:$E$7,2,0))</f>
        <v/>
      </c>
      <c r="NI6" s="8" t="str">
        <f>IF(NI$5="","",VLOOKUP(WEEKDAY(DATE($A$2,$A$3+$A$1-1,NI5),2),Sheet3!$D$1:$E$7,2,0))</f>
        <v>Wed</v>
      </c>
      <c r="NJ6" s="88"/>
      <c r="NK6" s="90"/>
      <c r="NL6" s="92"/>
      <c r="NM6" s="86"/>
      <c r="NN6" s="86"/>
      <c r="NO6" s="86"/>
      <c r="NP6" s="86"/>
      <c r="NQ6" s="86"/>
      <c r="NR6" s="86"/>
      <c r="NS6" s="86"/>
      <c r="NT6" s="86"/>
      <c r="NU6" s="86"/>
      <c r="NV6" s="86"/>
      <c r="NW6" s="86"/>
      <c r="NX6" s="86"/>
      <c r="NY6" s="86"/>
      <c r="OA6" s="26" t="s">
        <v>28</v>
      </c>
      <c r="OB6" s="26" t="s">
        <v>29</v>
      </c>
    </row>
    <row r="7" spans="1:765" hidden="1" x14ac:dyDescent="0.45">
      <c r="A7" s="4" t="s">
        <v>18</v>
      </c>
      <c r="B7" s="22" t="e">
        <f>IF(B$5="","",WEEKNUM(DATE($A$2,VLOOKUP($A$1,Sheet3!$A$1:$B$12,2,0),COLUMNS($A$6:A6)),2))</f>
        <v>#N/A</v>
      </c>
      <c r="C7" s="22" t="e">
        <f>IF(C$5="","",WEEKNUM(DATE($A$2,VLOOKUP($A$1,Sheet3!$A$1:$B$12,2,0),COLUMNS($A$6:B6)),2))</f>
        <v>#N/A</v>
      </c>
      <c r="D7" s="22" t="e">
        <f>IF(D$5="","",WEEKNUM(DATE($A$2,VLOOKUP($A$1,Sheet3!$A$1:$B$12,2,0),COLUMNS($A$6:C6)),2))</f>
        <v>#N/A</v>
      </c>
      <c r="E7" s="22" t="e">
        <f>IF(E$5="","",WEEKNUM(DATE($A$2,VLOOKUP($A$1,Sheet3!$A$1:$B$12,2,0),COLUMNS($A$6:D6)),2))</f>
        <v>#N/A</v>
      </c>
      <c r="F7" s="22" t="e">
        <f>IF(F$5="","",WEEKNUM(DATE($A$2,VLOOKUP($A$1,Sheet3!$A$1:$B$12,2,0),COLUMNS($A$6:E6)),2))</f>
        <v>#N/A</v>
      </c>
      <c r="G7" s="22" t="e">
        <f>IF(G$5="","",WEEKNUM(DATE($A$2,VLOOKUP($A$1,Sheet3!$A$1:$B$12,2,0),COLUMNS($A$6:F6)),2))</f>
        <v>#N/A</v>
      </c>
      <c r="H7" s="22" t="e">
        <f>IF(H$5="","",WEEKNUM(DATE($A$2,VLOOKUP($A$1,Sheet3!$A$1:$B$12,2,0),COLUMNS($A$6:G6)),2))</f>
        <v>#N/A</v>
      </c>
      <c r="I7" s="22" t="e">
        <f>IF(I$5="","",WEEKNUM(DATE($A$2,VLOOKUP($A$1,Sheet3!$A$1:$B$12,2,0),COLUMNS($A$6:H6)),2))</f>
        <v>#N/A</v>
      </c>
      <c r="J7" s="22" t="e">
        <f>IF(J$5="","",WEEKNUM(DATE($A$2,VLOOKUP($A$1,Sheet3!$A$1:$B$12,2,0),COLUMNS($A$6:I6)),2))</f>
        <v>#N/A</v>
      </c>
      <c r="K7" s="22" t="e">
        <f>IF(K$5="","",WEEKNUM(DATE($A$2,VLOOKUP($A$1,Sheet3!$A$1:$B$12,2,0),COLUMNS($A$6:J6)),2))</f>
        <v>#N/A</v>
      </c>
      <c r="L7" s="22" t="e">
        <f>IF(L$5="","",WEEKNUM(DATE($A$2,VLOOKUP($A$1,Sheet3!$A$1:$B$12,2,0),COLUMNS($A$6:K6)),2))</f>
        <v>#N/A</v>
      </c>
      <c r="M7" s="22" t="e">
        <f>IF(M$5="","",WEEKNUM(DATE($A$2,VLOOKUP($A$1,Sheet3!$A$1:$B$12,2,0),COLUMNS($A$6:L6)),2))</f>
        <v>#N/A</v>
      </c>
      <c r="N7" s="22" t="e">
        <f>IF(N$5="","",WEEKNUM(DATE($A$2,VLOOKUP($A$1,Sheet3!$A$1:$B$12,2,0),COLUMNS($A$6:M6)),2))</f>
        <v>#N/A</v>
      </c>
      <c r="O7" s="22" t="e">
        <f>IF(O$5="","",WEEKNUM(DATE($A$2,VLOOKUP($A$1,Sheet3!$A$1:$B$12,2,0),COLUMNS($A$6:N6)),2))</f>
        <v>#N/A</v>
      </c>
      <c r="P7" s="22" t="e">
        <f>IF(P$5="","",WEEKNUM(DATE($A$2,VLOOKUP($A$1,Sheet3!$A$1:$B$12,2,0),COLUMNS($A$6:O6)),2))</f>
        <v>#N/A</v>
      </c>
      <c r="Q7" s="22" t="e">
        <f>IF(Q$5="","",WEEKNUM(DATE($A$2,VLOOKUP($A$1,Sheet3!$A$1:$B$12,2,0),COLUMNS($A$6:P6)),2))</f>
        <v>#N/A</v>
      </c>
      <c r="R7" s="22" t="e">
        <f>IF(R$5="","",WEEKNUM(DATE($A$2,VLOOKUP($A$1,Sheet3!$A$1:$B$12,2,0),COLUMNS($A$6:Q6)),2))</f>
        <v>#N/A</v>
      </c>
      <c r="S7" s="22" t="e">
        <f>IF(S$5="","",WEEKNUM(DATE($A$2,VLOOKUP($A$1,Sheet3!$A$1:$B$12,2,0),COLUMNS($A$6:R6)),2))</f>
        <v>#N/A</v>
      </c>
      <c r="T7" s="22" t="e">
        <f>IF(T$5="","",WEEKNUM(DATE($A$2,VLOOKUP($A$1,Sheet3!$A$1:$B$12,2,0),COLUMNS($A$6:S6)),2))</f>
        <v>#N/A</v>
      </c>
      <c r="U7" s="22" t="e">
        <f>IF(U$5="","",WEEKNUM(DATE($A$2,VLOOKUP($A$1,Sheet3!$A$1:$B$12,2,0),COLUMNS($A$6:T6)),2))</f>
        <v>#N/A</v>
      </c>
      <c r="V7" s="22" t="e">
        <f>IF(V$5="","",WEEKNUM(DATE($A$2,VLOOKUP($A$1,Sheet3!$A$1:$B$12,2,0),COLUMNS($A$6:U6)),2))</f>
        <v>#N/A</v>
      </c>
      <c r="W7" s="22" t="e">
        <f>IF(W$5="","",WEEKNUM(DATE($A$2,VLOOKUP($A$1,Sheet3!$A$1:$B$12,2,0),COLUMNS($A$6:V6)),2))</f>
        <v>#N/A</v>
      </c>
      <c r="X7" s="22" t="e">
        <f>IF(X$5="","",WEEKNUM(DATE($A$2,VLOOKUP($A$1,Sheet3!$A$1:$B$12,2,0),COLUMNS($A$6:W6)),2))</f>
        <v>#N/A</v>
      </c>
      <c r="Y7" s="22" t="e">
        <f>IF(Y$5="","",WEEKNUM(DATE($A$2,VLOOKUP($A$1,Sheet3!$A$1:$B$12,2,0),COLUMNS($A$6:X6)),2))</f>
        <v>#N/A</v>
      </c>
      <c r="Z7" s="22" t="e">
        <f>IF(Z$5="","",WEEKNUM(DATE($A$2,VLOOKUP($A$1,Sheet3!$A$1:$B$12,2,0),COLUMNS($A$6:Y6)),2))</f>
        <v>#N/A</v>
      </c>
      <c r="AA7" s="22" t="e">
        <f>IF(AA$5="","",WEEKNUM(DATE($A$2,VLOOKUP($A$1,Sheet3!$A$1:$B$12,2,0),COLUMNS($A$6:Z6)),2))</f>
        <v>#N/A</v>
      </c>
      <c r="AB7" s="22" t="e">
        <f>IF(AB$5="","",WEEKNUM(DATE($A$2,VLOOKUP($A$1,Sheet3!$A$1:$B$12,2,0),COLUMNS($A$6:AA6)),2))</f>
        <v>#N/A</v>
      </c>
      <c r="AC7" s="22" t="e">
        <f>IF(AC$5="","",WEEKNUM(DATE($A$2,VLOOKUP($A$1,Sheet3!$A$1:$B$12,2,0),COLUMNS($A$6:AB6)),2))</f>
        <v>#N/A</v>
      </c>
      <c r="AD7" s="22" t="e">
        <f>IF(AD$5="","",WEEKNUM(DATE($A$2,VLOOKUP($A$1,Sheet3!$A$1:$B$12,2,0),COLUMNS($A$6:AC6)),2))</f>
        <v>#N/A</v>
      </c>
      <c r="AE7" s="22" t="e">
        <f>IF(AE$5="","",WEEKNUM(DATE($A$2,VLOOKUP($A$1,Sheet3!$A$1:$B$12,2,0),COLUMNS($A$6:AD6)),2))</f>
        <v>#N/A</v>
      </c>
      <c r="AF7" s="22" t="e">
        <f>IF(AF$5="","",WEEKNUM(DATE($A$2,VLOOKUP($A$1,Sheet3!$A$1:$B$12,2,0),COLUMNS($A$6:AE6)),2))</f>
        <v>#N/A</v>
      </c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3"/>
      <c r="NK7" s="23"/>
      <c r="NL7" s="27"/>
      <c r="NM7" s="51"/>
      <c r="NN7" s="51"/>
      <c r="NO7" s="51"/>
      <c r="NP7" s="51"/>
      <c r="NQ7" s="51"/>
      <c r="NR7" s="51"/>
      <c r="NS7" s="51"/>
      <c r="NT7" s="51"/>
      <c r="NU7" s="51"/>
      <c r="NV7" s="51"/>
      <c r="NW7" s="51"/>
      <c r="NX7" s="51"/>
      <c r="NY7" s="73"/>
      <c r="OA7" s="1"/>
      <c r="OB7" s="1"/>
    </row>
    <row r="8" spans="1:765" x14ac:dyDescent="0.45">
      <c r="A8" s="5" t="s">
        <v>71</v>
      </c>
      <c r="B8" s="2"/>
      <c r="C8" s="2"/>
      <c r="D8" s="2"/>
      <c r="E8" s="2"/>
      <c r="F8" s="2"/>
      <c r="G8" s="2"/>
      <c r="H8" s="2"/>
      <c r="I8" s="2" t="s">
        <v>35</v>
      </c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 t="s">
        <v>35</v>
      </c>
      <c r="CK8" s="2" t="s">
        <v>35</v>
      </c>
      <c r="CL8" s="2"/>
      <c r="CM8" s="1"/>
      <c r="CN8" s="2"/>
      <c r="CO8" s="2"/>
      <c r="CP8" s="2"/>
      <c r="CQ8" s="2" t="s">
        <v>35</v>
      </c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 t="s">
        <v>35</v>
      </c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14">
        <f t="array" aca="1" ref="NJ8" ca="1">SUMPRODUCT((OFFSET($A8,0,31*($A$3-1)+1,1,31)&lt;&gt;"")*(IF(OFFSET($A8,0,31*($A$3-1)+1,1,31)=$OB$12,0.5,1)*(OFFSET($A$4,0,31*($A$3-1)+1,1,31))))</f>
        <v>1</v>
      </c>
      <c r="NK8" s="20">
        <f t="array" aca="1" ref="NK8" ca="1">SUMPRODUCT((OFFSET($A8,0,1,1,372)&lt;&gt;"")*(IF(OFFSET($A8,0,1,1,372)=$OB$12,0.5,1)*(OFFSET($A$3,0,1,1,372))))</f>
        <v>5</v>
      </c>
      <c r="NL8" s="28">
        <f t="array" aca="1" ref="NL8" ca="1">SUMPRODUCT((OFFSET($A8,0,31*($A$4)+DAY(Holidays!$E$2),1,Holidays!$G$2)&lt;&gt;"")*(IF(OFFSET($A8,0,31*($A$4)+DAY(Holidays!$E$2),1,Holidays!$G$2)=$OB$12,0.5,1)*(OFFSET($A$3,0,31*($A$4)+DAY(Holidays!$E$2),1,Holidays!$G$2))))</f>
        <v>4</v>
      </c>
      <c r="NM8" s="52">
        <f t="array" aca="1" ref="NM8" ca="1">SUMPRODUCT((OFFSET($A8,0,31*(VLOOKUP(NM$5,Sprints[],5,FALSE))+DAY(VLOOKUP(NM$5,Sprints[],2,FALSE)),1,VLOOKUP(NM$5,Sprints[],4,FALSE))&lt;&gt;"")*(IF(OFFSET($A8,0,31*(VLOOKUP(NM$5,Sprints[],5,FALSE))+DAY(VLOOKUP(NM$5,Sprints[],2,FALSE)),1,VLOOKUP(NM$5,Sprints[],4,FALSE))=$OB$12,0.5,1)*(OFFSET($A$3,0,31*(VLOOKUP(NM$5,Sprints[],5,FALSE))+DAY(VLOOKUP(NM$5,Sprints[],2,FALSE)),1,VLOOKUP(NM$5,Sprints[],4,FALSE)))))</f>
        <v>0</v>
      </c>
      <c r="NN8" s="52">
        <f t="array" aca="1" ref="NN8" ca="1">SUMPRODUCT((OFFSET($A8,0,31*(VLOOKUP(NN$5,Sprints[],5,FALSE))+DAY(VLOOKUP(NN$5,Sprints[],2,FALSE)),1,VLOOKUP(NN$5,Sprints[],4,FALSE))&lt;&gt;"")*(IF(OFFSET($A8,0,31*(VLOOKUP(NN$5,Sprints[],5,FALSE))+DAY(VLOOKUP(NN$5,Sprints[],2,FALSE)),1,VLOOKUP(NN$5,Sprints[],4,FALSE))=$OB$12,0.5,1)*(OFFSET($A$3,0,31*(VLOOKUP(NN$5,Sprints[],5,FALSE))+DAY(VLOOKUP(NN$5,Sprints[],2,FALSE)),1,VLOOKUP(NN$5,Sprints[],4,FALSE)))))</f>
        <v>0</v>
      </c>
      <c r="NO8" s="52">
        <f t="array" aca="1" ref="NO8" ca="1">SUMPRODUCT((OFFSET($A8,0,31*(VLOOKUP(NO$5,Sprints[],5,FALSE))+DAY(VLOOKUP(NO$5,Sprints[],2,FALSE)),1,VLOOKUP(NO$5,Sprints[],4,FALSE))&lt;&gt;"")*(IF(OFFSET($A8,0,31*(VLOOKUP(NO$5,Sprints[],5,FALSE))+DAY(VLOOKUP(NO$5,Sprints[],2,FALSE)),1,VLOOKUP(NO$5,Sprints[],4,FALSE))=$OB$12,0.5,1)*(OFFSET($A$3,0,31*(VLOOKUP(NO$5,Sprints[],5,FALSE))+DAY(VLOOKUP(NO$5,Sprints[],2,FALSE)),1,VLOOKUP(NO$5,Sprints[],4,FALSE)))))</f>
        <v>0</v>
      </c>
      <c r="NP8" s="52">
        <f t="array" aca="1" ref="NP8" ca="1">SUMPRODUCT((OFFSET($A8,0,31*(VLOOKUP(NP$5,Sprints[],5,FALSE))+DAY(VLOOKUP(NP$5,Sprints[],2,FALSE)),1,VLOOKUP(NP$5,Sprints[],4,FALSE))&lt;&gt;"")*(IF(OFFSET($A8,0,31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8" s="52">
        <f t="array" aca="1" ref="NQ8" ca="1">SUMPRODUCT((OFFSET($A8,0,31*(VLOOKUP(NQ$5,Sprints[],5,FALSE))+DAY(VLOOKUP(NQ$5,Sprints[],2,FALSE)),1,VLOOKUP(NQ$5,Sprints[],4,FALSE))&lt;&gt;"")*(IF(OFFSET($A8,0,31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8" s="52">
        <f t="array" aca="1" ref="NR8" ca="1">SUMPRODUCT((OFFSET($A8,0,31*(VLOOKUP(NR$5,Sprints[],5,FALSE))+DAY(VLOOKUP(NR$5,Sprints[],2,FALSE)),1,VLOOKUP(NR$5,Sprints[],4,FALSE))&lt;&gt;"")*(IF(OFFSET($A8,0,31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8" s="52">
        <f t="array" aca="1" ref="NS8" ca="1">SUMPRODUCT((OFFSET($A8,0,31*(VLOOKUP(NS$5,Sprints[],5,FALSE))+DAY(VLOOKUP(NS$5,Sprints[],2,FALSE)),1,VLOOKUP(NS$5,Sprints[],4,FALSE))&lt;&gt;"")*(IF(OFFSET($A8,0,31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8" s="52">
        <f t="array" aca="1" ref="NT8" ca="1">SUMPRODUCT((OFFSET($A8,0,31*(VLOOKUP(NT$5,Sprints[],5,FALSE))+DAY(VLOOKUP(NT$5,Sprints[],2,FALSE)),1,VLOOKUP(NT$5,Sprints[],4,FALSE))&lt;&gt;"")*(IF(OFFSET($A8,0,31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8" s="52">
        <f t="array" aca="1" ref="NU8" ca="1">SUMPRODUCT((OFFSET($A8,0,31*(VLOOKUP(NU$5,Sprints[],5,FALSE))+DAY(VLOOKUP(NU$5,Sprints[],2,FALSE)),1,VLOOKUP(NU$5,Sprints[],4,FALSE))&lt;&gt;"")*(IF(OFFSET($A8,0,31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8" s="52">
        <f t="array" aca="1" ref="NV8" ca="1">SUMPRODUCT((OFFSET($A8,0,31*(VLOOKUP(NV$5,Sprints[],5,FALSE))+DAY(VLOOKUP(NV$5,Sprints[],2,FALSE)),1,VLOOKUP(NV$5,Sprints[],4,FALSE))&lt;&gt;"")*(IF(OFFSET($A8,0,31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8" s="52">
        <f t="array" aca="1" ref="NW8" ca="1">SUMPRODUCT((OFFSET($A8,0,31*(VLOOKUP(NW$5,Sprints[],5,FALSE))+DAY(VLOOKUP(NW$5,Sprints[],2,FALSE)),1,VLOOKUP(NW$5,Sprints[],4,FALSE))&lt;&gt;"")*(IF(OFFSET($A8,0,31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8" s="52">
        <f t="array" aca="1" ref="NX8" ca="1">SUMPRODUCT((OFFSET($A8,0,31*(VLOOKUP(NX$5,Sprints[],5,FALSE))+DAY(VLOOKUP(NX$5,Sprints[],2,FALSE)),1,VLOOKUP(NX$5,Sprints[],4,FALSE))&lt;&gt;"")*(IF(OFFSET($A8,0,31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8" s="52">
        <f t="array" aca="1" ref="NY8" ca="1">SUMPRODUCT((OFFSET($A8,0,31*(VLOOKUP(NY$5,Sprints[],5,FALSE))+DAY(VLOOKUP(NY$5,Sprints[],2,FALSE)),1,VLOOKUP(NY$5,Sprints[],4,FALSE))&lt;&gt;"")*(IF(OFFSET($A8,0,31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  <c r="OA8" s="24" t="s">
        <v>32</v>
      </c>
      <c r="OB8" s="25" t="s">
        <v>33</v>
      </c>
    </row>
    <row r="9" spans="1:765" x14ac:dyDescent="0.45">
      <c r="A9" s="5" t="s">
        <v>42</v>
      </c>
      <c r="B9" s="2"/>
      <c r="C9" s="2"/>
      <c r="D9" s="2"/>
      <c r="E9" s="2"/>
      <c r="F9" s="2"/>
      <c r="G9" s="2"/>
      <c r="H9" s="2"/>
      <c r="I9" s="2" t="s">
        <v>35</v>
      </c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 t="s">
        <v>35</v>
      </c>
      <c r="CK9" s="2" t="s">
        <v>35</v>
      </c>
      <c r="CL9" s="2"/>
      <c r="CM9" s="2"/>
      <c r="CN9" s="2"/>
      <c r="CO9" s="2"/>
      <c r="CP9" s="2"/>
      <c r="CQ9" s="2" t="s">
        <v>35</v>
      </c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 t="s">
        <v>35</v>
      </c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/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14">
        <f t="array" aca="1" ref="NJ9" ca="1">SUMPRODUCT((OFFSET($A9,0,31*($A$3-1)+1,1,31)&lt;&gt;"")*(IF(OFFSET($A9,0,31*($A$3-1)+1,1,31)=$OB$12,0.5,1)*(OFFSET($A$4,0,31*($A$3-1)+1,1,31))))</f>
        <v>1</v>
      </c>
      <c r="NK9" s="20">
        <f t="array" aca="1" ref="NK9" ca="1">SUMPRODUCT((OFFSET($A9,0,1,1,372)&lt;&gt;"")*(IF(OFFSET($A9,0,1,1,372)=$OB$12,0.5,1)*(OFFSET($A$3,0,1,1,372))))</f>
        <v>5</v>
      </c>
      <c r="NL9" s="28">
        <f t="array" aca="1" ref="NL9" ca="1">SUMPRODUCT((OFFSET($A9,0,31*($A$4)+DAY(Holidays!$E$2),1,Holidays!$G$2)&lt;&gt;"")*(IF(OFFSET($A9,0,31*($A$4)+DAY(Holidays!$E$2),1,Holidays!$G$2)=$OB$12,0.5,1)*(OFFSET($A$3,0,31*($A$4)+DAY(Holidays!$E$2),1,Holidays!$G$2))))</f>
        <v>4</v>
      </c>
      <c r="NM9" s="52">
        <f t="array" aca="1" ref="NM9" ca="1">SUMPRODUCT((OFFSET($A9,0,31*($A$4)+DAY(VLOOKUP(NM$5,Sprints[],2,FALSE)),1,VLOOKUP(NM$5,Sprints[],4,FALSE))&lt;&gt;"")*(IF(OFFSET($A9,0,31*($A$4)+DAY(VLOOKUP(NM$5,Sprints[],2,FALSE)),1,VLOOKUP(NM$5,Sprints[],4,FALSE))=$OB$12,0.5,1)*(OFFSET($A$3,0,31*($A$4)+DAY(VLOOKUP(NM$5,Sprints[],2,FALSE)),1,VLOOKUP(NM$5,Sprints[],4,FALSE)))))</f>
        <v>0</v>
      </c>
      <c r="NN9" s="52">
        <f t="array" aca="1" ref="NN9" ca="1">SUMPRODUCT((OFFSET($A9,0,31*($A$4)+DAY(VLOOKUP(NN$5,Sprints[],2,FALSE)),1,VLOOKUP(NN$5,Sprints[],4,FALSE))&lt;&gt;"")*(IF(OFFSET($A9,0,31*($A$4)+DAY(VLOOKUP(NN$5,Sprints[],2,FALSE)),1,VLOOKUP(NN$5,Sprints[],4,FALSE))=$OB$12,0.5,1)*(OFFSET($A$3,0,31*($A$4)+DAY(VLOOKUP(NN$5,Sprints[],2,FALSE)),1,VLOOKUP(NN$5,Sprints[],4,FALSE)))))</f>
        <v>0</v>
      </c>
      <c r="NO9" s="52">
        <f t="array" aca="1" ref="NO9" ca="1">SUMPRODUCT((OFFSET($A9,0,31*($A$4)+DAY(VLOOKUP(NO$5,Sprints[],2,FALSE)),1,VLOOKUP(NO$5,Sprints[],4,FALSE))&lt;&gt;"")*(IF(OFFSET($A9,0,31*($A$4)+DAY(VLOOKUP(NO$5,Sprints[],2,FALSE)),1,VLOOKUP(NO$5,Sprints[],4,FALSE))=$OB$12,0.5,1)*(OFFSET($A$3,0,31*($A$4)+DAY(VLOOKUP(NO$5,Sprints[],2,FALSE)),1,VLOOKUP(NO$5,Sprints[],4,FALSE)))))</f>
        <v>1</v>
      </c>
      <c r="NP9" s="52">
        <f t="array" aca="1" ref="NP9" ca="1">SUMPRODUCT((OFFSET($A9,0,31*(VLOOKUP(NP$5,Sprints[],5,FALSE))+DAY(VLOOKUP(NP$5,Sprints[],2,FALSE)),1,VLOOKUP(NP$5,Sprints[],4,FALSE))&lt;&gt;"")*(IF(OFFSET($A9,0,31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9" s="52">
        <f t="array" aca="1" ref="NQ9" ca="1">SUMPRODUCT((OFFSET($A9,0,31*(VLOOKUP(NQ$5,Sprints[],5,FALSE))+DAY(VLOOKUP(NQ$5,Sprints[],2,FALSE)),1,VLOOKUP(NQ$5,Sprints[],4,FALSE))&lt;&gt;"")*(IF(OFFSET($A9,0,31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9" s="52">
        <f t="array" aca="1" ref="NR9" ca="1">SUMPRODUCT((OFFSET($A9,0,31*(VLOOKUP(NR$5,Sprints[],5,FALSE))+DAY(VLOOKUP(NR$5,Sprints[],2,FALSE)),1,VLOOKUP(NR$5,Sprints[],4,FALSE))&lt;&gt;"")*(IF(OFFSET($A9,0,31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9" s="52">
        <f t="array" aca="1" ref="NS9" ca="1">SUMPRODUCT((OFFSET($A9,0,31*(VLOOKUP(NS$5,Sprints[],5,FALSE))+DAY(VLOOKUP(NS$5,Sprints[],2,FALSE)),1,VLOOKUP(NS$5,Sprints[],4,FALSE))&lt;&gt;"")*(IF(OFFSET($A9,0,31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9" s="52">
        <f t="array" aca="1" ref="NT9" ca="1">SUMPRODUCT((OFFSET($A9,0,31*(VLOOKUP(NT$5,Sprints[],5,FALSE))+DAY(VLOOKUP(NT$5,Sprints[],2,FALSE)),1,VLOOKUP(NT$5,Sprints[],4,FALSE))&lt;&gt;"")*(IF(OFFSET($A9,0,31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9" s="52">
        <f t="array" aca="1" ref="NU9" ca="1">SUMPRODUCT((OFFSET($A9,0,31*(VLOOKUP(NU$5,Sprints[],5,FALSE))+DAY(VLOOKUP(NU$5,Sprints[],2,FALSE)),1,VLOOKUP(NU$5,Sprints[],4,FALSE))&lt;&gt;"")*(IF(OFFSET($A9,0,31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9" s="52">
        <f t="array" aca="1" ref="NV9" ca="1">SUMPRODUCT((OFFSET($A9,0,31*(VLOOKUP(NV$5,Sprints[],5,FALSE))+DAY(VLOOKUP(NV$5,Sprints[],2,FALSE)),1,VLOOKUP(NV$5,Sprints[],4,FALSE))&lt;&gt;"")*(IF(OFFSET($A9,0,31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9" s="52">
        <f t="array" aca="1" ref="NW9" ca="1">SUMPRODUCT((OFFSET($A9,0,31*(VLOOKUP(NW$5,Sprints[],5,FALSE))+DAY(VLOOKUP(NW$5,Sprints[],2,FALSE)),1,VLOOKUP(NW$5,Sprints[],4,FALSE))&lt;&gt;"")*(IF(OFFSET($A9,0,31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9" s="52">
        <f t="array" aca="1" ref="NX9" ca="1">SUMPRODUCT((OFFSET($A9,0,31*(VLOOKUP(NX$5,Sprints[],5,FALSE))+DAY(VLOOKUP(NX$5,Sprints[],2,FALSE)),1,VLOOKUP(NX$5,Sprints[],4,FALSE))&lt;&gt;"")*(IF(OFFSET($A9,0,31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9" s="52">
        <f t="array" aca="1" ref="NY9" ca="1">SUMPRODUCT((OFFSET($A9,0,31*(VLOOKUP(NY$5,Sprints[],5,FALSE))+DAY(VLOOKUP(NY$5,Sprints[],2,FALSE)),1,VLOOKUP(NY$5,Sprints[],4,FALSE))&lt;&gt;"")*(IF(OFFSET($A9,0,31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  <c r="OA9" s="18" t="s">
        <v>45</v>
      </c>
      <c r="OB9" s="25" t="s">
        <v>46</v>
      </c>
    </row>
    <row r="10" spans="1:765" x14ac:dyDescent="0.45">
      <c r="A10" s="5" t="s">
        <v>64</v>
      </c>
      <c r="B10" s="2"/>
      <c r="C10" s="2"/>
      <c r="D10" s="2"/>
      <c r="E10" s="2"/>
      <c r="F10" s="2"/>
      <c r="G10" s="2"/>
      <c r="H10" s="2"/>
      <c r="I10" s="2" t="s">
        <v>35</v>
      </c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 t="s">
        <v>35</v>
      </c>
      <c r="CK10" s="2" t="s">
        <v>35</v>
      </c>
      <c r="CL10" s="2"/>
      <c r="CM10" s="2"/>
      <c r="CN10" s="2"/>
      <c r="CO10" s="2"/>
      <c r="CP10" s="2"/>
      <c r="CQ10" s="2" t="s">
        <v>35</v>
      </c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 t="s">
        <v>35</v>
      </c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14">
        <f t="array" aca="1" ref="NJ10" ca="1">SUMPRODUCT((OFFSET($A10,0,31*($A$3-1)+1,1,31)&lt;&gt;"")*(IF(OFFSET($A10,0,31*($A$3-1)+1,1,31)=$OB$12,0.5,1)*(OFFSET($A$4,0,31*($A$3-1)+1,1,31))))</f>
        <v>1</v>
      </c>
      <c r="NK10" s="20">
        <f t="array" aca="1" ref="NK10" ca="1">SUMPRODUCT((OFFSET($A10,0,1,1,372)&lt;&gt;"")*(IF(OFFSET($A10,0,1,1,372)=$OB$12,0.5,1)*(OFFSET($A$3,0,1,1,372))))</f>
        <v>5</v>
      </c>
      <c r="NL10" s="28">
        <f t="array" aca="1" ref="NL10" ca="1">SUMPRODUCT((OFFSET($A10,0,31*($A$4)+DAY(Holidays!$E$2),1,Holidays!$G$2)&lt;&gt;"")*(IF(OFFSET($A10,0,31*($A$4)+DAY(Holidays!$E$2),1,Holidays!$G$2)=$OB$12,0.5,1)*(OFFSET($A$3,0,31*($A$4)+DAY(Holidays!$E$2),1,Holidays!$G$2))))</f>
        <v>4</v>
      </c>
      <c r="NM10" s="52">
        <f t="array" aca="1" ref="NM10" ca="1">SUMPRODUCT((OFFSET($A10,0,31*($A$4)+DAY(VLOOKUP(NM$5,Sprints[],2,FALSE)),1,VLOOKUP(NM$5,Sprints[],4,FALSE))&lt;&gt;"")*(IF(OFFSET($A10,0,31*($A$4)+DAY(VLOOKUP(NM$5,Sprints[],2,FALSE)),1,VLOOKUP(NM$5,Sprints[],4,FALSE))=$OB$12,0.5,1)*(OFFSET($A$3,0,31*($A$4)+DAY(VLOOKUP(NM$5,Sprints[],2,FALSE)),1,VLOOKUP(NM$5,Sprints[],4,FALSE)))))</f>
        <v>0</v>
      </c>
      <c r="NN10" s="52">
        <f t="array" aca="1" ref="NN10" ca="1">SUMPRODUCT((OFFSET($A10,0,31*($A$4)+DAY(VLOOKUP(NN$5,Sprints[],2,FALSE)),1,VLOOKUP(NN$5,Sprints[],4,FALSE))&lt;&gt;"")*(IF(OFFSET($A10,0,31*($A$4)+DAY(VLOOKUP(NN$5,Sprints[],2,FALSE)),1,VLOOKUP(NN$5,Sprints[],4,FALSE))=$OB$12,0.5,1)*(OFFSET($A$3,0,31*($A$4)+DAY(VLOOKUP(NN$5,Sprints[],2,FALSE)),1,VLOOKUP(NN$5,Sprints[],4,FALSE)))))</f>
        <v>0</v>
      </c>
      <c r="NO10" s="52">
        <f t="array" aca="1" ref="NO10" ca="1">SUMPRODUCT((OFFSET($A10,0,31*($A$4)+DAY(VLOOKUP(NO$5,Sprints[],2,FALSE)),1,VLOOKUP(NO$5,Sprints[],4,FALSE))&lt;&gt;"")*(IF(OFFSET($A10,0,31*($A$4)+DAY(VLOOKUP(NO$5,Sprints[],2,FALSE)),1,VLOOKUP(NO$5,Sprints[],4,FALSE))=$OB$12,0.5,1)*(OFFSET($A$3,0,31*($A$4)+DAY(VLOOKUP(NO$5,Sprints[],2,FALSE)),1,VLOOKUP(NO$5,Sprints[],4,FALSE)))))</f>
        <v>1</v>
      </c>
      <c r="NP10" s="52">
        <f t="array" aca="1" ref="NP10" ca="1">SUMPRODUCT((OFFSET($A10,0,31*(VLOOKUP(NP$5,Sprints[],5,FALSE))+DAY(VLOOKUP(NP$5,Sprints[],2,FALSE)),1,VLOOKUP(NP$5,Sprints[],4,FALSE))&lt;&gt;"")*(IF(OFFSET($A10,0,31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10" s="52">
        <f t="array" aca="1" ref="NQ10" ca="1">SUMPRODUCT((OFFSET($A10,0,31*(VLOOKUP(NQ$5,Sprints[],5,FALSE))+DAY(VLOOKUP(NQ$5,Sprints[],2,FALSE)),1,VLOOKUP(NQ$5,Sprints[],4,FALSE))&lt;&gt;"")*(IF(OFFSET($A10,0,31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10" s="52">
        <f t="array" aca="1" ref="NR10" ca="1">SUMPRODUCT((OFFSET($A10,0,31*(VLOOKUP(NR$5,Sprints[],5,FALSE))+DAY(VLOOKUP(NR$5,Sprints[],2,FALSE)),1,VLOOKUP(NR$5,Sprints[],4,FALSE))&lt;&gt;"")*(IF(OFFSET($A10,0,31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10" s="52">
        <f t="array" aca="1" ref="NS10" ca="1">SUMPRODUCT((OFFSET($A10,0,31*(VLOOKUP(NS$5,Sprints[],5,FALSE))+DAY(VLOOKUP(NS$5,Sprints[],2,FALSE)),1,VLOOKUP(NS$5,Sprints[],4,FALSE))&lt;&gt;"")*(IF(OFFSET($A10,0,31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10" s="52">
        <f t="array" aca="1" ref="NT10" ca="1">SUMPRODUCT((OFFSET($A10,0,31*(VLOOKUP(NT$5,Sprints[],5,FALSE))+DAY(VLOOKUP(NT$5,Sprints[],2,FALSE)),1,VLOOKUP(NT$5,Sprints[],4,FALSE))&lt;&gt;"")*(IF(OFFSET($A10,0,31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10" s="52">
        <f t="array" aca="1" ref="NU10" ca="1">SUMPRODUCT((OFFSET($A10,0,31*(VLOOKUP(NU$5,Sprints[],5,FALSE))+DAY(VLOOKUP(NU$5,Sprints[],2,FALSE)),1,VLOOKUP(NU$5,Sprints[],4,FALSE))&lt;&gt;"")*(IF(OFFSET($A10,0,31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10" s="52">
        <f t="array" aca="1" ref="NV10" ca="1">SUMPRODUCT((OFFSET($A10,0,31*(VLOOKUP(NV$5,Sprints[],5,FALSE))+DAY(VLOOKUP(NV$5,Sprints[],2,FALSE)),1,VLOOKUP(NV$5,Sprints[],4,FALSE))&lt;&gt;"")*(IF(OFFSET($A10,0,31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10" s="52">
        <f t="array" aca="1" ref="NW10" ca="1">SUMPRODUCT((OFFSET($A10,0,31*(VLOOKUP(NW$5,Sprints[],5,FALSE))+DAY(VLOOKUP(NW$5,Sprints[],2,FALSE)),1,VLOOKUP(NW$5,Sprints[],4,FALSE))&lt;&gt;"")*(IF(OFFSET($A10,0,31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10" s="52">
        <f t="array" aca="1" ref="NX10" ca="1">SUMPRODUCT((OFFSET($A10,0,31*(VLOOKUP(NX$5,Sprints[],5,FALSE))+DAY(VLOOKUP(NX$5,Sprints[],2,FALSE)),1,VLOOKUP(NX$5,Sprints[],4,FALSE))&lt;&gt;"")*(IF(OFFSET($A10,0,31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10" s="52">
        <f t="array" aca="1" ref="NY10" ca="1">SUMPRODUCT((OFFSET($A10,0,31*(VLOOKUP(NY$5,Sprints[],5,FALSE))+DAY(VLOOKUP(NY$5,Sprints[],2,FALSE)),1,VLOOKUP(NY$5,Sprints[],4,FALSE))&lt;&gt;"")*(IF(OFFSET($A10,0,31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  <c r="OA10" s="18" t="s">
        <v>48</v>
      </c>
      <c r="OB10" s="25" t="s">
        <v>47</v>
      </c>
    </row>
    <row r="11" spans="1:765" x14ac:dyDescent="0.45">
      <c r="A11" s="5" t="s">
        <v>81</v>
      </c>
      <c r="B11" s="2"/>
      <c r="C11" s="2"/>
      <c r="D11" s="2"/>
      <c r="E11" s="2"/>
      <c r="F11" s="2"/>
      <c r="G11" s="2"/>
      <c r="H11" s="2"/>
      <c r="I11" s="2" t="s">
        <v>35</v>
      </c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 t="s">
        <v>35</v>
      </c>
      <c r="CK11" s="2" t="s">
        <v>35</v>
      </c>
      <c r="CL11" s="2"/>
      <c r="CM11" s="2"/>
      <c r="CN11" s="2"/>
      <c r="CO11" s="2"/>
      <c r="CP11" s="2"/>
      <c r="CQ11" s="2" t="s">
        <v>35</v>
      </c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 t="s">
        <v>35</v>
      </c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14">
        <f t="array" aca="1" ref="NJ11" ca="1">SUMPRODUCT((OFFSET($A11,0,31*($A$3-1)+1,1,31)&lt;&gt;"")*(IF(OFFSET($A11,0,31*($A$3-1)+1,1,31)=$OB$12,0.5,1)*(OFFSET($A$4,0,31*($A$3-1)+1,1,31))))</f>
        <v>1</v>
      </c>
      <c r="NK11" s="20">
        <f t="array" aca="1" ref="NK11" ca="1">SUMPRODUCT((OFFSET($A11,0,1,1,372)&lt;&gt;"")*(IF(OFFSET($A11,0,1,1,372)=$OB$12,0.5,1)*(OFFSET($A$3,0,1,1,372))))</f>
        <v>5</v>
      </c>
      <c r="NL11" s="28">
        <f t="array" aca="1" ref="NL11" ca="1">SUMPRODUCT((OFFSET($A11,0,31*($A$4)+DAY(Holidays!$E$2),1,Holidays!$G$2)&lt;&gt;"")*(IF(OFFSET($A11,0,31*($A$4)+DAY(Holidays!$E$2),1,Holidays!$G$2)=$OB$12,0.5,1)*(OFFSET($A$3,0,31*($A$4)+DAY(Holidays!$E$2),1,Holidays!$G$2))))</f>
        <v>4</v>
      </c>
      <c r="NM11" s="52">
        <f t="array" aca="1" ref="NM11" ca="1">SUMPRODUCT((OFFSET($A11,0,31*($A$4)+DAY(VLOOKUP(NM$5,Sprints[],2,FALSE)),1,VLOOKUP(NM$5,Sprints[],4,FALSE))&lt;&gt;"")*(IF(OFFSET($A11,0,31*($A$4)+DAY(VLOOKUP(NM$5,Sprints[],2,FALSE)),1,VLOOKUP(NM$5,Sprints[],4,FALSE))=$OB$12,0.5,1)*(OFFSET($A$3,0,31*($A$4)+DAY(VLOOKUP(NM$5,Sprints[],2,FALSE)),1,VLOOKUP(NM$5,Sprints[],4,FALSE)))))</f>
        <v>0</v>
      </c>
      <c r="NN11" s="52">
        <f t="array" aca="1" ref="NN11" ca="1">SUMPRODUCT((OFFSET($A11,0,31*($A$4)+DAY(VLOOKUP(NN$5,Sprints[],2,FALSE)),1,VLOOKUP(NN$5,Sprints[],4,FALSE))&lt;&gt;"")*(IF(OFFSET($A11,0,31*($A$4)+DAY(VLOOKUP(NN$5,Sprints[],2,FALSE)),1,VLOOKUP(NN$5,Sprints[],4,FALSE))=$OB$12,0.5,1)*(OFFSET($A$3,0,31*($A$4)+DAY(VLOOKUP(NN$5,Sprints[],2,FALSE)),1,VLOOKUP(NN$5,Sprints[],4,FALSE)))))</f>
        <v>0</v>
      </c>
      <c r="NO11" s="52">
        <f t="array" aca="1" ref="NO11" ca="1">SUMPRODUCT((OFFSET($A11,0,31*($A$4)+DAY(VLOOKUP(NO$5,Sprints[],2,FALSE)),1,VLOOKUP(NO$5,Sprints[],4,FALSE))&lt;&gt;"")*(IF(OFFSET($A11,0,31*($A$4)+DAY(VLOOKUP(NO$5,Sprints[],2,FALSE)),1,VLOOKUP(NO$5,Sprints[],4,FALSE))=$OB$12,0.5,1)*(OFFSET($A$3,0,31*($A$4)+DAY(VLOOKUP(NO$5,Sprints[],2,FALSE)),1,VLOOKUP(NO$5,Sprints[],4,FALSE)))))</f>
        <v>1</v>
      </c>
      <c r="NP11" s="52">
        <f t="array" aca="1" ref="NP11" ca="1">SUMPRODUCT((OFFSET($A11,0,31*(VLOOKUP(NP$5,Sprints[],5,FALSE))+DAY(VLOOKUP(NP$5,Sprints[],2,FALSE)),1,VLOOKUP(NP$5,Sprints[],4,FALSE))&lt;&gt;"")*(IF(OFFSET($A11,0,31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11" s="52">
        <f t="array" aca="1" ref="NQ11" ca="1">SUMPRODUCT((OFFSET($A11,0,31*(VLOOKUP(NQ$5,Sprints[],5,FALSE))+DAY(VLOOKUP(NQ$5,Sprints[],2,FALSE)),1,VLOOKUP(NQ$5,Sprints[],4,FALSE))&lt;&gt;"")*(IF(OFFSET($A11,0,31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11" s="52">
        <f t="array" aca="1" ref="NR11" ca="1">SUMPRODUCT((OFFSET($A11,0,31*(VLOOKUP(NR$5,Sprints[],5,FALSE))+DAY(VLOOKUP(NR$5,Sprints[],2,FALSE)),1,VLOOKUP(NR$5,Sprints[],4,FALSE))&lt;&gt;"")*(IF(OFFSET($A11,0,31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11" s="52">
        <f t="array" aca="1" ref="NS11" ca="1">SUMPRODUCT((OFFSET($A11,0,31*(VLOOKUP(NS$5,Sprints[],5,FALSE))+DAY(VLOOKUP(NS$5,Sprints[],2,FALSE)),1,VLOOKUP(NS$5,Sprints[],4,FALSE))&lt;&gt;"")*(IF(OFFSET($A11,0,31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11" s="52">
        <f t="array" aca="1" ref="NT11" ca="1">SUMPRODUCT((OFFSET($A11,0,31*(VLOOKUP(NT$5,Sprints[],5,FALSE))+DAY(VLOOKUP(NT$5,Sprints[],2,FALSE)),1,VLOOKUP(NT$5,Sprints[],4,FALSE))&lt;&gt;"")*(IF(OFFSET($A11,0,31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11" s="52">
        <f t="array" aca="1" ref="NU11" ca="1">SUMPRODUCT((OFFSET($A11,0,31*(VLOOKUP(NU$5,Sprints[],5,FALSE))+DAY(VLOOKUP(NU$5,Sprints[],2,FALSE)),1,VLOOKUP(NU$5,Sprints[],4,FALSE))&lt;&gt;"")*(IF(OFFSET($A11,0,31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11" s="52">
        <f t="array" aca="1" ref="NV11" ca="1">SUMPRODUCT((OFFSET($A11,0,31*(VLOOKUP(NV$5,Sprints[],5,FALSE))+DAY(VLOOKUP(NV$5,Sprints[],2,FALSE)),1,VLOOKUP(NV$5,Sprints[],4,FALSE))&lt;&gt;"")*(IF(OFFSET($A11,0,31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11" s="52">
        <f t="array" aca="1" ref="NW11" ca="1">SUMPRODUCT((OFFSET($A11,0,31*(VLOOKUP(NW$5,Sprints[],5,FALSE))+DAY(VLOOKUP(NW$5,Sprints[],2,FALSE)),1,VLOOKUP(NW$5,Sprints[],4,FALSE))&lt;&gt;"")*(IF(OFFSET($A11,0,31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11" s="52">
        <f t="array" aca="1" ref="NX11" ca="1">SUMPRODUCT((OFFSET($A11,0,31*(VLOOKUP(NX$5,Sprints[],5,FALSE))+DAY(VLOOKUP(NX$5,Sprints[],2,FALSE)),1,VLOOKUP(NX$5,Sprints[],4,FALSE))&lt;&gt;"")*(IF(OFFSET($A11,0,31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11" s="52">
        <f t="array" aca="1" ref="NY11" ca="1">SUMPRODUCT((OFFSET($A11,0,31*(VLOOKUP(NY$5,Sprints[],5,FALSE))+DAY(VLOOKUP(NY$5,Sprints[],2,FALSE)),1,VLOOKUP(NY$5,Sprints[],4,FALSE))&lt;&gt;"")*(IF(OFFSET($A11,0,31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  <c r="OA11" s="24" t="s">
        <v>34</v>
      </c>
      <c r="OB11" s="25" t="s">
        <v>35</v>
      </c>
    </row>
    <row r="12" spans="1:765" x14ac:dyDescent="0.45">
      <c r="A12" s="5" t="s">
        <v>65</v>
      </c>
      <c r="B12" s="2"/>
      <c r="C12" s="2"/>
      <c r="D12" s="2"/>
      <c r="E12" s="2"/>
      <c r="F12" s="2"/>
      <c r="G12" s="2"/>
      <c r="H12" s="2"/>
      <c r="I12" s="2" t="s">
        <v>35</v>
      </c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 t="s">
        <v>35</v>
      </c>
      <c r="CK12" s="2" t="s">
        <v>35</v>
      </c>
      <c r="CL12" s="2"/>
      <c r="CM12" s="2"/>
      <c r="CN12" s="2"/>
      <c r="CO12" s="2"/>
      <c r="CP12" s="2"/>
      <c r="CQ12" s="2" t="s">
        <v>35</v>
      </c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 t="s">
        <v>35</v>
      </c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/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14">
        <f t="array" aca="1" ref="NJ12" ca="1">SUMPRODUCT((OFFSET($A12,0,31*($A$3-1)+1,1,31)&lt;&gt;"")*(IF(OFFSET($A12,0,31*($A$3-1)+1,1,31)=$OB$12,0.5,1)*(OFFSET($A$4,0,31*($A$3-1)+1,1,31))))</f>
        <v>1</v>
      </c>
      <c r="NK12" s="20">
        <f t="array" aca="1" ref="NK12" ca="1">SUMPRODUCT((OFFSET($A12,0,1,1,372)&lt;&gt;"")*(IF(OFFSET($A12,0,1,1,372)=$OB$12,0.5,1)*(OFFSET($A$3,0,1,1,372))))</f>
        <v>5</v>
      </c>
      <c r="NL12" s="28">
        <f t="array" aca="1" ref="NL12" ca="1">SUMPRODUCT((OFFSET($A12,0,31*($A$4)+DAY(Holidays!$E$2),1,Holidays!$G$2)&lt;&gt;"")*(IF(OFFSET($A12,0,31*($A$4)+DAY(Holidays!$E$2),1,Holidays!$G$2)=$OB$12,0.5,1)*(OFFSET($A$3,0,31*($A$4)+DAY(Holidays!$E$2),1,Holidays!$G$2))))</f>
        <v>4</v>
      </c>
      <c r="NM12" s="52">
        <f t="array" aca="1" ref="NM12" ca="1">SUMPRODUCT((OFFSET($A12,0,31*($A$4)+DAY(VLOOKUP(NM$5,Sprints[],2,FALSE)),1,VLOOKUP(NM$5,Sprints[],4,FALSE))&lt;&gt;"")*(IF(OFFSET($A12,0,31*($A$4)+DAY(VLOOKUP(NM$5,Sprints[],2,FALSE)),1,VLOOKUP(NM$5,Sprints[],4,FALSE))=$OB$12,0.5,1)*(OFFSET($A$3,0,31*($A$4)+DAY(VLOOKUP(NM$5,Sprints[],2,FALSE)),1,VLOOKUP(NM$5,Sprints[],4,FALSE)))))</f>
        <v>0</v>
      </c>
      <c r="NN12" s="52">
        <f t="array" aca="1" ref="NN12" ca="1">SUMPRODUCT((OFFSET($A12,0,31*($A$4)+DAY(VLOOKUP(NN$5,Sprints[],2,FALSE)),1,VLOOKUP(NN$5,Sprints[],4,FALSE))&lt;&gt;"")*(IF(OFFSET($A12,0,31*($A$4)+DAY(VLOOKUP(NN$5,Sprints[],2,FALSE)),1,VLOOKUP(NN$5,Sprints[],4,FALSE))=$OB$12,0.5,1)*(OFFSET($A$3,0,31*($A$4)+DAY(VLOOKUP(NN$5,Sprints[],2,FALSE)),1,VLOOKUP(NN$5,Sprints[],4,FALSE)))))</f>
        <v>0</v>
      </c>
      <c r="NO12" s="52">
        <f t="array" aca="1" ref="NO12" ca="1">SUMPRODUCT((OFFSET($A12,0,31*($A$4)+DAY(VLOOKUP(NO$5,Sprints[],2,FALSE)),1,VLOOKUP(NO$5,Sprints[],4,FALSE))&lt;&gt;"")*(IF(OFFSET($A12,0,31*($A$4)+DAY(VLOOKUP(NO$5,Sprints[],2,FALSE)),1,VLOOKUP(NO$5,Sprints[],4,FALSE))=$OB$12,0.5,1)*(OFFSET($A$3,0,31*($A$4)+DAY(VLOOKUP(NO$5,Sprints[],2,FALSE)),1,VLOOKUP(NO$5,Sprints[],4,FALSE)))))</f>
        <v>1</v>
      </c>
      <c r="NP12" s="52">
        <f t="array" aca="1" ref="NP12" ca="1">SUMPRODUCT((OFFSET($A12,0,31*(VLOOKUP(NP$5,Sprints[],5,FALSE))+DAY(VLOOKUP(NP$5,Sprints[],2,FALSE)),1,VLOOKUP(NP$5,Sprints[],4,FALSE))&lt;&gt;"")*(IF(OFFSET($A12,0,31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12" s="52">
        <f t="array" aca="1" ref="NQ12" ca="1">SUMPRODUCT((OFFSET($A12,0,31*(VLOOKUP(NQ$5,Sprints[],5,FALSE))+DAY(VLOOKUP(NQ$5,Sprints[],2,FALSE)),1,VLOOKUP(NQ$5,Sprints[],4,FALSE))&lt;&gt;"")*(IF(OFFSET($A12,0,31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12" s="52">
        <f t="array" aca="1" ref="NR12" ca="1">SUMPRODUCT((OFFSET($A12,0,31*(VLOOKUP(NR$5,Sprints[],5,FALSE))+DAY(VLOOKUP(NR$5,Sprints[],2,FALSE)),1,VLOOKUP(NR$5,Sprints[],4,FALSE))&lt;&gt;"")*(IF(OFFSET($A12,0,31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12" s="52">
        <f t="array" aca="1" ref="NS12" ca="1">SUMPRODUCT((OFFSET($A12,0,31*(VLOOKUP(NS$5,Sprints[],5,FALSE))+DAY(VLOOKUP(NS$5,Sprints[],2,FALSE)),1,VLOOKUP(NS$5,Sprints[],4,FALSE))&lt;&gt;"")*(IF(OFFSET($A12,0,31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12" s="52">
        <f t="array" aca="1" ref="NT12" ca="1">SUMPRODUCT((OFFSET($A12,0,31*(VLOOKUP(NT$5,Sprints[],5,FALSE))+DAY(VLOOKUP(NT$5,Sprints[],2,FALSE)),1,VLOOKUP(NT$5,Sprints[],4,FALSE))&lt;&gt;"")*(IF(OFFSET($A12,0,31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12" s="52">
        <f t="array" aca="1" ref="NU12" ca="1">SUMPRODUCT((OFFSET($A12,0,31*(VLOOKUP(NU$5,Sprints[],5,FALSE))+DAY(VLOOKUP(NU$5,Sprints[],2,FALSE)),1,VLOOKUP(NU$5,Sprints[],4,FALSE))&lt;&gt;"")*(IF(OFFSET($A12,0,31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12" s="52">
        <f t="array" aca="1" ref="NV12" ca="1">SUMPRODUCT((OFFSET($A12,0,31*(VLOOKUP(NV$5,Sprints[],5,FALSE))+DAY(VLOOKUP(NV$5,Sprints[],2,FALSE)),1,VLOOKUP(NV$5,Sprints[],4,FALSE))&lt;&gt;"")*(IF(OFFSET($A12,0,31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12" s="52">
        <f t="array" aca="1" ref="NW12" ca="1">SUMPRODUCT((OFFSET($A12,0,31*(VLOOKUP(NW$5,Sprints[],5,FALSE))+DAY(VLOOKUP(NW$5,Sprints[],2,FALSE)),1,VLOOKUP(NW$5,Sprints[],4,FALSE))&lt;&gt;"")*(IF(OFFSET($A12,0,31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12" s="52">
        <f t="array" aca="1" ref="NX12" ca="1">SUMPRODUCT((OFFSET($A12,0,31*(VLOOKUP(NX$5,Sprints[],5,FALSE))+DAY(VLOOKUP(NX$5,Sprints[],2,FALSE)),1,VLOOKUP(NX$5,Sprints[],4,FALSE))&lt;&gt;"")*(IF(OFFSET($A12,0,31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12" s="52">
        <f t="array" aca="1" ref="NY12" ca="1">SUMPRODUCT((OFFSET($A12,0,31*(VLOOKUP(NY$5,Sprints[],5,FALSE))+DAY(VLOOKUP(NY$5,Sprints[],2,FALSE)),1,VLOOKUP(NY$5,Sprints[],4,FALSE))&lt;&gt;"")*(IF(OFFSET($A12,0,31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  <c r="OA12" s="18" t="s">
        <v>30</v>
      </c>
      <c r="OB12" s="25" t="s">
        <v>31</v>
      </c>
    </row>
    <row r="13" spans="1:765" s="45" customFormat="1" x14ac:dyDescent="0.45">
      <c r="A13" s="5" t="s">
        <v>77</v>
      </c>
      <c r="B13" s="2"/>
      <c r="C13" s="2"/>
      <c r="D13" s="2"/>
      <c r="E13" s="2"/>
      <c r="F13" s="2"/>
      <c r="G13" s="2"/>
      <c r="H13" s="2"/>
      <c r="I13" s="2" t="s">
        <v>35</v>
      </c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 t="s">
        <v>35</v>
      </c>
      <c r="CK13" s="2" t="s">
        <v>35</v>
      </c>
      <c r="CL13" s="2"/>
      <c r="CM13" s="2"/>
      <c r="CN13" s="2"/>
      <c r="CO13" s="2"/>
      <c r="CP13" s="2"/>
      <c r="CQ13" s="2" t="s">
        <v>35</v>
      </c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 t="s">
        <v>35</v>
      </c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14">
        <f t="array" aca="1" ref="NJ13" ca="1">SUMPRODUCT((OFFSET($A13,0,31*($A$3-1)+1,1,31)&lt;&gt;"")*(IF(OFFSET($A13,0,31*($A$3-1)+1,1,31)=$OB$12,0.5,1)*(OFFSET($A$4,0,31*($A$3-1)+1,1,31))))</f>
        <v>1</v>
      </c>
      <c r="NK13" s="20">
        <f t="array" aca="1" ref="NK13" ca="1">SUMPRODUCT((OFFSET($A13,0,1,1,372)&lt;&gt;"")*(IF(OFFSET($A13,0,1,1,372)=$OB$12,0.5,1)*(OFFSET($A$3,0,1,1,372))))</f>
        <v>5</v>
      </c>
      <c r="NL13" s="28">
        <f t="array" aca="1" ref="NL13" ca="1">SUMPRODUCT((OFFSET($A13,0,31*($A$4)+DAY(Holidays!$E$2),1,Holidays!$G$2)&lt;&gt;"")*(IF(OFFSET($A13,0,31*($A$4)+DAY(Holidays!$E$2),1,Holidays!$G$2)=$OB$12,0.5,1)*(OFFSET($A$3,0,31*($A$4)+DAY(Holidays!$E$2),1,Holidays!$G$2))))</f>
        <v>4</v>
      </c>
      <c r="NM13" s="52">
        <f t="array" aca="1" ref="NM13" ca="1">SUMPRODUCT((OFFSET($A13,0,31*($A$4)+DAY(VLOOKUP(NM$5,Sprints[],2,FALSE)),1,VLOOKUP(NM$5,Sprints[],4,FALSE))&lt;&gt;"")*(IF(OFFSET($A13,0,31*($A$4)+DAY(VLOOKUP(NM$5,Sprints[],2,FALSE)),1,VLOOKUP(NM$5,Sprints[],4,FALSE))=$OB$12,0.5,1)*(OFFSET($A$3,0,31*($A$4)+DAY(VLOOKUP(NM$5,Sprints[],2,FALSE)),1,VLOOKUP(NM$5,Sprints[],4,FALSE)))))</f>
        <v>0</v>
      </c>
      <c r="NN13" s="52">
        <f t="array" aca="1" ref="NN13" ca="1">SUMPRODUCT((OFFSET($A13,0,31*($A$4)+DAY(VLOOKUP(NN$5,Sprints[],2,FALSE)),1,VLOOKUP(NN$5,Sprints[],4,FALSE))&lt;&gt;"")*(IF(OFFSET($A13,0,31*($A$4)+DAY(VLOOKUP(NN$5,Sprints[],2,FALSE)),1,VLOOKUP(NN$5,Sprints[],4,FALSE))=$OB$12,0.5,1)*(OFFSET($A$3,0,31*($A$4)+DAY(VLOOKUP(NN$5,Sprints[],2,FALSE)),1,VLOOKUP(NN$5,Sprints[],4,FALSE)))))</f>
        <v>0</v>
      </c>
      <c r="NO13" s="52">
        <f t="array" aca="1" ref="NO13" ca="1">SUMPRODUCT((OFFSET($A13,0,31*($A$4)+DAY(VLOOKUP(NO$5,Sprints[],2,FALSE)),1,VLOOKUP(NO$5,Sprints[],4,FALSE))&lt;&gt;"")*(IF(OFFSET($A13,0,31*($A$4)+DAY(VLOOKUP(NO$5,Sprints[],2,FALSE)),1,VLOOKUP(NO$5,Sprints[],4,FALSE))=$OB$12,0.5,1)*(OFFSET($A$3,0,31*($A$4)+DAY(VLOOKUP(NO$5,Sprints[],2,FALSE)),1,VLOOKUP(NO$5,Sprints[],4,FALSE)))))</f>
        <v>1</v>
      </c>
      <c r="NP13" s="52">
        <f t="array" aca="1" ref="NP13" ca="1">SUMPRODUCT((OFFSET($A13,0,31*(VLOOKUP(NP$5,Sprints[],5,FALSE))+DAY(VLOOKUP(NP$5,Sprints[],2,FALSE)),1,VLOOKUP(NP$5,Sprints[],4,FALSE))&lt;&gt;"")*(IF(OFFSET($A13,0,31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13" s="52">
        <f t="array" aca="1" ref="NQ13" ca="1">SUMPRODUCT((OFFSET($A13,0,31*(VLOOKUP(NQ$5,Sprints[],5,FALSE))+DAY(VLOOKUP(NQ$5,Sprints[],2,FALSE)),1,VLOOKUP(NQ$5,Sprints[],4,FALSE))&lt;&gt;"")*(IF(OFFSET($A13,0,31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13" s="52">
        <f t="array" aca="1" ref="NR13" ca="1">SUMPRODUCT((OFFSET($A13,0,31*(VLOOKUP(NR$5,Sprints[],5,FALSE))+DAY(VLOOKUP(NR$5,Sprints[],2,FALSE)),1,VLOOKUP(NR$5,Sprints[],4,FALSE))&lt;&gt;"")*(IF(OFFSET($A13,0,31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13" s="52">
        <f t="array" aca="1" ref="NS13" ca="1">SUMPRODUCT((OFFSET($A13,0,31*(VLOOKUP(NS$5,Sprints[],5,FALSE))+DAY(VLOOKUP(NS$5,Sprints[],2,FALSE)),1,VLOOKUP(NS$5,Sprints[],4,FALSE))&lt;&gt;"")*(IF(OFFSET($A13,0,31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13" s="52">
        <f t="array" aca="1" ref="NT13" ca="1">SUMPRODUCT((OFFSET($A13,0,31*(VLOOKUP(NT$5,Sprints[],5,FALSE))+DAY(VLOOKUP(NT$5,Sprints[],2,FALSE)),1,VLOOKUP(NT$5,Sprints[],4,FALSE))&lt;&gt;"")*(IF(OFFSET($A13,0,31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13" s="52">
        <f t="array" aca="1" ref="NU13" ca="1">SUMPRODUCT((OFFSET($A13,0,31*(VLOOKUP(NU$5,Sprints[],5,FALSE))+DAY(VLOOKUP(NU$5,Sprints[],2,FALSE)),1,VLOOKUP(NU$5,Sprints[],4,FALSE))&lt;&gt;"")*(IF(OFFSET($A13,0,31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13" s="52">
        <f t="array" aca="1" ref="NV13" ca="1">SUMPRODUCT((OFFSET($A13,0,31*(VLOOKUP(NV$5,Sprints[],5,FALSE))+DAY(VLOOKUP(NV$5,Sprints[],2,FALSE)),1,VLOOKUP(NV$5,Sprints[],4,FALSE))&lt;&gt;"")*(IF(OFFSET($A13,0,31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13" s="52">
        <f t="array" aca="1" ref="NW13" ca="1">SUMPRODUCT((OFFSET($A13,0,31*(VLOOKUP(NW$5,Sprints[],5,FALSE))+DAY(VLOOKUP(NW$5,Sprints[],2,FALSE)),1,VLOOKUP(NW$5,Sprints[],4,FALSE))&lt;&gt;"")*(IF(OFFSET($A13,0,31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13" s="52">
        <f t="array" aca="1" ref="NX13" ca="1">SUMPRODUCT((OFFSET($A13,0,31*(VLOOKUP(NX$5,Sprints[],5,FALSE))+DAY(VLOOKUP(NX$5,Sprints[],2,FALSE)),1,VLOOKUP(NX$5,Sprints[],4,FALSE))&lt;&gt;"")*(IF(OFFSET($A13,0,31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13" s="52">
        <f t="array" aca="1" ref="NY13" ca="1">SUMPRODUCT((OFFSET($A13,0,31*(VLOOKUP(NY$5,Sprints[],5,FALSE))+DAY(VLOOKUP(NY$5,Sprints[],2,FALSE)),1,VLOOKUP(NY$5,Sprints[],4,FALSE))&lt;&gt;"")*(IF(OFFSET($A13,0,31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  <c r="OA13" s="61"/>
      <c r="OB13" s="62"/>
    </row>
    <row r="14" spans="1:765" x14ac:dyDescent="0.45">
      <c r="A14" s="5" t="s">
        <v>78</v>
      </c>
      <c r="B14" s="2"/>
      <c r="C14" s="2"/>
      <c r="D14" s="2"/>
      <c r="E14" s="2"/>
      <c r="F14" s="2"/>
      <c r="G14" s="2"/>
      <c r="H14" s="2"/>
      <c r="I14" s="2" t="s">
        <v>35</v>
      </c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 t="s">
        <v>35</v>
      </c>
      <c r="CK14" s="2" t="s">
        <v>35</v>
      </c>
      <c r="CL14" s="2"/>
      <c r="CM14" s="2"/>
      <c r="CN14" s="2"/>
      <c r="CO14" s="2"/>
      <c r="CP14" s="2"/>
      <c r="CQ14" s="2" t="s">
        <v>35</v>
      </c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 t="s">
        <v>35</v>
      </c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14">
        <f t="array" aca="1" ref="NJ14" ca="1">SUMPRODUCT((OFFSET($A14,0,31*($A$3-1)+1,1,31)&lt;&gt;"")*(IF(OFFSET($A14,0,31*($A$3-1)+1,1,31)=$OB$12,0.5,1)*(OFFSET($A$4,0,31*($A$3-1)+1,1,31))))</f>
        <v>1</v>
      </c>
      <c r="NK14" s="20">
        <f t="array" aca="1" ref="NK14" ca="1">SUMPRODUCT((OFFSET($A14,0,1,1,372)&lt;&gt;"")*(IF(OFFSET($A14,0,1,1,372)=$OB$12,0.5,1)*(OFFSET($A$3,0,1,1,372))))</f>
        <v>5</v>
      </c>
      <c r="NL14" s="28">
        <f t="array" aca="1" ref="NL14" ca="1">SUMPRODUCT((OFFSET($A14,0,31*($A$4)+DAY(Holidays!$E$2),1,Holidays!$G$2)&lt;&gt;"")*(IF(OFFSET($A14,0,31*($A$4)+DAY(Holidays!$E$2),1,Holidays!$G$2)=$OB$12,0.5,1)*(OFFSET($A$3,0,31*($A$4)+DAY(Holidays!$E$2),1,Holidays!$G$2))))</f>
        <v>4</v>
      </c>
      <c r="NM14" s="52">
        <f t="array" aca="1" ref="NM14" ca="1">SUMPRODUCT((OFFSET($A14,0,31*($A$4)+DAY(VLOOKUP(NM$5,Sprints[],2,FALSE)),1,VLOOKUP(NM$5,Sprints[],4,FALSE))&lt;&gt;"")*(IF(OFFSET($A14,0,31*($A$4)+DAY(VLOOKUP(NM$5,Sprints[],2,FALSE)),1,VLOOKUP(NM$5,Sprints[],4,FALSE))=$OB$12,0.5,1)*(OFFSET($A$3,0,31*($A$4)+DAY(VLOOKUP(NM$5,Sprints[],2,FALSE)),1,VLOOKUP(NM$5,Sprints[],4,FALSE)))))</f>
        <v>0</v>
      </c>
      <c r="NN14" s="52">
        <f t="array" aca="1" ref="NN14" ca="1">SUMPRODUCT((OFFSET($A14,0,31*($A$4)+DAY(VLOOKUP(NN$5,Sprints[],2,FALSE)),1,VLOOKUP(NN$5,Sprints[],4,FALSE))&lt;&gt;"")*(IF(OFFSET($A14,0,31*($A$4)+DAY(VLOOKUP(NN$5,Sprints[],2,FALSE)),1,VLOOKUP(NN$5,Sprints[],4,FALSE))=$OB$12,0.5,1)*(OFFSET($A$3,0,31*($A$4)+DAY(VLOOKUP(NN$5,Sprints[],2,FALSE)),1,VLOOKUP(NN$5,Sprints[],4,FALSE)))))</f>
        <v>0</v>
      </c>
      <c r="NO14" s="52">
        <f t="array" aca="1" ref="NO14" ca="1">SUMPRODUCT((OFFSET($A14,0,31*($A$4)+DAY(VLOOKUP(NO$5,Sprints[],2,FALSE)),1,VLOOKUP(NO$5,Sprints[],4,FALSE))&lt;&gt;"")*(IF(OFFSET($A14,0,31*($A$4)+DAY(VLOOKUP(NO$5,Sprints[],2,FALSE)),1,VLOOKUP(NO$5,Sprints[],4,FALSE))=$OB$12,0.5,1)*(OFFSET($A$3,0,31*($A$4)+DAY(VLOOKUP(NO$5,Sprints[],2,FALSE)),1,VLOOKUP(NO$5,Sprints[],4,FALSE)))))</f>
        <v>1</v>
      </c>
      <c r="NP14" s="52">
        <f t="array" aca="1" ref="NP14" ca="1">SUMPRODUCT((OFFSET($A14,0,31*(VLOOKUP(NP$5,Sprints[],5,FALSE))+DAY(VLOOKUP(NP$5,Sprints[],2,FALSE)),1,VLOOKUP(NP$5,Sprints[],4,FALSE))&lt;&gt;"")*(IF(OFFSET($A14,0,31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14" s="52">
        <f t="array" aca="1" ref="NQ14" ca="1">SUMPRODUCT((OFFSET($A14,0,31*(VLOOKUP(NQ$5,Sprints[],5,FALSE))+DAY(VLOOKUP(NQ$5,Sprints[],2,FALSE)),1,VLOOKUP(NQ$5,Sprints[],4,FALSE))&lt;&gt;"")*(IF(OFFSET($A14,0,31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14" s="52">
        <f t="array" aca="1" ref="NR14" ca="1">SUMPRODUCT((OFFSET($A14,0,31*(VLOOKUP(NR$5,Sprints[],5,FALSE))+DAY(VLOOKUP(NR$5,Sprints[],2,FALSE)),1,VLOOKUP(NR$5,Sprints[],4,FALSE))&lt;&gt;"")*(IF(OFFSET($A14,0,31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14" s="52">
        <f t="array" aca="1" ref="NS14" ca="1">SUMPRODUCT((OFFSET($A14,0,31*(VLOOKUP(NS$5,Sprints[],5,FALSE))+DAY(VLOOKUP(NS$5,Sprints[],2,FALSE)),1,VLOOKUP(NS$5,Sprints[],4,FALSE))&lt;&gt;"")*(IF(OFFSET($A14,0,31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14" s="52">
        <f t="array" aca="1" ref="NT14" ca="1">SUMPRODUCT((OFFSET($A14,0,31*(VLOOKUP(NT$5,Sprints[],5,FALSE))+DAY(VLOOKUP(NT$5,Sprints[],2,FALSE)),1,VLOOKUP(NT$5,Sprints[],4,FALSE))&lt;&gt;"")*(IF(OFFSET($A14,0,31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14" s="52">
        <f t="array" aca="1" ref="NU14" ca="1">SUMPRODUCT((OFFSET($A14,0,31*(VLOOKUP(NU$5,Sprints[],5,FALSE))+DAY(VLOOKUP(NU$5,Sprints[],2,FALSE)),1,VLOOKUP(NU$5,Sprints[],4,FALSE))&lt;&gt;"")*(IF(OFFSET($A14,0,31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14" s="52">
        <f t="array" aca="1" ref="NV14" ca="1">SUMPRODUCT((OFFSET($A14,0,31*(VLOOKUP(NV$5,Sprints[],5,FALSE))+DAY(VLOOKUP(NV$5,Sprints[],2,FALSE)),1,VLOOKUP(NV$5,Sprints[],4,FALSE))&lt;&gt;"")*(IF(OFFSET($A14,0,31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14" s="52">
        <f t="array" aca="1" ref="NW14" ca="1">SUMPRODUCT((OFFSET($A14,0,31*(VLOOKUP(NW$5,Sprints[],5,FALSE))+DAY(VLOOKUP(NW$5,Sprints[],2,FALSE)),1,VLOOKUP(NW$5,Sprints[],4,FALSE))&lt;&gt;"")*(IF(OFFSET($A14,0,31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14" s="52">
        <f t="array" aca="1" ref="NX14" ca="1">SUMPRODUCT((OFFSET($A14,0,31*(VLOOKUP(NX$5,Sprints[],5,FALSE))+DAY(VLOOKUP(NX$5,Sprints[],2,FALSE)),1,VLOOKUP(NX$5,Sprints[],4,FALSE))&lt;&gt;"")*(IF(OFFSET($A14,0,31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14" s="52">
        <f t="array" aca="1" ref="NY14" ca="1">SUMPRODUCT((OFFSET($A14,0,31*(VLOOKUP(NY$5,Sprints[],5,FALSE))+DAY(VLOOKUP(NY$5,Sprints[],2,FALSE)),1,VLOOKUP(NY$5,Sprints[],4,FALSE))&lt;&gt;"")*(IF(OFFSET($A14,0,31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</row>
    <row r="15" spans="1:765" x14ac:dyDescent="0.45">
      <c r="A15" s="5" t="s">
        <v>80</v>
      </c>
      <c r="B15" s="2"/>
      <c r="C15" s="2"/>
      <c r="D15" s="2"/>
      <c r="E15" s="2"/>
      <c r="F15" s="2"/>
      <c r="G15" s="2"/>
      <c r="H15" s="2"/>
      <c r="I15" s="2" t="s">
        <v>35</v>
      </c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 t="s">
        <v>35</v>
      </c>
      <c r="CK15" s="2" t="s">
        <v>35</v>
      </c>
      <c r="CL15" s="2"/>
      <c r="CM15" s="2"/>
      <c r="CN15" s="2"/>
      <c r="CO15" s="2"/>
      <c r="CP15" s="2"/>
      <c r="CQ15" s="2" t="s">
        <v>35</v>
      </c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 t="s">
        <v>35</v>
      </c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14">
        <f t="array" aca="1" ref="NJ15" ca="1">SUMPRODUCT((OFFSET($A15,0,31*($A$3-1)+1,1,31)&lt;&gt;"")*(IF(OFFSET($A15,0,31*($A$3-1)+1,1,31)=$OB$12,0.5,1)*(OFFSET($A$4,0,31*($A$3-1)+1,1,31))))</f>
        <v>1</v>
      </c>
      <c r="NK15" s="20">
        <f t="array" aca="1" ref="NK15" ca="1">SUMPRODUCT((OFFSET($A15,0,1,1,372)&lt;&gt;"")*(IF(OFFSET($A15,0,1,1,372)=$OB$12,0.5,1)*(OFFSET($A$3,0,1,1,372))))</f>
        <v>5</v>
      </c>
      <c r="NL15" s="28">
        <f t="array" aca="1" ref="NL15" ca="1">SUMPRODUCT((OFFSET($A15,0,31*($A$4)+DAY(Holidays!$E$2),1,Holidays!$G$2)&lt;&gt;"")*(IF(OFFSET($A15,0,31*($A$4)+DAY(Holidays!$E$2),1,Holidays!$G$2)=$OB$12,0.5,1)*(OFFSET($A$3,0,31*($A$4)+DAY(Holidays!$E$2),1,Holidays!$G$2))))</f>
        <v>4</v>
      </c>
      <c r="NM15" s="52">
        <f t="array" aca="1" ref="NM15" ca="1">SUMPRODUCT((OFFSET($A15,0,31*($A$4)+DAY(VLOOKUP(NM$5,Sprints[],2,FALSE)),1,VLOOKUP(NM$5,Sprints[],4,FALSE))&lt;&gt;"")*(IF(OFFSET($A15,0,31*($A$4)+DAY(VLOOKUP(NM$5,Sprints[],2,FALSE)),1,VLOOKUP(NM$5,Sprints[],4,FALSE))=$OB$12,0.5,1)*(OFFSET($A$3,0,31*($A$4)+DAY(VLOOKUP(NM$5,Sprints[],2,FALSE)),1,VLOOKUP(NM$5,Sprints[],4,FALSE)))))</f>
        <v>0</v>
      </c>
      <c r="NN15" s="52">
        <f t="array" aca="1" ref="NN15" ca="1">SUMPRODUCT((OFFSET($A15,0,31*($A$4)+DAY(VLOOKUP(NN$5,Sprints[],2,FALSE)),1,VLOOKUP(NN$5,Sprints[],4,FALSE))&lt;&gt;"")*(IF(OFFSET($A15,0,31*($A$4)+DAY(VLOOKUP(NN$5,Sprints[],2,FALSE)),1,VLOOKUP(NN$5,Sprints[],4,FALSE))=$OB$12,0.5,1)*(OFFSET($A$3,0,31*($A$4)+DAY(VLOOKUP(NN$5,Sprints[],2,FALSE)),1,VLOOKUP(NN$5,Sprints[],4,FALSE)))))</f>
        <v>0</v>
      </c>
      <c r="NO15" s="52">
        <f t="array" aca="1" ref="NO15" ca="1">SUMPRODUCT((OFFSET($A15,0,31*($A$4)+DAY(VLOOKUP(NO$5,Sprints[],2,FALSE)),1,VLOOKUP(NO$5,Sprints[],4,FALSE))&lt;&gt;"")*(IF(OFFSET($A15,0,31*($A$4)+DAY(VLOOKUP(NO$5,Sprints[],2,FALSE)),1,VLOOKUP(NO$5,Sprints[],4,FALSE))=$OB$12,0.5,1)*(OFFSET($A$3,0,31*($A$4)+DAY(VLOOKUP(NO$5,Sprints[],2,FALSE)),1,VLOOKUP(NO$5,Sprints[],4,FALSE)))))</f>
        <v>1</v>
      </c>
      <c r="NP15" s="52">
        <f t="array" aca="1" ref="NP15" ca="1">SUMPRODUCT((OFFSET($A15,0,31*(VLOOKUP(NP$5,Sprints[],5,FALSE))+DAY(VLOOKUP(NP$5,Sprints[],2,FALSE)),1,VLOOKUP(NP$5,Sprints[],4,FALSE))&lt;&gt;"")*(IF(OFFSET($A15,0,31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15" s="52">
        <f t="array" aca="1" ref="NQ15" ca="1">SUMPRODUCT((OFFSET($A15,0,31*(VLOOKUP(NQ$5,Sprints[],5,FALSE))+DAY(VLOOKUP(NQ$5,Sprints[],2,FALSE)),1,VLOOKUP(NQ$5,Sprints[],4,FALSE))&lt;&gt;"")*(IF(OFFSET($A15,0,31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15" s="52">
        <f t="array" aca="1" ref="NR15" ca="1">SUMPRODUCT((OFFSET($A15,0,31*(VLOOKUP(NR$5,Sprints[],5,FALSE))+DAY(VLOOKUP(NR$5,Sprints[],2,FALSE)),1,VLOOKUP(NR$5,Sprints[],4,FALSE))&lt;&gt;"")*(IF(OFFSET($A15,0,31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15" s="52">
        <f t="array" aca="1" ref="NS15" ca="1">SUMPRODUCT((OFFSET($A15,0,31*(VLOOKUP(NS$5,Sprints[],5,FALSE))+DAY(VLOOKUP(NS$5,Sprints[],2,FALSE)),1,VLOOKUP(NS$5,Sprints[],4,FALSE))&lt;&gt;"")*(IF(OFFSET($A15,0,31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15" s="52">
        <f t="array" aca="1" ref="NT15" ca="1">SUMPRODUCT((OFFSET($A15,0,31*(VLOOKUP(NT$5,Sprints[],5,FALSE))+DAY(VLOOKUP(NT$5,Sprints[],2,FALSE)),1,VLOOKUP(NT$5,Sprints[],4,FALSE))&lt;&gt;"")*(IF(OFFSET($A15,0,31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15" s="52">
        <f t="array" aca="1" ref="NU15" ca="1">SUMPRODUCT((OFFSET($A15,0,31*(VLOOKUP(NU$5,Sprints[],5,FALSE))+DAY(VLOOKUP(NU$5,Sprints[],2,FALSE)),1,VLOOKUP(NU$5,Sprints[],4,FALSE))&lt;&gt;"")*(IF(OFFSET($A15,0,31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15" s="52">
        <f t="array" aca="1" ref="NV15" ca="1">SUMPRODUCT((OFFSET($A15,0,31*(VLOOKUP(NV$5,Sprints[],5,FALSE))+DAY(VLOOKUP(NV$5,Sprints[],2,FALSE)),1,VLOOKUP(NV$5,Sprints[],4,FALSE))&lt;&gt;"")*(IF(OFFSET($A15,0,31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15" s="52">
        <f t="array" aca="1" ref="NW15" ca="1">SUMPRODUCT((OFFSET($A15,0,31*(VLOOKUP(NW$5,Sprints[],5,FALSE))+DAY(VLOOKUP(NW$5,Sprints[],2,FALSE)),1,VLOOKUP(NW$5,Sprints[],4,FALSE))&lt;&gt;"")*(IF(OFFSET($A15,0,31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15" s="52">
        <f t="array" aca="1" ref="NX15" ca="1">SUMPRODUCT((OFFSET($A15,0,31*(VLOOKUP(NX$5,Sprints[],5,FALSE))+DAY(VLOOKUP(NX$5,Sprints[],2,FALSE)),1,VLOOKUP(NX$5,Sprints[],4,FALSE))&lt;&gt;"")*(IF(OFFSET($A15,0,31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15" s="52">
        <f t="array" aca="1" ref="NY15" ca="1">SUMPRODUCT((OFFSET($A15,0,31*(VLOOKUP(NY$5,Sprints[],5,FALSE))+DAY(VLOOKUP(NY$5,Sprints[],2,FALSE)),1,VLOOKUP(NY$5,Sprints[],4,FALSE))&lt;&gt;"")*(IF(OFFSET($A15,0,31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</row>
    <row r="16" spans="1:765" x14ac:dyDescent="0.45">
      <c r="A16" s="1" t="s">
        <v>41</v>
      </c>
      <c r="B16" s="2"/>
      <c r="C16" s="2"/>
      <c r="D16" s="2"/>
      <c r="E16" s="2"/>
      <c r="F16" s="2"/>
      <c r="G16" s="2"/>
      <c r="H16" s="2"/>
      <c r="I16" s="2" t="s">
        <v>35</v>
      </c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 t="s">
        <v>35</v>
      </c>
      <c r="CK16" s="2" t="s">
        <v>35</v>
      </c>
      <c r="CL16" s="2"/>
      <c r="CM16" s="2"/>
      <c r="CN16" s="2"/>
      <c r="CO16" s="2"/>
      <c r="CP16" s="2"/>
      <c r="CQ16" s="2" t="s">
        <v>35</v>
      </c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 t="s">
        <v>35</v>
      </c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14">
        <f t="array" aca="1" ref="NJ16" ca="1">SUMPRODUCT((OFFSET($A16,0,31*($A$3-1)+1,1,31)&lt;&gt;"")*(IF(OFFSET($A16,0,31*($A$3-1)+1,1,31)=$OB$12,0.5,1)*(OFFSET($A$4,0,31*($A$3-1)+1,1,31))))</f>
        <v>1</v>
      </c>
      <c r="NK16" s="20">
        <f t="array" aca="1" ref="NK16" ca="1">SUMPRODUCT((OFFSET($A16,0,1,1,372)&lt;&gt;"")*(IF(OFFSET($A16,0,1,1,372)=$OB$12,0.5,1)*(OFFSET($A$3,0,1,1,372))))</f>
        <v>5</v>
      </c>
      <c r="NL16" s="28">
        <f t="array" aca="1" ref="NL16" ca="1">SUMPRODUCT((OFFSET($A16,0,31*($A$4)+DAY(Holidays!$E$2),1,Holidays!$G$2)&lt;&gt;"")*(IF(OFFSET($A16,0,31*($A$4)+DAY(Holidays!$E$2),1,Holidays!$G$2)=$OB$12,0.5,1)*(OFFSET($A$3,0,31*($A$4)+DAY(Holidays!$E$2),1,Holidays!$G$2))))</f>
        <v>4</v>
      </c>
      <c r="NM16" s="52">
        <f t="array" aca="1" ref="NM16" ca="1">SUMPRODUCT((OFFSET($A16,0,31*($A$4)+DAY(VLOOKUP(NM$5,Sprints[],2,FALSE)),1,VLOOKUP(NM$5,Sprints[],4,FALSE))&lt;&gt;"")*(IF(OFFSET($A16,0,31*($A$4)+DAY(VLOOKUP(NM$5,Sprints[],2,FALSE)),1,VLOOKUP(NM$5,Sprints[],4,FALSE))=$OB$12,0.5,1)*(OFFSET($A$3,0,31*($A$4)+DAY(VLOOKUP(NM$5,Sprints[],2,FALSE)),1,VLOOKUP(NM$5,Sprints[],4,FALSE)))))</f>
        <v>0</v>
      </c>
      <c r="NN16" s="52">
        <f t="array" aca="1" ref="NN16" ca="1">SUMPRODUCT((OFFSET($A16,0,31*($A$4)+DAY(VLOOKUP(NN$5,Sprints[],2,FALSE)),1,VLOOKUP(NN$5,Sprints[],4,FALSE))&lt;&gt;"")*(IF(OFFSET($A16,0,31*($A$4)+DAY(VLOOKUP(NN$5,Sprints[],2,FALSE)),1,VLOOKUP(NN$5,Sprints[],4,FALSE))=$OB$12,0.5,1)*(OFFSET($A$3,0,31*($A$4)+DAY(VLOOKUP(NN$5,Sprints[],2,FALSE)),1,VLOOKUP(NN$5,Sprints[],4,FALSE)))))</f>
        <v>0</v>
      </c>
      <c r="NO16" s="52">
        <f t="array" aca="1" ref="NO16" ca="1">SUMPRODUCT((OFFSET($A16,0,31*($A$4)+DAY(VLOOKUP(NO$5,Sprints[],2,FALSE)),1,VLOOKUP(NO$5,Sprints[],4,FALSE))&lt;&gt;"")*(IF(OFFSET($A16,0,31*($A$4)+DAY(VLOOKUP(NO$5,Sprints[],2,FALSE)),1,VLOOKUP(NO$5,Sprints[],4,FALSE))=$OB$12,0.5,1)*(OFFSET($A$3,0,31*($A$4)+DAY(VLOOKUP(NO$5,Sprints[],2,FALSE)),1,VLOOKUP(NO$5,Sprints[],4,FALSE)))))</f>
        <v>1</v>
      </c>
      <c r="NP16" s="52">
        <f t="array" aca="1" ref="NP16" ca="1">SUMPRODUCT((OFFSET($A16,0,31*(VLOOKUP(NP$5,Sprints[],5,FALSE))+DAY(VLOOKUP(NP$5,Sprints[],2,FALSE)),1,VLOOKUP(NP$5,Sprints[],4,FALSE))&lt;&gt;"")*(IF(OFFSET($A16,0,31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16" s="52">
        <f t="array" aca="1" ref="NQ16" ca="1">SUMPRODUCT((OFFSET($A16,0,31*(VLOOKUP(NQ$5,Sprints[],5,FALSE))+DAY(VLOOKUP(NQ$5,Sprints[],2,FALSE)),1,VLOOKUP(NQ$5,Sprints[],4,FALSE))&lt;&gt;"")*(IF(OFFSET($A16,0,31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16" s="52">
        <f t="array" aca="1" ref="NR16" ca="1">SUMPRODUCT((OFFSET($A16,0,31*(VLOOKUP(NR$5,Sprints[],5,FALSE))+DAY(VLOOKUP(NR$5,Sprints[],2,FALSE)),1,VLOOKUP(NR$5,Sprints[],4,FALSE))&lt;&gt;"")*(IF(OFFSET($A16,0,31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16" s="52">
        <f t="array" aca="1" ref="NS16" ca="1">SUMPRODUCT((OFFSET($A16,0,31*(VLOOKUP(NS$5,Sprints[],5,FALSE))+DAY(VLOOKUP(NS$5,Sprints[],2,FALSE)),1,VLOOKUP(NS$5,Sprints[],4,FALSE))&lt;&gt;"")*(IF(OFFSET($A16,0,31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16" s="52">
        <f t="array" aca="1" ref="NT16" ca="1">SUMPRODUCT((OFFSET($A16,0,31*(VLOOKUP(NT$5,Sprints[],5,FALSE))+DAY(VLOOKUP(NT$5,Sprints[],2,FALSE)),1,VLOOKUP(NT$5,Sprints[],4,FALSE))&lt;&gt;"")*(IF(OFFSET($A16,0,31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16" s="52">
        <f t="array" aca="1" ref="NU16" ca="1">SUMPRODUCT((OFFSET($A16,0,31*(VLOOKUP(NU$5,Sprints[],5,FALSE))+DAY(VLOOKUP(NU$5,Sprints[],2,FALSE)),1,VLOOKUP(NU$5,Sprints[],4,FALSE))&lt;&gt;"")*(IF(OFFSET($A16,0,31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16" s="52">
        <f t="array" aca="1" ref="NV16" ca="1">SUMPRODUCT((OFFSET($A16,0,31*(VLOOKUP(NV$5,Sprints[],5,FALSE))+DAY(VLOOKUP(NV$5,Sprints[],2,FALSE)),1,VLOOKUP(NV$5,Sprints[],4,FALSE))&lt;&gt;"")*(IF(OFFSET($A16,0,31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16" s="52">
        <f t="array" aca="1" ref="NW16" ca="1">SUMPRODUCT((OFFSET($A16,0,31*(VLOOKUP(NW$5,Sprints[],5,FALSE))+DAY(VLOOKUP(NW$5,Sprints[],2,FALSE)),1,VLOOKUP(NW$5,Sprints[],4,FALSE))&lt;&gt;"")*(IF(OFFSET($A16,0,31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16" s="52">
        <f t="array" aca="1" ref="NX16" ca="1">SUMPRODUCT((OFFSET($A16,0,31*(VLOOKUP(NX$5,Sprints[],5,FALSE))+DAY(VLOOKUP(NX$5,Sprints[],2,FALSE)),1,VLOOKUP(NX$5,Sprints[],4,FALSE))&lt;&gt;"")*(IF(OFFSET($A16,0,31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16" s="52">
        <f t="array" aca="1" ref="NY16" ca="1">SUMPRODUCT((OFFSET($A16,0,31*(VLOOKUP(NY$5,Sprints[],5,FALSE))+DAY(VLOOKUP(NY$5,Sprints[],2,FALSE)),1,VLOOKUP(NY$5,Sprints[],4,FALSE))&lt;&gt;"")*(IF(OFFSET($A16,0,31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  <c r="OA16" s="17" t="s">
        <v>23</v>
      </c>
      <c r="OB16" s="17"/>
    </row>
    <row r="17" spans="1:392" x14ac:dyDescent="0.45">
      <c r="A17" s="1" t="s">
        <v>75</v>
      </c>
      <c r="B17" s="2"/>
      <c r="C17" s="2"/>
      <c r="D17" s="2"/>
      <c r="E17" s="2"/>
      <c r="F17" s="2"/>
      <c r="G17" s="2"/>
      <c r="H17" s="2"/>
      <c r="I17" s="2" t="s">
        <v>35</v>
      </c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 t="s">
        <v>35</v>
      </c>
      <c r="CK17" s="2" t="s">
        <v>35</v>
      </c>
      <c r="CL17" s="2"/>
      <c r="CM17" s="2"/>
      <c r="CN17" s="2"/>
      <c r="CO17" s="2"/>
      <c r="CP17" s="2"/>
      <c r="CQ17" s="2" t="s">
        <v>35</v>
      </c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 t="s">
        <v>35</v>
      </c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14">
        <f t="array" aca="1" ref="NJ17" ca="1">SUMPRODUCT((OFFSET($A17,0,31*($A$3-1)+1,1,31)&lt;&gt;"")*(IF(OFFSET($A17,0,31*($A$3-1)+1,1,31)=$OB$12,0.5,1)*(OFFSET($A$4,0,31*($A$3-1)+1,1,31))))</f>
        <v>1</v>
      </c>
      <c r="NK17" s="20">
        <f t="array" aca="1" ref="NK17" ca="1">SUMPRODUCT((OFFSET($A17,0,1,1,372)&lt;&gt;"")*(IF(OFFSET($A17,0,1,1,372)=$OB$12,0.5,1)*(OFFSET($A$3,0,1,1,372))))</f>
        <v>5</v>
      </c>
      <c r="NL17" s="28">
        <f t="array" aca="1" ref="NL17" ca="1">SUMPRODUCT((OFFSET($A17,0,31*($A$4)+DAY(Holidays!$E$2),1,Holidays!$G$2)&lt;&gt;"")*(IF(OFFSET($A17,0,31*($A$4)+DAY(Holidays!$E$2),1,Holidays!$G$2)=$OB$12,0.5,1)*(OFFSET($A$3,0,31*($A$4)+DAY(Holidays!$E$2),1,Holidays!$G$2))))</f>
        <v>4</v>
      </c>
      <c r="NM17" s="52">
        <f t="array" aca="1" ref="NM17" ca="1">SUMPRODUCT((OFFSET($A17,0,31*($A$4)+DAY(VLOOKUP(NM$5,Sprints[],2,FALSE)),1,VLOOKUP(NM$5,Sprints[],4,FALSE))&lt;&gt;"")*(IF(OFFSET($A17,0,31*($A$4)+DAY(VLOOKUP(NM$5,Sprints[],2,FALSE)),1,VLOOKUP(NM$5,Sprints[],4,FALSE))=$OB$12,0.5,1)*(OFFSET($A$3,0,31*($A$4)+DAY(VLOOKUP(NM$5,Sprints[],2,FALSE)),1,VLOOKUP(NM$5,Sprints[],4,FALSE)))))</f>
        <v>0</v>
      </c>
      <c r="NN17" s="52">
        <f t="array" aca="1" ref="NN17" ca="1">SUMPRODUCT((OFFSET($A17,0,31*($A$4)+DAY(VLOOKUP(NN$5,Sprints[],2,FALSE)),1,VLOOKUP(NN$5,Sprints[],4,FALSE))&lt;&gt;"")*(IF(OFFSET($A17,0,31*($A$4)+DAY(VLOOKUP(NN$5,Sprints[],2,FALSE)),1,VLOOKUP(NN$5,Sprints[],4,FALSE))=$OB$12,0.5,1)*(OFFSET($A$3,0,31*($A$4)+DAY(VLOOKUP(NN$5,Sprints[],2,FALSE)),1,VLOOKUP(NN$5,Sprints[],4,FALSE)))))</f>
        <v>0</v>
      </c>
      <c r="NO17" s="52">
        <f t="array" aca="1" ref="NO17" ca="1">SUMPRODUCT((OFFSET($A17,0,31*($A$4)+DAY(VLOOKUP(NO$5,Sprints[],2,FALSE)),1,VLOOKUP(NO$5,Sprints[],4,FALSE))&lt;&gt;"")*(IF(OFFSET($A17,0,31*($A$4)+DAY(VLOOKUP(NO$5,Sprints[],2,FALSE)),1,VLOOKUP(NO$5,Sprints[],4,FALSE))=$OB$12,0.5,1)*(OFFSET($A$3,0,31*($A$4)+DAY(VLOOKUP(NO$5,Sprints[],2,FALSE)),1,VLOOKUP(NO$5,Sprints[],4,FALSE)))))</f>
        <v>1</v>
      </c>
      <c r="NP17" s="52">
        <f t="array" aca="1" ref="NP17" ca="1">SUMPRODUCT((OFFSET($A17,0,31*(VLOOKUP(NP$5,Sprints[],5,FALSE))+DAY(VLOOKUP(NP$5,Sprints[],2,FALSE)),1,VLOOKUP(NP$5,Sprints[],4,FALSE))&lt;&gt;"")*(IF(OFFSET($A17,0,31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17" s="52">
        <f t="array" aca="1" ref="NQ17" ca="1">SUMPRODUCT((OFFSET($A17,0,31*(VLOOKUP(NQ$5,Sprints[],5,FALSE))+DAY(VLOOKUP(NQ$5,Sprints[],2,FALSE)),1,VLOOKUP(NQ$5,Sprints[],4,FALSE))&lt;&gt;"")*(IF(OFFSET($A17,0,31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17" s="52">
        <f t="array" aca="1" ref="NR17" ca="1">SUMPRODUCT((OFFSET($A17,0,31*(VLOOKUP(NR$5,Sprints[],5,FALSE))+DAY(VLOOKUP(NR$5,Sprints[],2,FALSE)),1,VLOOKUP(NR$5,Sprints[],4,FALSE))&lt;&gt;"")*(IF(OFFSET($A17,0,31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17" s="52">
        <f t="array" aca="1" ref="NS17" ca="1">SUMPRODUCT((OFFSET($A17,0,31*(VLOOKUP(NS$5,Sprints[],5,FALSE))+DAY(VLOOKUP(NS$5,Sprints[],2,FALSE)),1,VLOOKUP(NS$5,Sprints[],4,FALSE))&lt;&gt;"")*(IF(OFFSET($A17,0,31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17" s="52">
        <f t="array" aca="1" ref="NT17" ca="1">SUMPRODUCT((OFFSET($A17,0,31*(VLOOKUP(NT$5,Sprints[],5,FALSE))+DAY(VLOOKUP(NT$5,Sprints[],2,FALSE)),1,VLOOKUP(NT$5,Sprints[],4,FALSE))&lt;&gt;"")*(IF(OFFSET($A17,0,31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17" s="52">
        <f t="array" aca="1" ref="NU17" ca="1">SUMPRODUCT((OFFSET($A17,0,31*(VLOOKUP(NU$5,Sprints[],5,FALSE))+DAY(VLOOKUP(NU$5,Sprints[],2,FALSE)),1,VLOOKUP(NU$5,Sprints[],4,FALSE))&lt;&gt;"")*(IF(OFFSET($A17,0,31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17" s="52">
        <f t="array" aca="1" ref="NV17" ca="1">SUMPRODUCT((OFFSET($A17,0,31*(VLOOKUP(NV$5,Sprints[],5,FALSE))+DAY(VLOOKUP(NV$5,Sprints[],2,FALSE)),1,VLOOKUP(NV$5,Sprints[],4,FALSE))&lt;&gt;"")*(IF(OFFSET($A17,0,31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17" s="52">
        <f t="array" aca="1" ref="NW17" ca="1">SUMPRODUCT((OFFSET($A17,0,31*(VLOOKUP(NW$5,Sprints[],5,FALSE))+DAY(VLOOKUP(NW$5,Sprints[],2,FALSE)),1,VLOOKUP(NW$5,Sprints[],4,FALSE))&lt;&gt;"")*(IF(OFFSET($A17,0,31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17" s="52">
        <f t="array" aca="1" ref="NX17" ca="1">SUMPRODUCT((OFFSET($A17,0,31*(VLOOKUP(NX$5,Sprints[],5,FALSE))+DAY(VLOOKUP(NX$5,Sprints[],2,FALSE)),1,VLOOKUP(NX$5,Sprints[],4,FALSE))&lt;&gt;"")*(IF(OFFSET($A17,0,31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17" s="52">
        <f t="array" aca="1" ref="NY17" ca="1">SUMPRODUCT((OFFSET($A17,0,31*(VLOOKUP(NY$5,Sprints[],5,FALSE))+DAY(VLOOKUP(NY$5,Sprints[],2,FALSE)),1,VLOOKUP(NY$5,Sprints[],4,FALSE))&lt;&gt;"")*(IF(OFFSET($A17,0,31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  <c r="OA17" s="16" t="s">
        <v>11</v>
      </c>
      <c r="OB17" s="16" t="s">
        <v>25</v>
      </c>
    </row>
    <row r="18" spans="1:392" x14ac:dyDescent="0.45">
      <c r="A18" s="1" t="s">
        <v>126</v>
      </c>
      <c r="B18" s="2"/>
      <c r="C18" s="2"/>
      <c r="D18" s="2"/>
      <c r="E18" s="2"/>
      <c r="F18" s="2"/>
      <c r="G18" s="2"/>
      <c r="H18" s="2"/>
      <c r="I18" s="2" t="s">
        <v>35</v>
      </c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 t="s">
        <v>35</v>
      </c>
      <c r="CK18" s="2" t="s">
        <v>35</v>
      </c>
      <c r="CL18" s="2"/>
      <c r="CM18" s="2"/>
      <c r="CN18" s="2"/>
      <c r="CO18" s="2"/>
      <c r="CP18" s="2"/>
      <c r="CQ18" s="2" t="s">
        <v>35</v>
      </c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 t="s">
        <v>35</v>
      </c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14">
        <f t="array" aca="1" ref="NJ18" ca="1">SUMPRODUCT((OFFSET($A18,0,31*($A$3-1)+1,1,31)&lt;&gt;"")*(IF(OFFSET($A18,0,31*($A$3-1)+1,1,31)=$OB$12,0.5,1)*(OFFSET($A$4,0,31*($A$3-1)+1,1,31))))</f>
        <v>1</v>
      </c>
      <c r="NK18" s="20">
        <f t="array" aca="1" ref="NK18" ca="1">SUMPRODUCT((OFFSET($A18,0,1,1,372)&lt;&gt;"")*(IF(OFFSET($A18,0,1,1,372)=$OB$12,0.5,1)*(OFFSET($A$3,0,1,1,372))))</f>
        <v>5</v>
      </c>
      <c r="NL18" s="28">
        <f t="array" aca="1" ref="NL18" ca="1">SUMPRODUCT((OFFSET($A18,0,31*($A$4)+DAY(Holidays!$E$2),1,Holidays!$G$2)&lt;&gt;"")*(IF(OFFSET($A18,0,31*($A$4)+DAY(Holidays!$E$2),1,Holidays!$G$2)=$OB$12,0.5,1)*(OFFSET($A$3,0,31*($A$4)+DAY(Holidays!$E$2),1,Holidays!$G$2))))</f>
        <v>4</v>
      </c>
      <c r="NM18" s="52">
        <f t="array" aca="1" ref="NM18" ca="1">SUMPRODUCT((OFFSET($A18,0,31*($A$4)+DAY(VLOOKUP(NM$5,Sprints[],2,FALSE)),1,VLOOKUP(NM$5,Sprints[],4,FALSE))&lt;&gt;"")*(IF(OFFSET($A18,0,31*($A$4)+DAY(VLOOKUP(NM$5,Sprints[],2,FALSE)),1,VLOOKUP(NM$5,Sprints[],4,FALSE))=$OB$12,0.5,1)*(OFFSET($A$3,0,31*($A$4)+DAY(VLOOKUP(NM$5,Sprints[],2,FALSE)),1,VLOOKUP(NM$5,Sprints[],4,FALSE)))))</f>
        <v>0</v>
      </c>
      <c r="NN18" s="52">
        <f t="array" aca="1" ref="NN18" ca="1">SUMPRODUCT((OFFSET($A18,0,31*($A$4)+DAY(VLOOKUP(NN$5,Sprints[],2,FALSE)),1,VLOOKUP(NN$5,Sprints[],4,FALSE))&lt;&gt;"")*(IF(OFFSET($A18,0,31*($A$4)+DAY(VLOOKUP(NN$5,Sprints[],2,FALSE)),1,VLOOKUP(NN$5,Sprints[],4,FALSE))=$OB$12,0.5,1)*(OFFSET($A$3,0,31*($A$4)+DAY(VLOOKUP(NN$5,Sprints[],2,FALSE)),1,VLOOKUP(NN$5,Sprints[],4,FALSE)))))</f>
        <v>0</v>
      </c>
      <c r="NO18" s="52">
        <f t="array" aca="1" ref="NO18" ca="1">SUMPRODUCT((OFFSET($A18,0,31*($A$4)+DAY(VLOOKUP(NO$5,Sprints[],2,FALSE)),1,VLOOKUP(NO$5,Sprints[],4,FALSE))&lt;&gt;"")*(IF(OFFSET($A18,0,31*($A$4)+DAY(VLOOKUP(NO$5,Sprints[],2,FALSE)),1,VLOOKUP(NO$5,Sprints[],4,FALSE))=$OB$12,0.5,1)*(OFFSET($A$3,0,31*($A$4)+DAY(VLOOKUP(NO$5,Sprints[],2,FALSE)),1,VLOOKUP(NO$5,Sprints[],4,FALSE)))))</f>
        <v>1</v>
      </c>
      <c r="NP18" s="52">
        <f t="array" aca="1" ref="NP18" ca="1">SUMPRODUCT((OFFSET($A18,0,31*(VLOOKUP(NP$5,Sprints[],5,FALSE))+DAY(VLOOKUP(NP$5,Sprints[],2,FALSE)),1,VLOOKUP(NP$5,Sprints[],4,FALSE))&lt;&gt;"")*(IF(OFFSET($A18,0,31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18" s="52">
        <f t="array" aca="1" ref="NQ18" ca="1">SUMPRODUCT((OFFSET($A18,0,31*(VLOOKUP(NQ$5,Sprints[],5,FALSE))+DAY(VLOOKUP(NQ$5,Sprints[],2,FALSE)),1,VLOOKUP(NQ$5,Sprints[],4,FALSE))&lt;&gt;"")*(IF(OFFSET($A18,0,31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18" s="52">
        <f t="array" aca="1" ref="NR18" ca="1">SUMPRODUCT((OFFSET($A18,0,31*(VLOOKUP(NR$5,Sprints[],5,FALSE))+DAY(VLOOKUP(NR$5,Sprints[],2,FALSE)),1,VLOOKUP(NR$5,Sprints[],4,FALSE))&lt;&gt;"")*(IF(OFFSET($A18,0,31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18" s="52">
        <f t="array" aca="1" ref="NS18" ca="1">SUMPRODUCT((OFFSET($A18,0,31*(VLOOKUP(NS$5,Sprints[],5,FALSE))+DAY(VLOOKUP(NS$5,Sprints[],2,FALSE)),1,VLOOKUP(NS$5,Sprints[],4,FALSE))&lt;&gt;"")*(IF(OFFSET($A18,0,31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18" s="52">
        <f t="array" aca="1" ref="NT18" ca="1">SUMPRODUCT((OFFSET($A18,0,31*(VLOOKUP(NT$5,Sprints[],5,FALSE))+DAY(VLOOKUP(NT$5,Sprints[],2,FALSE)),1,VLOOKUP(NT$5,Sprints[],4,FALSE))&lt;&gt;"")*(IF(OFFSET($A18,0,31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18" s="52">
        <f t="array" aca="1" ref="NU18" ca="1">SUMPRODUCT((OFFSET($A18,0,31*(VLOOKUP(NU$5,Sprints[],5,FALSE))+DAY(VLOOKUP(NU$5,Sprints[],2,FALSE)),1,VLOOKUP(NU$5,Sprints[],4,FALSE))&lt;&gt;"")*(IF(OFFSET($A18,0,31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18" s="52">
        <f t="array" aca="1" ref="NV18" ca="1">SUMPRODUCT((OFFSET($A18,0,31*(VLOOKUP(NV$5,Sprints[],5,FALSE))+DAY(VLOOKUP(NV$5,Sprints[],2,FALSE)),1,VLOOKUP(NV$5,Sprints[],4,FALSE))&lt;&gt;"")*(IF(OFFSET($A18,0,31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18" s="52">
        <f t="array" aca="1" ref="NW18" ca="1">SUMPRODUCT((OFFSET($A18,0,31*(VLOOKUP(NW$5,Sprints[],5,FALSE))+DAY(VLOOKUP(NW$5,Sprints[],2,FALSE)),1,VLOOKUP(NW$5,Sprints[],4,FALSE))&lt;&gt;"")*(IF(OFFSET($A18,0,31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18" s="52">
        <f t="array" aca="1" ref="NX18" ca="1">SUMPRODUCT((OFFSET($A18,0,31*(VLOOKUP(NX$5,Sprints[],5,FALSE))+DAY(VLOOKUP(NX$5,Sprints[],2,FALSE)),1,VLOOKUP(NX$5,Sprints[],4,FALSE))&lt;&gt;"")*(IF(OFFSET($A18,0,31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18" s="52">
        <f t="array" aca="1" ref="NY18" ca="1">SUMPRODUCT((OFFSET($A18,0,31*(VLOOKUP(NY$5,Sprints[],5,FALSE))+DAY(VLOOKUP(NY$5,Sprints[],2,FALSE)),1,VLOOKUP(NY$5,Sprints[],4,FALSE))&lt;&gt;"")*(IF(OFFSET($A18,0,31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  <c r="OA18" s="16" t="s">
        <v>12</v>
      </c>
      <c r="OB18" s="16" t="s">
        <v>25</v>
      </c>
    </row>
    <row r="19" spans="1:392" x14ac:dyDescent="0.45">
      <c r="A19" s="1" t="s">
        <v>43</v>
      </c>
      <c r="B19" s="2"/>
      <c r="C19" s="2"/>
      <c r="D19" s="2"/>
      <c r="E19" s="2"/>
      <c r="F19" s="2"/>
      <c r="G19" s="2"/>
      <c r="H19" s="2"/>
      <c r="I19" s="2" t="s">
        <v>35</v>
      </c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 t="s">
        <v>35</v>
      </c>
      <c r="CK19" s="2" t="s">
        <v>35</v>
      </c>
      <c r="CL19" s="1"/>
      <c r="CM19" s="1"/>
      <c r="CN19" s="2"/>
      <c r="CO19" s="2"/>
      <c r="CP19" s="2"/>
      <c r="CQ19" s="2" t="s">
        <v>35</v>
      </c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 t="s">
        <v>35</v>
      </c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14">
        <f t="array" aca="1" ref="NJ19" ca="1">SUMPRODUCT((OFFSET($A19,0,31*($A$3-1)+1,1,31)&lt;&gt;"")*(IF(OFFSET($A19,0,31*($A$3-1)+1,1,31)=$OB$12,0.5,1)*(OFFSET($A$4,0,31*($A$3-1)+1,1,31))))</f>
        <v>1</v>
      </c>
      <c r="NK19" s="20">
        <f t="array" aca="1" ref="NK19" ca="1">SUMPRODUCT((OFFSET($A19,0,1,1,372)&lt;&gt;"")*(IF(OFFSET($A19,0,1,1,372)=$OB$12,0.5,1)*(OFFSET($A$3,0,1,1,372))))</f>
        <v>5</v>
      </c>
      <c r="NL19" s="28">
        <f t="array" aca="1" ref="NL19" ca="1">SUMPRODUCT((OFFSET($A19,0,31*($A$4)+DAY(Holidays!$E$2),1,Holidays!$G$2)&lt;&gt;"")*(IF(OFFSET($A19,0,31*($A$4)+DAY(Holidays!$E$2),1,Holidays!$G$2)=$OB$12,0.5,1)*(OFFSET($A$3,0,31*($A$4)+DAY(Holidays!$E$2),1,Holidays!$G$2))))</f>
        <v>4</v>
      </c>
      <c r="NM19" s="52">
        <f t="array" aca="1" ref="NM19" ca="1">SUMPRODUCT((OFFSET($A19,0,31*($A$4)+DAY(VLOOKUP(NM$5,Sprints[],2,FALSE)),1,VLOOKUP(NM$5,Sprints[],4,FALSE))&lt;&gt;"")*(IF(OFFSET($A19,0,31*($A$4)+DAY(VLOOKUP(NM$5,Sprints[],2,FALSE)),1,VLOOKUP(NM$5,Sprints[],4,FALSE))=$OB$12,0.5,1)*(OFFSET($A$3,0,31*($A$4)+DAY(VLOOKUP(NM$5,Sprints[],2,FALSE)),1,VLOOKUP(NM$5,Sprints[],4,FALSE)))))</f>
        <v>0</v>
      </c>
      <c r="NN19" s="52">
        <f t="array" aca="1" ref="NN19" ca="1">SUMPRODUCT((OFFSET($A19,0,31*($A$4)+DAY(VLOOKUP(NN$5,Sprints[],2,FALSE)),1,VLOOKUP(NN$5,Sprints[],4,FALSE))&lt;&gt;"")*(IF(OFFSET($A19,0,31*($A$4)+DAY(VLOOKUP(NN$5,Sprints[],2,FALSE)),1,VLOOKUP(NN$5,Sprints[],4,FALSE))=$OB$12,0.5,1)*(OFFSET($A$3,0,31*($A$4)+DAY(VLOOKUP(NN$5,Sprints[],2,FALSE)),1,VLOOKUP(NN$5,Sprints[],4,FALSE)))))</f>
        <v>0</v>
      </c>
      <c r="NO19" s="52">
        <f t="array" aca="1" ref="NO19" ca="1">SUMPRODUCT((OFFSET($A19,0,31*($A$4)+DAY(VLOOKUP(NO$5,Sprints[],2,FALSE)),1,VLOOKUP(NO$5,Sprints[],4,FALSE))&lt;&gt;"")*(IF(OFFSET($A19,0,31*($A$4)+DAY(VLOOKUP(NO$5,Sprints[],2,FALSE)),1,VLOOKUP(NO$5,Sprints[],4,FALSE))=$OB$12,0.5,1)*(OFFSET($A$3,0,31*($A$4)+DAY(VLOOKUP(NO$5,Sprints[],2,FALSE)),1,VLOOKUP(NO$5,Sprints[],4,FALSE)))))</f>
        <v>1</v>
      </c>
      <c r="NP19" s="52">
        <f t="array" aca="1" ref="NP19" ca="1">SUMPRODUCT((OFFSET($A19,0,31*(VLOOKUP(NP$5,Sprints[],5,FALSE))+DAY(VLOOKUP(NP$5,Sprints[],2,FALSE)),1,VLOOKUP(NP$5,Sprints[],4,FALSE))&lt;&gt;"")*(IF(OFFSET($A19,0,31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19" s="52">
        <f t="array" aca="1" ref="NQ19" ca="1">SUMPRODUCT((OFFSET($A19,0,31*(VLOOKUP(NQ$5,Sprints[],5,FALSE))+DAY(VLOOKUP(NQ$5,Sprints[],2,FALSE)),1,VLOOKUP(NQ$5,Sprints[],4,FALSE))&lt;&gt;"")*(IF(OFFSET($A19,0,31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19" s="52">
        <f t="array" aca="1" ref="NR19" ca="1">SUMPRODUCT((OFFSET($A19,0,31*(VLOOKUP(NR$5,Sprints[],5,FALSE))+DAY(VLOOKUP(NR$5,Sprints[],2,FALSE)),1,VLOOKUP(NR$5,Sprints[],4,FALSE))&lt;&gt;"")*(IF(OFFSET($A19,0,31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19" s="52">
        <f t="array" aca="1" ref="NS19" ca="1">SUMPRODUCT((OFFSET($A19,0,31*(VLOOKUP(NS$5,Sprints[],5,FALSE))+DAY(VLOOKUP(NS$5,Sprints[],2,FALSE)),1,VLOOKUP(NS$5,Sprints[],4,FALSE))&lt;&gt;"")*(IF(OFFSET($A19,0,31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19" s="52">
        <f t="array" aca="1" ref="NT19" ca="1">SUMPRODUCT((OFFSET($A19,0,31*(VLOOKUP(NT$5,Sprints[],5,FALSE))+DAY(VLOOKUP(NT$5,Sprints[],2,FALSE)),1,VLOOKUP(NT$5,Sprints[],4,FALSE))&lt;&gt;"")*(IF(OFFSET($A19,0,31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19" s="52">
        <f t="array" aca="1" ref="NU19" ca="1">SUMPRODUCT((OFFSET($A19,0,31*(VLOOKUP(NU$5,Sprints[],5,FALSE))+DAY(VLOOKUP(NU$5,Sprints[],2,FALSE)),1,VLOOKUP(NU$5,Sprints[],4,FALSE))&lt;&gt;"")*(IF(OFFSET($A19,0,31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19" s="52">
        <f t="array" aca="1" ref="NV19" ca="1">SUMPRODUCT((OFFSET($A19,0,31*(VLOOKUP(NV$5,Sprints[],5,FALSE))+DAY(VLOOKUP(NV$5,Sprints[],2,FALSE)),1,VLOOKUP(NV$5,Sprints[],4,FALSE))&lt;&gt;"")*(IF(OFFSET($A19,0,31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19" s="52">
        <f t="array" aca="1" ref="NW19" ca="1">SUMPRODUCT((OFFSET($A19,0,31*(VLOOKUP(NW$5,Sprints[],5,FALSE))+DAY(VLOOKUP(NW$5,Sprints[],2,FALSE)),1,VLOOKUP(NW$5,Sprints[],4,FALSE))&lt;&gt;"")*(IF(OFFSET($A19,0,31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19" s="52">
        <f t="array" aca="1" ref="NX19" ca="1">SUMPRODUCT((OFFSET($A19,0,31*(VLOOKUP(NX$5,Sprints[],5,FALSE))+DAY(VLOOKUP(NX$5,Sprints[],2,FALSE)),1,VLOOKUP(NX$5,Sprints[],4,FALSE))&lt;&gt;"")*(IF(OFFSET($A19,0,31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19" s="52">
        <f t="array" aca="1" ref="NY19" ca="1">SUMPRODUCT((OFFSET($A19,0,31*(VLOOKUP(NY$5,Sprints[],5,FALSE))+DAY(VLOOKUP(NY$5,Sprints[],2,FALSE)),1,VLOOKUP(NY$5,Sprints[],4,FALSE))&lt;&gt;"")*(IF(OFFSET($A19,0,31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  <c r="OA19" s="16" t="s">
        <v>13</v>
      </c>
      <c r="OB19" s="16" t="s">
        <v>25</v>
      </c>
    </row>
    <row r="20" spans="1:392" x14ac:dyDescent="0.45">
      <c r="A20" s="1" t="s">
        <v>66</v>
      </c>
      <c r="B20" s="2"/>
      <c r="C20" s="2"/>
      <c r="D20" s="2"/>
      <c r="E20" s="2"/>
      <c r="F20" s="2"/>
      <c r="G20" s="2"/>
      <c r="H20" s="2"/>
      <c r="I20" s="2" t="s">
        <v>35</v>
      </c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 t="s">
        <v>35</v>
      </c>
      <c r="CK20" s="2" t="s">
        <v>35</v>
      </c>
      <c r="CL20" s="2"/>
      <c r="CM20" s="2"/>
      <c r="CN20" s="2"/>
      <c r="CO20" s="2"/>
      <c r="CP20" s="2"/>
      <c r="CQ20" s="2" t="s">
        <v>35</v>
      </c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 t="s">
        <v>35</v>
      </c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14">
        <f t="array" aca="1" ref="NJ20" ca="1">SUMPRODUCT((OFFSET($A20,0,31*($A$3-1)+1,1,31)&lt;&gt;"")*(IF(OFFSET($A20,0,31*($A$3-1)+1,1,31)=$OB$12,0.5,1)*(OFFSET($A$4,0,31*($A$3-1)+1,1,31))))</f>
        <v>1</v>
      </c>
      <c r="NK20" s="20">
        <f t="array" aca="1" ref="NK20" ca="1">SUMPRODUCT((OFFSET($A20,0,1,1,372)&lt;&gt;"")*(IF(OFFSET($A20,0,1,1,372)=$OB$12,0.5,1)*(OFFSET($A$3,0,1,1,372))))</f>
        <v>5</v>
      </c>
      <c r="NL20" s="28">
        <f t="array" aca="1" ref="NL20" ca="1">SUMPRODUCT((OFFSET($A20,0,31*($A$4)+DAY(Holidays!$E$2),1,Holidays!$G$2)&lt;&gt;"")*(IF(OFFSET($A20,0,31*($A$4)+DAY(Holidays!$E$2),1,Holidays!$G$2)=$OB$12,0.5,1)*(OFFSET($A$3,0,31*($A$4)+DAY(Holidays!$E$2),1,Holidays!$G$2))))</f>
        <v>4</v>
      </c>
      <c r="NM20" s="52">
        <f t="array" aca="1" ref="NM20" ca="1">SUMPRODUCT((OFFSET($A20,0,31*($A$4)+DAY(VLOOKUP(NM$5,Sprints[],2,FALSE)),1,VLOOKUP(NM$5,Sprints[],4,FALSE))&lt;&gt;"")*(IF(OFFSET($A20,0,31*($A$4)+DAY(VLOOKUP(NM$5,Sprints[],2,FALSE)),1,VLOOKUP(NM$5,Sprints[],4,FALSE))=$OB$12,0.5,1)*(OFFSET($A$3,0,31*($A$4)+DAY(VLOOKUP(NM$5,Sprints[],2,FALSE)),1,VLOOKUP(NM$5,Sprints[],4,FALSE)))))</f>
        <v>0</v>
      </c>
      <c r="NN20" s="52">
        <f t="array" aca="1" ref="NN20" ca="1">SUMPRODUCT((OFFSET($A20,0,31*($A$4)+DAY(VLOOKUP(NN$5,Sprints[],2,FALSE)),1,VLOOKUP(NN$5,Sprints[],4,FALSE))&lt;&gt;"")*(IF(OFFSET($A20,0,31*($A$4)+DAY(VLOOKUP(NN$5,Sprints[],2,FALSE)),1,VLOOKUP(NN$5,Sprints[],4,FALSE))=$OB$12,0.5,1)*(OFFSET($A$3,0,31*($A$4)+DAY(VLOOKUP(NN$5,Sprints[],2,FALSE)),1,VLOOKUP(NN$5,Sprints[],4,FALSE)))))</f>
        <v>0</v>
      </c>
      <c r="NO20" s="52">
        <f t="array" aca="1" ref="NO20" ca="1">SUMPRODUCT((OFFSET($A20,0,31*($A$4)+DAY(VLOOKUP(NO$5,Sprints[],2,FALSE)),1,VLOOKUP(NO$5,Sprints[],4,FALSE))&lt;&gt;"")*(IF(OFFSET($A20,0,31*($A$4)+DAY(VLOOKUP(NO$5,Sprints[],2,FALSE)),1,VLOOKUP(NO$5,Sprints[],4,FALSE))=$OB$12,0.5,1)*(OFFSET($A$3,0,31*($A$4)+DAY(VLOOKUP(NO$5,Sprints[],2,FALSE)),1,VLOOKUP(NO$5,Sprints[],4,FALSE)))))</f>
        <v>1</v>
      </c>
      <c r="NP20" s="52">
        <f t="array" aca="1" ref="NP20" ca="1">SUMPRODUCT((OFFSET($A20,0,31*(VLOOKUP(NP$5,Sprints[],5,FALSE))+DAY(VLOOKUP(NP$5,Sprints[],2,FALSE)),1,VLOOKUP(NP$5,Sprints[],4,FALSE))&lt;&gt;"")*(IF(OFFSET($A20,0,31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20" s="52">
        <f t="array" aca="1" ref="NQ20" ca="1">SUMPRODUCT((OFFSET($A20,0,31*(VLOOKUP(NQ$5,Sprints[],5,FALSE))+DAY(VLOOKUP(NQ$5,Sprints[],2,FALSE)),1,VLOOKUP(NQ$5,Sprints[],4,FALSE))&lt;&gt;"")*(IF(OFFSET($A20,0,31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20" s="52">
        <f t="array" aca="1" ref="NR20" ca="1">SUMPRODUCT((OFFSET($A20,0,31*(VLOOKUP(NR$5,Sprints[],5,FALSE))+DAY(VLOOKUP(NR$5,Sprints[],2,FALSE)),1,VLOOKUP(NR$5,Sprints[],4,FALSE))&lt;&gt;"")*(IF(OFFSET($A20,0,31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20" s="52">
        <f t="array" aca="1" ref="NS20" ca="1">SUMPRODUCT((OFFSET($A20,0,31*(VLOOKUP(NS$5,Sprints[],5,FALSE))+DAY(VLOOKUP(NS$5,Sprints[],2,FALSE)),1,VLOOKUP(NS$5,Sprints[],4,FALSE))&lt;&gt;"")*(IF(OFFSET($A20,0,31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20" s="52">
        <f t="array" aca="1" ref="NT20" ca="1">SUMPRODUCT((OFFSET($A20,0,31*(VLOOKUP(NT$5,Sprints[],5,FALSE))+DAY(VLOOKUP(NT$5,Sprints[],2,FALSE)),1,VLOOKUP(NT$5,Sprints[],4,FALSE))&lt;&gt;"")*(IF(OFFSET($A20,0,31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20" s="52">
        <f t="array" aca="1" ref="NU20" ca="1">SUMPRODUCT((OFFSET($A20,0,31*(VLOOKUP(NU$5,Sprints[],5,FALSE))+DAY(VLOOKUP(NU$5,Sprints[],2,FALSE)),1,VLOOKUP(NU$5,Sprints[],4,FALSE))&lt;&gt;"")*(IF(OFFSET($A20,0,31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20" s="52">
        <f t="array" aca="1" ref="NV20" ca="1">SUMPRODUCT((OFFSET($A20,0,31*(VLOOKUP(NV$5,Sprints[],5,FALSE))+DAY(VLOOKUP(NV$5,Sprints[],2,FALSE)),1,VLOOKUP(NV$5,Sprints[],4,FALSE))&lt;&gt;"")*(IF(OFFSET($A20,0,31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20" s="52">
        <f t="array" aca="1" ref="NW20" ca="1">SUMPRODUCT((OFFSET($A20,0,31*(VLOOKUP(NW$5,Sprints[],5,FALSE))+DAY(VLOOKUP(NW$5,Sprints[],2,FALSE)),1,VLOOKUP(NW$5,Sprints[],4,FALSE))&lt;&gt;"")*(IF(OFFSET($A20,0,31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20" s="52">
        <f t="array" aca="1" ref="NX20" ca="1">SUMPRODUCT((OFFSET($A20,0,31*(VLOOKUP(NX$5,Sprints[],5,FALSE))+DAY(VLOOKUP(NX$5,Sprints[],2,FALSE)),1,VLOOKUP(NX$5,Sprints[],4,FALSE))&lt;&gt;"")*(IF(OFFSET($A20,0,31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20" s="52">
        <f t="array" aca="1" ref="NY20" ca="1">SUMPRODUCT((OFFSET($A20,0,31*(VLOOKUP(NY$5,Sprints[],5,FALSE))+DAY(VLOOKUP(NY$5,Sprints[],2,FALSE)),1,VLOOKUP(NY$5,Sprints[],4,FALSE))&lt;&gt;"")*(IF(OFFSET($A20,0,31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  <c r="OA20" s="16" t="s">
        <v>14</v>
      </c>
      <c r="OB20" s="16" t="s">
        <v>25</v>
      </c>
    </row>
    <row r="21" spans="1:392" x14ac:dyDescent="0.45">
      <c r="A21" s="1" t="s">
        <v>68</v>
      </c>
      <c r="B21" s="2"/>
      <c r="C21" s="2"/>
      <c r="D21" s="2"/>
      <c r="E21" s="2"/>
      <c r="F21" s="2"/>
      <c r="G21" s="2"/>
      <c r="H21" s="2"/>
      <c r="I21" s="2" t="s">
        <v>35</v>
      </c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 t="s">
        <v>35</v>
      </c>
      <c r="CK21" s="2" t="s">
        <v>35</v>
      </c>
      <c r="CL21" s="2"/>
      <c r="CM21" s="2"/>
      <c r="CN21" s="2"/>
      <c r="CO21" s="2"/>
      <c r="CP21" s="2"/>
      <c r="CQ21" s="2" t="s">
        <v>35</v>
      </c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 t="s">
        <v>35</v>
      </c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14">
        <f t="array" aca="1" ref="NJ21" ca="1">SUMPRODUCT((OFFSET($A21,0,31*($A$3-1)+1,1,31)&lt;&gt;"")*(IF(OFFSET($A21,0,31*($A$3-1)+1,1,31)=$OB$12,0.5,1)*(OFFSET($A$4,0,31*($A$3-1)+1,1,31))))</f>
        <v>1</v>
      </c>
      <c r="NK21" s="20">
        <f t="array" aca="1" ref="NK21" ca="1">SUMPRODUCT((OFFSET($A21,0,1,1,372)&lt;&gt;"")*(IF(OFFSET($A21,0,1,1,372)=$OB$12,0.5,1)*(OFFSET($A$3,0,1,1,372))))</f>
        <v>5</v>
      </c>
      <c r="NL21" s="28">
        <f t="array" aca="1" ref="NL21" ca="1">SUMPRODUCT((OFFSET($A21,0,31*($A$4)+DAY(Holidays!$E$2),1,Holidays!$G$2)&lt;&gt;"")*(IF(OFFSET($A21,0,31*($A$4)+DAY(Holidays!$E$2),1,Holidays!$G$2)=$OB$12,0.5,1)*(OFFSET($A$3,0,31*($A$4)+DAY(Holidays!$E$2),1,Holidays!$G$2))))</f>
        <v>4</v>
      </c>
      <c r="NM21" s="52">
        <f t="array" aca="1" ref="NM21" ca="1">SUMPRODUCT((OFFSET($A21,0,31*($A$4)+DAY(VLOOKUP(NM$5,Sprints[],2,FALSE)),1,VLOOKUP(NM$5,Sprints[],4,FALSE))&lt;&gt;"")*(IF(OFFSET($A21,0,31*($A$4)+DAY(VLOOKUP(NM$5,Sprints[],2,FALSE)),1,VLOOKUP(NM$5,Sprints[],4,FALSE))=$OB$12,0.5,1)*(OFFSET($A$3,0,31*($A$4)+DAY(VLOOKUP(NM$5,Sprints[],2,FALSE)),1,VLOOKUP(NM$5,Sprints[],4,FALSE)))))</f>
        <v>0</v>
      </c>
      <c r="NN21" s="52">
        <f t="array" aca="1" ref="NN21" ca="1">SUMPRODUCT((OFFSET($A21,0,31*($A$4)+DAY(VLOOKUP(NN$5,Sprints[],2,FALSE)),1,VLOOKUP(NN$5,Sprints[],4,FALSE))&lt;&gt;"")*(IF(OFFSET($A21,0,31*($A$4)+DAY(VLOOKUP(NN$5,Sprints[],2,FALSE)),1,VLOOKUP(NN$5,Sprints[],4,FALSE))=$OB$12,0.5,1)*(OFFSET($A$3,0,31*($A$4)+DAY(VLOOKUP(NN$5,Sprints[],2,FALSE)),1,VLOOKUP(NN$5,Sprints[],4,FALSE)))))</f>
        <v>0</v>
      </c>
      <c r="NO21" s="52">
        <f t="array" aca="1" ref="NO21" ca="1">SUMPRODUCT((OFFSET($A21,0,31*($A$4)+DAY(VLOOKUP(NO$5,Sprints[],2,FALSE)),1,VLOOKUP(NO$5,Sprints[],4,FALSE))&lt;&gt;"")*(IF(OFFSET($A21,0,31*($A$4)+DAY(VLOOKUP(NO$5,Sprints[],2,FALSE)),1,VLOOKUP(NO$5,Sprints[],4,FALSE))=$OB$12,0.5,1)*(OFFSET($A$3,0,31*($A$4)+DAY(VLOOKUP(NO$5,Sprints[],2,FALSE)),1,VLOOKUP(NO$5,Sprints[],4,FALSE)))))</f>
        <v>1</v>
      </c>
      <c r="NP21" s="52">
        <f t="array" aca="1" ref="NP21" ca="1">SUMPRODUCT((OFFSET($A21,0,31*(VLOOKUP(NP$5,Sprints[],5,FALSE))+DAY(VLOOKUP(NP$5,Sprints[],2,FALSE)),1,VLOOKUP(NP$5,Sprints[],4,FALSE))&lt;&gt;"")*(IF(OFFSET($A21,0,31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21" s="52">
        <f t="array" aca="1" ref="NQ21" ca="1">SUMPRODUCT((OFFSET($A21,0,31*(VLOOKUP(NQ$5,Sprints[],5,FALSE))+DAY(VLOOKUP(NQ$5,Sprints[],2,FALSE)),1,VLOOKUP(NQ$5,Sprints[],4,FALSE))&lt;&gt;"")*(IF(OFFSET($A21,0,31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21" s="52">
        <f t="array" aca="1" ref="NR21" ca="1">SUMPRODUCT((OFFSET($A21,0,31*(VLOOKUP(NR$5,Sprints[],5,FALSE))+DAY(VLOOKUP(NR$5,Sprints[],2,FALSE)),1,VLOOKUP(NR$5,Sprints[],4,FALSE))&lt;&gt;"")*(IF(OFFSET($A21,0,31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21" s="52">
        <f t="array" aca="1" ref="NS21" ca="1">SUMPRODUCT((OFFSET($A21,0,31*(VLOOKUP(NS$5,Sprints[],5,FALSE))+DAY(VLOOKUP(NS$5,Sprints[],2,FALSE)),1,VLOOKUP(NS$5,Sprints[],4,FALSE))&lt;&gt;"")*(IF(OFFSET($A21,0,31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21" s="52">
        <f t="array" aca="1" ref="NT21" ca="1">SUMPRODUCT((OFFSET($A21,0,31*(VLOOKUP(NT$5,Sprints[],5,FALSE))+DAY(VLOOKUP(NT$5,Sprints[],2,FALSE)),1,VLOOKUP(NT$5,Sprints[],4,FALSE))&lt;&gt;"")*(IF(OFFSET($A21,0,31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21" s="52">
        <f t="array" aca="1" ref="NU21" ca="1">SUMPRODUCT((OFFSET($A21,0,31*(VLOOKUP(NU$5,Sprints[],5,FALSE))+DAY(VLOOKUP(NU$5,Sprints[],2,FALSE)),1,VLOOKUP(NU$5,Sprints[],4,FALSE))&lt;&gt;"")*(IF(OFFSET($A21,0,31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21" s="52">
        <f t="array" aca="1" ref="NV21" ca="1">SUMPRODUCT((OFFSET($A21,0,31*(VLOOKUP(NV$5,Sprints[],5,FALSE))+DAY(VLOOKUP(NV$5,Sprints[],2,FALSE)),1,VLOOKUP(NV$5,Sprints[],4,FALSE))&lt;&gt;"")*(IF(OFFSET($A21,0,31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21" s="52">
        <f t="array" aca="1" ref="NW21" ca="1">SUMPRODUCT((OFFSET($A21,0,31*(VLOOKUP(NW$5,Sprints[],5,FALSE))+DAY(VLOOKUP(NW$5,Sprints[],2,FALSE)),1,VLOOKUP(NW$5,Sprints[],4,FALSE))&lt;&gt;"")*(IF(OFFSET($A21,0,31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21" s="52">
        <f t="array" aca="1" ref="NX21" ca="1">SUMPRODUCT((OFFSET($A21,0,31*(VLOOKUP(NX$5,Sprints[],5,FALSE))+DAY(VLOOKUP(NX$5,Sprints[],2,FALSE)),1,VLOOKUP(NX$5,Sprints[],4,FALSE))&lt;&gt;"")*(IF(OFFSET($A21,0,31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21" s="52">
        <f t="array" aca="1" ref="NY21" ca="1">SUMPRODUCT((OFFSET($A21,0,31*(VLOOKUP(NY$5,Sprints[],5,FALSE))+DAY(VLOOKUP(NY$5,Sprints[],2,FALSE)),1,VLOOKUP(NY$5,Sprints[],4,FALSE))&lt;&gt;"")*(IF(OFFSET($A21,0,31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  <c r="OA21" s="16" t="s">
        <v>15</v>
      </c>
      <c r="OB21" s="16" t="s">
        <v>25</v>
      </c>
    </row>
    <row r="22" spans="1:392" x14ac:dyDescent="0.45">
      <c r="A22" s="1" t="s">
        <v>67</v>
      </c>
      <c r="B22" s="2"/>
      <c r="C22" s="2"/>
      <c r="D22" s="2"/>
      <c r="E22" s="2"/>
      <c r="F22" s="2"/>
      <c r="G22" s="2"/>
      <c r="H22" s="2"/>
      <c r="I22" s="2" t="s">
        <v>35</v>
      </c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 t="s">
        <v>35</v>
      </c>
      <c r="CK22" s="2" t="s">
        <v>35</v>
      </c>
      <c r="CL22" s="2"/>
      <c r="CM22" s="2"/>
      <c r="CN22" s="2"/>
      <c r="CO22" s="2"/>
      <c r="CP22" s="2"/>
      <c r="CQ22" s="2" t="s">
        <v>35</v>
      </c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 t="s">
        <v>35</v>
      </c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14">
        <f t="array" aca="1" ref="NJ22" ca="1">SUMPRODUCT((OFFSET($A22,0,31*($A$3-1)+1,1,31)&lt;&gt;"")*(IF(OFFSET($A22,0,31*($A$3-1)+1,1,31)=$OB$12,0.5,1)*(OFFSET($A$4,0,31*($A$3-1)+1,1,31))))</f>
        <v>1</v>
      </c>
      <c r="NK22" s="20">
        <f t="array" aca="1" ref="NK22" ca="1">SUMPRODUCT((OFFSET($A22,0,1,1,372)&lt;&gt;"")*(IF(OFFSET($A22,0,1,1,372)=$OB$12,0.5,1)*(OFFSET($A$3,0,1,1,372))))</f>
        <v>5</v>
      </c>
      <c r="NL22" s="28">
        <f t="array" aca="1" ref="NL22" ca="1">SUMPRODUCT((OFFSET($A22,0,31*($A$4)+DAY(Holidays!$E$2),1,Holidays!$G$2)&lt;&gt;"")*(IF(OFFSET($A22,0,31*($A$4)+DAY(Holidays!$E$2),1,Holidays!$G$2)=$OB$12,0.5,1)*(OFFSET($A$3,0,31*($A$4)+DAY(Holidays!$E$2),1,Holidays!$G$2))))</f>
        <v>4</v>
      </c>
      <c r="NM22" s="52">
        <f t="array" aca="1" ref="NM22" ca="1">SUMPRODUCT((OFFSET($A22,0,31*($A$4)+DAY(VLOOKUP(NM$5,Sprints[],2,FALSE)),1,VLOOKUP(NM$5,Sprints[],4,FALSE))&lt;&gt;"")*(IF(OFFSET($A22,0,31*($A$4)+DAY(VLOOKUP(NM$5,Sprints[],2,FALSE)),1,VLOOKUP(NM$5,Sprints[],4,FALSE))=$OB$12,0.5,1)*(OFFSET($A$3,0,31*($A$4)+DAY(VLOOKUP(NM$5,Sprints[],2,FALSE)),1,VLOOKUP(NM$5,Sprints[],4,FALSE)))))</f>
        <v>0</v>
      </c>
      <c r="NN22" s="52">
        <f t="array" aca="1" ref="NN22" ca="1">SUMPRODUCT((OFFSET($A22,0,31*($A$4)+DAY(VLOOKUP(NN$5,Sprints[],2,FALSE)),1,VLOOKUP(NN$5,Sprints[],4,FALSE))&lt;&gt;"")*(IF(OFFSET($A22,0,31*($A$4)+DAY(VLOOKUP(NN$5,Sprints[],2,FALSE)),1,VLOOKUP(NN$5,Sprints[],4,FALSE))=$OB$12,0.5,1)*(OFFSET($A$3,0,31*($A$4)+DAY(VLOOKUP(NN$5,Sprints[],2,FALSE)),1,VLOOKUP(NN$5,Sprints[],4,FALSE)))))</f>
        <v>0</v>
      </c>
      <c r="NO22" s="52">
        <f t="array" aca="1" ref="NO22" ca="1">SUMPRODUCT((OFFSET($A22,0,31*($A$4)+DAY(VLOOKUP(NO$5,Sprints[],2,FALSE)),1,VLOOKUP(NO$5,Sprints[],4,FALSE))&lt;&gt;"")*(IF(OFFSET($A22,0,31*($A$4)+DAY(VLOOKUP(NO$5,Sprints[],2,FALSE)),1,VLOOKUP(NO$5,Sprints[],4,FALSE))=$OB$12,0.5,1)*(OFFSET($A$3,0,31*($A$4)+DAY(VLOOKUP(NO$5,Sprints[],2,FALSE)),1,VLOOKUP(NO$5,Sprints[],4,FALSE)))))</f>
        <v>1</v>
      </c>
      <c r="NP22" s="52">
        <f t="array" aca="1" ref="NP22" ca="1">SUMPRODUCT((OFFSET($A22,0,31*(VLOOKUP(NP$5,Sprints[],5,FALSE))+DAY(VLOOKUP(NP$5,Sprints[],2,FALSE)),1,VLOOKUP(NP$5,Sprints[],4,FALSE))&lt;&gt;"")*(IF(OFFSET($A22,0,31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22" s="52">
        <f t="array" aca="1" ref="NQ22" ca="1">SUMPRODUCT((OFFSET($A22,0,31*(VLOOKUP(NQ$5,Sprints[],5,FALSE))+DAY(VLOOKUP(NQ$5,Sprints[],2,FALSE)),1,VLOOKUP(NQ$5,Sprints[],4,FALSE))&lt;&gt;"")*(IF(OFFSET($A22,0,31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22" s="52">
        <f t="array" aca="1" ref="NR22" ca="1">SUMPRODUCT((OFFSET($A22,0,31*(VLOOKUP(NR$5,Sprints[],5,FALSE))+DAY(VLOOKUP(NR$5,Sprints[],2,FALSE)),1,VLOOKUP(NR$5,Sprints[],4,FALSE))&lt;&gt;"")*(IF(OFFSET($A22,0,31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22" s="52">
        <f t="array" aca="1" ref="NS22" ca="1">SUMPRODUCT((OFFSET($A22,0,31*(VLOOKUP(NS$5,Sprints[],5,FALSE))+DAY(VLOOKUP(NS$5,Sprints[],2,FALSE)),1,VLOOKUP(NS$5,Sprints[],4,FALSE))&lt;&gt;"")*(IF(OFFSET($A22,0,31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22" s="52">
        <f t="array" aca="1" ref="NT22" ca="1">SUMPRODUCT((OFFSET($A22,0,31*(VLOOKUP(NT$5,Sprints[],5,FALSE))+DAY(VLOOKUP(NT$5,Sprints[],2,FALSE)),1,VLOOKUP(NT$5,Sprints[],4,FALSE))&lt;&gt;"")*(IF(OFFSET($A22,0,31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22" s="52">
        <f t="array" aca="1" ref="NU22" ca="1">SUMPRODUCT((OFFSET($A22,0,31*(VLOOKUP(NU$5,Sprints[],5,FALSE))+DAY(VLOOKUP(NU$5,Sprints[],2,FALSE)),1,VLOOKUP(NU$5,Sprints[],4,FALSE))&lt;&gt;"")*(IF(OFFSET($A22,0,31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22" s="52">
        <f t="array" aca="1" ref="NV22" ca="1">SUMPRODUCT((OFFSET($A22,0,31*(VLOOKUP(NV$5,Sprints[],5,FALSE))+DAY(VLOOKUP(NV$5,Sprints[],2,FALSE)),1,VLOOKUP(NV$5,Sprints[],4,FALSE))&lt;&gt;"")*(IF(OFFSET($A22,0,31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22" s="52">
        <f t="array" aca="1" ref="NW22" ca="1">SUMPRODUCT((OFFSET($A22,0,31*(VLOOKUP(NW$5,Sprints[],5,FALSE))+DAY(VLOOKUP(NW$5,Sprints[],2,FALSE)),1,VLOOKUP(NW$5,Sprints[],4,FALSE))&lt;&gt;"")*(IF(OFFSET($A22,0,31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22" s="52">
        <f t="array" aca="1" ref="NX22" ca="1">SUMPRODUCT((OFFSET($A22,0,31*(VLOOKUP(NX$5,Sprints[],5,FALSE))+DAY(VLOOKUP(NX$5,Sprints[],2,FALSE)),1,VLOOKUP(NX$5,Sprints[],4,FALSE))&lt;&gt;"")*(IF(OFFSET($A22,0,31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22" s="52">
        <f t="array" aca="1" ref="NY22" ca="1">SUMPRODUCT((OFFSET($A22,0,31*(VLOOKUP(NY$5,Sprints[],5,FALSE))+DAY(VLOOKUP(NY$5,Sprints[],2,FALSE)),1,VLOOKUP(NY$5,Sprints[],4,FALSE))&lt;&gt;"")*(IF(OFFSET($A22,0,31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  <c r="OA22" s="16" t="s">
        <v>16</v>
      </c>
      <c r="OB22" s="16" t="s">
        <v>24</v>
      </c>
    </row>
    <row r="23" spans="1:392" x14ac:dyDescent="0.45">
      <c r="A23" s="1" t="s">
        <v>69</v>
      </c>
      <c r="B23" s="2"/>
      <c r="C23" s="2"/>
      <c r="D23" s="2"/>
      <c r="E23" s="2"/>
      <c r="F23" s="2"/>
      <c r="G23" s="2"/>
      <c r="H23" s="2"/>
      <c r="I23" s="2" t="s">
        <v>35</v>
      </c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 t="s">
        <v>35</v>
      </c>
      <c r="CK23" s="2" t="s">
        <v>35</v>
      </c>
      <c r="CL23" s="2"/>
      <c r="CM23" s="2"/>
      <c r="CN23" s="2"/>
      <c r="CO23" s="2"/>
      <c r="CP23" s="2"/>
      <c r="CQ23" s="2" t="s">
        <v>35</v>
      </c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 t="s">
        <v>35</v>
      </c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/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/>
      <c r="IX23" s="2"/>
      <c r="IY23" s="2"/>
      <c r="IZ23" s="2"/>
      <c r="JA23" s="2"/>
      <c r="JB23" s="2"/>
      <c r="JC23" s="2"/>
      <c r="JD23" s="2"/>
      <c r="JE23" s="2"/>
      <c r="JF23" s="2"/>
      <c r="JG23" s="2"/>
      <c r="JH23" s="2"/>
      <c r="JI23" s="2"/>
      <c r="JJ23" s="2"/>
      <c r="JK23" s="2"/>
      <c r="JL23" s="2"/>
      <c r="JM23" s="2"/>
      <c r="JN23" s="2"/>
      <c r="JO23" s="2"/>
      <c r="JP23" s="2"/>
      <c r="JQ23" s="2"/>
      <c r="JR23" s="2"/>
      <c r="JS23" s="2"/>
      <c r="JT23" s="2"/>
      <c r="JU23" s="2"/>
      <c r="JV23" s="2"/>
      <c r="JW23" s="2"/>
      <c r="JX23" s="2"/>
      <c r="JY23" s="2"/>
      <c r="JZ23" s="2"/>
      <c r="KA23" s="2"/>
      <c r="KB23" s="2"/>
      <c r="KC23" s="2"/>
      <c r="KD23" s="2"/>
      <c r="KE23" s="2"/>
      <c r="KF23" s="2"/>
      <c r="KG23" s="2"/>
      <c r="KH23" s="2"/>
      <c r="KI23" s="2"/>
      <c r="KJ23" s="2"/>
      <c r="KK23" s="2"/>
      <c r="KL23" s="2"/>
      <c r="KM23" s="2"/>
      <c r="KN23" s="2"/>
      <c r="KO23" s="2"/>
      <c r="KP23" s="2"/>
      <c r="KQ23" s="2"/>
      <c r="KR23" s="2"/>
      <c r="KS23" s="2"/>
      <c r="KT23" s="2"/>
      <c r="KU23" s="2"/>
      <c r="KV23" s="2"/>
      <c r="KW23" s="2"/>
      <c r="KX23" s="2"/>
      <c r="KY23" s="2"/>
      <c r="KZ23" s="2"/>
      <c r="LA23" s="2"/>
      <c r="LB23" s="2"/>
      <c r="LC23" s="2"/>
      <c r="LD23" s="2"/>
      <c r="LE23" s="2"/>
      <c r="LF23" s="2"/>
      <c r="LG23" s="2"/>
      <c r="LH23" s="2"/>
      <c r="LI23" s="2"/>
      <c r="LJ23" s="2"/>
      <c r="LK23" s="2"/>
      <c r="LL23" s="2"/>
      <c r="LM23" s="2"/>
      <c r="LN23" s="2"/>
      <c r="LO23" s="2"/>
      <c r="LP23" s="2"/>
      <c r="LQ23" s="2"/>
      <c r="LR23" s="2"/>
      <c r="LS23" s="2"/>
      <c r="LT23" s="2"/>
      <c r="LU23" s="2"/>
      <c r="LV23" s="2"/>
      <c r="LW23" s="2"/>
      <c r="LX23" s="2"/>
      <c r="LY23" s="2"/>
      <c r="LZ23" s="2"/>
      <c r="MA23" s="2"/>
      <c r="MB23" s="2"/>
      <c r="MC23" s="2"/>
      <c r="MD23" s="2"/>
      <c r="ME23" s="2"/>
      <c r="MF23" s="2"/>
      <c r="MG23" s="2"/>
      <c r="MH23" s="2"/>
      <c r="MI23" s="2"/>
      <c r="MJ23" s="2"/>
      <c r="MK23" s="2"/>
      <c r="ML23" s="2"/>
      <c r="MM23" s="2"/>
      <c r="MN23" s="2"/>
      <c r="MO23" s="2"/>
      <c r="MP23" s="2"/>
      <c r="MQ23" s="2"/>
      <c r="MR23" s="2"/>
      <c r="MS23" s="2"/>
      <c r="MT23" s="2"/>
      <c r="MU23" s="2"/>
      <c r="MV23" s="2"/>
      <c r="MW23" s="2"/>
      <c r="MX23" s="2"/>
      <c r="MY23" s="2"/>
      <c r="MZ23" s="2"/>
      <c r="NA23" s="2"/>
      <c r="NB23" s="2"/>
      <c r="NC23" s="2"/>
      <c r="ND23" s="2"/>
      <c r="NE23" s="2"/>
      <c r="NF23" s="2"/>
      <c r="NG23" s="2"/>
      <c r="NH23" s="2"/>
      <c r="NI23" s="2"/>
      <c r="NJ23" s="14">
        <f t="array" aca="1" ref="NJ23" ca="1">SUMPRODUCT((OFFSET($A23,0,31*($A$3-1)+1,1,31)&lt;&gt;"")*(IF(OFFSET($A23,0,31*($A$3-1)+1,1,31)=$OB$12,0.5,1)*(OFFSET($A$4,0,31*($A$3-1)+1,1,31))))</f>
        <v>1</v>
      </c>
      <c r="NK23" s="20">
        <f t="array" aca="1" ref="NK23" ca="1">SUMPRODUCT((OFFSET($A23,0,1,1,372)&lt;&gt;"")*(IF(OFFSET($A23,0,1,1,372)=$OB$12,0.5,1)*(OFFSET($A$3,0,1,1,372))))</f>
        <v>5</v>
      </c>
      <c r="NL23" s="28">
        <f t="array" aca="1" ref="NL23" ca="1">SUMPRODUCT((OFFSET($A23,0,31*($A$4)+DAY(Holidays!$E$2),1,Holidays!$G$2)&lt;&gt;"")*(IF(OFFSET($A23,0,31*($A$4)+DAY(Holidays!$E$2),1,Holidays!$G$2)=$OB$12,0.5,1)*(OFFSET($A$3,0,31*($A$4)+DAY(Holidays!$E$2),1,Holidays!$G$2))))</f>
        <v>4</v>
      </c>
      <c r="NM23" s="52">
        <f t="array" aca="1" ref="NM23" ca="1">SUMPRODUCT((OFFSET($A23,0,31*($A$4)+DAY(VLOOKUP(NM$5,Sprints[],2,FALSE)),1,VLOOKUP(NM$5,Sprints[],4,FALSE))&lt;&gt;"")*(IF(OFFSET($A23,0,31*($A$4)+DAY(VLOOKUP(NM$5,Sprints[],2,FALSE)),1,VLOOKUP(NM$5,Sprints[],4,FALSE))=$OB$12,0.5,1)*(OFFSET($A$3,0,31*($A$4)+DAY(VLOOKUP(NM$5,Sprints[],2,FALSE)),1,VLOOKUP(NM$5,Sprints[],4,FALSE)))))</f>
        <v>0</v>
      </c>
      <c r="NN23" s="52">
        <f t="array" aca="1" ref="NN23" ca="1">SUMPRODUCT((OFFSET($A23,0,31*($A$4)+DAY(VLOOKUP(NN$5,Sprints[],2,FALSE)),1,VLOOKUP(NN$5,Sprints[],4,FALSE))&lt;&gt;"")*(IF(OFFSET($A23,0,31*($A$4)+DAY(VLOOKUP(NN$5,Sprints[],2,FALSE)),1,VLOOKUP(NN$5,Sprints[],4,FALSE))=$OB$12,0.5,1)*(OFFSET($A$3,0,31*($A$4)+DAY(VLOOKUP(NN$5,Sprints[],2,FALSE)),1,VLOOKUP(NN$5,Sprints[],4,FALSE)))))</f>
        <v>0</v>
      </c>
      <c r="NO23" s="52">
        <f t="array" aca="1" ref="NO23" ca="1">SUMPRODUCT((OFFSET($A23,0,31*($A$4)+DAY(VLOOKUP(NO$5,Sprints[],2,FALSE)),1,VLOOKUP(NO$5,Sprints[],4,FALSE))&lt;&gt;"")*(IF(OFFSET($A23,0,31*($A$4)+DAY(VLOOKUP(NO$5,Sprints[],2,FALSE)),1,VLOOKUP(NO$5,Sprints[],4,FALSE))=$OB$12,0.5,1)*(OFFSET($A$3,0,31*($A$4)+DAY(VLOOKUP(NO$5,Sprints[],2,FALSE)),1,VLOOKUP(NO$5,Sprints[],4,FALSE)))))</f>
        <v>1</v>
      </c>
      <c r="NP23" s="52">
        <f t="array" aca="1" ref="NP23" ca="1">SUMPRODUCT((OFFSET($A23,0,31*(VLOOKUP(NP$5,Sprints[],5,FALSE))+DAY(VLOOKUP(NP$5,Sprints[],2,FALSE)),1,VLOOKUP(NP$5,Sprints[],4,FALSE))&lt;&gt;"")*(IF(OFFSET($A23,0,31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23" s="52">
        <f t="array" aca="1" ref="NQ23" ca="1">SUMPRODUCT((OFFSET($A23,0,31*(VLOOKUP(NQ$5,Sprints[],5,FALSE))+DAY(VLOOKUP(NQ$5,Sprints[],2,FALSE)),1,VLOOKUP(NQ$5,Sprints[],4,FALSE))&lt;&gt;"")*(IF(OFFSET($A23,0,31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23" s="52">
        <f t="array" aca="1" ref="NR23" ca="1">SUMPRODUCT((OFFSET($A23,0,31*(VLOOKUP(NR$5,Sprints[],5,FALSE))+DAY(VLOOKUP(NR$5,Sprints[],2,FALSE)),1,VLOOKUP(NR$5,Sprints[],4,FALSE))&lt;&gt;"")*(IF(OFFSET($A23,0,31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23" s="52">
        <f t="array" aca="1" ref="NS23" ca="1">SUMPRODUCT((OFFSET($A23,0,31*(VLOOKUP(NS$5,Sprints[],5,FALSE))+DAY(VLOOKUP(NS$5,Sprints[],2,FALSE)),1,VLOOKUP(NS$5,Sprints[],4,FALSE))&lt;&gt;"")*(IF(OFFSET($A23,0,31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23" s="52">
        <f t="array" aca="1" ref="NT23" ca="1">SUMPRODUCT((OFFSET($A23,0,31*(VLOOKUP(NT$5,Sprints[],5,FALSE))+DAY(VLOOKUP(NT$5,Sprints[],2,FALSE)),1,VLOOKUP(NT$5,Sprints[],4,FALSE))&lt;&gt;"")*(IF(OFFSET($A23,0,31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23" s="52">
        <f t="array" aca="1" ref="NU23" ca="1">SUMPRODUCT((OFFSET($A23,0,31*(VLOOKUP(NU$5,Sprints[],5,FALSE))+DAY(VLOOKUP(NU$5,Sprints[],2,FALSE)),1,VLOOKUP(NU$5,Sprints[],4,FALSE))&lt;&gt;"")*(IF(OFFSET($A23,0,31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23" s="52">
        <f t="array" aca="1" ref="NV23" ca="1">SUMPRODUCT((OFFSET($A23,0,31*(VLOOKUP(NV$5,Sprints[],5,FALSE))+DAY(VLOOKUP(NV$5,Sprints[],2,FALSE)),1,VLOOKUP(NV$5,Sprints[],4,FALSE))&lt;&gt;"")*(IF(OFFSET($A23,0,31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23" s="52">
        <f t="array" aca="1" ref="NW23" ca="1">SUMPRODUCT((OFFSET($A23,0,31*(VLOOKUP(NW$5,Sprints[],5,FALSE))+DAY(VLOOKUP(NW$5,Sprints[],2,FALSE)),1,VLOOKUP(NW$5,Sprints[],4,FALSE))&lt;&gt;"")*(IF(OFFSET($A23,0,31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23" s="52">
        <f t="array" aca="1" ref="NX23" ca="1">SUMPRODUCT((OFFSET($A23,0,31*(VLOOKUP(NX$5,Sprints[],5,FALSE))+DAY(VLOOKUP(NX$5,Sprints[],2,FALSE)),1,VLOOKUP(NX$5,Sprints[],4,FALSE))&lt;&gt;"")*(IF(OFFSET($A23,0,31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23" s="52">
        <f t="array" aca="1" ref="NY23" ca="1">SUMPRODUCT((OFFSET($A23,0,31*(VLOOKUP(NY$5,Sprints[],5,FALSE))+DAY(VLOOKUP(NY$5,Sprints[],2,FALSE)),1,VLOOKUP(NY$5,Sprints[],4,FALSE))&lt;&gt;"")*(IF(OFFSET($A23,0,31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  <c r="OA23" s="16" t="s">
        <v>17</v>
      </c>
      <c r="OB23" s="16" t="s">
        <v>24</v>
      </c>
    </row>
    <row r="24" spans="1:392" x14ac:dyDescent="0.45">
      <c r="A24" s="1" t="s">
        <v>73</v>
      </c>
      <c r="B24" s="2"/>
      <c r="C24" s="2"/>
      <c r="D24" s="2"/>
      <c r="E24" s="2"/>
      <c r="F24" s="2"/>
      <c r="G24" s="2"/>
      <c r="H24" s="2"/>
      <c r="I24" s="2" t="s">
        <v>35</v>
      </c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 t="s">
        <v>35</v>
      </c>
      <c r="CK24" s="2" t="s">
        <v>35</v>
      </c>
      <c r="CL24" s="2"/>
      <c r="CM24" s="2"/>
      <c r="CN24" s="2"/>
      <c r="CO24" s="2"/>
      <c r="CP24" s="2"/>
      <c r="CQ24" s="2" t="s">
        <v>35</v>
      </c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 t="s">
        <v>35</v>
      </c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2"/>
      <c r="HW24" s="2"/>
      <c r="HX24" s="2"/>
      <c r="HY24" s="2"/>
      <c r="HZ24" s="2"/>
      <c r="IA24" s="2"/>
      <c r="IB24" s="2"/>
      <c r="IC24" s="2"/>
      <c r="ID24" s="2"/>
      <c r="IE24" s="2"/>
      <c r="IF24" s="2"/>
      <c r="IG24" s="2"/>
      <c r="IH24" s="2"/>
      <c r="II24" s="2"/>
      <c r="IJ24" s="2"/>
      <c r="IK24" s="2"/>
      <c r="IL24" s="2"/>
      <c r="IM24" s="2"/>
      <c r="IN24" s="2"/>
      <c r="IO24" s="2"/>
      <c r="IP24" s="2"/>
      <c r="IQ24" s="2"/>
      <c r="IR24" s="2"/>
      <c r="IS24" s="2"/>
      <c r="IT24" s="2"/>
      <c r="IU24" s="2"/>
      <c r="IV24" s="2"/>
      <c r="IW24" s="2"/>
      <c r="IX24" s="2"/>
      <c r="IY24" s="2"/>
      <c r="IZ24" s="2"/>
      <c r="JA24" s="2"/>
      <c r="JB24" s="2"/>
      <c r="JC24" s="2"/>
      <c r="JD24" s="2"/>
      <c r="JE24" s="2"/>
      <c r="JF24" s="2"/>
      <c r="JG24" s="2"/>
      <c r="JH24" s="2"/>
      <c r="JI24" s="2"/>
      <c r="JJ24" s="2"/>
      <c r="JK24" s="2"/>
      <c r="JL24" s="2"/>
      <c r="JM24" s="2"/>
      <c r="JN24" s="2"/>
      <c r="JO24" s="2"/>
      <c r="JP24" s="2"/>
      <c r="JQ24" s="2"/>
      <c r="JR24" s="2"/>
      <c r="JS24" s="2"/>
      <c r="JT24" s="2"/>
      <c r="JU24" s="2"/>
      <c r="JV24" s="2"/>
      <c r="JW24" s="2"/>
      <c r="JX24" s="2"/>
      <c r="JY24" s="2"/>
      <c r="JZ24" s="2"/>
      <c r="KA24" s="2"/>
      <c r="KB24" s="2"/>
      <c r="KC24" s="2"/>
      <c r="KD24" s="2"/>
      <c r="KE24" s="2"/>
      <c r="KF24" s="2"/>
      <c r="KG24" s="2"/>
      <c r="KH24" s="2"/>
      <c r="KI24" s="2"/>
      <c r="KJ24" s="2"/>
      <c r="KK24" s="2"/>
      <c r="KL24" s="2"/>
      <c r="KM24" s="2"/>
      <c r="KN24" s="2"/>
      <c r="KO24" s="2"/>
      <c r="KP24" s="2"/>
      <c r="KQ24" s="2"/>
      <c r="KR24" s="2"/>
      <c r="KS24" s="2"/>
      <c r="KT24" s="2"/>
      <c r="KU24" s="2"/>
      <c r="KV24" s="2"/>
      <c r="KW24" s="2"/>
      <c r="KX24" s="2"/>
      <c r="KY24" s="2"/>
      <c r="KZ24" s="2"/>
      <c r="LA24" s="2"/>
      <c r="LB24" s="2"/>
      <c r="LC24" s="2"/>
      <c r="LD24" s="2"/>
      <c r="LE24" s="2"/>
      <c r="LF24" s="2"/>
      <c r="LG24" s="2"/>
      <c r="LH24" s="2"/>
      <c r="LI24" s="2"/>
      <c r="LJ24" s="2"/>
      <c r="LK24" s="2"/>
      <c r="LL24" s="2"/>
      <c r="LM24" s="2"/>
      <c r="LN24" s="2"/>
      <c r="LO24" s="2"/>
      <c r="LP24" s="2"/>
      <c r="LQ24" s="2"/>
      <c r="LR24" s="2"/>
      <c r="LS24" s="2"/>
      <c r="LT24" s="2"/>
      <c r="LU24" s="2"/>
      <c r="LV24" s="2"/>
      <c r="LW24" s="2"/>
      <c r="LX24" s="2"/>
      <c r="LY24" s="2"/>
      <c r="LZ24" s="2"/>
      <c r="MA24" s="2"/>
      <c r="MB24" s="2"/>
      <c r="MC24" s="2"/>
      <c r="MD24" s="2"/>
      <c r="ME24" s="2"/>
      <c r="MF24" s="2"/>
      <c r="MG24" s="2"/>
      <c r="MH24" s="2"/>
      <c r="MI24" s="2"/>
      <c r="MJ24" s="2"/>
      <c r="MK24" s="2"/>
      <c r="ML24" s="2"/>
      <c r="MM24" s="2"/>
      <c r="MN24" s="2"/>
      <c r="MO24" s="2"/>
      <c r="MP24" s="2"/>
      <c r="MQ24" s="2"/>
      <c r="MR24" s="2"/>
      <c r="MS24" s="2"/>
      <c r="MT24" s="2"/>
      <c r="MU24" s="2"/>
      <c r="MV24" s="2"/>
      <c r="MW24" s="2"/>
      <c r="MX24" s="2"/>
      <c r="MY24" s="2"/>
      <c r="MZ24" s="2"/>
      <c r="NA24" s="2"/>
      <c r="NB24" s="2"/>
      <c r="NC24" s="2"/>
      <c r="ND24" s="2"/>
      <c r="NE24" s="2"/>
      <c r="NF24" s="2"/>
      <c r="NG24" s="2"/>
      <c r="NH24" s="2"/>
      <c r="NI24" s="2"/>
      <c r="NJ24" s="14">
        <f t="array" aca="1" ref="NJ24" ca="1">SUMPRODUCT((OFFSET($A24,0,31*($A$3-1)+1,1,31)&lt;&gt;"")*(IF(OFFSET($A24,0,31*($A$3-1)+1,1,31)=$OB$12,0.5,1)*(OFFSET($A$4,0,31*($A$3-1)+1,1,31))))</f>
        <v>1</v>
      </c>
      <c r="NK24" s="20">
        <f t="array" aca="1" ref="NK24" ca="1">SUMPRODUCT((OFFSET($A24,0,1,1,372)&lt;&gt;"")*(IF(OFFSET($A24,0,1,1,372)=$OB$12,0.5,1)*(OFFSET($A$3,0,1,1,372))))</f>
        <v>5</v>
      </c>
      <c r="NL24" s="28">
        <f t="array" aca="1" ref="NL24" ca="1">SUMPRODUCT((OFFSET($A24,0,31*($A$4)+DAY(Holidays!$E$2),1,Holidays!$G$2)&lt;&gt;"")*(IF(OFFSET($A24,0,31*($A$4)+DAY(Holidays!$E$2),1,Holidays!$G$2)=$OB$12,0.5,1)*(OFFSET($A$3,0,31*($A$4)+DAY(Holidays!$E$2),1,Holidays!$G$2))))</f>
        <v>4</v>
      </c>
      <c r="NM24" s="52">
        <f t="array" aca="1" ref="NM24" ca="1">SUMPRODUCT((OFFSET($A24,0,31*($A$4)+DAY(VLOOKUP(NM$5,Sprints[],2,FALSE)),1,VLOOKUP(NM$5,Sprints[],4,FALSE))&lt;&gt;"")*(IF(OFFSET($A24,0,31*($A$4)+DAY(VLOOKUP(NM$5,Sprints[],2,FALSE)),1,VLOOKUP(NM$5,Sprints[],4,FALSE))=$OB$12,0.5,1)*(OFFSET($A$3,0,31*($A$4)+DAY(VLOOKUP(NM$5,Sprints[],2,FALSE)),1,VLOOKUP(NM$5,Sprints[],4,FALSE)))))</f>
        <v>0</v>
      </c>
      <c r="NN24" s="52">
        <f t="array" aca="1" ref="NN24" ca="1">SUMPRODUCT((OFFSET($A24,0,31*($A$4)+DAY(VLOOKUP(NN$5,Sprints[],2,FALSE)),1,VLOOKUP(NN$5,Sprints[],4,FALSE))&lt;&gt;"")*(IF(OFFSET($A24,0,31*($A$4)+DAY(VLOOKUP(NN$5,Sprints[],2,FALSE)),1,VLOOKUP(NN$5,Sprints[],4,FALSE))=$OB$12,0.5,1)*(OFFSET($A$3,0,31*($A$4)+DAY(VLOOKUP(NN$5,Sprints[],2,FALSE)),1,VLOOKUP(NN$5,Sprints[],4,FALSE)))))</f>
        <v>0</v>
      </c>
      <c r="NO24" s="52">
        <f t="array" aca="1" ref="NO24" ca="1">SUMPRODUCT((OFFSET($A24,0,31*($A$4)+DAY(VLOOKUP(NO$5,Sprints[],2,FALSE)),1,VLOOKUP(NO$5,Sprints[],4,FALSE))&lt;&gt;"")*(IF(OFFSET($A24,0,31*($A$4)+DAY(VLOOKUP(NO$5,Sprints[],2,FALSE)),1,VLOOKUP(NO$5,Sprints[],4,FALSE))=$OB$12,0.5,1)*(OFFSET($A$3,0,31*($A$4)+DAY(VLOOKUP(NO$5,Sprints[],2,FALSE)),1,VLOOKUP(NO$5,Sprints[],4,FALSE)))))</f>
        <v>1</v>
      </c>
      <c r="NP24" s="52">
        <f t="array" aca="1" ref="NP24" ca="1">SUMPRODUCT((OFFSET($A24,0,31*(VLOOKUP(NP$5,Sprints[],5,FALSE))+DAY(VLOOKUP(NP$5,Sprints[],2,FALSE)),1,VLOOKUP(NP$5,Sprints[],4,FALSE))&lt;&gt;"")*(IF(OFFSET($A24,0,31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24" s="52">
        <f t="array" aca="1" ref="NQ24" ca="1">SUMPRODUCT((OFFSET($A24,0,31*(VLOOKUP(NQ$5,Sprints[],5,FALSE))+DAY(VLOOKUP(NQ$5,Sprints[],2,FALSE)),1,VLOOKUP(NQ$5,Sprints[],4,FALSE))&lt;&gt;"")*(IF(OFFSET($A24,0,31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24" s="52">
        <f t="array" aca="1" ref="NR24" ca="1">SUMPRODUCT((OFFSET($A24,0,31*(VLOOKUP(NR$5,Sprints[],5,FALSE))+DAY(VLOOKUP(NR$5,Sprints[],2,FALSE)),1,VLOOKUP(NR$5,Sprints[],4,FALSE))&lt;&gt;"")*(IF(OFFSET($A24,0,31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24" s="52">
        <f t="array" aca="1" ref="NS24" ca="1">SUMPRODUCT((OFFSET($A24,0,31*(VLOOKUP(NS$5,Sprints[],5,FALSE))+DAY(VLOOKUP(NS$5,Sprints[],2,FALSE)),1,VLOOKUP(NS$5,Sprints[],4,FALSE))&lt;&gt;"")*(IF(OFFSET($A24,0,31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24" s="52">
        <f t="array" aca="1" ref="NT24" ca="1">SUMPRODUCT((OFFSET($A24,0,31*(VLOOKUP(NT$5,Sprints[],5,FALSE))+DAY(VLOOKUP(NT$5,Sprints[],2,FALSE)),1,VLOOKUP(NT$5,Sprints[],4,FALSE))&lt;&gt;"")*(IF(OFFSET($A24,0,31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24" s="52">
        <f t="array" aca="1" ref="NU24" ca="1">SUMPRODUCT((OFFSET($A24,0,31*(VLOOKUP(NU$5,Sprints[],5,FALSE))+DAY(VLOOKUP(NU$5,Sprints[],2,FALSE)),1,VLOOKUP(NU$5,Sprints[],4,FALSE))&lt;&gt;"")*(IF(OFFSET($A24,0,31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24" s="52">
        <f t="array" aca="1" ref="NV24" ca="1">SUMPRODUCT((OFFSET($A24,0,31*(VLOOKUP(NV$5,Sprints[],5,FALSE))+DAY(VLOOKUP(NV$5,Sprints[],2,FALSE)),1,VLOOKUP(NV$5,Sprints[],4,FALSE))&lt;&gt;"")*(IF(OFFSET($A24,0,31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24" s="52">
        <f t="array" aca="1" ref="NW24" ca="1">SUMPRODUCT((OFFSET($A24,0,31*(VLOOKUP(NW$5,Sprints[],5,FALSE))+DAY(VLOOKUP(NW$5,Sprints[],2,FALSE)),1,VLOOKUP(NW$5,Sprints[],4,FALSE))&lt;&gt;"")*(IF(OFFSET($A24,0,31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24" s="52">
        <f t="array" aca="1" ref="NX24" ca="1">SUMPRODUCT((OFFSET($A24,0,31*(VLOOKUP(NX$5,Sprints[],5,FALSE))+DAY(VLOOKUP(NX$5,Sprints[],2,FALSE)),1,VLOOKUP(NX$5,Sprints[],4,FALSE))&lt;&gt;"")*(IF(OFFSET($A24,0,31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24" s="52">
        <f t="array" aca="1" ref="NY24" ca="1">SUMPRODUCT((OFFSET($A24,0,31*(VLOOKUP(NY$5,Sprints[],5,FALSE))+DAY(VLOOKUP(NY$5,Sprints[],2,FALSE)),1,VLOOKUP(NY$5,Sprints[],4,FALSE))&lt;&gt;"")*(IF(OFFSET($A24,0,31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</row>
    <row r="25" spans="1:392" ht="14.75" customHeight="1" x14ac:dyDescent="0.45">
      <c r="A25" s="1" t="s">
        <v>70</v>
      </c>
      <c r="B25" s="2"/>
      <c r="C25" s="2"/>
      <c r="D25" s="2"/>
      <c r="E25" s="2"/>
      <c r="F25" s="2"/>
      <c r="G25" s="2"/>
      <c r="H25" s="2"/>
      <c r="I25" s="2" t="s">
        <v>35</v>
      </c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 t="s">
        <v>35</v>
      </c>
      <c r="CK25" s="2" t="s">
        <v>35</v>
      </c>
      <c r="CL25" s="2"/>
      <c r="CM25" s="2"/>
      <c r="CN25" s="2"/>
      <c r="CO25" s="2"/>
      <c r="CP25" s="2"/>
      <c r="CQ25" s="2" t="s">
        <v>35</v>
      </c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 t="s">
        <v>35</v>
      </c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  <c r="HF25" s="2"/>
      <c r="HG25" s="2"/>
      <c r="HH25" s="2"/>
      <c r="HI25" s="2"/>
      <c r="HJ25" s="2"/>
      <c r="HK25" s="2"/>
      <c r="HL25" s="2"/>
      <c r="HM25" s="2"/>
      <c r="HN25" s="2"/>
      <c r="HO25" s="2"/>
      <c r="HP25" s="2"/>
      <c r="HQ25" s="2"/>
      <c r="HR25" s="2"/>
      <c r="HS25" s="2"/>
      <c r="HT25" s="2"/>
      <c r="HU25" s="2"/>
      <c r="HV25" s="2"/>
      <c r="HW25" s="2"/>
      <c r="HX25" s="2"/>
      <c r="HY25" s="2"/>
      <c r="HZ25" s="2"/>
      <c r="IA25" s="2"/>
      <c r="IB25" s="2"/>
      <c r="IC25" s="2"/>
      <c r="ID25" s="2"/>
      <c r="IE25" s="2"/>
      <c r="IF25" s="2"/>
      <c r="IG25" s="2"/>
      <c r="IH25" s="2"/>
      <c r="II25" s="2"/>
      <c r="IJ25" s="2"/>
      <c r="IK25" s="2"/>
      <c r="IL25" s="2"/>
      <c r="IM25" s="2"/>
      <c r="IN25" s="2"/>
      <c r="IO25" s="2"/>
      <c r="IP25" s="2"/>
      <c r="IQ25" s="2"/>
      <c r="IR25" s="2"/>
      <c r="IS25" s="2"/>
      <c r="IT25" s="2"/>
      <c r="IU25" s="2"/>
      <c r="IV25" s="2"/>
      <c r="IW25" s="2"/>
      <c r="IX25" s="2"/>
      <c r="IY25" s="2"/>
      <c r="IZ25" s="2"/>
      <c r="JA25" s="2"/>
      <c r="JB25" s="2"/>
      <c r="JC25" s="2"/>
      <c r="JD25" s="2"/>
      <c r="JE25" s="2"/>
      <c r="JF25" s="2"/>
      <c r="JG25" s="2"/>
      <c r="JH25" s="2"/>
      <c r="JI25" s="2"/>
      <c r="JJ25" s="2"/>
      <c r="JK25" s="2"/>
      <c r="JL25" s="2"/>
      <c r="JM25" s="2"/>
      <c r="JN25" s="2"/>
      <c r="JO25" s="2"/>
      <c r="JP25" s="2"/>
      <c r="JQ25" s="2"/>
      <c r="JR25" s="2"/>
      <c r="JS25" s="2"/>
      <c r="JT25" s="2"/>
      <c r="JU25" s="2"/>
      <c r="JV25" s="2"/>
      <c r="JW25" s="2"/>
      <c r="JX25" s="2"/>
      <c r="JY25" s="2"/>
      <c r="JZ25" s="2"/>
      <c r="KA25" s="2"/>
      <c r="KB25" s="2"/>
      <c r="KC25" s="2"/>
      <c r="KD25" s="2"/>
      <c r="KE25" s="2"/>
      <c r="KF25" s="2"/>
      <c r="KG25" s="2"/>
      <c r="KH25" s="2"/>
      <c r="KI25" s="2"/>
      <c r="KJ25" s="2"/>
      <c r="KK25" s="2"/>
      <c r="KL25" s="2"/>
      <c r="KM25" s="2"/>
      <c r="KN25" s="2"/>
      <c r="KO25" s="2"/>
      <c r="KP25" s="2"/>
      <c r="KQ25" s="2"/>
      <c r="KR25" s="2"/>
      <c r="KS25" s="2"/>
      <c r="KT25" s="2"/>
      <c r="KU25" s="2"/>
      <c r="KV25" s="2"/>
      <c r="KW25" s="2"/>
      <c r="KX25" s="2"/>
      <c r="KY25" s="2"/>
      <c r="KZ25" s="2"/>
      <c r="LA25" s="2"/>
      <c r="LB25" s="2"/>
      <c r="LC25" s="2"/>
      <c r="LD25" s="2"/>
      <c r="LE25" s="2"/>
      <c r="LF25" s="2"/>
      <c r="LG25" s="2"/>
      <c r="LH25" s="2"/>
      <c r="LI25" s="2"/>
      <c r="LJ25" s="2"/>
      <c r="LK25" s="2"/>
      <c r="LL25" s="2"/>
      <c r="LM25" s="2"/>
      <c r="LN25" s="2"/>
      <c r="LO25" s="2"/>
      <c r="LP25" s="2"/>
      <c r="LQ25" s="2"/>
      <c r="LR25" s="2"/>
      <c r="LS25" s="2"/>
      <c r="LT25" s="2"/>
      <c r="LU25" s="2"/>
      <c r="LV25" s="2"/>
      <c r="LW25" s="2"/>
      <c r="LX25" s="2"/>
      <c r="LY25" s="2"/>
      <c r="LZ25" s="2"/>
      <c r="MA25" s="2"/>
      <c r="MB25" s="2"/>
      <c r="MC25" s="2"/>
      <c r="MD25" s="2"/>
      <c r="ME25" s="2"/>
      <c r="MF25" s="2"/>
      <c r="MG25" s="2"/>
      <c r="MH25" s="2"/>
      <c r="MI25" s="2"/>
      <c r="MJ25" s="2"/>
      <c r="MK25" s="2"/>
      <c r="ML25" s="2"/>
      <c r="MM25" s="2"/>
      <c r="MN25" s="2"/>
      <c r="MO25" s="2"/>
      <c r="MP25" s="2"/>
      <c r="MQ25" s="2"/>
      <c r="MR25" s="2"/>
      <c r="MS25" s="2"/>
      <c r="MT25" s="2"/>
      <c r="MU25" s="2"/>
      <c r="MV25" s="2"/>
      <c r="MW25" s="2"/>
      <c r="MX25" s="2"/>
      <c r="MY25" s="2"/>
      <c r="MZ25" s="2"/>
      <c r="NA25" s="2"/>
      <c r="NB25" s="2"/>
      <c r="NC25" s="2"/>
      <c r="ND25" s="2"/>
      <c r="NE25" s="2"/>
      <c r="NF25" s="2"/>
      <c r="NG25" s="2"/>
      <c r="NH25" s="2"/>
      <c r="NI25" s="2"/>
      <c r="NJ25" s="14">
        <f t="array" aca="1" ref="NJ25" ca="1">SUMPRODUCT((OFFSET($A25,0,31*($A$3-1)+1,1,31)&lt;&gt;"")*(IF(OFFSET($A25,0,31*($A$3-1)+1,1,31)=$OB$12,0.5,1)*(OFFSET($A$4,0,31*($A$3-1)+1,1,31))))</f>
        <v>1</v>
      </c>
      <c r="NK25" s="20">
        <f t="array" aca="1" ref="NK25" ca="1">SUMPRODUCT((OFFSET($A25,0,1,1,372)&lt;&gt;"")*(IF(OFFSET($A25,0,1,1,372)=$OB$12,0.5,1)*(OFFSET($A$3,0,1,1,372))))</f>
        <v>5</v>
      </c>
      <c r="NL25" s="28">
        <f t="array" aca="1" ref="NL25" ca="1">SUMPRODUCT((OFFSET($A25,0,31*($A$4)+DAY(Holidays!$E$2),1,Holidays!$G$2)&lt;&gt;"")*(IF(OFFSET($A25,0,31*($A$4)+DAY(Holidays!$E$2),1,Holidays!$G$2)=$OB$12,0.5,1)*(OFFSET($A$3,0,31*($A$4)+DAY(Holidays!$E$2),1,Holidays!$G$2))))</f>
        <v>4</v>
      </c>
      <c r="NM25" s="52">
        <f t="array" aca="1" ref="NM25" ca="1">SUMPRODUCT((OFFSET($A25,0,31*($A$4)+DAY(VLOOKUP(NM$5,Sprints[],2,FALSE)),1,VLOOKUP(NM$5,Sprints[],4,FALSE))&lt;&gt;"")*(IF(OFFSET($A25,0,31*($A$4)+DAY(VLOOKUP(NM$5,Sprints[],2,FALSE)),1,VLOOKUP(NM$5,Sprints[],4,FALSE))=$OB$12,0.5,1)*(OFFSET($A$3,0,31*($A$4)+DAY(VLOOKUP(NM$5,Sprints[],2,FALSE)),1,VLOOKUP(NM$5,Sprints[],4,FALSE)))))</f>
        <v>0</v>
      </c>
      <c r="NN25" s="52">
        <f t="array" aca="1" ref="NN25" ca="1">SUMPRODUCT((OFFSET($A25,0,31*($A$4)+DAY(VLOOKUP(NN$5,Sprints[],2,FALSE)),1,VLOOKUP(NN$5,Sprints[],4,FALSE))&lt;&gt;"")*(IF(OFFSET($A25,0,31*($A$4)+DAY(VLOOKUP(NN$5,Sprints[],2,FALSE)),1,VLOOKUP(NN$5,Sprints[],4,FALSE))=$OB$12,0.5,1)*(OFFSET($A$3,0,31*($A$4)+DAY(VLOOKUP(NN$5,Sprints[],2,FALSE)),1,VLOOKUP(NN$5,Sprints[],4,FALSE)))))</f>
        <v>0</v>
      </c>
      <c r="NO25" s="52">
        <f t="array" aca="1" ref="NO25" ca="1">SUMPRODUCT((OFFSET($A25,0,31*($A$4)+DAY(VLOOKUP(NO$5,Sprints[],2,FALSE)),1,VLOOKUP(NO$5,Sprints[],4,FALSE))&lt;&gt;"")*(IF(OFFSET($A25,0,31*($A$4)+DAY(VLOOKUP(NO$5,Sprints[],2,FALSE)),1,VLOOKUP(NO$5,Sprints[],4,FALSE))=$OB$12,0.5,1)*(OFFSET($A$3,0,31*($A$4)+DAY(VLOOKUP(NO$5,Sprints[],2,FALSE)),1,VLOOKUP(NO$5,Sprints[],4,FALSE)))))</f>
        <v>1</v>
      </c>
      <c r="NP25" s="52">
        <f t="array" aca="1" ref="NP25" ca="1">SUMPRODUCT((OFFSET($A25,0,31*(VLOOKUP(NP$5,Sprints[],5,FALSE))+DAY(VLOOKUP(NP$5,Sprints[],2,FALSE)),1,VLOOKUP(NP$5,Sprints[],4,FALSE))&lt;&gt;"")*(IF(OFFSET($A25,0,31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25" s="52">
        <f t="array" aca="1" ref="NQ25" ca="1">SUMPRODUCT((OFFSET($A25,0,31*(VLOOKUP(NQ$5,Sprints[],5,FALSE))+DAY(VLOOKUP(NQ$5,Sprints[],2,FALSE)),1,VLOOKUP(NQ$5,Sprints[],4,FALSE))&lt;&gt;"")*(IF(OFFSET($A25,0,31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25" s="52">
        <f t="array" aca="1" ref="NR25" ca="1">SUMPRODUCT((OFFSET($A25,0,31*(VLOOKUP(NR$5,Sprints[],5,FALSE))+DAY(VLOOKUP(NR$5,Sprints[],2,FALSE)),1,VLOOKUP(NR$5,Sprints[],4,FALSE))&lt;&gt;"")*(IF(OFFSET($A25,0,31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25" s="52">
        <f t="array" aca="1" ref="NS25" ca="1">SUMPRODUCT((OFFSET($A25,0,31*(VLOOKUP(NS$5,Sprints[],5,FALSE))+DAY(VLOOKUP(NS$5,Sprints[],2,FALSE)),1,VLOOKUP(NS$5,Sprints[],4,FALSE))&lt;&gt;"")*(IF(OFFSET($A25,0,31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25" s="52">
        <f t="array" aca="1" ref="NT25" ca="1">SUMPRODUCT((OFFSET($A25,0,31*(VLOOKUP(NT$5,Sprints[],5,FALSE))+DAY(VLOOKUP(NT$5,Sprints[],2,FALSE)),1,VLOOKUP(NT$5,Sprints[],4,FALSE))&lt;&gt;"")*(IF(OFFSET($A25,0,31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25" s="52">
        <f t="array" aca="1" ref="NU25" ca="1">SUMPRODUCT((OFFSET($A25,0,31*(VLOOKUP(NU$5,Sprints[],5,FALSE))+DAY(VLOOKUP(NU$5,Sprints[],2,FALSE)),1,VLOOKUP(NU$5,Sprints[],4,FALSE))&lt;&gt;"")*(IF(OFFSET($A25,0,31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25" s="52">
        <f t="array" aca="1" ref="NV25" ca="1">SUMPRODUCT((OFFSET($A25,0,31*(VLOOKUP(NV$5,Sprints[],5,FALSE))+DAY(VLOOKUP(NV$5,Sprints[],2,FALSE)),1,VLOOKUP(NV$5,Sprints[],4,FALSE))&lt;&gt;"")*(IF(OFFSET($A25,0,31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25" s="52">
        <f t="array" aca="1" ref="NW25" ca="1">SUMPRODUCT((OFFSET($A25,0,31*(VLOOKUP(NW$5,Sprints[],5,FALSE))+DAY(VLOOKUP(NW$5,Sprints[],2,FALSE)),1,VLOOKUP(NW$5,Sprints[],4,FALSE))&lt;&gt;"")*(IF(OFFSET($A25,0,31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25" s="52">
        <f t="array" aca="1" ref="NX25" ca="1">SUMPRODUCT((OFFSET($A25,0,31*(VLOOKUP(NX$5,Sprints[],5,FALSE))+DAY(VLOOKUP(NX$5,Sprints[],2,FALSE)),1,VLOOKUP(NX$5,Sprints[],4,FALSE))&lt;&gt;"")*(IF(OFFSET($A25,0,31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25" s="52">
        <f t="array" aca="1" ref="NY25" ca="1">SUMPRODUCT((OFFSET($A25,0,31*(VLOOKUP(NY$5,Sprints[],5,FALSE))+DAY(VLOOKUP(NY$5,Sprints[],2,FALSE)),1,VLOOKUP(NY$5,Sprints[],4,FALSE))&lt;&gt;"")*(IF(OFFSET($A25,0,31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</row>
    <row r="26" spans="1:392" x14ac:dyDescent="0.45">
      <c r="A26" s="5" t="s">
        <v>76</v>
      </c>
      <c r="B26" s="2"/>
      <c r="C26" s="2"/>
      <c r="D26" s="2"/>
      <c r="E26" s="2"/>
      <c r="F26" s="2"/>
      <c r="G26" s="2"/>
      <c r="H26" s="2"/>
      <c r="I26" s="2" t="s">
        <v>35</v>
      </c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1"/>
      <c r="CD26" s="1"/>
      <c r="CE26" s="1"/>
      <c r="CF26" s="2"/>
      <c r="CG26" s="2"/>
      <c r="CH26" s="2"/>
      <c r="CI26" s="2"/>
      <c r="CJ26" s="2" t="s">
        <v>35</v>
      </c>
      <c r="CK26" s="2" t="s">
        <v>35</v>
      </c>
      <c r="CL26" s="2"/>
      <c r="CM26" s="2"/>
      <c r="CN26" s="2"/>
      <c r="CO26" s="2"/>
      <c r="CP26" s="2"/>
      <c r="CQ26" s="2" t="s">
        <v>35</v>
      </c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 t="s">
        <v>35</v>
      </c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/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/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  <c r="HF26" s="2"/>
      <c r="HG26" s="2"/>
      <c r="HH26" s="2"/>
      <c r="HI26" s="2"/>
      <c r="HJ26" s="2"/>
      <c r="HK26" s="2"/>
      <c r="HL26" s="2"/>
      <c r="HM26" s="2"/>
      <c r="HN26" s="2"/>
      <c r="HO26" s="2"/>
      <c r="HP26" s="2"/>
      <c r="HQ26" s="2"/>
      <c r="HR26" s="2"/>
      <c r="HS26" s="2"/>
      <c r="HT26" s="2"/>
      <c r="HU26" s="2"/>
      <c r="HV26" s="2"/>
      <c r="HW26" s="2"/>
      <c r="HX26" s="2"/>
      <c r="HY26" s="2"/>
      <c r="HZ26" s="2"/>
      <c r="IA26" s="2"/>
      <c r="IB26" s="2"/>
      <c r="IC26" s="2"/>
      <c r="ID26" s="2"/>
      <c r="IE26" s="2"/>
      <c r="IF26" s="2"/>
      <c r="IG26" s="2"/>
      <c r="IH26" s="2"/>
      <c r="II26" s="2"/>
      <c r="IJ26" s="2"/>
      <c r="IK26" s="2"/>
      <c r="IL26" s="2"/>
      <c r="IM26" s="2"/>
      <c r="IN26" s="2"/>
      <c r="IO26" s="2"/>
      <c r="IP26" s="2"/>
      <c r="IQ26" s="2"/>
      <c r="IR26" s="2"/>
      <c r="IS26" s="2"/>
      <c r="IT26" s="2"/>
      <c r="IU26" s="2"/>
      <c r="IV26" s="2"/>
      <c r="IW26" s="2"/>
      <c r="IX26" s="2"/>
      <c r="IY26" s="2"/>
      <c r="IZ26" s="2"/>
      <c r="JA26" s="2"/>
      <c r="JB26" s="2"/>
      <c r="JC26" s="2"/>
      <c r="JD26" s="2"/>
      <c r="JE26" s="2"/>
      <c r="JF26" s="2"/>
      <c r="JG26" s="2"/>
      <c r="JH26" s="2"/>
      <c r="JI26" s="2"/>
      <c r="JJ26" s="2"/>
      <c r="JK26" s="2"/>
      <c r="JL26" s="2"/>
      <c r="JM26" s="2"/>
      <c r="JN26" s="2"/>
      <c r="JO26" s="2"/>
      <c r="JP26" s="2"/>
      <c r="JQ26" s="2"/>
      <c r="JR26" s="2"/>
      <c r="JS26" s="2"/>
      <c r="JT26" s="2"/>
      <c r="JU26" s="2"/>
      <c r="JV26" s="2"/>
      <c r="JW26" s="2"/>
      <c r="JX26" s="2"/>
      <c r="JY26" s="2"/>
      <c r="JZ26" s="2"/>
      <c r="KA26" s="2"/>
      <c r="KB26" s="2"/>
      <c r="KC26" s="2"/>
      <c r="KD26" s="2"/>
      <c r="KE26" s="2"/>
      <c r="KF26" s="2"/>
      <c r="KG26" s="2"/>
      <c r="KH26" s="2"/>
      <c r="KI26" s="2"/>
      <c r="KJ26" s="2"/>
      <c r="KK26" s="2"/>
      <c r="KL26" s="2"/>
      <c r="KM26" s="2"/>
      <c r="KN26" s="2"/>
      <c r="KO26" s="2"/>
      <c r="KP26" s="2"/>
      <c r="KQ26" s="2"/>
      <c r="KR26" s="2"/>
      <c r="KS26" s="2"/>
      <c r="KT26" s="2"/>
      <c r="KU26" s="2"/>
      <c r="KV26" s="2"/>
      <c r="KW26" s="2"/>
      <c r="KX26" s="2"/>
      <c r="KY26" s="2"/>
      <c r="KZ26" s="2"/>
      <c r="LA26" s="2"/>
      <c r="LB26" s="2"/>
      <c r="LC26" s="2"/>
      <c r="LD26" s="2"/>
      <c r="LE26" s="2"/>
      <c r="LF26" s="2"/>
      <c r="LG26" s="2"/>
      <c r="LH26" s="2"/>
      <c r="LI26" s="2"/>
      <c r="LJ26" s="2"/>
      <c r="LK26" s="2"/>
      <c r="LL26" s="2"/>
      <c r="LM26" s="2"/>
      <c r="LN26" s="2"/>
      <c r="LO26" s="2"/>
      <c r="LP26" s="2"/>
      <c r="LQ26" s="2"/>
      <c r="LR26" s="2"/>
      <c r="LS26" s="2"/>
      <c r="LT26" s="2"/>
      <c r="LU26" s="2"/>
      <c r="LV26" s="2"/>
      <c r="LW26" s="2"/>
      <c r="LX26" s="2"/>
      <c r="LY26" s="2"/>
      <c r="LZ26" s="2"/>
      <c r="MA26" s="2"/>
      <c r="MB26" s="2"/>
      <c r="MC26" s="2"/>
      <c r="MD26" s="2"/>
      <c r="ME26" s="2"/>
      <c r="MF26" s="2"/>
      <c r="MG26" s="2"/>
      <c r="MH26" s="2"/>
      <c r="MI26" s="2"/>
      <c r="MJ26" s="2"/>
      <c r="MK26" s="2"/>
      <c r="ML26" s="2"/>
      <c r="MM26" s="2"/>
      <c r="MN26" s="2"/>
      <c r="MO26" s="2"/>
      <c r="MP26" s="2"/>
      <c r="MQ26" s="2"/>
      <c r="MR26" s="2"/>
      <c r="MS26" s="2"/>
      <c r="MT26" s="2"/>
      <c r="MU26" s="2"/>
      <c r="MV26" s="2"/>
      <c r="MW26" s="2"/>
      <c r="MX26" s="2"/>
      <c r="MY26" s="2"/>
      <c r="MZ26" s="2"/>
      <c r="NA26" s="2"/>
      <c r="NB26" s="2"/>
      <c r="NC26" s="2"/>
      <c r="ND26" s="2"/>
      <c r="NE26" s="2"/>
      <c r="NF26" s="2"/>
      <c r="NG26" s="2"/>
      <c r="NH26" s="2"/>
      <c r="NI26" s="2"/>
      <c r="NJ26" s="14">
        <f t="array" aca="1" ref="NJ26" ca="1">SUMPRODUCT((OFFSET($A26,0,31*($A$3-1)+1,1,31)&lt;&gt;"")*(IF(OFFSET($A26,0,31*($A$3-1)+1,1,31)=$OB$12,0.5,1)*(OFFSET($A$4,0,31*($A$3-1)+1,1,31))))</f>
        <v>1</v>
      </c>
      <c r="NK26" s="20">
        <f t="array" aca="1" ref="NK26" ca="1">SUMPRODUCT((OFFSET($A26,0,1,1,372)&lt;&gt;"")*(IF(OFFSET($A26,0,1,1,372)=$OB$12,0.5,1)*(OFFSET($A$3,0,1,1,372))))</f>
        <v>5</v>
      </c>
      <c r="NL26" s="28">
        <f t="array" aca="1" ref="NL26" ca="1">SUMPRODUCT((OFFSET($A26,0,31*($A$4)+DAY(Holidays!$E$2),1,Holidays!$G$2)&lt;&gt;"")*(IF(OFFSET($A26,0,31*($A$4)+DAY(Holidays!$E$2),1,Holidays!$G$2)=$OB$12,0.5,1)*(OFFSET($A$3,0,31*($A$4)+DAY(Holidays!$E$2),1,Holidays!$G$2))))</f>
        <v>4</v>
      </c>
      <c r="NM26" s="52">
        <f t="array" aca="1" ref="NM26" ca="1">SUMPRODUCT((OFFSET($A26,0,31*($A$4)+DAY(VLOOKUP(NM$5,Sprints[],2,FALSE)),1,VLOOKUP(NM$5,Sprints[],4,FALSE))&lt;&gt;"")*(IF(OFFSET($A26,0,31*($A$4)+DAY(VLOOKUP(NM$5,Sprints[],2,FALSE)),1,VLOOKUP(NM$5,Sprints[],4,FALSE))=$OB$12,0.5,1)*(OFFSET($A$3,0,31*($A$4)+DAY(VLOOKUP(NM$5,Sprints[],2,FALSE)),1,VLOOKUP(NM$5,Sprints[],4,FALSE)))))</f>
        <v>0</v>
      </c>
      <c r="NN26" s="52">
        <f t="array" aca="1" ref="NN26" ca="1">SUMPRODUCT((OFFSET($A26,0,31*($A$4)+DAY(VLOOKUP(NN$5,Sprints[],2,FALSE)),1,VLOOKUP(NN$5,Sprints[],4,FALSE))&lt;&gt;"")*(IF(OFFSET($A26,0,31*($A$4)+DAY(VLOOKUP(NN$5,Sprints[],2,FALSE)),1,VLOOKUP(NN$5,Sprints[],4,FALSE))=$OB$12,0.5,1)*(OFFSET($A$3,0,31*($A$4)+DAY(VLOOKUP(NN$5,Sprints[],2,FALSE)),1,VLOOKUP(NN$5,Sprints[],4,FALSE)))))</f>
        <v>0</v>
      </c>
      <c r="NO26" s="52">
        <f t="array" aca="1" ref="NO26" ca="1">SUMPRODUCT((OFFSET($A26,0,31*($A$4)+DAY(VLOOKUP(NO$5,Sprints[],2,FALSE)),1,VLOOKUP(NO$5,Sprints[],4,FALSE))&lt;&gt;"")*(IF(OFFSET($A26,0,31*($A$4)+DAY(VLOOKUP(NO$5,Sprints[],2,FALSE)),1,VLOOKUP(NO$5,Sprints[],4,FALSE))=$OB$12,0.5,1)*(OFFSET($A$3,0,31*($A$4)+DAY(VLOOKUP(NO$5,Sprints[],2,FALSE)),1,VLOOKUP(NO$5,Sprints[],4,FALSE)))))</f>
        <v>1</v>
      </c>
      <c r="NP26" s="52">
        <f t="array" aca="1" ref="NP26" ca="1">SUMPRODUCT((OFFSET($A26,0,31*(VLOOKUP(NP$5,Sprints[],5,FALSE))+DAY(VLOOKUP(NP$5,Sprints[],2,FALSE)),1,VLOOKUP(NP$5,Sprints[],4,FALSE))&lt;&gt;"")*(IF(OFFSET($A26,0,31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26" s="52">
        <f t="array" aca="1" ref="NQ26" ca="1">SUMPRODUCT((OFFSET($A26,0,31*(VLOOKUP(NQ$5,Sprints[],5,FALSE))+DAY(VLOOKUP(NQ$5,Sprints[],2,FALSE)),1,VLOOKUP(NQ$5,Sprints[],4,FALSE))&lt;&gt;"")*(IF(OFFSET($A26,0,31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26" s="52">
        <f t="array" aca="1" ref="NR26" ca="1">SUMPRODUCT((OFFSET($A26,0,31*(VLOOKUP(NR$5,Sprints[],5,FALSE))+DAY(VLOOKUP(NR$5,Sprints[],2,FALSE)),1,VLOOKUP(NR$5,Sprints[],4,FALSE))&lt;&gt;"")*(IF(OFFSET($A26,0,31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26" s="52">
        <f t="array" aca="1" ref="NS26" ca="1">SUMPRODUCT((OFFSET($A26,0,31*(VLOOKUP(NS$5,Sprints[],5,FALSE))+DAY(VLOOKUP(NS$5,Sprints[],2,FALSE)),1,VLOOKUP(NS$5,Sprints[],4,FALSE))&lt;&gt;"")*(IF(OFFSET($A26,0,31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26" s="52">
        <f t="array" aca="1" ref="NT26" ca="1">SUMPRODUCT((OFFSET($A26,0,31*(VLOOKUP(NT$5,Sprints[],5,FALSE))+DAY(VLOOKUP(NT$5,Sprints[],2,FALSE)),1,VLOOKUP(NT$5,Sprints[],4,FALSE))&lt;&gt;"")*(IF(OFFSET($A26,0,31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26" s="52">
        <f t="array" aca="1" ref="NU26" ca="1">SUMPRODUCT((OFFSET($A26,0,31*(VLOOKUP(NU$5,Sprints[],5,FALSE))+DAY(VLOOKUP(NU$5,Sprints[],2,FALSE)),1,VLOOKUP(NU$5,Sprints[],4,FALSE))&lt;&gt;"")*(IF(OFFSET($A26,0,31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26" s="52">
        <f t="array" aca="1" ref="NV26" ca="1">SUMPRODUCT((OFFSET($A26,0,31*(VLOOKUP(NV$5,Sprints[],5,FALSE))+DAY(VLOOKUP(NV$5,Sprints[],2,FALSE)),1,VLOOKUP(NV$5,Sprints[],4,FALSE))&lt;&gt;"")*(IF(OFFSET($A26,0,31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26" s="52">
        <f t="array" aca="1" ref="NW26" ca="1">SUMPRODUCT((OFFSET($A26,0,31*(VLOOKUP(NW$5,Sprints[],5,FALSE))+DAY(VLOOKUP(NW$5,Sprints[],2,FALSE)),1,VLOOKUP(NW$5,Sprints[],4,FALSE))&lt;&gt;"")*(IF(OFFSET($A26,0,31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26" s="52">
        <f t="array" aca="1" ref="NX26" ca="1">SUMPRODUCT((OFFSET($A26,0,31*(VLOOKUP(NX$5,Sprints[],5,FALSE))+DAY(VLOOKUP(NX$5,Sprints[],2,FALSE)),1,VLOOKUP(NX$5,Sprints[],4,FALSE))&lt;&gt;"")*(IF(OFFSET($A26,0,31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26" s="52">
        <f t="array" aca="1" ref="NY26" ca="1">SUMPRODUCT((OFFSET($A26,0,31*(VLOOKUP(NY$5,Sprints[],5,FALSE))+DAY(VLOOKUP(NY$5,Sprints[],2,FALSE)),1,VLOOKUP(NY$5,Sprints[],4,FALSE))&lt;&gt;"")*(IF(OFFSET($A26,0,31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</row>
    <row r="27" spans="1:392" x14ac:dyDescent="0.45">
      <c r="A27" s="1" t="s">
        <v>133</v>
      </c>
      <c r="B27" s="2"/>
      <c r="C27" s="2"/>
      <c r="D27" s="2"/>
      <c r="E27" s="2"/>
      <c r="F27" s="2"/>
      <c r="G27" s="2"/>
      <c r="H27" s="2"/>
      <c r="I27" s="2" t="s">
        <v>35</v>
      </c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 t="s">
        <v>35</v>
      </c>
      <c r="CK27" s="2" t="s">
        <v>35</v>
      </c>
      <c r="CL27" s="2"/>
      <c r="CM27" s="2"/>
      <c r="CN27" s="2"/>
      <c r="CO27" s="2"/>
      <c r="CP27" s="2"/>
      <c r="CQ27" s="2" t="s">
        <v>35</v>
      </c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 t="s">
        <v>35</v>
      </c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/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  <c r="HF27" s="2"/>
      <c r="HG27" s="2"/>
      <c r="HH27" s="2"/>
      <c r="HI27" s="2"/>
      <c r="HJ27" s="2"/>
      <c r="HK27" s="2"/>
      <c r="HL27" s="2"/>
      <c r="HM27" s="2"/>
      <c r="HN27" s="2"/>
      <c r="HO27" s="2"/>
      <c r="HP27" s="2"/>
      <c r="HQ27" s="2"/>
      <c r="HR27" s="2"/>
      <c r="HS27" s="2"/>
      <c r="HT27" s="2"/>
      <c r="HU27" s="2"/>
      <c r="HV27" s="2"/>
      <c r="HW27" s="2"/>
      <c r="HX27" s="2"/>
      <c r="HY27" s="2"/>
      <c r="HZ27" s="2"/>
      <c r="IA27" s="2"/>
      <c r="IB27" s="2"/>
      <c r="IC27" s="2"/>
      <c r="ID27" s="2"/>
      <c r="IE27" s="2"/>
      <c r="IF27" s="2"/>
      <c r="IG27" s="2"/>
      <c r="IH27" s="2"/>
      <c r="II27" s="2"/>
      <c r="IJ27" s="2"/>
      <c r="IK27" s="2"/>
      <c r="IL27" s="2"/>
      <c r="IM27" s="2"/>
      <c r="IN27" s="2"/>
      <c r="IO27" s="2"/>
      <c r="IP27" s="2"/>
      <c r="IQ27" s="2"/>
      <c r="IR27" s="2"/>
      <c r="IS27" s="2"/>
      <c r="IT27" s="2"/>
      <c r="IU27" s="2"/>
      <c r="IV27" s="2"/>
      <c r="IW27" s="2"/>
      <c r="IX27" s="2"/>
      <c r="IY27" s="2"/>
      <c r="IZ27" s="2"/>
      <c r="JA27" s="2"/>
      <c r="JB27" s="2"/>
      <c r="JC27" s="2"/>
      <c r="JD27" s="2"/>
      <c r="JE27" s="2"/>
      <c r="JF27" s="2"/>
      <c r="JG27" s="2"/>
      <c r="JH27" s="2"/>
      <c r="JI27" s="2"/>
      <c r="JJ27" s="2"/>
      <c r="JK27" s="2"/>
      <c r="JL27" s="2"/>
      <c r="JM27" s="2"/>
      <c r="JN27" s="2"/>
      <c r="JO27" s="2"/>
      <c r="JP27" s="2"/>
      <c r="JQ27" s="2"/>
      <c r="JR27" s="2"/>
      <c r="JS27" s="2"/>
      <c r="JT27" s="2"/>
      <c r="JU27" s="2"/>
      <c r="JV27" s="2"/>
      <c r="JW27" s="2"/>
      <c r="JX27" s="2"/>
      <c r="JY27" s="2"/>
      <c r="JZ27" s="2"/>
      <c r="KA27" s="2"/>
      <c r="KB27" s="2"/>
      <c r="KC27" s="2"/>
      <c r="KD27" s="2"/>
      <c r="KE27" s="2"/>
      <c r="KF27" s="2"/>
      <c r="KG27" s="2"/>
      <c r="KH27" s="2"/>
      <c r="KI27" s="2"/>
      <c r="KJ27" s="2"/>
      <c r="KK27" s="2"/>
      <c r="KL27" s="2"/>
      <c r="KM27" s="2"/>
      <c r="KN27" s="2"/>
      <c r="KO27" s="2"/>
      <c r="KP27" s="2"/>
      <c r="KQ27" s="2"/>
      <c r="KR27" s="2"/>
      <c r="KS27" s="2"/>
      <c r="KT27" s="2"/>
      <c r="KU27" s="2"/>
      <c r="KV27" s="2"/>
      <c r="KW27" s="2"/>
      <c r="KX27" s="2"/>
      <c r="KY27" s="2"/>
      <c r="KZ27" s="2"/>
      <c r="LA27" s="2"/>
      <c r="LB27" s="2"/>
      <c r="LC27" s="2"/>
      <c r="LD27" s="2"/>
      <c r="LE27" s="2"/>
      <c r="LF27" s="2"/>
      <c r="LG27" s="2"/>
      <c r="LH27" s="2"/>
      <c r="LI27" s="2"/>
      <c r="LJ27" s="2"/>
      <c r="LK27" s="2"/>
      <c r="LL27" s="2"/>
      <c r="LM27" s="2"/>
      <c r="LN27" s="2"/>
      <c r="LO27" s="2"/>
      <c r="LP27" s="2"/>
      <c r="LQ27" s="2"/>
      <c r="LR27" s="2"/>
      <c r="LS27" s="2"/>
      <c r="LT27" s="2"/>
      <c r="LU27" s="2"/>
      <c r="LV27" s="2"/>
      <c r="LW27" s="2"/>
      <c r="LX27" s="2"/>
      <c r="LY27" s="2"/>
      <c r="LZ27" s="2"/>
      <c r="MA27" s="2"/>
      <c r="MB27" s="2"/>
      <c r="MC27" s="2"/>
      <c r="MD27" s="2"/>
      <c r="ME27" s="2"/>
      <c r="MF27" s="2"/>
      <c r="MG27" s="2"/>
      <c r="MH27" s="2"/>
      <c r="MI27" s="2"/>
      <c r="MJ27" s="2"/>
      <c r="MK27" s="2"/>
      <c r="ML27" s="2"/>
      <c r="MM27" s="2"/>
      <c r="MN27" s="2"/>
      <c r="MO27" s="2"/>
      <c r="MP27" s="2"/>
      <c r="MQ27" s="2"/>
      <c r="MR27" s="2"/>
      <c r="MS27" s="2"/>
      <c r="MT27" s="2"/>
      <c r="MU27" s="2"/>
      <c r="MV27" s="2"/>
      <c r="MW27" s="2"/>
      <c r="MX27" s="2"/>
      <c r="MY27" s="2"/>
      <c r="MZ27" s="2"/>
      <c r="NA27" s="2"/>
      <c r="NB27" s="2"/>
      <c r="NC27" s="2"/>
      <c r="ND27" s="2"/>
      <c r="NE27" s="2"/>
      <c r="NF27" s="2"/>
      <c r="NG27" s="2"/>
      <c r="NH27" s="2"/>
      <c r="NI27" s="2"/>
      <c r="NJ27" s="14">
        <f t="array" aca="1" ref="NJ27" ca="1">SUMPRODUCT((OFFSET($A27,0,31*($A$3-1)+1,1,31)&lt;&gt;"")*(IF(OFFSET($A27,0,31*($A$3-1)+1,1,31)=$OB$12,0.5,1)*(OFFSET($A$4,0,31*($A$3-1)+1,1,31))))</f>
        <v>1</v>
      </c>
      <c r="NK27" s="20">
        <f t="array" aca="1" ref="NK27" ca="1">SUMPRODUCT((OFFSET($A27,0,1,1,372)&lt;&gt;"")*(IF(OFFSET($A27,0,1,1,372)=$OB$12,0.5,1)*(OFFSET($A$3,0,1,1,372))))</f>
        <v>5</v>
      </c>
      <c r="NL27" s="28">
        <f t="array" aca="1" ref="NL27" ca="1">SUMPRODUCT((OFFSET($A27,0,31*($A$4)+DAY(Holidays!$E$2),1,Holidays!$G$2)&lt;&gt;"")*(IF(OFFSET($A27,0,31*($A$4)+DAY(Holidays!$E$2),1,Holidays!$G$2)=$OB$12,0.5,1)*(OFFSET($A$3,0,31*($A$4)+DAY(Holidays!$E$2),1,Holidays!$G$2))))</f>
        <v>4</v>
      </c>
      <c r="NM27" s="52">
        <f t="array" aca="1" ref="NM27" ca="1">SUMPRODUCT((OFFSET($A27,0,31*($A$4)+DAY(VLOOKUP(NM$5,Sprints[],2,FALSE)),1,VLOOKUP(NM$5,Sprints[],4,FALSE))&lt;&gt;"")*(IF(OFFSET($A27,0,31*($A$4)+DAY(VLOOKUP(NM$5,Sprints[],2,FALSE)),1,VLOOKUP(NM$5,Sprints[],4,FALSE))=$OB$12,0.5,1)*(OFFSET($A$3,0,31*($A$4)+DAY(VLOOKUP(NM$5,Sprints[],2,FALSE)),1,VLOOKUP(NM$5,Sprints[],4,FALSE)))))</f>
        <v>0</v>
      </c>
      <c r="NN27" s="52">
        <f t="array" aca="1" ref="NN27" ca="1">SUMPRODUCT((OFFSET($A27,0,31*($A$4)+DAY(VLOOKUP(NN$5,Sprints[],2,FALSE)),1,VLOOKUP(NN$5,Sprints[],4,FALSE))&lt;&gt;"")*(IF(OFFSET($A27,0,31*($A$4)+DAY(VLOOKUP(NN$5,Sprints[],2,FALSE)),1,VLOOKUP(NN$5,Sprints[],4,FALSE))=$OB$12,0.5,1)*(OFFSET($A$3,0,31*($A$4)+DAY(VLOOKUP(NN$5,Sprints[],2,FALSE)),1,VLOOKUP(NN$5,Sprints[],4,FALSE)))))</f>
        <v>0</v>
      </c>
      <c r="NO27" s="52">
        <f t="array" aca="1" ref="NO27" ca="1">SUMPRODUCT((OFFSET($A27,0,31*($A$4)+DAY(VLOOKUP(NO$5,Sprints[],2,FALSE)),1,VLOOKUP(NO$5,Sprints[],4,FALSE))&lt;&gt;"")*(IF(OFFSET($A27,0,31*($A$4)+DAY(VLOOKUP(NO$5,Sprints[],2,FALSE)),1,VLOOKUP(NO$5,Sprints[],4,FALSE))=$OB$12,0.5,1)*(OFFSET($A$3,0,31*($A$4)+DAY(VLOOKUP(NO$5,Sprints[],2,FALSE)),1,VLOOKUP(NO$5,Sprints[],4,FALSE)))))</f>
        <v>1</v>
      </c>
      <c r="NP27" s="52">
        <f t="array" aca="1" ref="NP27" ca="1">SUMPRODUCT((OFFSET($A27,0,31*(VLOOKUP(NP$5,Sprints[],5,FALSE))+DAY(VLOOKUP(NP$5,Sprints[],2,FALSE)),1,VLOOKUP(NP$5,Sprints[],4,FALSE))&lt;&gt;"")*(IF(OFFSET($A27,0,31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27" s="52">
        <f t="array" aca="1" ref="NQ27" ca="1">SUMPRODUCT((OFFSET($A27,0,31*(VLOOKUP(NQ$5,Sprints[],5,FALSE))+DAY(VLOOKUP(NQ$5,Sprints[],2,FALSE)),1,VLOOKUP(NQ$5,Sprints[],4,FALSE))&lt;&gt;"")*(IF(OFFSET($A27,0,31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27" s="52">
        <f t="array" aca="1" ref="NR27" ca="1">SUMPRODUCT((OFFSET($A27,0,31*(VLOOKUP(NR$5,Sprints[],5,FALSE))+DAY(VLOOKUP(NR$5,Sprints[],2,FALSE)),1,VLOOKUP(NR$5,Sprints[],4,FALSE))&lt;&gt;"")*(IF(OFFSET($A27,0,31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27" s="52">
        <f t="array" aca="1" ref="NS27" ca="1">SUMPRODUCT((OFFSET($A27,0,31*(VLOOKUP(NS$5,Sprints[],5,FALSE))+DAY(VLOOKUP(NS$5,Sprints[],2,FALSE)),1,VLOOKUP(NS$5,Sprints[],4,FALSE))&lt;&gt;"")*(IF(OFFSET($A27,0,31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27" s="52">
        <f t="array" aca="1" ref="NT27" ca="1">SUMPRODUCT((OFFSET($A27,0,31*(VLOOKUP(NT$5,Sprints[],5,FALSE))+DAY(VLOOKUP(NT$5,Sprints[],2,FALSE)),1,VLOOKUP(NT$5,Sprints[],4,FALSE))&lt;&gt;"")*(IF(OFFSET($A27,0,31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27" s="52">
        <f t="array" aca="1" ref="NU27" ca="1">SUMPRODUCT((OFFSET($A27,0,31*(VLOOKUP(NU$5,Sprints[],5,FALSE))+DAY(VLOOKUP(NU$5,Sprints[],2,FALSE)),1,VLOOKUP(NU$5,Sprints[],4,FALSE))&lt;&gt;"")*(IF(OFFSET($A27,0,31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27" s="52">
        <f t="array" aca="1" ref="NV27" ca="1">SUMPRODUCT((OFFSET($A27,0,31*(VLOOKUP(NV$5,Sprints[],5,FALSE))+DAY(VLOOKUP(NV$5,Sprints[],2,FALSE)),1,VLOOKUP(NV$5,Sprints[],4,FALSE))&lt;&gt;"")*(IF(OFFSET($A27,0,31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27" s="52">
        <f t="array" aca="1" ref="NW27" ca="1">SUMPRODUCT((OFFSET($A27,0,31*(VLOOKUP(NW$5,Sprints[],5,FALSE))+DAY(VLOOKUP(NW$5,Sprints[],2,FALSE)),1,VLOOKUP(NW$5,Sprints[],4,FALSE))&lt;&gt;"")*(IF(OFFSET($A27,0,31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27" s="52">
        <f t="array" aca="1" ref="NX27" ca="1">SUMPRODUCT((OFFSET($A27,0,31*(VLOOKUP(NX$5,Sprints[],5,FALSE))+DAY(VLOOKUP(NX$5,Sprints[],2,FALSE)),1,VLOOKUP(NX$5,Sprints[],4,FALSE))&lt;&gt;"")*(IF(OFFSET($A27,0,31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27" s="52">
        <f t="array" aca="1" ref="NY27" ca="1">SUMPRODUCT((OFFSET($A27,0,31*(VLOOKUP(NY$5,Sprints[],5,FALSE))+DAY(VLOOKUP(NY$5,Sprints[],2,FALSE)),1,VLOOKUP(NY$5,Sprints[],4,FALSE))&lt;&gt;"")*(IF(OFFSET($A27,0,31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</row>
    <row r="28" spans="1:392" x14ac:dyDescent="0.45">
      <c r="A28" s="1" t="s">
        <v>82</v>
      </c>
      <c r="B28" s="2"/>
      <c r="C28" s="2"/>
      <c r="D28" s="2"/>
      <c r="E28" s="2"/>
      <c r="F28" s="2"/>
      <c r="G28" s="2"/>
      <c r="H28" s="2"/>
      <c r="I28" s="2" t="s">
        <v>35</v>
      </c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 t="s">
        <v>35</v>
      </c>
      <c r="CK28" s="2" t="s">
        <v>35</v>
      </c>
      <c r="CL28" s="2"/>
      <c r="CM28" s="2"/>
      <c r="CN28" s="2"/>
      <c r="CO28" s="2"/>
      <c r="CP28" s="2"/>
      <c r="CQ28" s="2" t="s">
        <v>35</v>
      </c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 t="s">
        <v>35</v>
      </c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/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/>
      <c r="IL28" s="2"/>
      <c r="IM28" s="2"/>
      <c r="IN28" s="2"/>
      <c r="IO28" s="2"/>
      <c r="IP28" s="2"/>
      <c r="IQ28" s="2"/>
      <c r="IR28" s="2"/>
      <c r="IS28" s="2"/>
      <c r="IT28" s="2"/>
      <c r="IU28" s="2"/>
      <c r="IV28" s="2"/>
      <c r="IW28" s="2"/>
      <c r="IX28" s="2"/>
      <c r="IY28" s="2"/>
      <c r="IZ28" s="2"/>
      <c r="JA28" s="2"/>
      <c r="JB28" s="2"/>
      <c r="JC28" s="2"/>
      <c r="JD28" s="2"/>
      <c r="JE28" s="2"/>
      <c r="JF28" s="2"/>
      <c r="JG28" s="2"/>
      <c r="JH28" s="2"/>
      <c r="JI28" s="2"/>
      <c r="JJ28" s="2"/>
      <c r="JK28" s="2"/>
      <c r="JL28" s="2"/>
      <c r="JM28" s="2"/>
      <c r="JN28" s="2"/>
      <c r="JO28" s="2"/>
      <c r="JP28" s="2"/>
      <c r="JQ28" s="2"/>
      <c r="JR28" s="2"/>
      <c r="JS28" s="2"/>
      <c r="JT28" s="2"/>
      <c r="JU28" s="2"/>
      <c r="JV28" s="2"/>
      <c r="JW28" s="2"/>
      <c r="JX28" s="2"/>
      <c r="JY28" s="2"/>
      <c r="JZ28" s="2"/>
      <c r="KA28" s="2"/>
      <c r="KB28" s="2"/>
      <c r="KC28" s="2"/>
      <c r="KD28" s="2"/>
      <c r="KE28" s="2"/>
      <c r="KF28" s="2"/>
      <c r="KG28" s="2"/>
      <c r="KH28" s="2"/>
      <c r="KI28" s="2"/>
      <c r="KJ28" s="2"/>
      <c r="KK28" s="2"/>
      <c r="KL28" s="2"/>
      <c r="KM28" s="2"/>
      <c r="KN28" s="2"/>
      <c r="KO28" s="2"/>
      <c r="KP28" s="2"/>
      <c r="KQ28" s="2"/>
      <c r="KR28" s="2"/>
      <c r="KS28" s="2"/>
      <c r="KT28" s="2"/>
      <c r="KU28" s="2"/>
      <c r="KV28" s="2"/>
      <c r="KW28" s="2"/>
      <c r="KX28" s="2"/>
      <c r="KY28" s="2"/>
      <c r="KZ28" s="2"/>
      <c r="LA28" s="2"/>
      <c r="LB28" s="2"/>
      <c r="LC28" s="2"/>
      <c r="LD28" s="2"/>
      <c r="LE28" s="2"/>
      <c r="LF28" s="2"/>
      <c r="LG28" s="2"/>
      <c r="LH28" s="2"/>
      <c r="LI28" s="2"/>
      <c r="LJ28" s="2"/>
      <c r="LK28" s="2"/>
      <c r="LL28" s="2"/>
      <c r="LM28" s="2"/>
      <c r="LN28" s="2"/>
      <c r="LO28" s="2"/>
      <c r="LP28" s="2"/>
      <c r="LQ28" s="2"/>
      <c r="LR28" s="2"/>
      <c r="LS28" s="2"/>
      <c r="LT28" s="2"/>
      <c r="LU28" s="2"/>
      <c r="LV28" s="2"/>
      <c r="LW28" s="2"/>
      <c r="LX28" s="2"/>
      <c r="LY28" s="2"/>
      <c r="LZ28" s="2"/>
      <c r="MA28" s="2"/>
      <c r="MB28" s="2"/>
      <c r="MC28" s="2"/>
      <c r="MD28" s="2"/>
      <c r="ME28" s="2"/>
      <c r="MF28" s="2"/>
      <c r="MG28" s="2"/>
      <c r="MH28" s="2"/>
      <c r="MI28" s="2"/>
      <c r="MJ28" s="2"/>
      <c r="MK28" s="2"/>
      <c r="ML28" s="2"/>
      <c r="MM28" s="2"/>
      <c r="MN28" s="2"/>
      <c r="MO28" s="2"/>
      <c r="MP28" s="2"/>
      <c r="MQ28" s="2"/>
      <c r="MR28" s="2"/>
      <c r="MS28" s="2"/>
      <c r="MT28" s="2"/>
      <c r="MU28" s="2"/>
      <c r="MV28" s="2"/>
      <c r="MW28" s="2"/>
      <c r="MX28" s="2"/>
      <c r="MY28" s="2"/>
      <c r="MZ28" s="2"/>
      <c r="NA28" s="2"/>
      <c r="NB28" s="2"/>
      <c r="NC28" s="2"/>
      <c r="ND28" s="2"/>
      <c r="NE28" s="2"/>
      <c r="NF28" s="2"/>
      <c r="NG28" s="2"/>
      <c r="NH28" s="2"/>
      <c r="NI28" s="2"/>
      <c r="NJ28" s="14">
        <f t="array" aca="1" ref="NJ28" ca="1">SUMPRODUCT((OFFSET($A28,0,31*($A$3-1)+1,1,31)&lt;&gt;"")*(IF(OFFSET($A28,0,31*($A$3-1)+1,1,31)=$OB$12,0.5,1)*(OFFSET($A$4,0,31*($A$3-1)+1,1,31))))</f>
        <v>1</v>
      </c>
      <c r="NK28" s="20">
        <f t="array" aca="1" ref="NK28" ca="1">SUMPRODUCT((OFFSET($A28,0,1,1,372)&lt;&gt;"")*(IF(OFFSET($A28,0,1,1,372)=$OB$12,0.5,1)*(OFFSET($A$3,0,1,1,372))))</f>
        <v>5</v>
      </c>
      <c r="NL28" s="28">
        <f t="array" aca="1" ref="NL28" ca="1">SUMPRODUCT((OFFSET($A28,0,31*($A$4)+DAY(Holidays!$E$2),1,Holidays!$G$2)&lt;&gt;"")*(IF(OFFSET($A28,0,31*($A$4)+DAY(Holidays!$E$2),1,Holidays!$G$2)=$OB$12,0.5,1)*(OFFSET($A$3,0,31*($A$4)+DAY(Holidays!$E$2),1,Holidays!$G$2))))</f>
        <v>4</v>
      </c>
      <c r="NM28" s="52">
        <f t="array" aca="1" ref="NM28" ca="1">SUMPRODUCT((OFFSET($A28,0,31*($A$4)+DAY(VLOOKUP(NM$5,Sprints[],2,FALSE)),1,VLOOKUP(NM$5,Sprints[],4,FALSE))&lt;&gt;"")*(IF(OFFSET($A28,0,31*($A$4)+DAY(VLOOKUP(NM$5,Sprints[],2,FALSE)),1,VLOOKUP(NM$5,Sprints[],4,FALSE))=$OB$12,0.5,1)*(OFFSET($A$3,0,31*($A$4)+DAY(VLOOKUP(NM$5,Sprints[],2,FALSE)),1,VLOOKUP(NM$5,Sprints[],4,FALSE)))))</f>
        <v>0</v>
      </c>
      <c r="NN28" s="52">
        <f t="array" aca="1" ref="NN28" ca="1">SUMPRODUCT((OFFSET($A28,0,31*($A$4)+DAY(VLOOKUP(NN$5,Sprints[],2,FALSE)),1,VLOOKUP(NN$5,Sprints[],4,FALSE))&lt;&gt;"")*(IF(OFFSET($A28,0,31*($A$4)+DAY(VLOOKUP(NN$5,Sprints[],2,FALSE)),1,VLOOKUP(NN$5,Sprints[],4,FALSE))=$OB$12,0.5,1)*(OFFSET($A$3,0,31*($A$4)+DAY(VLOOKUP(NN$5,Sprints[],2,FALSE)),1,VLOOKUP(NN$5,Sprints[],4,FALSE)))))</f>
        <v>0</v>
      </c>
      <c r="NO28" s="52">
        <f t="array" aca="1" ref="NO28" ca="1">SUMPRODUCT((OFFSET($A28,0,31*($A$4)+DAY(VLOOKUP(NO$5,Sprints[],2,FALSE)),1,VLOOKUP(NO$5,Sprints[],4,FALSE))&lt;&gt;"")*(IF(OFFSET($A28,0,31*($A$4)+DAY(VLOOKUP(NO$5,Sprints[],2,FALSE)),1,VLOOKUP(NO$5,Sprints[],4,FALSE))=$OB$12,0.5,1)*(OFFSET($A$3,0,31*($A$4)+DAY(VLOOKUP(NO$5,Sprints[],2,FALSE)),1,VLOOKUP(NO$5,Sprints[],4,FALSE)))))</f>
        <v>1</v>
      </c>
      <c r="NP28" s="52">
        <f t="array" aca="1" ref="NP28" ca="1">SUMPRODUCT((OFFSET($A28,0,31*(VLOOKUP(NP$5,Sprints[],5,FALSE))+DAY(VLOOKUP(NP$5,Sprints[],2,FALSE)),1,VLOOKUP(NP$5,Sprints[],4,FALSE))&lt;&gt;"")*(IF(OFFSET($A28,0,31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28" s="52">
        <f t="array" aca="1" ref="NQ28" ca="1">SUMPRODUCT((OFFSET($A28,0,31*(VLOOKUP(NQ$5,Sprints[],5,FALSE))+DAY(VLOOKUP(NQ$5,Sprints[],2,FALSE)),1,VLOOKUP(NQ$5,Sprints[],4,FALSE))&lt;&gt;"")*(IF(OFFSET($A28,0,31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28" s="52">
        <f t="array" aca="1" ref="NR28" ca="1">SUMPRODUCT((OFFSET($A28,0,31*(VLOOKUP(NR$5,Sprints[],5,FALSE))+DAY(VLOOKUP(NR$5,Sprints[],2,FALSE)),1,VLOOKUP(NR$5,Sprints[],4,FALSE))&lt;&gt;"")*(IF(OFFSET($A28,0,31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28" s="52">
        <f t="array" aca="1" ref="NS28" ca="1">SUMPRODUCT((OFFSET($A28,0,31*(VLOOKUP(NS$5,Sprints[],5,FALSE))+DAY(VLOOKUP(NS$5,Sprints[],2,FALSE)),1,VLOOKUP(NS$5,Sprints[],4,FALSE))&lt;&gt;"")*(IF(OFFSET($A28,0,31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28" s="52">
        <f t="array" aca="1" ref="NT28" ca="1">SUMPRODUCT((OFFSET($A28,0,31*(VLOOKUP(NT$5,Sprints[],5,FALSE))+DAY(VLOOKUP(NT$5,Sprints[],2,FALSE)),1,VLOOKUP(NT$5,Sprints[],4,FALSE))&lt;&gt;"")*(IF(OFFSET($A28,0,31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28" s="52">
        <f t="array" aca="1" ref="NU28" ca="1">SUMPRODUCT((OFFSET($A28,0,31*(VLOOKUP(NU$5,Sprints[],5,FALSE))+DAY(VLOOKUP(NU$5,Sprints[],2,FALSE)),1,VLOOKUP(NU$5,Sprints[],4,FALSE))&lt;&gt;"")*(IF(OFFSET($A28,0,31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28" s="52">
        <f t="array" aca="1" ref="NV28" ca="1">SUMPRODUCT((OFFSET($A28,0,31*(VLOOKUP(NV$5,Sprints[],5,FALSE))+DAY(VLOOKUP(NV$5,Sprints[],2,FALSE)),1,VLOOKUP(NV$5,Sprints[],4,FALSE))&lt;&gt;"")*(IF(OFFSET($A28,0,31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28" s="52">
        <f t="array" aca="1" ref="NW28" ca="1">SUMPRODUCT((OFFSET($A28,0,31*(VLOOKUP(NW$5,Sprints[],5,FALSE))+DAY(VLOOKUP(NW$5,Sprints[],2,FALSE)),1,VLOOKUP(NW$5,Sprints[],4,FALSE))&lt;&gt;"")*(IF(OFFSET($A28,0,31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28" s="52">
        <f t="array" aca="1" ref="NX28" ca="1">SUMPRODUCT((OFFSET($A28,0,31*(VLOOKUP(NX$5,Sprints[],5,FALSE))+DAY(VLOOKUP(NX$5,Sprints[],2,FALSE)),1,VLOOKUP(NX$5,Sprints[],4,FALSE))&lt;&gt;"")*(IF(OFFSET($A28,0,31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28" s="52">
        <f t="array" aca="1" ref="NY28" ca="1">SUMPRODUCT((OFFSET($A28,0,31*(VLOOKUP(NY$5,Sprints[],5,FALSE))+DAY(VLOOKUP(NY$5,Sprints[],2,FALSE)),1,VLOOKUP(NY$5,Sprints[],4,FALSE))&lt;&gt;"")*(IF(OFFSET($A28,0,31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</row>
    <row r="29" spans="1:392" x14ac:dyDescent="0.45">
      <c r="A29" s="1" t="s">
        <v>74</v>
      </c>
      <c r="B29" s="2"/>
      <c r="C29" s="2"/>
      <c r="D29" s="2"/>
      <c r="E29" s="2"/>
      <c r="F29" s="2"/>
      <c r="G29" s="2"/>
      <c r="H29" s="2"/>
      <c r="I29" s="2" t="s">
        <v>35</v>
      </c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 t="s">
        <v>35</v>
      </c>
      <c r="CK29" s="2" t="s">
        <v>35</v>
      </c>
      <c r="CL29" s="2"/>
      <c r="CM29" s="2"/>
      <c r="CN29" s="2"/>
      <c r="CO29" s="2"/>
      <c r="CP29" s="2"/>
      <c r="CQ29" s="2" t="s">
        <v>35</v>
      </c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 t="s">
        <v>35</v>
      </c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GS29" s="2"/>
      <c r="GT29" s="2"/>
      <c r="GU29" s="2"/>
      <c r="GV29" s="2"/>
      <c r="GW29" s="2"/>
      <c r="GX29" s="2"/>
      <c r="GY29" s="2"/>
      <c r="GZ29" s="2"/>
      <c r="HA29" s="2"/>
      <c r="HB29" s="2"/>
      <c r="HC29" s="2"/>
      <c r="HD29" s="2"/>
      <c r="HE29" s="2"/>
      <c r="HF29" s="2"/>
      <c r="HG29" s="2"/>
      <c r="HH29" s="2"/>
      <c r="HI29" s="2"/>
      <c r="HJ29" s="2"/>
      <c r="HK29" s="2"/>
      <c r="HL29" s="2"/>
      <c r="HM29" s="2"/>
      <c r="HN29" s="2"/>
      <c r="HO29" s="2"/>
      <c r="HP29" s="2"/>
      <c r="HQ29" s="2"/>
      <c r="HR29" s="2"/>
      <c r="HS29" s="2"/>
      <c r="HT29" s="2"/>
      <c r="HU29" s="2"/>
      <c r="HV29" s="2"/>
      <c r="HW29" s="2"/>
      <c r="HX29" s="2"/>
      <c r="HY29" s="2"/>
      <c r="HZ29" s="2"/>
      <c r="IA29" s="2"/>
      <c r="IB29" s="2"/>
      <c r="IC29" s="2"/>
      <c r="ID29" s="2"/>
      <c r="IE29" s="2"/>
      <c r="IF29" s="2"/>
      <c r="IG29" s="2"/>
      <c r="IH29" s="2"/>
      <c r="II29" s="2"/>
      <c r="IJ29" s="2"/>
      <c r="IK29" s="2"/>
      <c r="IL29" s="2"/>
      <c r="IM29" s="2"/>
      <c r="IN29" s="2"/>
      <c r="IO29" s="2"/>
      <c r="IP29" s="2"/>
      <c r="IQ29" s="2"/>
      <c r="IR29" s="2"/>
      <c r="IS29" s="2"/>
      <c r="IT29" s="2"/>
      <c r="IU29" s="2"/>
      <c r="IV29" s="2"/>
      <c r="IW29" s="2"/>
      <c r="IX29" s="2"/>
      <c r="IY29" s="2"/>
      <c r="IZ29" s="2"/>
      <c r="JA29" s="2"/>
      <c r="JB29" s="2"/>
      <c r="JC29" s="2"/>
      <c r="JD29" s="2"/>
      <c r="JE29" s="2"/>
      <c r="JF29" s="2"/>
      <c r="JG29" s="2"/>
      <c r="JH29" s="2"/>
      <c r="JI29" s="2"/>
      <c r="JJ29" s="2"/>
      <c r="JK29" s="2"/>
      <c r="JL29" s="2"/>
      <c r="JM29" s="2"/>
      <c r="JN29" s="2"/>
      <c r="JO29" s="2"/>
      <c r="JP29" s="2"/>
      <c r="JQ29" s="2"/>
      <c r="JR29" s="2"/>
      <c r="JS29" s="2"/>
      <c r="JT29" s="2"/>
      <c r="JU29" s="2"/>
      <c r="JV29" s="2"/>
      <c r="JW29" s="2"/>
      <c r="JX29" s="2"/>
      <c r="JY29" s="2"/>
      <c r="JZ29" s="2"/>
      <c r="KA29" s="2"/>
      <c r="KB29" s="2"/>
      <c r="KC29" s="2"/>
      <c r="KD29" s="2"/>
      <c r="KE29" s="2"/>
      <c r="KF29" s="2"/>
      <c r="KG29" s="2"/>
      <c r="KH29" s="2"/>
      <c r="KI29" s="2"/>
      <c r="KJ29" s="2"/>
      <c r="KK29" s="2"/>
      <c r="KL29" s="2"/>
      <c r="KM29" s="2"/>
      <c r="KN29" s="2"/>
      <c r="KO29" s="2"/>
      <c r="KP29" s="2"/>
      <c r="KQ29" s="2"/>
      <c r="KR29" s="2"/>
      <c r="KS29" s="2"/>
      <c r="KT29" s="2"/>
      <c r="KU29" s="2"/>
      <c r="KV29" s="2"/>
      <c r="KW29" s="2"/>
      <c r="KX29" s="2"/>
      <c r="KY29" s="2"/>
      <c r="KZ29" s="2"/>
      <c r="LA29" s="2"/>
      <c r="LB29" s="2"/>
      <c r="LC29" s="2"/>
      <c r="LD29" s="2"/>
      <c r="LE29" s="2"/>
      <c r="LF29" s="2"/>
      <c r="LG29" s="2"/>
      <c r="LH29" s="2"/>
      <c r="LI29" s="2"/>
      <c r="LJ29" s="2"/>
      <c r="LK29" s="2"/>
      <c r="LL29" s="2"/>
      <c r="LM29" s="2"/>
      <c r="LN29" s="2"/>
      <c r="LO29" s="2"/>
      <c r="LP29" s="2"/>
      <c r="LQ29" s="2"/>
      <c r="LR29" s="2"/>
      <c r="LS29" s="2"/>
      <c r="LT29" s="2"/>
      <c r="LU29" s="2"/>
      <c r="LV29" s="2"/>
      <c r="LW29" s="2"/>
      <c r="LX29" s="2"/>
      <c r="LY29" s="2"/>
      <c r="LZ29" s="2"/>
      <c r="MA29" s="2"/>
      <c r="MB29" s="2"/>
      <c r="MC29" s="2"/>
      <c r="MD29" s="2"/>
      <c r="ME29" s="2"/>
      <c r="MF29" s="2"/>
      <c r="MG29" s="2"/>
      <c r="MH29" s="2"/>
      <c r="MI29" s="2"/>
      <c r="MJ29" s="2"/>
      <c r="MK29" s="2"/>
      <c r="ML29" s="2"/>
      <c r="MM29" s="2"/>
      <c r="MN29" s="2"/>
      <c r="MO29" s="2"/>
      <c r="MP29" s="2"/>
      <c r="MQ29" s="2"/>
      <c r="MR29" s="2"/>
      <c r="MS29" s="2"/>
      <c r="MT29" s="2"/>
      <c r="MU29" s="2"/>
      <c r="MV29" s="2"/>
      <c r="MW29" s="2"/>
      <c r="MX29" s="2"/>
      <c r="MY29" s="2"/>
      <c r="MZ29" s="2"/>
      <c r="NA29" s="2"/>
      <c r="NB29" s="2"/>
      <c r="NC29" s="2"/>
      <c r="ND29" s="2"/>
      <c r="NE29" s="2"/>
      <c r="NF29" s="2"/>
      <c r="NG29" s="2"/>
      <c r="NH29" s="2"/>
      <c r="NI29" s="2"/>
      <c r="NJ29" s="14">
        <f t="array" aca="1" ref="NJ29" ca="1">SUMPRODUCT((OFFSET($A29,0,31*($A$3-1)+1,1,31)&lt;&gt;"")*(IF(OFFSET($A29,0,31*($A$3-1)+1,1,31)=$OB$12,0.5,1)*(OFFSET($A$4,0,31*($A$3-1)+1,1,31))))</f>
        <v>1</v>
      </c>
      <c r="NK29" s="20">
        <f t="array" aca="1" ref="NK29" ca="1">SUMPRODUCT((OFFSET($A29,0,1,1,372)&lt;&gt;"")*(IF(OFFSET($A29,0,1,1,372)=$OB$12,0.5,1)*(OFFSET($A$3,0,1,1,372))))</f>
        <v>5</v>
      </c>
      <c r="NL29" s="28">
        <f t="array" aca="1" ref="NL29" ca="1">SUMPRODUCT((OFFSET($A29,0,31*($A$4)+DAY(Holidays!$E$2),1,Holidays!$G$2)&lt;&gt;"")*(IF(OFFSET($A29,0,31*($A$4)+DAY(Holidays!$E$2),1,Holidays!$G$2)=$OB$12,0.5,1)*(OFFSET($A$3,0,31*($A$4)+DAY(Holidays!$E$2),1,Holidays!$G$2))))</f>
        <v>4</v>
      </c>
      <c r="NM29" s="52">
        <f t="array" aca="1" ref="NM29" ca="1">SUMPRODUCT((OFFSET($A29,0,31*($A$4)+DAY(VLOOKUP(NM$5,Sprints[],2,FALSE)),1,VLOOKUP(NM$5,Sprints[],4,FALSE))&lt;&gt;"")*(IF(OFFSET($A29,0,31*($A$4)+DAY(VLOOKUP(NM$5,Sprints[],2,FALSE)),1,VLOOKUP(NM$5,Sprints[],4,FALSE))=$OB$12,0.5,1)*(OFFSET($A$3,0,31*($A$4)+DAY(VLOOKUP(NM$5,Sprints[],2,FALSE)),1,VLOOKUP(NM$5,Sprints[],4,FALSE)))))</f>
        <v>0</v>
      </c>
      <c r="NN29" s="52">
        <f t="array" aca="1" ref="NN29" ca="1">SUMPRODUCT((OFFSET($A29,0,31*($A$4)+DAY(VLOOKUP(NN$5,Sprints[],2,FALSE)),1,VLOOKUP(NN$5,Sprints[],4,FALSE))&lt;&gt;"")*(IF(OFFSET($A29,0,31*($A$4)+DAY(VLOOKUP(NN$5,Sprints[],2,FALSE)),1,VLOOKUP(NN$5,Sprints[],4,FALSE))=$OB$12,0.5,1)*(OFFSET($A$3,0,31*($A$4)+DAY(VLOOKUP(NN$5,Sprints[],2,FALSE)),1,VLOOKUP(NN$5,Sprints[],4,FALSE)))))</f>
        <v>0</v>
      </c>
      <c r="NO29" s="52">
        <f t="array" aca="1" ref="NO29" ca="1">SUMPRODUCT((OFFSET($A29,0,31*($A$4)+DAY(VLOOKUP(NO$5,Sprints[],2,FALSE)),1,VLOOKUP(NO$5,Sprints[],4,FALSE))&lt;&gt;"")*(IF(OFFSET($A29,0,31*($A$4)+DAY(VLOOKUP(NO$5,Sprints[],2,FALSE)),1,VLOOKUP(NO$5,Sprints[],4,FALSE))=$OB$12,0.5,1)*(OFFSET($A$3,0,31*($A$4)+DAY(VLOOKUP(NO$5,Sprints[],2,FALSE)),1,VLOOKUP(NO$5,Sprints[],4,FALSE)))))</f>
        <v>1</v>
      </c>
      <c r="NP29" s="52">
        <f t="array" aca="1" ref="NP29" ca="1">SUMPRODUCT((OFFSET($A29,0,31*(VLOOKUP(NP$5,Sprints[],5,FALSE))+DAY(VLOOKUP(NP$5,Sprints[],2,FALSE)),1,VLOOKUP(NP$5,Sprints[],4,FALSE))&lt;&gt;"")*(IF(OFFSET($A29,0,31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29" s="52">
        <f t="array" aca="1" ref="NQ29" ca="1">SUMPRODUCT((OFFSET($A29,0,31*(VLOOKUP(NQ$5,Sprints[],5,FALSE))+DAY(VLOOKUP(NQ$5,Sprints[],2,FALSE)),1,VLOOKUP(NQ$5,Sprints[],4,FALSE))&lt;&gt;"")*(IF(OFFSET($A29,0,31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29" s="52">
        <f t="array" aca="1" ref="NR29" ca="1">SUMPRODUCT((OFFSET($A29,0,31*(VLOOKUP(NR$5,Sprints[],5,FALSE))+DAY(VLOOKUP(NR$5,Sprints[],2,FALSE)),1,VLOOKUP(NR$5,Sprints[],4,FALSE))&lt;&gt;"")*(IF(OFFSET($A29,0,31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29" s="52">
        <f t="array" aca="1" ref="NS29" ca="1">SUMPRODUCT((OFFSET($A29,0,31*(VLOOKUP(NS$5,Sprints[],5,FALSE))+DAY(VLOOKUP(NS$5,Sprints[],2,FALSE)),1,VLOOKUP(NS$5,Sprints[],4,FALSE))&lt;&gt;"")*(IF(OFFSET($A29,0,31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29" s="52">
        <f t="array" aca="1" ref="NT29" ca="1">SUMPRODUCT((OFFSET($A29,0,31*(VLOOKUP(NT$5,Sprints[],5,FALSE))+DAY(VLOOKUP(NT$5,Sprints[],2,FALSE)),1,VLOOKUP(NT$5,Sprints[],4,FALSE))&lt;&gt;"")*(IF(OFFSET($A29,0,31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29" s="52">
        <f t="array" aca="1" ref="NU29" ca="1">SUMPRODUCT((OFFSET($A29,0,31*(VLOOKUP(NU$5,Sprints[],5,FALSE))+DAY(VLOOKUP(NU$5,Sprints[],2,FALSE)),1,VLOOKUP(NU$5,Sprints[],4,FALSE))&lt;&gt;"")*(IF(OFFSET($A29,0,31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29" s="52">
        <f t="array" aca="1" ref="NV29" ca="1">SUMPRODUCT((OFFSET($A29,0,31*(VLOOKUP(NV$5,Sprints[],5,FALSE))+DAY(VLOOKUP(NV$5,Sprints[],2,FALSE)),1,VLOOKUP(NV$5,Sprints[],4,FALSE))&lt;&gt;"")*(IF(OFFSET($A29,0,31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29" s="52">
        <f t="array" aca="1" ref="NW29" ca="1">SUMPRODUCT((OFFSET($A29,0,31*(VLOOKUP(NW$5,Sprints[],5,FALSE))+DAY(VLOOKUP(NW$5,Sprints[],2,FALSE)),1,VLOOKUP(NW$5,Sprints[],4,FALSE))&lt;&gt;"")*(IF(OFFSET($A29,0,31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29" s="52">
        <f t="array" aca="1" ref="NX29" ca="1">SUMPRODUCT((OFFSET($A29,0,31*(VLOOKUP(NX$5,Sprints[],5,FALSE))+DAY(VLOOKUP(NX$5,Sprints[],2,FALSE)),1,VLOOKUP(NX$5,Sprints[],4,FALSE))&lt;&gt;"")*(IF(OFFSET($A29,0,31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29" s="52">
        <f t="array" aca="1" ref="NY29" ca="1">SUMPRODUCT((OFFSET($A29,0,31*(VLOOKUP(NY$5,Sprints[],5,FALSE))+DAY(VLOOKUP(NY$5,Sprints[],2,FALSE)),1,VLOOKUP(NY$5,Sprints[],4,FALSE))&lt;&gt;"")*(IF(OFFSET($A29,0,31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</row>
    <row r="30" spans="1:392" x14ac:dyDescent="0.45">
      <c r="A30" s="1" t="s">
        <v>44</v>
      </c>
      <c r="B30" s="2"/>
      <c r="C30" s="2"/>
      <c r="D30" s="2"/>
      <c r="E30" s="2"/>
      <c r="F30" s="2"/>
      <c r="G30" s="2"/>
      <c r="H30" s="2"/>
      <c r="I30" s="2" t="s">
        <v>35</v>
      </c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 t="s">
        <v>35</v>
      </c>
      <c r="CK30" s="2" t="s">
        <v>35</v>
      </c>
      <c r="CL30" s="2"/>
      <c r="CM30" s="2"/>
      <c r="CN30" s="2"/>
      <c r="CO30" s="2"/>
      <c r="CP30" s="2"/>
      <c r="CQ30" s="2" t="s">
        <v>35</v>
      </c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 t="s">
        <v>35</v>
      </c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  <c r="GU30" s="2"/>
      <c r="GV30" s="2"/>
      <c r="GW30" s="2"/>
      <c r="GX30" s="2"/>
      <c r="GY30" s="2"/>
      <c r="GZ30" s="2"/>
      <c r="HA30" s="2"/>
      <c r="HB30" s="2"/>
      <c r="HC30" s="2"/>
      <c r="HD30" s="2"/>
      <c r="HE30" s="2"/>
      <c r="HF30" s="2"/>
      <c r="HG30" s="2"/>
      <c r="HH30" s="2"/>
      <c r="HI30" s="2"/>
      <c r="HJ30" s="2"/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/>
      <c r="IL30" s="2"/>
      <c r="IM30" s="2"/>
      <c r="IN30" s="2"/>
      <c r="IO30" s="2"/>
      <c r="IP30" s="2"/>
      <c r="IQ30" s="2"/>
      <c r="IR30" s="2"/>
      <c r="IS30" s="2"/>
      <c r="IT30" s="2"/>
      <c r="IU30" s="2"/>
      <c r="IV30" s="2"/>
      <c r="IW30" s="2"/>
      <c r="IX30" s="2"/>
      <c r="IY30" s="2"/>
      <c r="IZ30" s="2"/>
      <c r="JA30" s="2"/>
      <c r="JB30" s="2"/>
      <c r="JC30" s="2"/>
      <c r="JD30" s="2"/>
      <c r="JE30" s="2"/>
      <c r="JF30" s="2"/>
      <c r="JG30" s="2"/>
      <c r="JH30" s="2"/>
      <c r="JI30" s="2"/>
      <c r="JJ30" s="2"/>
      <c r="JK30" s="2"/>
      <c r="JL30" s="2"/>
      <c r="JM30" s="2"/>
      <c r="JN30" s="2"/>
      <c r="JO30" s="2"/>
      <c r="JP30" s="2"/>
      <c r="JQ30" s="2"/>
      <c r="JR30" s="2"/>
      <c r="JS30" s="2"/>
      <c r="JT30" s="2"/>
      <c r="JU30" s="2"/>
      <c r="JV30" s="2"/>
      <c r="JW30" s="2"/>
      <c r="JX30" s="2"/>
      <c r="JY30" s="2"/>
      <c r="JZ30" s="2"/>
      <c r="KA30" s="2"/>
      <c r="KB30" s="2"/>
      <c r="KC30" s="2"/>
      <c r="KD30" s="2"/>
      <c r="KE30" s="2"/>
      <c r="KF30" s="2"/>
      <c r="KG30" s="2"/>
      <c r="KH30" s="2"/>
      <c r="KI30" s="2"/>
      <c r="KJ30" s="2"/>
      <c r="KK30" s="2"/>
      <c r="KL30" s="2"/>
      <c r="KM30" s="2"/>
      <c r="KN30" s="2"/>
      <c r="KO30" s="2"/>
      <c r="KP30" s="2"/>
      <c r="KQ30" s="2"/>
      <c r="KR30" s="2"/>
      <c r="KS30" s="2"/>
      <c r="KT30" s="2"/>
      <c r="KU30" s="2"/>
      <c r="KV30" s="2"/>
      <c r="KW30" s="2"/>
      <c r="KX30" s="2"/>
      <c r="KY30" s="2"/>
      <c r="KZ30" s="2"/>
      <c r="LA30" s="2"/>
      <c r="LB30" s="2"/>
      <c r="LC30" s="2"/>
      <c r="LD30" s="2"/>
      <c r="LE30" s="2"/>
      <c r="LF30" s="2"/>
      <c r="LG30" s="2"/>
      <c r="LH30" s="2"/>
      <c r="LI30" s="2"/>
      <c r="LJ30" s="2"/>
      <c r="LK30" s="2"/>
      <c r="LL30" s="2"/>
      <c r="LM30" s="2"/>
      <c r="LN30" s="2"/>
      <c r="LO30" s="2"/>
      <c r="LP30" s="2"/>
      <c r="LQ30" s="2"/>
      <c r="LR30" s="2"/>
      <c r="LS30" s="2"/>
      <c r="LT30" s="2"/>
      <c r="LU30" s="2"/>
      <c r="LV30" s="2"/>
      <c r="LW30" s="2"/>
      <c r="LX30" s="2"/>
      <c r="LY30" s="2"/>
      <c r="LZ30" s="2"/>
      <c r="MA30" s="2"/>
      <c r="MB30" s="2"/>
      <c r="MC30" s="2"/>
      <c r="MD30" s="2"/>
      <c r="ME30" s="2"/>
      <c r="MF30" s="2"/>
      <c r="MG30" s="2"/>
      <c r="MH30" s="2"/>
      <c r="MI30" s="2"/>
      <c r="MJ30" s="2"/>
      <c r="MK30" s="2"/>
      <c r="ML30" s="2"/>
      <c r="MM30" s="2"/>
      <c r="MN30" s="2"/>
      <c r="MO30" s="2"/>
      <c r="MP30" s="2"/>
      <c r="MQ30" s="2"/>
      <c r="MR30" s="2"/>
      <c r="MS30" s="2"/>
      <c r="MT30" s="2"/>
      <c r="MU30" s="2"/>
      <c r="MV30" s="2"/>
      <c r="MW30" s="2"/>
      <c r="MX30" s="2"/>
      <c r="MY30" s="2"/>
      <c r="MZ30" s="2"/>
      <c r="NA30" s="2"/>
      <c r="NB30" s="2"/>
      <c r="NC30" s="2"/>
      <c r="ND30" s="2"/>
      <c r="NE30" s="2"/>
      <c r="NF30" s="2"/>
      <c r="NG30" s="2"/>
      <c r="NH30" s="2"/>
      <c r="NI30" s="2"/>
      <c r="NJ30" s="14">
        <f t="array" aca="1" ref="NJ30" ca="1">SUMPRODUCT((OFFSET($A30,0,31*($A$3-1)+1,1,31)&lt;&gt;"")*(IF(OFFSET($A30,0,31*($A$3-1)+1,1,31)=$OB$12,0.5,1)*(OFFSET($A$4,0,31*($A$3-1)+1,1,31))))</f>
        <v>1</v>
      </c>
      <c r="NK30" s="20">
        <f t="array" aca="1" ref="NK30" ca="1">SUMPRODUCT((OFFSET($A30,0,1,1,372)&lt;&gt;"")*(IF(OFFSET($A30,0,1,1,372)=$OB$12,0.5,1)*(OFFSET($A$3,0,1,1,372))))</f>
        <v>5</v>
      </c>
      <c r="NL30" s="28">
        <f t="array" aca="1" ref="NL30" ca="1">SUMPRODUCT((OFFSET($A30,0,31*($A$4)+DAY(Holidays!$E$2),1,Holidays!$G$2)&lt;&gt;"")*(IF(OFFSET($A30,0,31*($A$4)+DAY(Holidays!$E$2),1,Holidays!$G$2)=$OB$12,0.5,1)*(OFFSET($A$3,0,31*($A$4)+DAY(Holidays!$E$2),1,Holidays!$G$2))))</f>
        <v>4</v>
      </c>
      <c r="NM30" s="52">
        <f t="array" aca="1" ref="NM30" ca="1">SUMPRODUCT((OFFSET($A30,0,31*($A$4)+DAY(VLOOKUP(NM$5,Sprints[],2,FALSE)),1,VLOOKUP(NM$5,Sprints[],4,FALSE))&lt;&gt;"")*(IF(OFFSET($A30,0,31*($A$4)+DAY(VLOOKUP(NM$5,Sprints[],2,FALSE)),1,VLOOKUP(NM$5,Sprints[],4,FALSE))=$OB$12,0.5,1)*(OFFSET($A$3,0,31*($A$4)+DAY(VLOOKUP(NM$5,Sprints[],2,FALSE)),1,VLOOKUP(NM$5,Sprints[],4,FALSE)))))</f>
        <v>0</v>
      </c>
      <c r="NN30" s="52">
        <f t="array" aca="1" ref="NN30" ca="1">SUMPRODUCT((OFFSET($A30,0,31*($A$4)+DAY(VLOOKUP(NN$5,Sprints[],2,FALSE)),1,VLOOKUP(NN$5,Sprints[],4,FALSE))&lt;&gt;"")*(IF(OFFSET($A30,0,31*($A$4)+DAY(VLOOKUP(NN$5,Sprints[],2,FALSE)),1,VLOOKUP(NN$5,Sprints[],4,FALSE))=$OB$12,0.5,1)*(OFFSET($A$3,0,31*($A$4)+DAY(VLOOKUP(NN$5,Sprints[],2,FALSE)),1,VLOOKUP(NN$5,Sprints[],4,FALSE)))))</f>
        <v>0</v>
      </c>
      <c r="NO30" s="52">
        <f t="array" aca="1" ref="NO30" ca="1">SUMPRODUCT((OFFSET($A30,0,31*($A$4)+DAY(VLOOKUP(NO$5,Sprints[],2,FALSE)),1,VLOOKUP(NO$5,Sprints[],4,FALSE))&lt;&gt;"")*(IF(OFFSET($A30,0,31*($A$4)+DAY(VLOOKUP(NO$5,Sprints[],2,FALSE)),1,VLOOKUP(NO$5,Sprints[],4,FALSE))=$OB$12,0.5,1)*(OFFSET($A$3,0,31*($A$4)+DAY(VLOOKUP(NO$5,Sprints[],2,FALSE)),1,VLOOKUP(NO$5,Sprints[],4,FALSE)))))</f>
        <v>1</v>
      </c>
      <c r="NP30" s="52">
        <f t="array" aca="1" ref="NP30" ca="1">SUMPRODUCT((OFFSET($A30,0,31*(VLOOKUP(NP$5,Sprints[],5,FALSE))+DAY(VLOOKUP(NP$5,Sprints[],2,FALSE)),1,VLOOKUP(NP$5,Sprints[],4,FALSE))&lt;&gt;"")*(IF(OFFSET($A30,0,31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30" s="52">
        <f t="array" aca="1" ref="NQ30" ca="1">SUMPRODUCT((OFFSET($A30,0,31*(VLOOKUP(NQ$5,Sprints[],5,FALSE))+DAY(VLOOKUP(NQ$5,Sprints[],2,FALSE)),1,VLOOKUP(NQ$5,Sprints[],4,FALSE))&lt;&gt;"")*(IF(OFFSET($A30,0,31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30" s="52">
        <f t="array" aca="1" ref="NR30" ca="1">SUMPRODUCT((OFFSET($A30,0,31*(VLOOKUP(NR$5,Sprints[],5,FALSE))+DAY(VLOOKUP(NR$5,Sprints[],2,FALSE)),1,VLOOKUP(NR$5,Sprints[],4,FALSE))&lt;&gt;"")*(IF(OFFSET($A30,0,31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30" s="52">
        <f t="array" aca="1" ref="NS30" ca="1">SUMPRODUCT((OFFSET($A30,0,31*(VLOOKUP(NS$5,Sprints[],5,FALSE))+DAY(VLOOKUP(NS$5,Sprints[],2,FALSE)),1,VLOOKUP(NS$5,Sprints[],4,FALSE))&lt;&gt;"")*(IF(OFFSET($A30,0,31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30" s="52">
        <f t="array" aca="1" ref="NT30" ca="1">SUMPRODUCT((OFFSET($A30,0,31*(VLOOKUP(NT$5,Sprints[],5,FALSE))+DAY(VLOOKUP(NT$5,Sprints[],2,FALSE)),1,VLOOKUP(NT$5,Sprints[],4,FALSE))&lt;&gt;"")*(IF(OFFSET($A30,0,31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30" s="52">
        <f t="array" aca="1" ref="NU30" ca="1">SUMPRODUCT((OFFSET($A30,0,31*(VLOOKUP(NU$5,Sprints[],5,FALSE))+DAY(VLOOKUP(NU$5,Sprints[],2,FALSE)),1,VLOOKUP(NU$5,Sprints[],4,FALSE))&lt;&gt;"")*(IF(OFFSET($A30,0,31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30" s="52">
        <f t="array" aca="1" ref="NV30" ca="1">SUMPRODUCT((OFFSET($A30,0,31*(VLOOKUP(NV$5,Sprints[],5,FALSE))+DAY(VLOOKUP(NV$5,Sprints[],2,FALSE)),1,VLOOKUP(NV$5,Sprints[],4,FALSE))&lt;&gt;"")*(IF(OFFSET($A30,0,31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30" s="52">
        <f t="array" aca="1" ref="NW30" ca="1">SUMPRODUCT((OFFSET($A30,0,31*(VLOOKUP(NW$5,Sprints[],5,FALSE))+DAY(VLOOKUP(NW$5,Sprints[],2,FALSE)),1,VLOOKUP(NW$5,Sprints[],4,FALSE))&lt;&gt;"")*(IF(OFFSET($A30,0,31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30" s="52">
        <f t="array" aca="1" ref="NX30" ca="1">SUMPRODUCT((OFFSET($A30,0,31*(VLOOKUP(NX$5,Sprints[],5,FALSE))+DAY(VLOOKUP(NX$5,Sprints[],2,FALSE)),1,VLOOKUP(NX$5,Sprints[],4,FALSE))&lt;&gt;"")*(IF(OFFSET($A30,0,31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30" s="52">
        <f t="array" aca="1" ref="NY30" ca="1">SUMPRODUCT((OFFSET($A30,0,31*(VLOOKUP(NY$5,Sprints[],5,FALSE))+DAY(VLOOKUP(NY$5,Sprints[],2,FALSE)),1,VLOOKUP(NY$5,Sprints[],4,FALSE))&lt;&gt;"")*(IF(OFFSET($A30,0,31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</row>
    <row r="31" spans="1:392" s="45" customFormat="1" x14ac:dyDescent="0.45">
      <c r="A31" s="66" t="s">
        <v>134</v>
      </c>
      <c r="B31" s="67"/>
      <c r="C31" s="2"/>
      <c r="D31" s="2"/>
      <c r="E31" s="2"/>
      <c r="F31" s="2"/>
      <c r="G31" s="2"/>
      <c r="H31" s="67"/>
      <c r="I31" s="2" t="s">
        <v>35</v>
      </c>
      <c r="J31" s="2"/>
      <c r="K31" s="2"/>
      <c r="L31" s="2"/>
      <c r="M31" s="2"/>
      <c r="N31" s="2"/>
      <c r="O31" s="67"/>
      <c r="P31" s="67"/>
      <c r="Q31" s="2"/>
      <c r="R31" s="2"/>
      <c r="S31" s="2"/>
      <c r="T31" s="2"/>
      <c r="U31" s="2"/>
      <c r="V31" s="67"/>
      <c r="W31" s="67"/>
      <c r="X31" s="2"/>
      <c r="Y31" s="2"/>
      <c r="Z31" s="2"/>
      <c r="AA31" s="2"/>
      <c r="AB31" s="2"/>
      <c r="AC31" s="67"/>
      <c r="AD31" s="67"/>
      <c r="AE31" s="2"/>
      <c r="AF31" s="2"/>
      <c r="AG31" s="2"/>
      <c r="AH31" s="2"/>
      <c r="AI31" s="2"/>
      <c r="AJ31" s="2"/>
      <c r="AK31" s="67"/>
      <c r="AL31" s="67"/>
      <c r="AM31" s="2"/>
      <c r="AN31" s="2"/>
      <c r="AO31" s="2"/>
      <c r="AP31" s="2"/>
      <c r="AQ31" s="2"/>
      <c r="AR31" s="67"/>
      <c r="AS31" s="67"/>
      <c r="AT31" s="2"/>
      <c r="AU31" s="2"/>
      <c r="AV31" s="2"/>
      <c r="AW31" s="2"/>
      <c r="AX31" s="2"/>
      <c r="AY31" s="67"/>
      <c r="AZ31" s="67"/>
      <c r="BA31" s="2"/>
      <c r="BB31" s="67"/>
      <c r="BC31" s="67"/>
      <c r="BD31" s="67"/>
      <c r="BE31" s="67"/>
      <c r="BF31" s="67"/>
      <c r="BG31" s="67"/>
      <c r="BH31" s="67"/>
      <c r="BI31" s="67"/>
      <c r="BJ31" s="67"/>
      <c r="BK31" s="67"/>
      <c r="BL31" s="67"/>
      <c r="BM31" s="67"/>
      <c r="BN31" s="67"/>
      <c r="BO31" s="67"/>
      <c r="BP31" s="67"/>
      <c r="BQ31" s="67"/>
      <c r="BR31" s="67"/>
      <c r="BS31" s="67"/>
      <c r="BT31" s="67"/>
      <c r="BU31" s="67"/>
      <c r="BV31" s="67"/>
      <c r="BW31" s="67"/>
      <c r="BX31" s="67"/>
      <c r="BY31" s="67"/>
      <c r="BZ31" s="67"/>
      <c r="CA31" s="67"/>
      <c r="CB31" s="67"/>
      <c r="CC31" s="67"/>
      <c r="CD31" s="67"/>
      <c r="CE31" s="67"/>
      <c r="CF31" s="2"/>
      <c r="CG31" s="2"/>
      <c r="CH31" s="67"/>
      <c r="CI31" s="67"/>
      <c r="CJ31" s="2" t="s">
        <v>35</v>
      </c>
      <c r="CK31" s="2" t="s">
        <v>35</v>
      </c>
      <c r="CL31" s="67"/>
      <c r="CM31" s="67"/>
      <c r="CN31" s="67"/>
      <c r="CO31" s="67"/>
      <c r="CP31" s="67"/>
      <c r="CQ31" s="2" t="s">
        <v>35</v>
      </c>
      <c r="CR31" s="2"/>
      <c r="CS31" s="67"/>
      <c r="CT31" s="67"/>
      <c r="CU31" s="67"/>
      <c r="CV31" s="67"/>
      <c r="CW31" s="67"/>
      <c r="CX31" s="67"/>
      <c r="CY31" s="67"/>
      <c r="CZ31" s="67"/>
      <c r="DA31" s="67"/>
      <c r="DB31" s="67"/>
      <c r="DC31" s="67"/>
      <c r="DD31" s="67"/>
      <c r="DE31" s="67"/>
      <c r="DF31" s="67"/>
      <c r="DG31" s="67"/>
      <c r="DH31" s="67"/>
      <c r="DI31" s="67"/>
      <c r="DJ31" s="67"/>
      <c r="DK31" s="67"/>
      <c r="DL31" s="67"/>
      <c r="DM31" s="67"/>
      <c r="DN31" s="67"/>
      <c r="DO31" s="67"/>
      <c r="DP31" s="67"/>
      <c r="DQ31" s="67"/>
      <c r="DR31" s="67"/>
      <c r="DS31" s="67"/>
      <c r="DT31" s="67"/>
      <c r="DU31" s="67"/>
      <c r="DV31" s="67"/>
      <c r="DW31" s="67"/>
      <c r="DX31" s="67"/>
      <c r="DY31" s="67"/>
      <c r="DZ31" s="67"/>
      <c r="EA31" s="2"/>
      <c r="EB31" s="67"/>
      <c r="EC31" s="67"/>
      <c r="ED31" s="67"/>
      <c r="EE31" s="67"/>
      <c r="EF31" s="67"/>
      <c r="EG31" s="67"/>
      <c r="EH31" s="2"/>
      <c r="EI31" s="2"/>
      <c r="EJ31" s="2"/>
      <c r="EK31" s="2"/>
      <c r="EL31" s="2"/>
      <c r="EM31" s="2" t="s">
        <v>35</v>
      </c>
      <c r="EN31" s="67"/>
      <c r="EO31" s="67"/>
      <c r="EP31" s="67"/>
      <c r="EQ31" s="67"/>
      <c r="ER31" s="67"/>
      <c r="ES31" s="67"/>
      <c r="ET31" s="67"/>
      <c r="EU31" s="67"/>
      <c r="EV31" s="2"/>
      <c r="EW31" s="2"/>
      <c r="EX31" s="2"/>
      <c r="EY31" s="2"/>
      <c r="EZ31" s="2"/>
      <c r="FA31" s="67"/>
      <c r="FB31" s="67"/>
      <c r="FC31" s="2"/>
      <c r="FD31" s="2"/>
      <c r="FE31" s="2"/>
      <c r="FF31" s="2"/>
      <c r="FG31" s="2"/>
      <c r="FH31" s="67"/>
      <c r="FI31" s="67"/>
      <c r="FJ31" s="2"/>
      <c r="FK31" s="2"/>
      <c r="FL31" s="2"/>
      <c r="FM31" s="2"/>
      <c r="FN31" s="2"/>
      <c r="FO31" s="67"/>
      <c r="FP31" s="67"/>
      <c r="FQ31" s="2"/>
      <c r="FR31" s="2"/>
      <c r="FS31" s="2"/>
      <c r="FT31" s="2"/>
      <c r="FU31" s="2"/>
      <c r="FV31" s="67"/>
      <c r="FW31" s="67"/>
      <c r="FX31" s="2"/>
      <c r="FY31" s="2"/>
      <c r="FZ31" s="2"/>
      <c r="GA31" s="2"/>
      <c r="GB31" s="2"/>
      <c r="GC31" s="67"/>
      <c r="GD31" s="67"/>
      <c r="GE31" s="67"/>
      <c r="GF31" s="2"/>
      <c r="GG31" s="2"/>
      <c r="GH31" s="2"/>
      <c r="GI31" s="2"/>
      <c r="GJ31" s="2"/>
      <c r="GK31" s="67"/>
      <c r="GL31" s="67"/>
      <c r="GM31" s="2"/>
      <c r="GN31" s="2"/>
      <c r="GO31" s="2"/>
      <c r="GP31" s="2"/>
      <c r="GQ31" s="2"/>
      <c r="GR31" s="67"/>
      <c r="GS31" s="67"/>
      <c r="GT31" s="2"/>
      <c r="GU31" s="2"/>
      <c r="GV31" s="2"/>
      <c r="GW31" s="2"/>
      <c r="GX31" s="2"/>
      <c r="GY31" s="67"/>
      <c r="GZ31" s="67"/>
      <c r="HA31" s="2"/>
      <c r="HB31" s="2"/>
      <c r="HC31" s="2"/>
      <c r="HD31" s="2"/>
      <c r="HE31" s="2"/>
      <c r="HF31" s="67"/>
      <c r="HG31" s="67"/>
      <c r="HH31" s="2"/>
      <c r="HI31" s="2"/>
      <c r="HJ31" s="2"/>
      <c r="HK31" s="67"/>
      <c r="HL31" s="67"/>
      <c r="HM31" s="67"/>
      <c r="HN31" s="67"/>
      <c r="HO31" s="67"/>
      <c r="HP31" s="67"/>
      <c r="HQ31" s="67"/>
      <c r="HR31" s="67"/>
      <c r="HS31" s="67"/>
      <c r="HT31" s="67"/>
      <c r="HU31" s="67"/>
      <c r="HV31" s="67"/>
      <c r="HW31" s="67"/>
      <c r="HX31" s="67"/>
      <c r="HY31" s="67"/>
      <c r="HZ31" s="67"/>
      <c r="IA31" s="67"/>
      <c r="IB31" s="67"/>
      <c r="IC31" s="67"/>
      <c r="ID31" s="67"/>
      <c r="IE31" s="67"/>
      <c r="IF31" s="67"/>
      <c r="IG31" s="67"/>
      <c r="IH31" s="67"/>
      <c r="II31" s="67"/>
      <c r="IJ31" s="67"/>
      <c r="IK31" s="67"/>
      <c r="IL31" s="67"/>
      <c r="IM31" s="67"/>
      <c r="IN31" s="67"/>
      <c r="IO31" s="67"/>
      <c r="IP31" s="67"/>
      <c r="IQ31" s="67"/>
      <c r="IR31" s="67"/>
      <c r="IS31" s="67"/>
      <c r="IT31" s="67"/>
      <c r="IU31" s="67"/>
      <c r="IV31" s="67"/>
      <c r="IW31" s="67"/>
      <c r="IX31" s="67"/>
      <c r="IY31" s="67"/>
      <c r="IZ31" s="67"/>
      <c r="JA31" s="67"/>
      <c r="JB31" s="67"/>
      <c r="JC31" s="67"/>
      <c r="JD31" s="67"/>
      <c r="JE31" s="67"/>
      <c r="JF31" s="67"/>
      <c r="JG31" s="67"/>
      <c r="JH31" s="67"/>
      <c r="JI31" s="67"/>
      <c r="JJ31" s="67"/>
      <c r="JK31" s="67"/>
      <c r="JL31" s="67"/>
      <c r="JM31" s="67"/>
      <c r="JN31" s="2"/>
      <c r="JO31" s="2"/>
      <c r="JP31" s="67"/>
      <c r="JQ31" s="67"/>
      <c r="JR31" s="67"/>
      <c r="JS31" s="67"/>
      <c r="JT31" s="67"/>
      <c r="JU31" s="2"/>
      <c r="JV31" s="67"/>
      <c r="JW31" s="67"/>
      <c r="JX31" s="67"/>
      <c r="JY31" s="67"/>
      <c r="JZ31" s="67"/>
      <c r="KA31" s="67"/>
      <c r="KB31" s="67"/>
      <c r="KC31" s="67"/>
      <c r="KD31" s="67"/>
      <c r="KE31" s="67"/>
      <c r="KF31" s="67"/>
      <c r="KG31" s="67"/>
      <c r="KH31" s="67"/>
      <c r="KI31" s="67"/>
      <c r="KJ31" s="67"/>
      <c r="KK31" s="67"/>
      <c r="KL31" s="67"/>
      <c r="KM31" s="67"/>
      <c r="KN31" s="67"/>
      <c r="KO31" s="67"/>
      <c r="KP31" s="67"/>
      <c r="KQ31" s="67"/>
      <c r="KR31" s="67"/>
      <c r="KS31" s="67"/>
      <c r="KT31" s="67"/>
      <c r="KU31" s="67"/>
      <c r="KV31" s="67"/>
      <c r="KW31" s="67"/>
      <c r="KX31" s="67"/>
      <c r="KY31" s="67"/>
      <c r="KZ31" s="67"/>
      <c r="LA31" s="67"/>
      <c r="LB31" s="67"/>
      <c r="LC31" s="67"/>
      <c r="LD31" s="67"/>
      <c r="LE31" s="67"/>
      <c r="LF31" s="67"/>
      <c r="LG31" s="67"/>
      <c r="LH31" s="67"/>
      <c r="LI31" s="67"/>
      <c r="LJ31" s="67"/>
      <c r="LK31" s="67"/>
      <c r="LL31" s="67"/>
      <c r="LM31" s="67"/>
      <c r="LN31" s="67"/>
      <c r="LO31" s="67"/>
      <c r="LP31" s="67"/>
      <c r="LQ31" s="2"/>
      <c r="LR31" s="67"/>
      <c r="LS31" s="67"/>
      <c r="LT31" s="67"/>
      <c r="LU31" s="67"/>
      <c r="LV31" s="67"/>
      <c r="LW31" s="67"/>
      <c r="LX31" s="67"/>
      <c r="LY31" s="67"/>
      <c r="LZ31" s="67"/>
      <c r="MA31" s="67"/>
      <c r="MB31" s="67"/>
      <c r="MC31" s="67"/>
      <c r="MD31" s="67"/>
      <c r="ME31" s="67"/>
      <c r="MF31" s="67"/>
      <c r="MG31" s="67"/>
      <c r="MH31" s="67"/>
      <c r="MI31" s="67"/>
      <c r="MJ31" s="67"/>
      <c r="MK31" s="67"/>
      <c r="ML31" s="67"/>
      <c r="MM31" s="67"/>
      <c r="MN31" s="67"/>
      <c r="MO31" s="67"/>
      <c r="MP31" s="67"/>
      <c r="MQ31" s="67"/>
      <c r="MR31" s="67"/>
      <c r="MS31" s="67"/>
      <c r="MT31" s="67"/>
      <c r="MU31" s="67"/>
      <c r="MV31" s="67"/>
      <c r="MW31" s="67"/>
      <c r="MX31" s="67"/>
      <c r="MY31" s="67"/>
      <c r="MZ31" s="67"/>
      <c r="NA31" s="67"/>
      <c r="NB31" s="67"/>
      <c r="NC31" s="67"/>
      <c r="ND31" s="67"/>
      <c r="NE31" s="67"/>
      <c r="NF31" s="67"/>
      <c r="NG31" s="67"/>
      <c r="NH31" s="67"/>
      <c r="NI31" s="67"/>
      <c r="NJ31" s="68">
        <f t="array" aca="1" ref="NJ31" ca="1">SUMPRODUCT((OFFSET($A31,0,31*($A$3-1)+1,1,31)&lt;&gt;"")*(IF(OFFSET($A31,0,31*($A$3-1)+1,1,31)=$OB$12,0.5,1)*(OFFSET($A$4,0,31*($A$3-1)+1,1,31))))</f>
        <v>1</v>
      </c>
      <c r="NK31" s="69">
        <f t="array" aca="1" ref="NK31" ca="1">SUMPRODUCT((OFFSET($A31,0,1,1,372)&lt;&gt;"")*(IF(OFFSET($A31,0,1,1,372)=$OB$12,0.5,1)*(OFFSET($A$3,0,1,1,372))))</f>
        <v>5</v>
      </c>
      <c r="NL31" s="70">
        <f t="array" aca="1" ref="NL31" ca="1">SUMPRODUCT((OFFSET($A31,0,31*($A$4)+DAY(Holidays!$E$2),1,Holidays!$G$2)&lt;&gt;"")*(IF(OFFSET($A31,0,31*($A$4)+DAY(Holidays!$E$2),1,Holidays!$G$2)=$OB$12,0.5,1)*(OFFSET($A$3,0,31*($A$4)+DAY(Holidays!$E$2),1,Holidays!$G$2))))</f>
        <v>4</v>
      </c>
      <c r="NM31" s="52">
        <f t="array" aca="1" ref="NM31" ca="1">SUMPRODUCT((OFFSET($A31,0,31*($A$4)+DAY(VLOOKUP(NM$5,Sprints[],2,FALSE)),1,VLOOKUP(NM$5,Sprints[],4,FALSE))&lt;&gt;"")*(IF(OFFSET($A31,0,31*($A$4)+DAY(VLOOKUP(NM$5,Sprints[],2,FALSE)),1,VLOOKUP(NM$5,Sprints[],4,FALSE))=$OB$12,0.5,1)*(OFFSET($A$3,0,31*($A$4)+DAY(VLOOKUP(NM$5,Sprints[],2,FALSE)),1,VLOOKUP(NM$5,Sprints[],4,FALSE)))))</f>
        <v>0</v>
      </c>
      <c r="NN31" s="52">
        <f t="array" aca="1" ref="NN31" ca="1">SUMPRODUCT((OFFSET($A31,0,31*($A$4)+DAY(VLOOKUP(NN$5,Sprints[],2,FALSE)),1,VLOOKUP(NN$5,Sprints[],4,FALSE))&lt;&gt;"")*(IF(OFFSET($A31,0,31*($A$4)+DAY(VLOOKUP(NN$5,Sprints[],2,FALSE)),1,VLOOKUP(NN$5,Sprints[],4,FALSE))=$OB$12,0.5,1)*(OFFSET($A$3,0,31*($A$4)+DAY(VLOOKUP(NN$5,Sprints[],2,FALSE)),1,VLOOKUP(NN$5,Sprints[],4,FALSE)))))</f>
        <v>0</v>
      </c>
      <c r="NO31" s="52">
        <f t="array" aca="1" ref="NO31" ca="1">SUMPRODUCT((OFFSET($A31,0,31*($A$4)+DAY(VLOOKUP(NO$5,Sprints[],2,FALSE)),1,VLOOKUP(NO$5,Sprints[],4,FALSE))&lt;&gt;"")*(IF(OFFSET($A31,0,31*($A$4)+DAY(VLOOKUP(NO$5,Sprints[],2,FALSE)),1,VLOOKUP(NO$5,Sprints[],4,FALSE))=$OB$12,0.5,1)*(OFFSET($A$3,0,31*($A$4)+DAY(VLOOKUP(NO$5,Sprints[],2,FALSE)),1,VLOOKUP(NO$5,Sprints[],4,FALSE)))))</f>
        <v>1</v>
      </c>
      <c r="NP31" s="52">
        <f t="array" aca="1" ref="NP31" ca="1">SUMPRODUCT((OFFSET($A31,0,31*(VLOOKUP(NP$5,Sprints[],5,FALSE))+DAY(VLOOKUP(NP$5,Sprints[],2,FALSE)),1,VLOOKUP(NP$5,Sprints[],4,FALSE))&lt;&gt;"")*(IF(OFFSET($A31,0,31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31" s="52">
        <f t="array" aca="1" ref="NQ31" ca="1">SUMPRODUCT((OFFSET($A31,0,31*(VLOOKUP(NQ$5,Sprints[],5,FALSE))+DAY(VLOOKUP(NQ$5,Sprints[],2,FALSE)),1,VLOOKUP(NQ$5,Sprints[],4,FALSE))&lt;&gt;"")*(IF(OFFSET($A31,0,31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31" s="52">
        <f t="array" aca="1" ref="NR31" ca="1">SUMPRODUCT((OFFSET($A31,0,31*(VLOOKUP(NR$5,Sprints[],5,FALSE))+DAY(VLOOKUP(NR$5,Sprints[],2,FALSE)),1,VLOOKUP(NR$5,Sprints[],4,FALSE))&lt;&gt;"")*(IF(OFFSET($A31,0,31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31" s="52">
        <f t="array" aca="1" ref="NS31" ca="1">SUMPRODUCT((OFFSET($A31,0,31*(VLOOKUP(NS$5,Sprints[],5,FALSE))+DAY(VLOOKUP(NS$5,Sprints[],2,FALSE)),1,VLOOKUP(NS$5,Sprints[],4,FALSE))&lt;&gt;"")*(IF(OFFSET($A31,0,31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31" s="52">
        <f t="array" aca="1" ref="NT31" ca="1">SUMPRODUCT((OFFSET($A31,0,31*(VLOOKUP(NT$5,Sprints[],5,FALSE))+DAY(VLOOKUP(NT$5,Sprints[],2,FALSE)),1,VLOOKUP(NT$5,Sprints[],4,FALSE))&lt;&gt;"")*(IF(OFFSET($A31,0,31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31" s="52">
        <f t="array" aca="1" ref="NU31" ca="1">SUMPRODUCT((OFFSET($A31,0,31*(VLOOKUP(NU$5,Sprints[],5,FALSE))+DAY(VLOOKUP(NU$5,Sprints[],2,FALSE)),1,VLOOKUP(NU$5,Sprints[],4,FALSE))&lt;&gt;"")*(IF(OFFSET($A31,0,31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31" s="52">
        <f t="array" aca="1" ref="NV31" ca="1">SUMPRODUCT((OFFSET($A31,0,31*(VLOOKUP(NV$5,Sprints[],5,FALSE))+DAY(VLOOKUP(NV$5,Sprints[],2,FALSE)),1,VLOOKUP(NV$5,Sprints[],4,FALSE))&lt;&gt;"")*(IF(OFFSET($A31,0,31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31" s="52">
        <f t="array" aca="1" ref="NW31" ca="1">SUMPRODUCT((OFFSET($A31,0,31*(VLOOKUP(NW$5,Sprints[],5,FALSE))+DAY(VLOOKUP(NW$5,Sprints[],2,FALSE)),1,VLOOKUP(NW$5,Sprints[],4,FALSE))&lt;&gt;"")*(IF(OFFSET($A31,0,31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31" s="52">
        <f t="array" aca="1" ref="NX31" ca="1">SUMPRODUCT((OFFSET($A31,0,31*(VLOOKUP(NX$5,Sprints[],5,FALSE))+DAY(VLOOKUP(NX$5,Sprints[],2,FALSE)),1,VLOOKUP(NX$5,Sprints[],4,FALSE))&lt;&gt;"")*(IF(OFFSET($A31,0,31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31" s="52">
        <f t="array" aca="1" ref="NY31" ca="1">SUMPRODUCT((OFFSET($A31,0,31*(VLOOKUP(NY$5,Sprints[],5,FALSE))+DAY(VLOOKUP(NY$5,Sprints[],2,FALSE)),1,VLOOKUP(NY$5,Sprints[],4,FALSE))&lt;&gt;"")*(IF(OFFSET($A31,0,31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</row>
    <row r="32" spans="1:392" s="45" customFormat="1" x14ac:dyDescent="0.45">
      <c r="A32" s="66" t="s">
        <v>72</v>
      </c>
      <c r="B32" s="67"/>
      <c r="C32" s="2"/>
      <c r="D32" s="2"/>
      <c r="E32" s="2"/>
      <c r="F32" s="2"/>
      <c r="G32" s="2"/>
      <c r="H32" s="67"/>
      <c r="I32" s="2" t="s">
        <v>35</v>
      </c>
      <c r="J32" s="2"/>
      <c r="K32" s="2"/>
      <c r="L32" s="2"/>
      <c r="M32" s="2"/>
      <c r="N32" s="2"/>
      <c r="O32" s="67"/>
      <c r="P32" s="67"/>
      <c r="Q32" s="2"/>
      <c r="R32" s="2"/>
      <c r="S32" s="2"/>
      <c r="T32" s="2"/>
      <c r="U32" s="2"/>
      <c r="V32" s="67"/>
      <c r="W32" s="67"/>
      <c r="X32" s="2"/>
      <c r="Y32" s="2"/>
      <c r="Z32" s="2"/>
      <c r="AA32" s="2"/>
      <c r="AB32" s="2"/>
      <c r="AC32" s="67"/>
      <c r="AD32" s="67"/>
      <c r="AE32" s="2"/>
      <c r="AF32" s="2"/>
      <c r="AG32" s="2"/>
      <c r="AH32" s="2"/>
      <c r="AI32" s="2"/>
      <c r="AJ32" s="2"/>
      <c r="AK32" s="67"/>
      <c r="AL32" s="67"/>
      <c r="AM32" s="2"/>
      <c r="AN32" s="2"/>
      <c r="AO32" s="2"/>
      <c r="AP32" s="2"/>
      <c r="AQ32" s="2"/>
      <c r="AR32" s="67"/>
      <c r="AS32" s="67"/>
      <c r="AT32" s="2"/>
      <c r="AU32" s="2"/>
      <c r="AV32" s="2"/>
      <c r="AW32" s="2"/>
      <c r="AX32" s="2"/>
      <c r="AY32" s="67"/>
      <c r="AZ32" s="67"/>
      <c r="BA32" s="2"/>
      <c r="BB32" s="67"/>
      <c r="BC32" s="67"/>
      <c r="BD32" s="67"/>
      <c r="BE32" s="67"/>
      <c r="BF32" s="67"/>
      <c r="BG32" s="67"/>
      <c r="BH32" s="67"/>
      <c r="BI32" s="67"/>
      <c r="BJ32" s="67"/>
      <c r="BK32" s="67"/>
      <c r="BL32" s="67"/>
      <c r="BM32" s="67"/>
      <c r="BN32" s="67"/>
      <c r="BO32" s="67"/>
      <c r="BP32" s="67"/>
      <c r="BQ32" s="67"/>
      <c r="BR32" s="67"/>
      <c r="BS32" s="67"/>
      <c r="BT32" s="67"/>
      <c r="BU32" s="67"/>
      <c r="BV32" s="67"/>
      <c r="BW32" s="67"/>
      <c r="BX32" s="67"/>
      <c r="BY32" s="67"/>
      <c r="BZ32" s="67"/>
      <c r="CA32" s="67"/>
      <c r="CB32" s="67"/>
      <c r="CC32" s="67"/>
      <c r="CD32" s="67"/>
      <c r="CE32" s="67"/>
      <c r="CF32" s="2"/>
      <c r="CG32" s="2"/>
      <c r="CH32" s="67"/>
      <c r="CI32" s="67"/>
      <c r="CJ32" s="2" t="s">
        <v>35</v>
      </c>
      <c r="CK32" s="2" t="s">
        <v>35</v>
      </c>
      <c r="CL32" s="67"/>
      <c r="CM32" s="67"/>
      <c r="CN32" s="67"/>
      <c r="CO32" s="67"/>
      <c r="CP32" s="67"/>
      <c r="CQ32" s="2" t="s">
        <v>35</v>
      </c>
      <c r="CR32" s="2"/>
      <c r="CS32" s="67"/>
      <c r="CT32" s="67"/>
      <c r="CU32" s="67"/>
      <c r="CV32" s="67"/>
      <c r="CW32" s="67"/>
      <c r="CX32" s="67"/>
      <c r="CY32" s="67"/>
      <c r="CZ32" s="67"/>
      <c r="DA32" s="67"/>
      <c r="DB32" s="67"/>
      <c r="DC32" s="67"/>
      <c r="DD32" s="67"/>
      <c r="DE32" s="67"/>
      <c r="DF32" s="67"/>
      <c r="DG32" s="67"/>
      <c r="DH32" s="67"/>
      <c r="DI32" s="67"/>
      <c r="DJ32" s="67"/>
      <c r="DK32" s="67"/>
      <c r="DL32" s="67"/>
      <c r="DM32" s="67"/>
      <c r="DN32" s="67"/>
      <c r="DO32" s="67"/>
      <c r="DP32" s="67"/>
      <c r="DQ32" s="67"/>
      <c r="DR32" s="67"/>
      <c r="DS32" s="67"/>
      <c r="DT32" s="67"/>
      <c r="DU32" s="67"/>
      <c r="DV32" s="67"/>
      <c r="DW32" s="67"/>
      <c r="DX32" s="67"/>
      <c r="DY32" s="67"/>
      <c r="DZ32" s="67"/>
      <c r="EA32" s="2"/>
      <c r="EB32" s="67"/>
      <c r="EC32" s="67"/>
      <c r="ED32" s="67"/>
      <c r="EE32" s="67"/>
      <c r="EF32" s="67"/>
      <c r="EG32" s="67"/>
      <c r="EH32" s="2"/>
      <c r="EI32" s="2"/>
      <c r="EJ32" s="2"/>
      <c r="EK32" s="2"/>
      <c r="EL32" s="2"/>
      <c r="EM32" s="2" t="s">
        <v>35</v>
      </c>
      <c r="EN32" s="67"/>
      <c r="EO32" s="67"/>
      <c r="EP32" s="67"/>
      <c r="EQ32" s="67"/>
      <c r="ER32" s="67"/>
      <c r="ES32" s="67"/>
      <c r="ET32" s="67"/>
      <c r="EU32" s="67"/>
      <c r="EV32" s="2"/>
      <c r="EW32" s="2"/>
      <c r="EX32" s="2"/>
      <c r="EY32" s="2"/>
      <c r="EZ32" s="2"/>
      <c r="FA32" s="67"/>
      <c r="FB32" s="67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67"/>
      <c r="GD32" s="67"/>
      <c r="GE32" s="67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2"/>
      <c r="GY32" s="2"/>
      <c r="GZ32" s="2"/>
      <c r="HA32" s="2"/>
      <c r="HB32" s="2"/>
      <c r="HC32" s="2"/>
      <c r="HD32" s="2"/>
      <c r="HE32" s="2"/>
      <c r="HF32" s="2"/>
      <c r="HG32" s="2"/>
      <c r="HH32" s="2"/>
      <c r="HI32" s="2"/>
      <c r="HJ32" s="2"/>
      <c r="HK32" s="67"/>
      <c r="HL32" s="67"/>
      <c r="HM32" s="67"/>
      <c r="HN32" s="67"/>
      <c r="HO32" s="67"/>
      <c r="HP32" s="67"/>
      <c r="HQ32" s="67"/>
      <c r="HR32" s="67"/>
      <c r="HS32" s="67"/>
      <c r="HT32" s="67"/>
      <c r="HU32" s="67"/>
      <c r="HV32" s="67"/>
      <c r="HW32" s="67"/>
      <c r="HX32" s="67"/>
      <c r="HY32" s="67"/>
      <c r="HZ32" s="67"/>
      <c r="IA32" s="67"/>
      <c r="IB32" s="67"/>
      <c r="IC32" s="67"/>
      <c r="ID32" s="67"/>
      <c r="IE32" s="67"/>
      <c r="IF32" s="67"/>
      <c r="IG32" s="67"/>
      <c r="IH32" s="67"/>
      <c r="II32" s="67"/>
      <c r="IJ32" s="67"/>
      <c r="IK32" s="67"/>
      <c r="IL32" s="67"/>
      <c r="IM32" s="67"/>
      <c r="IN32" s="67"/>
      <c r="IO32" s="67"/>
      <c r="IP32" s="67"/>
      <c r="IQ32" s="67"/>
      <c r="IR32" s="67"/>
      <c r="IS32" s="67"/>
      <c r="IT32" s="67"/>
      <c r="IU32" s="67"/>
      <c r="IV32" s="67"/>
      <c r="IW32" s="67"/>
      <c r="IX32" s="67"/>
      <c r="IY32" s="67"/>
      <c r="IZ32" s="67"/>
      <c r="JA32" s="67"/>
      <c r="JB32" s="67"/>
      <c r="JC32" s="67"/>
      <c r="JD32" s="67"/>
      <c r="JE32" s="67"/>
      <c r="JF32" s="67"/>
      <c r="JG32" s="67"/>
      <c r="JH32" s="67"/>
      <c r="JI32" s="67"/>
      <c r="JJ32" s="67"/>
      <c r="JK32" s="67"/>
      <c r="JL32" s="67"/>
      <c r="JM32" s="67"/>
      <c r="JN32" s="2"/>
      <c r="JO32" s="2"/>
      <c r="JP32" s="67"/>
      <c r="JQ32" s="67"/>
      <c r="JR32" s="67"/>
      <c r="JS32" s="67"/>
      <c r="JT32" s="67"/>
      <c r="JU32" s="2"/>
      <c r="JV32" s="67"/>
      <c r="JW32" s="67"/>
      <c r="JX32" s="67"/>
      <c r="JY32" s="67"/>
      <c r="JZ32" s="67"/>
      <c r="KA32" s="67"/>
      <c r="KB32" s="67"/>
      <c r="KC32" s="67"/>
      <c r="KD32" s="67"/>
      <c r="KE32" s="67"/>
      <c r="KF32" s="67"/>
      <c r="KG32" s="67"/>
      <c r="KH32" s="67"/>
      <c r="KI32" s="67"/>
      <c r="KJ32" s="67"/>
      <c r="KK32" s="67"/>
      <c r="KL32" s="67"/>
      <c r="KM32" s="67"/>
      <c r="KN32" s="67"/>
      <c r="KO32" s="67"/>
      <c r="KP32" s="67"/>
      <c r="KQ32" s="67"/>
      <c r="KR32" s="67"/>
      <c r="KS32" s="67"/>
      <c r="KT32" s="67"/>
      <c r="KU32" s="67"/>
      <c r="KV32" s="67"/>
      <c r="KW32" s="67"/>
      <c r="KX32" s="67"/>
      <c r="KY32" s="67"/>
      <c r="KZ32" s="67"/>
      <c r="LA32" s="67"/>
      <c r="LB32" s="67"/>
      <c r="LC32" s="67"/>
      <c r="LD32" s="67"/>
      <c r="LE32" s="67"/>
      <c r="LF32" s="67"/>
      <c r="LG32" s="67"/>
      <c r="LH32" s="67"/>
      <c r="LI32" s="67"/>
      <c r="LJ32" s="67"/>
      <c r="LK32" s="67"/>
      <c r="LL32" s="67"/>
      <c r="LM32" s="67"/>
      <c r="LN32" s="67"/>
      <c r="LO32" s="67"/>
      <c r="LP32" s="67"/>
      <c r="LQ32" s="2"/>
      <c r="LR32" s="67"/>
      <c r="LS32" s="67"/>
      <c r="LT32" s="67"/>
      <c r="LU32" s="67"/>
      <c r="LV32" s="67"/>
      <c r="LW32" s="67"/>
      <c r="LX32" s="67"/>
      <c r="LY32" s="67"/>
      <c r="LZ32" s="67"/>
      <c r="MA32" s="67"/>
      <c r="MB32" s="67"/>
      <c r="MC32" s="67"/>
      <c r="MD32" s="67"/>
      <c r="ME32" s="67"/>
      <c r="MF32" s="67"/>
      <c r="MG32" s="67"/>
      <c r="MH32" s="67"/>
      <c r="MI32" s="67"/>
      <c r="MJ32" s="67"/>
      <c r="MK32" s="67"/>
      <c r="ML32" s="67"/>
      <c r="MM32" s="67"/>
      <c r="MN32" s="67"/>
      <c r="MO32" s="67"/>
      <c r="MP32" s="67"/>
      <c r="MQ32" s="67"/>
      <c r="MR32" s="67"/>
      <c r="MS32" s="67"/>
      <c r="MT32" s="67"/>
      <c r="MU32" s="67"/>
      <c r="MV32" s="67"/>
      <c r="MW32" s="67"/>
      <c r="MX32" s="67"/>
      <c r="MY32" s="67"/>
      <c r="MZ32" s="67"/>
      <c r="NA32" s="67"/>
      <c r="NB32" s="67"/>
      <c r="NC32" s="67"/>
      <c r="ND32" s="67"/>
      <c r="NE32" s="67"/>
      <c r="NF32" s="67"/>
      <c r="NG32" s="67"/>
      <c r="NH32" s="67"/>
      <c r="NI32" s="67"/>
      <c r="NJ32" s="68">
        <f t="array" aca="1" ref="NJ32" ca="1">SUMPRODUCT((OFFSET($A32,0,31*($A$3-1)+1,1,31)&lt;&gt;"")*(IF(OFFSET($A32,0,31*($A$3-1)+1,1,31)=$OB$12,0.5,1)*(OFFSET($A$4,0,31*($A$3-1)+1,1,31))))</f>
        <v>1</v>
      </c>
      <c r="NK32" s="69">
        <f t="array" aca="1" ref="NK32" ca="1">SUMPRODUCT((OFFSET($A32,0,1,1,372)&lt;&gt;"")*(IF(OFFSET($A32,0,1,1,372)=$OB$12,0.5,1)*(OFFSET($A$3,0,1,1,372))))</f>
        <v>5</v>
      </c>
      <c r="NL32" s="70">
        <f t="array" aca="1" ref="NL32" ca="1">SUMPRODUCT((OFFSET($A32,0,31*($A$4)+DAY(Holidays!$E$2),1,Holidays!$G$2)&lt;&gt;"")*(IF(OFFSET($A32,0,31*($A$4)+DAY(Holidays!$E$2),1,Holidays!$G$2)=$OB$12,0.5,1)*(OFFSET($A$3,0,31*($A$4)+DAY(Holidays!$E$2),1,Holidays!$G$2))))</f>
        <v>4</v>
      </c>
      <c r="NM32" s="52">
        <f t="array" aca="1" ref="NM32" ca="1">SUMPRODUCT((OFFSET($A32,0,31*($A$4)+DAY(VLOOKUP(NM$5,Sprints[],2,FALSE)),1,VLOOKUP(NM$5,Sprints[],4,FALSE))&lt;&gt;"")*(IF(OFFSET($A32,0,31*($A$4)+DAY(VLOOKUP(NM$5,Sprints[],2,FALSE)),1,VLOOKUP(NM$5,Sprints[],4,FALSE))=$OB$12,0.5,1)*(OFFSET($A$3,0,31*($A$4)+DAY(VLOOKUP(NM$5,Sprints[],2,FALSE)),1,VLOOKUP(NM$5,Sprints[],4,FALSE)))))</f>
        <v>0</v>
      </c>
      <c r="NN32" s="52">
        <f t="array" aca="1" ref="NN32" ca="1">SUMPRODUCT((OFFSET($A32,0,31*($A$4)+DAY(VLOOKUP(NN$5,Sprints[],2,FALSE)),1,VLOOKUP(NN$5,Sprints[],4,FALSE))&lt;&gt;"")*(IF(OFFSET($A32,0,31*($A$4)+DAY(VLOOKUP(NN$5,Sprints[],2,FALSE)),1,VLOOKUP(NN$5,Sprints[],4,FALSE))=$OB$12,0.5,1)*(OFFSET($A$3,0,31*($A$4)+DAY(VLOOKUP(NN$5,Sprints[],2,FALSE)),1,VLOOKUP(NN$5,Sprints[],4,FALSE)))))</f>
        <v>0</v>
      </c>
      <c r="NO32" s="52">
        <f t="array" aca="1" ref="NO32" ca="1">SUMPRODUCT((OFFSET($A32,0,31*($A$4)+DAY(VLOOKUP(NO$5,Sprints[],2,FALSE)),1,VLOOKUP(NO$5,Sprints[],4,FALSE))&lt;&gt;"")*(IF(OFFSET($A32,0,31*($A$4)+DAY(VLOOKUP(NO$5,Sprints[],2,FALSE)),1,VLOOKUP(NO$5,Sprints[],4,FALSE))=$OB$12,0.5,1)*(OFFSET($A$3,0,31*($A$4)+DAY(VLOOKUP(NO$5,Sprints[],2,FALSE)),1,VLOOKUP(NO$5,Sprints[],4,FALSE)))))</f>
        <v>1</v>
      </c>
      <c r="NP32" s="52">
        <f t="array" aca="1" ref="NP32" ca="1">SUMPRODUCT((OFFSET($A32,0,31*(VLOOKUP(NP$5,Sprints[],5,FALSE))+DAY(VLOOKUP(NP$5,Sprints[],2,FALSE)),1,VLOOKUP(NP$5,Sprints[],4,FALSE))&lt;&gt;"")*(IF(OFFSET($A32,0,31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32" s="52">
        <f t="array" aca="1" ref="NQ32" ca="1">SUMPRODUCT((OFFSET($A32,0,31*(VLOOKUP(NQ$5,Sprints[],5,FALSE))+DAY(VLOOKUP(NQ$5,Sprints[],2,FALSE)),1,VLOOKUP(NQ$5,Sprints[],4,FALSE))&lt;&gt;"")*(IF(OFFSET($A32,0,31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32" s="52">
        <f t="array" aca="1" ref="NR32" ca="1">SUMPRODUCT((OFFSET($A32,0,31*(VLOOKUP(NR$5,Sprints[],5,FALSE))+DAY(VLOOKUP(NR$5,Sprints[],2,FALSE)),1,VLOOKUP(NR$5,Sprints[],4,FALSE))&lt;&gt;"")*(IF(OFFSET($A32,0,31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32" s="52">
        <f t="array" aca="1" ref="NS32" ca="1">SUMPRODUCT((OFFSET($A32,0,31*(VLOOKUP(NS$5,Sprints[],5,FALSE))+DAY(VLOOKUP(NS$5,Sprints[],2,FALSE)),1,VLOOKUP(NS$5,Sprints[],4,FALSE))&lt;&gt;"")*(IF(OFFSET($A32,0,31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32" s="52">
        <f t="array" aca="1" ref="NT32" ca="1">SUMPRODUCT((OFFSET($A32,0,31*(VLOOKUP(NT$5,Sprints[],5,FALSE))+DAY(VLOOKUP(NT$5,Sprints[],2,FALSE)),1,VLOOKUP(NT$5,Sprints[],4,FALSE))&lt;&gt;"")*(IF(OFFSET($A32,0,31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32" s="52">
        <f t="array" aca="1" ref="NU32" ca="1">SUMPRODUCT((OFFSET($A32,0,31*(VLOOKUP(NU$5,Sprints[],5,FALSE))+DAY(VLOOKUP(NU$5,Sprints[],2,FALSE)),1,VLOOKUP(NU$5,Sprints[],4,FALSE))&lt;&gt;"")*(IF(OFFSET($A32,0,31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32" s="52">
        <f t="array" aca="1" ref="NV32" ca="1">SUMPRODUCT((OFFSET($A32,0,31*(VLOOKUP(NV$5,Sprints[],5,FALSE))+DAY(VLOOKUP(NV$5,Sprints[],2,FALSE)),1,VLOOKUP(NV$5,Sprints[],4,FALSE))&lt;&gt;"")*(IF(OFFSET($A32,0,31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32" s="52">
        <f t="array" aca="1" ref="NW32" ca="1">SUMPRODUCT((OFFSET($A32,0,31*(VLOOKUP(NW$5,Sprints[],5,FALSE))+DAY(VLOOKUP(NW$5,Sprints[],2,FALSE)),1,VLOOKUP(NW$5,Sprints[],4,FALSE))&lt;&gt;"")*(IF(OFFSET($A32,0,31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32" s="52">
        <f t="array" aca="1" ref="NX32" ca="1">SUMPRODUCT((OFFSET($A32,0,31*(VLOOKUP(NX$5,Sprints[],5,FALSE))+DAY(VLOOKUP(NX$5,Sprints[],2,FALSE)),1,VLOOKUP(NX$5,Sprints[],4,FALSE))&lt;&gt;"")*(IF(OFFSET($A32,0,31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32" s="52">
        <f t="array" aca="1" ref="NY32" ca="1">SUMPRODUCT((OFFSET($A32,0,31*(VLOOKUP(NY$5,Sprints[],5,FALSE))+DAY(VLOOKUP(NY$5,Sprints[],2,FALSE)),1,VLOOKUP(NY$5,Sprints[],4,FALSE))&lt;&gt;"")*(IF(OFFSET($A32,0,31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</row>
    <row r="33" spans="1:389" ht="14.65" thickBot="1" x14ac:dyDescent="0.5">
      <c r="A33" s="41" t="s">
        <v>79</v>
      </c>
      <c r="B33" s="37"/>
      <c r="C33" s="37"/>
      <c r="D33" s="37"/>
      <c r="E33" s="37"/>
      <c r="F33" s="37"/>
      <c r="G33" s="37"/>
      <c r="H33" s="37"/>
      <c r="I33" s="2" t="s">
        <v>35</v>
      </c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  <c r="AF33" s="37"/>
      <c r="AG33" s="37"/>
      <c r="AH33" s="37"/>
      <c r="AI33" s="37"/>
      <c r="AJ33" s="37"/>
      <c r="AK33" s="37"/>
      <c r="AL33" s="37"/>
      <c r="AM33" s="37"/>
      <c r="AN33" s="37"/>
      <c r="AO33" s="37"/>
      <c r="AP33" s="37"/>
      <c r="AQ33" s="37"/>
      <c r="AR33" s="37"/>
      <c r="AS33" s="37"/>
      <c r="AT33" s="37"/>
      <c r="AU33" s="37"/>
      <c r="AV33" s="37"/>
      <c r="AW33" s="37"/>
      <c r="AX33" s="37"/>
      <c r="AY33" s="37"/>
      <c r="AZ33" s="37"/>
      <c r="BA33" s="37"/>
      <c r="BB33" s="37"/>
      <c r="BC33" s="37"/>
      <c r="BD33" s="37"/>
      <c r="BE33" s="37"/>
      <c r="BF33" s="37"/>
      <c r="BG33" s="37"/>
      <c r="BH33" s="37"/>
      <c r="BI33" s="37"/>
      <c r="BJ33" s="37"/>
      <c r="BK33" s="37"/>
      <c r="BL33" s="37"/>
      <c r="BM33" s="37"/>
      <c r="BN33" s="37"/>
      <c r="BO33" s="37"/>
      <c r="BP33" s="37"/>
      <c r="BQ33" s="37"/>
      <c r="BR33" s="37"/>
      <c r="BS33" s="37"/>
      <c r="BT33" s="37"/>
      <c r="BU33" s="37"/>
      <c r="BV33" s="37"/>
      <c r="BW33" s="37"/>
      <c r="BX33" s="37"/>
      <c r="BY33" s="37"/>
      <c r="BZ33" s="37"/>
      <c r="CA33" s="37"/>
      <c r="CB33" s="37"/>
      <c r="CC33" s="37"/>
      <c r="CD33" s="37"/>
      <c r="CE33" s="37"/>
      <c r="CF33" s="37"/>
      <c r="CG33" s="37"/>
      <c r="CH33" s="37"/>
      <c r="CI33" s="37"/>
      <c r="CJ33" s="2" t="s">
        <v>35</v>
      </c>
      <c r="CK33" s="2" t="s">
        <v>35</v>
      </c>
      <c r="CL33" s="37"/>
      <c r="CM33" s="37"/>
      <c r="CN33" s="37"/>
      <c r="CO33" s="37"/>
      <c r="CP33" s="37"/>
      <c r="CQ33" s="2" t="s">
        <v>35</v>
      </c>
      <c r="CR33" s="2"/>
      <c r="CS33" s="37"/>
      <c r="CT33" s="37"/>
      <c r="CU33" s="37"/>
      <c r="CV33" s="37"/>
      <c r="CW33" s="37"/>
      <c r="CX33" s="37"/>
      <c r="CY33" s="37"/>
      <c r="CZ33" s="37"/>
      <c r="DA33" s="37"/>
      <c r="DB33" s="37"/>
      <c r="DC33" s="37"/>
      <c r="DD33" s="37"/>
      <c r="DE33" s="37"/>
      <c r="DF33" s="37"/>
      <c r="DG33" s="37"/>
      <c r="DH33" s="37"/>
      <c r="DI33" s="37"/>
      <c r="DJ33" s="37"/>
      <c r="DK33" s="37"/>
      <c r="DL33" s="37"/>
      <c r="DM33" s="37"/>
      <c r="DN33" s="37"/>
      <c r="DO33" s="37"/>
      <c r="DP33" s="37"/>
      <c r="DQ33" s="37"/>
      <c r="DR33" s="37"/>
      <c r="DS33" s="37"/>
      <c r="DT33" s="37"/>
      <c r="DU33" s="37"/>
      <c r="DV33" s="37"/>
      <c r="DW33" s="37"/>
      <c r="DX33" s="37"/>
      <c r="DY33" s="37"/>
      <c r="DZ33" s="37"/>
      <c r="EA33" s="37"/>
      <c r="EB33" s="37"/>
      <c r="EC33" s="37"/>
      <c r="ED33" s="37"/>
      <c r="EE33" s="37"/>
      <c r="EF33" s="37"/>
      <c r="EG33" s="37"/>
      <c r="EH33" s="37"/>
      <c r="EI33" s="37"/>
      <c r="EJ33" s="37"/>
      <c r="EK33" s="2"/>
      <c r="EL33" s="2"/>
      <c r="EM33" s="2" t="s">
        <v>35</v>
      </c>
      <c r="EN33" s="37"/>
      <c r="EO33" s="37"/>
      <c r="EP33" s="37"/>
      <c r="EQ33" s="37"/>
      <c r="ER33" s="37"/>
      <c r="ES33" s="37"/>
      <c r="ET33" s="37"/>
      <c r="EU33" s="37"/>
      <c r="EV33" s="37"/>
      <c r="EW33" s="37"/>
      <c r="EX33" s="37"/>
      <c r="EY33" s="37"/>
      <c r="EZ33" s="37"/>
      <c r="FA33" s="37"/>
      <c r="FB33" s="37"/>
      <c r="FC33" s="37"/>
      <c r="FD33" s="37"/>
      <c r="FE33" s="37"/>
      <c r="FF33" s="37"/>
      <c r="FG33" s="37"/>
      <c r="FH33" s="37"/>
      <c r="FI33" s="37"/>
      <c r="FJ33" s="37"/>
      <c r="FK33" s="37"/>
      <c r="FL33" s="37"/>
      <c r="FM33" s="37"/>
      <c r="FN33" s="37"/>
      <c r="FO33" s="37"/>
      <c r="FP33" s="37"/>
      <c r="FQ33" s="37"/>
      <c r="FR33" s="37"/>
      <c r="FS33" s="37"/>
      <c r="FT33" s="37"/>
      <c r="FU33" s="37"/>
      <c r="FV33" s="37"/>
      <c r="FW33" s="37"/>
      <c r="FX33" s="37"/>
      <c r="FY33" s="37"/>
      <c r="FZ33" s="37"/>
      <c r="GA33" s="37"/>
      <c r="GB33" s="37"/>
      <c r="GC33" s="37"/>
      <c r="GD33" s="37"/>
      <c r="GE33" s="37"/>
      <c r="GF33" s="37"/>
      <c r="GG33" s="37"/>
      <c r="GH33" s="37"/>
      <c r="GI33" s="37"/>
      <c r="GJ33" s="37"/>
      <c r="GK33" s="37"/>
      <c r="GL33" s="37"/>
      <c r="GM33" s="2"/>
      <c r="GN33" s="37"/>
      <c r="GO33" s="37"/>
      <c r="GP33" s="37"/>
      <c r="GQ33" s="37"/>
      <c r="GR33" s="37"/>
      <c r="GS33" s="37"/>
      <c r="GT33" s="37"/>
      <c r="GU33" s="37"/>
      <c r="GV33" s="37"/>
      <c r="GW33" s="37"/>
      <c r="GX33" s="37"/>
      <c r="GY33" s="37"/>
      <c r="GZ33" s="37"/>
      <c r="HA33" s="37"/>
      <c r="HB33" s="37"/>
      <c r="HC33" s="37"/>
      <c r="HD33" s="37"/>
      <c r="HE33" s="37"/>
      <c r="HF33" s="37"/>
      <c r="HG33" s="37"/>
      <c r="HH33" s="37"/>
      <c r="HI33" s="37"/>
      <c r="HJ33" s="37"/>
      <c r="HK33" s="37"/>
      <c r="HL33" s="37"/>
      <c r="HM33" s="37"/>
      <c r="HN33" s="37"/>
      <c r="HO33" s="37"/>
      <c r="HP33" s="37"/>
      <c r="HQ33" s="37"/>
      <c r="HR33" s="37"/>
      <c r="HS33" s="37"/>
      <c r="HT33" s="37"/>
      <c r="HU33" s="37"/>
      <c r="HV33" s="37"/>
      <c r="HW33" s="37"/>
      <c r="HX33" s="37"/>
      <c r="HY33" s="37"/>
      <c r="HZ33" s="37"/>
      <c r="IA33" s="37"/>
      <c r="IB33" s="37"/>
      <c r="IC33" s="37"/>
      <c r="ID33" s="37"/>
      <c r="IE33" s="37"/>
      <c r="IF33" s="37"/>
      <c r="IG33" s="37"/>
      <c r="IH33" s="37"/>
      <c r="II33" s="37"/>
      <c r="IJ33" s="37"/>
      <c r="IK33" s="37"/>
      <c r="IL33" s="37"/>
      <c r="IM33" s="37"/>
      <c r="IN33" s="37"/>
      <c r="IO33" s="37"/>
      <c r="IP33" s="37"/>
      <c r="IQ33" s="37"/>
      <c r="IR33" s="37"/>
      <c r="IS33" s="37"/>
      <c r="IT33" s="37"/>
      <c r="IU33" s="37"/>
      <c r="IV33" s="37"/>
      <c r="IW33" s="37"/>
      <c r="IX33" s="37"/>
      <c r="IY33" s="37"/>
      <c r="IZ33" s="37"/>
      <c r="JA33" s="37"/>
      <c r="JB33" s="37"/>
      <c r="JC33" s="37"/>
      <c r="JD33" s="37"/>
      <c r="JE33" s="37"/>
      <c r="JF33" s="37"/>
      <c r="JG33" s="37"/>
      <c r="JH33" s="37"/>
      <c r="JI33" s="37"/>
      <c r="JJ33" s="37"/>
      <c r="JK33" s="37"/>
      <c r="JL33" s="37"/>
      <c r="JM33" s="37"/>
      <c r="JN33" s="37"/>
      <c r="JO33" s="37"/>
      <c r="JP33" s="37"/>
      <c r="JQ33" s="37"/>
      <c r="JR33" s="37"/>
      <c r="JS33" s="37"/>
      <c r="JT33" s="37"/>
      <c r="JU33" s="37"/>
      <c r="JV33" s="37"/>
      <c r="JW33" s="37"/>
      <c r="JX33" s="37"/>
      <c r="JY33" s="37"/>
      <c r="JZ33" s="37"/>
      <c r="KA33" s="37"/>
      <c r="KB33" s="37"/>
      <c r="KC33" s="37"/>
      <c r="KD33" s="37"/>
      <c r="KE33" s="37"/>
      <c r="KF33" s="37"/>
      <c r="KG33" s="37"/>
      <c r="KH33" s="37"/>
      <c r="KI33" s="37"/>
      <c r="KJ33" s="37"/>
      <c r="KK33" s="37"/>
      <c r="KL33" s="37"/>
      <c r="KM33" s="37"/>
      <c r="KN33" s="37"/>
      <c r="KO33" s="37"/>
      <c r="KP33" s="37"/>
      <c r="KQ33" s="37"/>
      <c r="KR33" s="37"/>
      <c r="KS33" s="37"/>
      <c r="KT33" s="37"/>
      <c r="KU33" s="37"/>
      <c r="KV33" s="37"/>
      <c r="KW33" s="37"/>
      <c r="KX33" s="37"/>
      <c r="KY33" s="37"/>
      <c r="KZ33" s="37"/>
      <c r="LA33" s="37"/>
      <c r="LB33" s="37"/>
      <c r="LC33" s="37"/>
      <c r="LD33" s="37"/>
      <c r="LE33" s="37"/>
      <c r="LF33" s="37"/>
      <c r="LG33" s="37"/>
      <c r="LH33" s="37"/>
      <c r="LI33" s="37"/>
      <c r="LJ33" s="37"/>
      <c r="LK33" s="37"/>
      <c r="LL33" s="37"/>
      <c r="LM33" s="37"/>
      <c r="LN33" s="37"/>
      <c r="LO33" s="37"/>
      <c r="LP33" s="37"/>
      <c r="LQ33" s="37"/>
      <c r="LR33" s="37"/>
      <c r="LS33" s="37"/>
      <c r="LT33" s="37"/>
      <c r="LU33" s="37"/>
      <c r="LV33" s="37"/>
      <c r="LW33" s="37"/>
      <c r="LX33" s="37"/>
      <c r="LY33" s="37"/>
      <c r="LZ33" s="37"/>
      <c r="MA33" s="37"/>
      <c r="MB33" s="37"/>
      <c r="MC33" s="37"/>
      <c r="MD33" s="37"/>
      <c r="ME33" s="37"/>
      <c r="MF33" s="37"/>
      <c r="MG33" s="37"/>
      <c r="MH33" s="37"/>
      <c r="MI33" s="37"/>
      <c r="MJ33" s="37"/>
      <c r="MK33" s="37"/>
      <c r="ML33" s="37"/>
      <c r="MM33" s="37"/>
      <c r="MN33" s="37"/>
      <c r="MO33" s="37"/>
      <c r="MP33" s="37"/>
      <c r="MQ33" s="37"/>
      <c r="MR33" s="37"/>
      <c r="MS33" s="37"/>
      <c r="MT33" s="37"/>
      <c r="MU33" s="37"/>
      <c r="MV33" s="37"/>
      <c r="MW33" s="37"/>
      <c r="MX33" s="37"/>
      <c r="MY33" s="37"/>
      <c r="MZ33" s="37"/>
      <c r="NA33" s="37"/>
      <c r="NB33" s="37"/>
      <c r="NC33" s="37"/>
      <c r="ND33" s="37"/>
      <c r="NE33" s="37"/>
      <c r="NF33" s="37"/>
      <c r="NG33" s="37"/>
      <c r="NH33" s="37"/>
      <c r="NI33" s="37"/>
      <c r="NJ33" s="58">
        <f t="array" aca="1" ref="NJ33" ca="1">SUMPRODUCT((OFFSET($A33,0,31*($A$3-1)+1,1,31)&lt;&gt;"")*(IF(OFFSET($A33,0,31*($A$3-1)+1,1,31)=$OB$12,0.5,1)*(OFFSET($A$4,0,31*($A$3-1)+1,1,31))))</f>
        <v>1</v>
      </c>
      <c r="NK33" s="55">
        <f t="array" aca="1" ref="NK33" ca="1">SUMPRODUCT((OFFSET($A33,0,1,1,372)&lt;&gt;"")*(IF(OFFSET($A33,0,1,1,372)=$OB$12,0.5,1)*(OFFSET($A$3,0,1,1,372))))</f>
        <v>5</v>
      </c>
      <c r="NL33" s="43">
        <f t="array" aca="1" ref="NL33" ca="1">SUMPRODUCT((OFFSET($A33,0,31*($A$4)+DAY(Holidays!$E$2),1,Holidays!$G$2)&lt;&gt;"")*(IF(OFFSET($A33,0,31*($A$4)+DAY(Holidays!$E$2),1,Holidays!$G$2)=$OB$12,0.5,1)*(OFFSET($A$3,0,31*($A$4)+DAY(Holidays!$E$2),1,Holidays!$G$2))))</f>
        <v>4</v>
      </c>
      <c r="NM33" s="53">
        <f t="array" aca="1" ref="NM33" ca="1">SUMPRODUCT((OFFSET($A33,0,31*($A$4)+DAY(VLOOKUP(NM$5,Sprints[],2,FALSE)),1,VLOOKUP(NM$5,Sprints[],4,FALSE))&lt;&gt;"")*(IF(OFFSET($A33,0,31*($A$4)+DAY(VLOOKUP(NM$5,Sprints[],2,FALSE)),1,VLOOKUP(NM$5,Sprints[],4,FALSE))=$OB$12,0.5,1)*(OFFSET($A$3,0,31*($A$4)+DAY(VLOOKUP(NM$5,Sprints[],2,FALSE)),1,VLOOKUP(NM$5,Sprints[],4,FALSE)))))</f>
        <v>0</v>
      </c>
      <c r="NN33" s="53">
        <f t="array" aca="1" ref="NN33" ca="1">SUMPRODUCT((OFFSET($A33,0,31*($A$4)+DAY(VLOOKUP(NN$5,Sprints[],2,FALSE)),1,VLOOKUP(NN$5,Sprints[],4,FALSE))&lt;&gt;"")*(IF(OFFSET($A33,0,31*($A$4)+DAY(VLOOKUP(NN$5,Sprints[],2,FALSE)),1,VLOOKUP(NN$5,Sprints[],4,FALSE))=$OB$12,0.5,1)*(OFFSET($A$3,0,31*($A$4)+DAY(VLOOKUP(NN$5,Sprints[],2,FALSE)),1,VLOOKUP(NN$5,Sprints[],4,FALSE)))))</f>
        <v>0</v>
      </c>
      <c r="NO33" s="53">
        <f t="array" aca="1" ref="NO33" ca="1">SUMPRODUCT((OFFSET($A33,0,31*($A$4)+DAY(VLOOKUP(NO$5,Sprints[],2,FALSE)),1,VLOOKUP(NO$5,Sprints[],4,FALSE))&lt;&gt;"")*(IF(OFFSET($A33,0,31*($A$4)+DAY(VLOOKUP(NO$5,Sprints[],2,FALSE)),1,VLOOKUP(NO$5,Sprints[],4,FALSE))=$OB$12,0.5,1)*(OFFSET($A$3,0,31*($A$4)+DAY(VLOOKUP(NO$5,Sprints[],2,FALSE)),1,VLOOKUP(NO$5,Sprints[],4,FALSE)))))</f>
        <v>1</v>
      </c>
      <c r="NP33" s="53">
        <f t="array" aca="1" ref="NP33" ca="1">SUMPRODUCT((OFFSET($A33,0,31*(VLOOKUP(NP$5,Sprints[],5,FALSE))+DAY(VLOOKUP(NP$5,Sprints[],2,FALSE)),1,VLOOKUP(NP$5,Sprints[],4,FALSE))&lt;&gt;"")*(IF(OFFSET($A33,0,31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33" s="53">
        <f t="array" aca="1" ref="NQ33" ca="1">SUMPRODUCT((OFFSET($A33,0,31*(VLOOKUP(NQ$5,Sprints[],5,FALSE))+DAY(VLOOKUP(NQ$5,Sprints[],2,FALSE)),1,VLOOKUP(NQ$5,Sprints[],4,FALSE))&lt;&gt;"")*(IF(OFFSET($A33,0,31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33" s="53">
        <f t="array" aca="1" ref="NR33" ca="1">SUMPRODUCT((OFFSET($A33,0,31*(VLOOKUP(NR$5,Sprints[],5,FALSE))+DAY(VLOOKUP(NR$5,Sprints[],2,FALSE)),1,VLOOKUP(NR$5,Sprints[],4,FALSE))&lt;&gt;"")*(IF(OFFSET($A33,0,31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33" s="53">
        <f t="array" aca="1" ref="NS33" ca="1">SUMPRODUCT((OFFSET($A33,0,31*(VLOOKUP(NS$5,Sprints[],5,FALSE))+DAY(VLOOKUP(NS$5,Sprints[],2,FALSE)),1,VLOOKUP(NS$5,Sprints[],4,FALSE))&lt;&gt;"")*(IF(OFFSET($A33,0,31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33" s="53">
        <f t="array" aca="1" ref="NT33" ca="1">SUMPRODUCT((OFFSET($A33,0,31*(VLOOKUP(NT$5,Sprints[],5,FALSE))+DAY(VLOOKUP(NT$5,Sprints[],2,FALSE)),1,VLOOKUP(NT$5,Sprints[],4,FALSE))&lt;&gt;"")*(IF(OFFSET($A33,0,31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33" s="53">
        <f t="array" aca="1" ref="NU33" ca="1">SUMPRODUCT((OFFSET($A33,0,31*(VLOOKUP(NU$5,Sprints[],5,FALSE))+DAY(VLOOKUP(NU$5,Sprints[],2,FALSE)),1,VLOOKUP(NU$5,Sprints[],4,FALSE))&lt;&gt;"")*(IF(OFFSET($A33,0,31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33" s="53">
        <f t="array" aca="1" ref="NV33" ca="1">SUMPRODUCT((OFFSET($A33,0,31*(VLOOKUP(NV$5,Sprints[],5,FALSE))+DAY(VLOOKUP(NV$5,Sprints[],2,FALSE)),1,VLOOKUP(NV$5,Sprints[],4,FALSE))&lt;&gt;"")*(IF(OFFSET($A33,0,31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33" s="53">
        <f t="array" aca="1" ref="NW33" ca="1">SUMPRODUCT((OFFSET($A33,0,31*(VLOOKUP(NW$5,Sprints[],5,FALSE))+DAY(VLOOKUP(NW$5,Sprints[],2,FALSE)),1,VLOOKUP(NW$5,Sprints[],4,FALSE))&lt;&gt;"")*(IF(OFFSET($A33,0,31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33" s="53">
        <f t="array" aca="1" ref="NX33" ca="1">SUMPRODUCT((OFFSET($A33,0,31*(VLOOKUP(NX$5,Sprints[],5,FALSE))+DAY(VLOOKUP(NX$5,Sprints[],2,FALSE)),1,VLOOKUP(NX$5,Sprints[],4,FALSE))&lt;&gt;"")*(IF(OFFSET($A33,0,31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33" s="52">
        <f t="array" aca="1" ref="NY33" ca="1">SUMPRODUCT((OFFSET($A33,0,31*(VLOOKUP(NY$5,Sprints[],5,FALSE))+DAY(VLOOKUP(NY$5,Sprints[],2,FALSE)),1,VLOOKUP(NY$5,Sprints[],4,FALSE))&lt;&gt;"")*(IF(OFFSET($A33,0,31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</row>
    <row r="34" spans="1:389" ht="14.65" thickTop="1" x14ac:dyDescent="0.45">
      <c r="A34" s="46" t="s">
        <v>89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J34" s="36"/>
      <c r="AK34" s="36"/>
      <c r="AL34" s="36"/>
      <c r="AM34" s="2" t="s">
        <v>35</v>
      </c>
      <c r="AN34" s="36"/>
      <c r="AO34" s="36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6"/>
      <c r="BC34" s="36"/>
      <c r="BD34" s="36"/>
      <c r="BE34" s="36"/>
      <c r="BF34" s="36"/>
      <c r="BG34" s="36"/>
      <c r="BH34" s="36"/>
      <c r="BI34" s="36"/>
      <c r="BJ34" s="36"/>
      <c r="BK34" s="36"/>
      <c r="BL34" s="36"/>
      <c r="BM34" s="36"/>
      <c r="BN34" s="36"/>
      <c r="BO34" s="36"/>
      <c r="BP34" s="36"/>
      <c r="BQ34" s="36"/>
      <c r="BR34" s="36"/>
      <c r="BS34" s="36"/>
      <c r="BT34" s="36"/>
      <c r="BU34" s="36"/>
      <c r="BV34" s="36"/>
      <c r="BW34" s="36"/>
      <c r="BX34" s="36"/>
      <c r="BY34" s="36"/>
      <c r="BZ34" s="36"/>
      <c r="CA34" s="36"/>
      <c r="CB34" s="36"/>
      <c r="CC34" s="36"/>
      <c r="CD34" s="36"/>
      <c r="CE34" s="36"/>
      <c r="CF34" s="36"/>
      <c r="CG34" s="36"/>
      <c r="CH34" s="36"/>
      <c r="CI34" s="36"/>
      <c r="CJ34" s="2" t="s">
        <v>35</v>
      </c>
      <c r="CK34" s="36"/>
      <c r="CL34" s="36"/>
      <c r="CM34" s="36"/>
      <c r="CN34" s="36"/>
      <c r="CO34" s="36"/>
      <c r="CP34" s="36"/>
      <c r="CQ34" s="2" t="s">
        <v>35</v>
      </c>
      <c r="CR34" s="36"/>
      <c r="CS34" s="2"/>
      <c r="CT34" s="36"/>
      <c r="CU34" s="36"/>
      <c r="CV34" s="36"/>
      <c r="CW34" s="2" t="s">
        <v>35</v>
      </c>
      <c r="CX34" s="36"/>
      <c r="CY34" s="36"/>
      <c r="CZ34" s="36"/>
      <c r="DA34" s="36"/>
      <c r="DB34" s="36"/>
      <c r="DC34" s="36"/>
      <c r="DD34" s="36"/>
      <c r="DE34" s="36"/>
      <c r="DF34" s="36"/>
      <c r="DG34" s="36"/>
      <c r="DH34" s="36"/>
      <c r="DI34" s="36"/>
      <c r="DJ34" s="36"/>
      <c r="DK34" s="36"/>
      <c r="DL34" s="36"/>
      <c r="DM34" s="36"/>
      <c r="DN34" s="36"/>
      <c r="DO34" s="36"/>
      <c r="DP34" s="36"/>
      <c r="DQ34" s="36"/>
      <c r="DR34" s="36"/>
      <c r="DS34" s="36"/>
      <c r="DT34" s="36"/>
      <c r="DU34" s="36"/>
      <c r="DV34" s="36"/>
      <c r="DW34" s="36"/>
      <c r="DX34" s="36"/>
      <c r="DY34" s="36"/>
      <c r="DZ34" s="36"/>
      <c r="EA34" s="36"/>
      <c r="EB34" s="36"/>
      <c r="EC34" s="36"/>
      <c r="ED34" s="36"/>
      <c r="EE34" s="36"/>
      <c r="EF34" s="36"/>
      <c r="EG34" s="36"/>
      <c r="EH34" s="36"/>
      <c r="EI34" s="36"/>
      <c r="EJ34" s="36"/>
      <c r="EK34" s="36"/>
      <c r="EL34" s="36"/>
      <c r="EM34" s="36"/>
      <c r="EN34" s="36"/>
      <c r="EO34" s="36"/>
      <c r="EP34" s="36"/>
      <c r="EQ34" s="36"/>
      <c r="ER34" s="36"/>
      <c r="ES34" s="36"/>
      <c r="ET34" s="36"/>
      <c r="EU34" s="36"/>
      <c r="EV34" s="36"/>
      <c r="EW34" s="36"/>
      <c r="EX34" s="36"/>
      <c r="EY34" s="36"/>
      <c r="EZ34" s="36"/>
      <c r="FA34" s="36"/>
      <c r="FB34" s="36"/>
      <c r="FC34" s="36"/>
      <c r="FD34" s="36"/>
      <c r="FE34" s="36"/>
      <c r="FF34" s="36"/>
      <c r="FG34" s="36"/>
      <c r="FH34" s="2" t="s">
        <v>35</v>
      </c>
      <c r="FI34" s="36"/>
      <c r="FJ34" s="36"/>
      <c r="FK34" s="36"/>
      <c r="FL34" s="36"/>
      <c r="FM34" s="36"/>
      <c r="FN34" s="36"/>
      <c r="FO34" s="36"/>
      <c r="FP34" s="36"/>
      <c r="FQ34" s="36"/>
      <c r="FR34" s="36"/>
      <c r="FS34" s="36"/>
      <c r="FT34" s="36"/>
      <c r="FU34" s="36"/>
      <c r="FV34" s="36"/>
      <c r="FW34" s="36"/>
      <c r="FX34" s="36"/>
      <c r="FY34" s="36"/>
      <c r="FZ34" s="36"/>
      <c r="GA34" s="36"/>
      <c r="GB34" s="36"/>
      <c r="GC34" s="36"/>
      <c r="GD34" s="36"/>
      <c r="GE34" s="36"/>
      <c r="GF34" s="36"/>
      <c r="GG34" s="36"/>
      <c r="GH34" s="36"/>
      <c r="GI34" s="36"/>
      <c r="GJ34" s="36"/>
      <c r="GK34" s="36"/>
      <c r="GL34" s="36"/>
      <c r="GM34" s="36"/>
      <c r="GN34" s="36"/>
      <c r="GO34" s="36"/>
      <c r="GP34" s="36"/>
      <c r="GQ34" s="36"/>
      <c r="GR34" s="36"/>
      <c r="GS34" s="36"/>
      <c r="GT34" s="36"/>
      <c r="GU34" s="36"/>
      <c r="GV34" s="36"/>
      <c r="GW34" s="36"/>
      <c r="GX34" s="36"/>
      <c r="GY34" s="36"/>
      <c r="GZ34" s="36"/>
      <c r="HA34" s="36"/>
      <c r="HB34" s="36"/>
      <c r="HC34" s="36"/>
      <c r="HD34" s="36"/>
      <c r="HE34" s="36"/>
      <c r="HF34" s="36"/>
      <c r="HG34" s="36"/>
      <c r="HH34" s="36"/>
      <c r="HI34" s="36"/>
      <c r="HJ34" s="36"/>
      <c r="HK34" s="36"/>
      <c r="HL34" s="36"/>
      <c r="HM34" s="36"/>
      <c r="HN34" s="36"/>
      <c r="HO34" s="36"/>
      <c r="HP34" s="36"/>
      <c r="HQ34" s="2"/>
      <c r="HR34" s="36"/>
      <c r="HS34" s="36"/>
      <c r="HT34" s="36"/>
      <c r="HU34" s="36"/>
      <c r="HV34" s="36"/>
      <c r="HW34" s="36"/>
      <c r="HX34" s="36"/>
      <c r="HY34" s="36"/>
      <c r="HZ34" s="36"/>
      <c r="IA34" s="36"/>
      <c r="IB34" s="36"/>
      <c r="IC34" s="36"/>
      <c r="ID34" s="36"/>
      <c r="IE34" s="36"/>
      <c r="IF34" s="36"/>
      <c r="IG34" s="36"/>
      <c r="IH34" s="36"/>
      <c r="II34" s="36"/>
      <c r="IJ34" s="36"/>
      <c r="IK34" s="36"/>
      <c r="IL34" s="36"/>
      <c r="IM34" s="36"/>
      <c r="IN34" s="36"/>
      <c r="IO34" s="36"/>
      <c r="IP34" s="36"/>
      <c r="IQ34" s="36"/>
      <c r="IR34" s="36"/>
      <c r="IS34" s="36"/>
      <c r="IT34" s="36"/>
      <c r="IU34" s="36"/>
      <c r="IV34" s="36"/>
      <c r="IW34" s="36"/>
      <c r="IX34" s="36"/>
      <c r="IY34" s="36"/>
      <c r="IZ34" s="36"/>
      <c r="JA34" s="36"/>
      <c r="JB34" s="36"/>
      <c r="JC34" s="36"/>
      <c r="JD34" s="36"/>
      <c r="JE34" s="36"/>
      <c r="JF34" s="36"/>
      <c r="JG34" s="36"/>
      <c r="JH34" s="36"/>
      <c r="JI34" s="36"/>
      <c r="JJ34" s="36"/>
      <c r="JK34" s="36"/>
      <c r="JL34" s="36"/>
      <c r="JM34" s="36"/>
      <c r="JN34" s="2"/>
      <c r="JO34" s="36"/>
      <c r="JP34" s="36"/>
      <c r="JQ34" s="36"/>
      <c r="JR34" s="36"/>
      <c r="JS34" s="36"/>
      <c r="JT34" s="36"/>
      <c r="JU34" s="2"/>
      <c r="JV34" s="36"/>
      <c r="JW34" s="36"/>
      <c r="JX34" s="36"/>
      <c r="JY34" s="36"/>
      <c r="JZ34" s="36"/>
      <c r="KA34" s="2"/>
      <c r="KB34" s="36"/>
      <c r="KC34" s="36"/>
      <c r="KD34" s="36"/>
      <c r="KE34" s="36"/>
      <c r="KF34" s="36"/>
      <c r="KG34" s="36"/>
      <c r="KH34" s="36"/>
      <c r="KI34" s="36"/>
      <c r="KJ34" s="36"/>
      <c r="KK34" s="36"/>
      <c r="KL34" s="36"/>
      <c r="KM34" s="36"/>
      <c r="KN34" s="36"/>
      <c r="KO34" s="36"/>
      <c r="KP34" s="36"/>
      <c r="KQ34" s="36"/>
      <c r="KR34" s="36"/>
      <c r="KS34" s="36"/>
      <c r="KT34" s="36"/>
      <c r="KU34" s="36"/>
      <c r="KV34" s="36"/>
      <c r="KW34" s="36"/>
      <c r="KX34" s="36"/>
      <c r="KY34" s="36"/>
      <c r="KZ34" s="36"/>
      <c r="LA34" s="36"/>
      <c r="LB34" s="36"/>
      <c r="LC34" s="36"/>
      <c r="LD34" s="36"/>
      <c r="LE34" s="36"/>
      <c r="LF34" s="36"/>
      <c r="LG34" s="36"/>
      <c r="LH34" s="36"/>
      <c r="LI34" s="36"/>
      <c r="LJ34" s="36"/>
      <c r="LK34" s="36"/>
      <c r="LL34" s="36"/>
      <c r="LM34" s="36"/>
      <c r="LN34" s="36"/>
      <c r="LO34" s="36"/>
      <c r="LP34" s="36"/>
      <c r="LQ34" s="36"/>
      <c r="LR34" s="36"/>
      <c r="LS34" s="36"/>
      <c r="LT34" s="36"/>
      <c r="LU34" s="36"/>
      <c r="LV34" s="36"/>
      <c r="LW34" s="36"/>
      <c r="LX34" s="36"/>
      <c r="LY34" s="36"/>
      <c r="LZ34" s="36"/>
      <c r="MA34" s="36"/>
      <c r="MB34" s="36"/>
      <c r="MC34" s="36"/>
      <c r="MD34" s="36"/>
      <c r="ME34" s="36"/>
      <c r="MF34" s="36"/>
      <c r="MG34" s="36"/>
      <c r="MH34" s="36"/>
      <c r="MI34" s="36"/>
      <c r="MJ34" s="36"/>
      <c r="MK34" s="36"/>
      <c r="ML34" s="2"/>
      <c r="MM34" s="36"/>
      <c r="MN34" s="36"/>
      <c r="MO34" s="36"/>
      <c r="MP34" s="36"/>
      <c r="MQ34" s="36"/>
      <c r="MR34" s="36"/>
      <c r="MS34" s="36"/>
      <c r="MT34" s="36"/>
      <c r="MU34" s="36"/>
      <c r="MV34" s="36"/>
      <c r="MW34" s="36"/>
      <c r="MX34" s="36"/>
      <c r="MY34" s="36"/>
      <c r="MZ34" s="36"/>
      <c r="NA34" s="36"/>
      <c r="NB34" s="36"/>
      <c r="NC34" s="36"/>
      <c r="ND34" s="36"/>
      <c r="NE34" s="36"/>
      <c r="NF34" s="36"/>
      <c r="NG34" s="36"/>
      <c r="NH34" s="36"/>
      <c r="NI34" s="36"/>
      <c r="NJ34" s="57">
        <f t="array" aca="1" ref="NJ34" ca="1">SUMPRODUCT((OFFSET($A34,0,31*($A$3-1)+1,1,31)&lt;&gt;"")*(IF(OFFSET($A34,0,31*($A$3-1)+1,1,31)=$OB$12,0.5,1)*(OFFSET($A$4,0,31*($A$3-1)+1,1,31))))</f>
        <v>0</v>
      </c>
      <c r="NK34" s="56">
        <f t="array" aca="1" ref="NK34" ca="1">SUMPRODUCT((OFFSET($A34,0,1,1,372)&lt;&gt;"")*(IF(OFFSET($A34,0,1,1,372)=$OB$12,0.5,1)*(OFFSET($A$3,0,1,1,372))))</f>
        <v>5</v>
      </c>
      <c r="NL34" s="42">
        <f t="array" aca="1" ref="NL34" ca="1">SUMPRODUCT((OFFSET($A34,0,31*($A$4)+DAY(Holidays!$E$2),1,Holidays!$G$2)&lt;&gt;"")*(IF(OFFSET($A34,0,31*($A$4)+DAY(Holidays!$E$2),1,Holidays!$G$2)=$OB$12,0.5,1)*(OFFSET($A$3,0,31*($A$4)+DAY(Holidays!$E$2),1,Holidays!$G$2))))</f>
        <v>5</v>
      </c>
      <c r="NM34" s="54">
        <f t="array" aca="1" ref="NM34" ca="1">SUMPRODUCT((OFFSET($A34,0,31*($A$4)+DAY(VLOOKUP(NM$5,Sprints[],2,FALSE)),1,VLOOKUP(NM$5,Sprints[],4,FALSE))&lt;&gt;"")*(IF(OFFSET($A34,0,31*($A$4)+DAY(VLOOKUP(NM$5,Sprints[],2,FALSE)),1,VLOOKUP(NM$5,Sprints[],4,FALSE))=$OB$12,0.5,1)*(OFFSET($A$3,0,31*($A$4)+DAY(VLOOKUP(NM$5,Sprints[],2,FALSE)),1,VLOOKUP(NM$5,Sprints[],4,FALSE)))))</f>
        <v>0</v>
      </c>
      <c r="NN34" s="54">
        <f t="array" aca="1" ref="NN34" ca="1">SUMPRODUCT((OFFSET($A34,0,31*($A$4)+DAY(VLOOKUP(NN$5,Sprints[],2,FALSE)),1,VLOOKUP(NN$5,Sprints[],4,FALSE))&lt;&gt;"")*(IF(OFFSET($A34,0,31*($A$4)+DAY(VLOOKUP(NN$5,Sprints[],2,FALSE)),1,VLOOKUP(NN$5,Sprints[],4,FALSE))=$OB$12,0.5,1)*(OFFSET($A$3,0,31*($A$4)+DAY(VLOOKUP(NN$5,Sprints[],2,FALSE)),1,VLOOKUP(NN$5,Sprints[],4,FALSE)))))</f>
        <v>0</v>
      </c>
      <c r="NO34" s="54">
        <f t="array" aca="1" ref="NO34" ca="1">SUMPRODUCT((OFFSET($A34,0,31*($A$4)+DAY(VLOOKUP(NO$5,Sprints[],2,FALSE)),1,VLOOKUP(NO$5,Sprints[],4,FALSE))&lt;&gt;"")*(IF(OFFSET($A34,0,31*($A$4)+DAY(VLOOKUP(NO$5,Sprints[],2,FALSE)),1,VLOOKUP(NO$5,Sprints[],4,FALSE))=$OB$12,0.5,1)*(OFFSET($A$3,0,31*($A$4)+DAY(VLOOKUP(NO$5,Sprints[],2,FALSE)),1,VLOOKUP(NO$5,Sprints[],4,FALSE)))))</f>
        <v>0</v>
      </c>
      <c r="NP34" s="54">
        <f t="array" aca="1" ref="NP34" ca="1">SUMPRODUCT((OFFSET($A34,0,31*(VLOOKUP(NP$5,Sprints[],5,FALSE))+DAY(VLOOKUP(NP$5,Sprints[],2,FALSE)),1,VLOOKUP(NP$5,Sprints[],4,FALSE))&lt;&gt;"")*(IF(OFFSET($A34,0,31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34" s="54">
        <f t="array" aca="1" ref="NQ34" ca="1">SUMPRODUCT((OFFSET($A34,0,31*(VLOOKUP(NQ$5,Sprints[],5,FALSE))+DAY(VLOOKUP(NQ$5,Sprints[],2,FALSE)),1,VLOOKUP(NQ$5,Sprints[],4,FALSE))&lt;&gt;"")*(IF(OFFSET($A34,0,31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34" s="54">
        <f t="array" aca="1" ref="NR34" ca="1">SUMPRODUCT((OFFSET($A34,0,31*(VLOOKUP(NR$5,Sprints[],5,FALSE))+DAY(VLOOKUP(NR$5,Sprints[],2,FALSE)),1,VLOOKUP(NR$5,Sprints[],4,FALSE))&lt;&gt;"")*(IF(OFFSET($A34,0,31*(VLOOKUP(NR$5,Sprints[],5,FALSE))+DAY(VLOOKUP(NR$5,Sprints[],2,FALSE)),1,VLOOKUP(NR$5,Sprints[],4,FALSE))=$OB$12,0.5,1)*(OFFSET($A$3,0,31*(VLOOKUP(NR$5,Sprints[],5,FALSE))+DAY(VLOOKUP(NR$5,Sprints[],2,FALSE)),1,VLOOKUP(NR$5,Sprints[],4,FALSE)))))</f>
        <v>2</v>
      </c>
      <c r="NS34" s="54">
        <f t="array" aca="1" ref="NS34" ca="1">SUMPRODUCT((OFFSET($A34,0,31*(VLOOKUP(NS$5,Sprints[],5,FALSE))+DAY(VLOOKUP(NS$5,Sprints[],2,FALSE)),1,VLOOKUP(NS$5,Sprints[],4,FALSE))&lt;&gt;"")*(IF(OFFSET($A34,0,31*(VLOOKUP(NS$5,Sprints[],5,FALSE))+DAY(VLOOKUP(NS$5,Sprints[],2,FALSE)),1,VLOOKUP(NS$5,Sprints[],4,FALSE))=$OB$12,0.5,1)*(OFFSET($A$3,0,31*(VLOOKUP(NS$5,Sprints[],5,FALSE))+DAY(VLOOKUP(NS$5,Sprints[],2,FALSE)),1,VLOOKUP(NS$5,Sprints[],4,FALSE)))))</f>
        <v>1</v>
      </c>
      <c r="NT34" s="54">
        <f t="array" aca="1" ref="NT34" ca="1">SUMPRODUCT((OFFSET($A34,0,31*(VLOOKUP(NT$5,Sprints[],5,FALSE))+DAY(VLOOKUP(NT$5,Sprints[],2,FALSE)),1,VLOOKUP(NT$5,Sprints[],4,FALSE))&lt;&gt;"")*(IF(OFFSET($A34,0,31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34" s="54">
        <f t="array" aca="1" ref="NU34" ca="1">SUMPRODUCT((OFFSET($A34,0,31*(VLOOKUP(NU$5,Sprints[],5,FALSE))+DAY(VLOOKUP(NU$5,Sprints[],2,FALSE)),1,VLOOKUP(NU$5,Sprints[],4,FALSE))&lt;&gt;"")*(IF(OFFSET($A34,0,31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34" s="54">
        <f t="array" aca="1" ref="NV34" ca="1">SUMPRODUCT((OFFSET($A34,0,31*(VLOOKUP(NV$5,Sprints[],5,FALSE))+DAY(VLOOKUP(NV$5,Sprints[],2,FALSE)),1,VLOOKUP(NV$5,Sprints[],4,FALSE))&lt;&gt;"")*(IF(OFFSET($A34,0,31*(VLOOKUP(NV$5,Sprints[],5,FALSE))+DAY(VLOOKUP(NV$5,Sprints[],2,FALSE)),1,VLOOKUP(NV$5,Sprints[],4,FALSE))=$OB$12,0.5,1)*(OFFSET($A$3,0,31*(VLOOKUP(NV$5,Sprints[],5,FALSE))+DAY(VLOOKUP(NV$5,Sprints[],2,FALSE)),1,VLOOKUP(NV$5,Sprints[],4,FALSE)))))</f>
        <v>0</v>
      </c>
      <c r="NW34" s="54">
        <f t="array" aca="1" ref="NW34" ca="1">SUMPRODUCT((OFFSET($A34,0,31*(VLOOKUP(NW$5,Sprints[],5,FALSE))+DAY(VLOOKUP(NW$5,Sprints[],2,FALSE)),1,VLOOKUP(NW$5,Sprints[],4,FALSE))&lt;&gt;"")*(IF(OFFSET($A34,0,31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34" s="54">
        <f t="array" aca="1" ref="NX34" ca="1">SUMPRODUCT((OFFSET($A34,0,31*(VLOOKUP(NX$5,Sprints[],5,FALSE))+DAY(VLOOKUP(NX$5,Sprints[],2,FALSE)),1,VLOOKUP(NX$5,Sprints[],4,FALSE))&lt;&gt;"")*(IF(OFFSET($A34,0,31*(VLOOKUP(NX$5,Sprints[],5,FALSE))+DAY(VLOOKUP(NX$5,Sprints[],2,FALSE)),1,VLOOKUP(NX$5,Sprints[],4,FALSE))=$OB$12,0.5,1)*(OFFSET($A$3,0,31*(VLOOKUP(NX$5,Sprints[],5,FALSE))+DAY(VLOOKUP(NX$5,Sprints[],2,FALSE)),1,VLOOKUP(NX$5,Sprints[],4,FALSE)))))</f>
        <v>1</v>
      </c>
      <c r="NY34" s="52">
        <f t="array" aca="1" ref="NY34" ca="1">SUMPRODUCT((OFFSET($A34,0,31*(VLOOKUP(NY$5,Sprints[],5,FALSE))+DAY(VLOOKUP(NY$5,Sprints[],2,FALSE)),1,VLOOKUP(NY$5,Sprints[],4,FALSE))&lt;&gt;"")*(IF(OFFSET($A34,0,31*(VLOOKUP(NY$5,Sprints[],5,FALSE))+DAY(VLOOKUP(NY$5,Sprints[],2,FALSE)),1,VLOOKUP(NY$5,Sprints[],4,FALSE))=$OB$12,0.5,1)*(OFFSET($A$3,0,31*(VLOOKUP(NY$5,Sprints[],5,FALSE))+DAY(VLOOKUP(NY$5,Sprints[],2,FALSE)),1,VLOOKUP(NY$5,Sprints[],4,FALSE)))))</f>
        <v>5</v>
      </c>
    </row>
    <row r="35" spans="1:389" x14ac:dyDescent="0.45">
      <c r="A35" s="44" t="s">
        <v>92</v>
      </c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36"/>
      <c r="R35" s="36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36"/>
      <c r="AF35" s="2"/>
      <c r="AG35" s="36"/>
      <c r="AH35" s="2"/>
      <c r="AI35" s="2"/>
      <c r="AJ35" s="2"/>
      <c r="AK35" s="2"/>
      <c r="AL35" s="2"/>
      <c r="AM35" s="2" t="s">
        <v>35</v>
      </c>
      <c r="AN35" s="2"/>
      <c r="AO35" s="36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 t="s">
        <v>35</v>
      </c>
      <c r="CK35" s="2"/>
      <c r="CL35" s="2"/>
      <c r="CM35" s="2"/>
      <c r="CN35" s="2"/>
      <c r="CO35" s="2"/>
      <c r="CP35" s="2"/>
      <c r="CQ35" s="2" t="s">
        <v>35</v>
      </c>
      <c r="CR35" s="2"/>
      <c r="CS35" s="2"/>
      <c r="CT35" s="2"/>
      <c r="CU35" s="2"/>
      <c r="CV35" s="2"/>
      <c r="CW35" s="2" t="s">
        <v>35</v>
      </c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 t="s">
        <v>35</v>
      </c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2"/>
      <c r="JL35" s="2"/>
      <c r="JM35" s="2"/>
      <c r="JN35" s="2"/>
      <c r="JO35" s="2"/>
      <c r="JP35" s="2"/>
      <c r="JQ35" s="2"/>
      <c r="JR35" s="2"/>
      <c r="JS35" s="2"/>
      <c r="JT35" s="2"/>
      <c r="JU35" s="2"/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2"/>
      <c r="KR35" s="2"/>
      <c r="KS35" s="2"/>
      <c r="KT35" s="2"/>
      <c r="KU35" s="2"/>
      <c r="KV35" s="2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2"/>
      <c r="LO35" s="2"/>
      <c r="LP35" s="2"/>
      <c r="LQ35" s="2"/>
      <c r="LR35" s="2"/>
      <c r="LS35" s="2"/>
      <c r="LT35" s="2"/>
      <c r="LU35" s="2"/>
      <c r="LV35" s="2"/>
      <c r="LW35" s="2"/>
      <c r="LX35" s="2"/>
      <c r="LY35" s="2"/>
      <c r="LZ35" s="2"/>
      <c r="MA35" s="2"/>
      <c r="MB35" s="2"/>
      <c r="MC35" s="2"/>
      <c r="MD35" s="2"/>
      <c r="ME35" s="2"/>
      <c r="MF35" s="2"/>
      <c r="MG35" s="2"/>
      <c r="MH35" s="2"/>
      <c r="MI35" s="2"/>
      <c r="MJ35" s="2"/>
      <c r="MK35" s="2"/>
      <c r="ML35" s="2"/>
      <c r="MM35" s="2"/>
      <c r="MN35" s="2"/>
      <c r="MO35" s="2"/>
      <c r="MP35" s="2"/>
      <c r="MQ35" s="2"/>
      <c r="MR35" s="2"/>
      <c r="MS35" s="2"/>
      <c r="MT35" s="2"/>
      <c r="MU35" s="2"/>
      <c r="MV35" s="2"/>
      <c r="MW35" s="2"/>
      <c r="MX35" s="2"/>
      <c r="MY35" s="2"/>
      <c r="MZ35" s="2"/>
      <c r="NA35" s="2"/>
      <c r="NB35" s="2"/>
      <c r="NC35" s="2"/>
      <c r="ND35" s="2"/>
      <c r="NE35" s="2"/>
      <c r="NF35" s="2"/>
      <c r="NG35" s="2"/>
      <c r="NH35" s="2"/>
      <c r="NI35" s="2"/>
      <c r="NJ35" s="14">
        <f t="array" aca="1" ref="NJ35" ca="1">SUMPRODUCT((OFFSET($A35,0,31*($A$3-1)+1,1,31)&lt;&gt;"")*(IF(OFFSET($A35,0,31*($A$3-1)+1,1,31)=$OB$12,0.5,1)*(OFFSET($A$4,0,31*($A$3-1)+1,1,31))))</f>
        <v>0</v>
      </c>
      <c r="NK35" s="20">
        <f t="array" aca="1" ref="NK35" ca="1">SUMPRODUCT((OFFSET($A35,0,1,1,372)&lt;&gt;"")*(IF(OFFSET($A35,0,1,1,372)=$OB$12,0.5,1)*(OFFSET($A$3,0,1,1,372))))</f>
        <v>5</v>
      </c>
      <c r="NL35" s="28">
        <f t="array" aca="1" ref="NL35" ca="1">SUMPRODUCT((OFFSET($A35,0,31*($A$4)+DAY(Holidays!$E$2),1,Holidays!$G$2)&lt;&gt;"")*(IF(OFFSET($A35,0,31*($A$4)+DAY(Holidays!$E$2),1,Holidays!$G$2)=$OB$12,0.5,1)*(OFFSET($A$3,0,31*($A$4)+DAY(Holidays!$E$2),1,Holidays!$G$2))))</f>
        <v>5</v>
      </c>
      <c r="NM35" s="52">
        <f t="array" aca="1" ref="NM35" ca="1">SUMPRODUCT((OFFSET($A35,0,31*($A$4)+DAY(VLOOKUP(NM$5,Sprints[],2,FALSE)),1,VLOOKUP(NM$5,Sprints[],4,FALSE))&lt;&gt;"")*(IF(OFFSET($A35,0,31*($A$4)+DAY(VLOOKUP(NM$5,Sprints[],2,FALSE)),1,VLOOKUP(NM$5,Sprints[],4,FALSE))=$OB$12,0.5,1)*(OFFSET($A$3,0,31*($A$4)+DAY(VLOOKUP(NM$5,Sprints[],2,FALSE)),1,VLOOKUP(NM$5,Sprints[],4,FALSE)))))</f>
        <v>0</v>
      </c>
      <c r="NN35" s="52">
        <f t="array" aca="1" ref="NN35" ca="1">SUMPRODUCT((OFFSET($A35,0,31*($A$4)+DAY(VLOOKUP(NN$5,Sprints[],2,FALSE)),1,VLOOKUP(NN$5,Sprints[],4,FALSE))&lt;&gt;"")*(IF(OFFSET($A35,0,31*($A$4)+DAY(VLOOKUP(NN$5,Sprints[],2,FALSE)),1,VLOOKUP(NN$5,Sprints[],4,FALSE))=$OB$12,0.5,1)*(OFFSET($A$3,0,31*($A$4)+DAY(VLOOKUP(NN$5,Sprints[],2,FALSE)),1,VLOOKUP(NN$5,Sprints[],4,FALSE)))))</f>
        <v>0</v>
      </c>
      <c r="NO35" s="52">
        <f t="array" aca="1" ref="NO35" ca="1">SUMPRODUCT((OFFSET($A35,0,31*($A$4)+DAY(VLOOKUP(NO$5,Sprints[],2,FALSE)),1,VLOOKUP(NO$5,Sprints[],4,FALSE))&lt;&gt;"")*(IF(OFFSET($A35,0,31*($A$4)+DAY(VLOOKUP(NO$5,Sprints[],2,FALSE)),1,VLOOKUP(NO$5,Sprints[],4,FALSE))=$OB$12,0.5,1)*(OFFSET($A$3,0,31*($A$4)+DAY(VLOOKUP(NO$5,Sprints[],2,FALSE)),1,VLOOKUP(NO$5,Sprints[],4,FALSE)))))</f>
        <v>0</v>
      </c>
      <c r="NP35" s="52">
        <f t="array" aca="1" ref="NP35" ca="1">SUMPRODUCT((OFFSET($A35,0,31*(VLOOKUP(NP$5,Sprints[],5,FALSE))+DAY(VLOOKUP(NP$5,Sprints[],2,FALSE)),1,VLOOKUP(NP$5,Sprints[],4,FALSE))&lt;&gt;"")*(IF(OFFSET($A35,0,31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35" s="52">
        <f t="array" aca="1" ref="NQ35" ca="1">SUMPRODUCT((OFFSET($A35,0,31*(VLOOKUP(NQ$5,Sprints[],5,FALSE))+DAY(VLOOKUP(NQ$5,Sprints[],2,FALSE)),1,VLOOKUP(NQ$5,Sprints[],4,FALSE))&lt;&gt;"")*(IF(OFFSET($A35,0,31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35" s="52">
        <f t="array" aca="1" ref="NR35" ca="1">SUMPRODUCT((OFFSET($A35,0,31*(VLOOKUP(NR$5,Sprints[],5,FALSE))+DAY(VLOOKUP(NR$5,Sprints[],2,FALSE)),1,VLOOKUP(NR$5,Sprints[],4,FALSE))&lt;&gt;"")*(IF(OFFSET($A35,0,31*(VLOOKUP(NR$5,Sprints[],5,FALSE))+DAY(VLOOKUP(NR$5,Sprints[],2,FALSE)),1,VLOOKUP(NR$5,Sprints[],4,FALSE))=$OB$12,0.5,1)*(OFFSET($A$3,0,31*(VLOOKUP(NR$5,Sprints[],5,FALSE))+DAY(VLOOKUP(NR$5,Sprints[],2,FALSE)),1,VLOOKUP(NR$5,Sprints[],4,FALSE)))))</f>
        <v>2</v>
      </c>
      <c r="NS35" s="52">
        <f t="array" aca="1" ref="NS35" ca="1">SUMPRODUCT((OFFSET($A35,0,31*(VLOOKUP(NS$5,Sprints[],5,FALSE))+DAY(VLOOKUP(NS$5,Sprints[],2,FALSE)),1,VLOOKUP(NS$5,Sprints[],4,FALSE))&lt;&gt;"")*(IF(OFFSET($A35,0,31*(VLOOKUP(NS$5,Sprints[],5,FALSE))+DAY(VLOOKUP(NS$5,Sprints[],2,FALSE)),1,VLOOKUP(NS$5,Sprints[],4,FALSE))=$OB$12,0.5,1)*(OFFSET($A$3,0,31*(VLOOKUP(NS$5,Sprints[],5,FALSE))+DAY(VLOOKUP(NS$5,Sprints[],2,FALSE)),1,VLOOKUP(NS$5,Sprints[],4,FALSE)))))</f>
        <v>1</v>
      </c>
      <c r="NT35" s="52">
        <f t="array" aca="1" ref="NT35" ca="1">SUMPRODUCT((OFFSET($A35,0,31*(VLOOKUP(NT$5,Sprints[],5,FALSE))+DAY(VLOOKUP(NT$5,Sprints[],2,FALSE)),1,VLOOKUP(NT$5,Sprints[],4,FALSE))&lt;&gt;"")*(IF(OFFSET($A35,0,31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35" s="52">
        <f t="array" aca="1" ref="NU35" ca="1">SUMPRODUCT((OFFSET($A35,0,31*(VLOOKUP(NU$5,Sprints[],5,FALSE))+DAY(VLOOKUP(NU$5,Sprints[],2,FALSE)),1,VLOOKUP(NU$5,Sprints[],4,FALSE))&lt;&gt;"")*(IF(OFFSET($A35,0,31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35" s="52">
        <f t="array" aca="1" ref="NV35" ca="1">SUMPRODUCT((OFFSET($A35,0,31*(VLOOKUP(NV$5,Sprints[],5,FALSE))+DAY(VLOOKUP(NV$5,Sprints[],2,FALSE)),1,VLOOKUP(NV$5,Sprints[],4,FALSE))&lt;&gt;"")*(IF(OFFSET($A35,0,31*(VLOOKUP(NV$5,Sprints[],5,FALSE))+DAY(VLOOKUP(NV$5,Sprints[],2,FALSE)),1,VLOOKUP(NV$5,Sprints[],4,FALSE))=$OB$12,0.5,1)*(OFFSET($A$3,0,31*(VLOOKUP(NV$5,Sprints[],5,FALSE))+DAY(VLOOKUP(NV$5,Sprints[],2,FALSE)),1,VLOOKUP(NV$5,Sprints[],4,FALSE)))))</f>
        <v>0</v>
      </c>
      <c r="NW35" s="52">
        <f t="array" aca="1" ref="NW35" ca="1">SUMPRODUCT((OFFSET($A35,0,31*(VLOOKUP(NW$5,Sprints[],5,FALSE))+DAY(VLOOKUP(NW$5,Sprints[],2,FALSE)),1,VLOOKUP(NW$5,Sprints[],4,FALSE))&lt;&gt;"")*(IF(OFFSET($A35,0,31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35" s="52">
        <f t="array" aca="1" ref="NX35" ca="1">SUMPRODUCT((OFFSET($A35,0,31*(VLOOKUP(NX$5,Sprints[],5,FALSE))+DAY(VLOOKUP(NX$5,Sprints[],2,FALSE)),1,VLOOKUP(NX$5,Sprints[],4,FALSE))&lt;&gt;"")*(IF(OFFSET($A35,0,31*(VLOOKUP(NX$5,Sprints[],5,FALSE))+DAY(VLOOKUP(NX$5,Sprints[],2,FALSE)),1,VLOOKUP(NX$5,Sprints[],4,FALSE))=$OB$12,0.5,1)*(OFFSET($A$3,0,31*(VLOOKUP(NX$5,Sprints[],5,FALSE))+DAY(VLOOKUP(NX$5,Sprints[],2,FALSE)),1,VLOOKUP(NX$5,Sprints[],4,FALSE)))))</f>
        <v>1</v>
      </c>
      <c r="NY35" s="52">
        <f t="array" aca="1" ref="NY35" ca="1">SUMPRODUCT((OFFSET($A35,0,31*(VLOOKUP(NY$5,Sprints[],5,FALSE))+DAY(VLOOKUP(NY$5,Sprints[],2,FALSE)),1,VLOOKUP(NY$5,Sprints[],4,FALSE))&lt;&gt;"")*(IF(OFFSET($A35,0,31*(VLOOKUP(NY$5,Sprints[],5,FALSE))+DAY(VLOOKUP(NY$5,Sprints[],2,FALSE)),1,VLOOKUP(NY$5,Sprints[],4,FALSE))=$OB$12,0.5,1)*(OFFSET($A$3,0,31*(VLOOKUP(NY$5,Sprints[],5,FALSE))+DAY(VLOOKUP(NY$5,Sprints[],2,FALSE)),1,VLOOKUP(NY$5,Sprints[],4,FALSE)))))</f>
        <v>5</v>
      </c>
    </row>
    <row r="36" spans="1:389" x14ac:dyDescent="0.45">
      <c r="A36" s="44" t="s">
        <v>86</v>
      </c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36"/>
      <c r="R36" s="36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36"/>
      <c r="AF36" s="2"/>
      <c r="AG36" s="36"/>
      <c r="AH36" s="2"/>
      <c r="AI36" s="2"/>
      <c r="AJ36" s="2"/>
      <c r="AK36" s="2"/>
      <c r="AL36" s="2"/>
      <c r="AM36" s="2" t="s">
        <v>35</v>
      </c>
      <c r="AN36" s="2"/>
      <c r="AO36" s="36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 t="s">
        <v>35</v>
      </c>
      <c r="CK36" s="2"/>
      <c r="CL36" s="2"/>
      <c r="CM36" s="2"/>
      <c r="CN36" s="2"/>
      <c r="CO36" s="2"/>
      <c r="CP36" s="2"/>
      <c r="CQ36" s="2" t="s">
        <v>35</v>
      </c>
      <c r="CR36" s="2"/>
      <c r="CS36" s="2"/>
      <c r="CT36" s="2"/>
      <c r="CU36" s="2"/>
      <c r="CV36" s="2"/>
      <c r="CW36" s="2" t="s">
        <v>35</v>
      </c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 t="s">
        <v>35</v>
      </c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/>
      <c r="JO36" s="2"/>
      <c r="JP36" s="2"/>
      <c r="JQ36" s="2"/>
      <c r="JR36" s="2"/>
      <c r="JS36" s="2"/>
      <c r="JT36" s="2"/>
      <c r="JU36" s="2"/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/>
      <c r="LH36" s="2"/>
      <c r="LI36" s="2"/>
      <c r="LJ36" s="2"/>
      <c r="LK36" s="2"/>
      <c r="LL36" s="2"/>
      <c r="LM36" s="2"/>
      <c r="LN36" s="2"/>
      <c r="LO36" s="2"/>
      <c r="LP36" s="2"/>
      <c r="LQ36" s="2"/>
      <c r="LR36" s="2"/>
      <c r="LS36" s="2"/>
      <c r="LT36" s="2"/>
      <c r="LU36" s="2"/>
      <c r="LV36" s="2"/>
      <c r="LW36" s="2"/>
      <c r="LX36" s="2"/>
      <c r="LY36" s="2"/>
      <c r="LZ36" s="2"/>
      <c r="MA36" s="2"/>
      <c r="MB36" s="2"/>
      <c r="MC36" s="2"/>
      <c r="MD36" s="2"/>
      <c r="ME36" s="2"/>
      <c r="MF36" s="2"/>
      <c r="MG36" s="2"/>
      <c r="MH36" s="2"/>
      <c r="MI36" s="2"/>
      <c r="MJ36" s="2"/>
      <c r="MK36" s="2"/>
      <c r="ML36" s="2"/>
      <c r="MM36" s="2"/>
      <c r="MN36" s="2"/>
      <c r="MO36" s="2"/>
      <c r="MP36" s="2"/>
      <c r="MQ36" s="2"/>
      <c r="MR36" s="2"/>
      <c r="MS36" s="2"/>
      <c r="MT36" s="2"/>
      <c r="MU36" s="2"/>
      <c r="MV36" s="2"/>
      <c r="MW36" s="2"/>
      <c r="MX36" s="2"/>
      <c r="MY36" s="2"/>
      <c r="MZ36" s="2"/>
      <c r="NA36" s="2"/>
      <c r="NB36" s="2"/>
      <c r="NC36" s="2"/>
      <c r="ND36" s="2"/>
      <c r="NE36" s="2"/>
      <c r="NF36" s="2"/>
      <c r="NG36" s="2"/>
      <c r="NH36" s="2"/>
      <c r="NI36" s="2"/>
      <c r="NJ36" s="14">
        <f t="array" aca="1" ref="NJ36" ca="1">SUMPRODUCT((OFFSET($A36,0,31*($A$3-1)+1,1,31)&lt;&gt;"")*(IF(OFFSET($A36,0,31*($A$3-1)+1,1,31)=$OB$12,0.5,1)*(OFFSET($A$4,0,31*($A$3-1)+1,1,31))))</f>
        <v>0</v>
      </c>
      <c r="NK36" s="20">
        <f t="array" aca="1" ref="NK36" ca="1">SUMPRODUCT((OFFSET($A36,0,1,1,372)&lt;&gt;"")*(IF(OFFSET($A36,0,1,1,372)=$OB$12,0.5,1)*(OFFSET($A$3,0,1,1,372))))</f>
        <v>5</v>
      </c>
      <c r="NL36" s="28">
        <f t="array" aca="1" ref="NL36" ca="1">SUMPRODUCT((OFFSET($A36,0,31*($A$4)+DAY(Holidays!$E$2),1,Holidays!$G$2)&lt;&gt;"")*(IF(OFFSET($A36,0,31*($A$4)+DAY(Holidays!$E$2),1,Holidays!$G$2)=$OB$12,0.5,1)*(OFFSET($A$3,0,31*($A$4)+DAY(Holidays!$E$2),1,Holidays!$G$2))))</f>
        <v>5</v>
      </c>
      <c r="NM36" s="52">
        <f t="array" aca="1" ref="NM36" ca="1">SUMPRODUCT((OFFSET($A36,0,31*($A$4)+DAY(VLOOKUP(NM$5,Sprints[],2,FALSE)),1,VLOOKUP(NM$5,Sprints[],4,FALSE))&lt;&gt;"")*(IF(OFFSET($A36,0,31*($A$4)+DAY(VLOOKUP(NM$5,Sprints[],2,FALSE)),1,VLOOKUP(NM$5,Sprints[],4,FALSE))=$OB$12,0.5,1)*(OFFSET($A$3,0,31*($A$4)+DAY(VLOOKUP(NM$5,Sprints[],2,FALSE)),1,VLOOKUP(NM$5,Sprints[],4,FALSE)))))</f>
        <v>0</v>
      </c>
      <c r="NN36" s="52">
        <f t="array" aca="1" ref="NN36" ca="1">SUMPRODUCT((OFFSET($A36,0,31*($A$4)+DAY(VLOOKUP(NN$5,Sprints[],2,FALSE)),1,VLOOKUP(NN$5,Sprints[],4,FALSE))&lt;&gt;"")*(IF(OFFSET($A36,0,31*($A$4)+DAY(VLOOKUP(NN$5,Sprints[],2,FALSE)),1,VLOOKUP(NN$5,Sprints[],4,FALSE))=$OB$12,0.5,1)*(OFFSET($A$3,0,31*($A$4)+DAY(VLOOKUP(NN$5,Sprints[],2,FALSE)),1,VLOOKUP(NN$5,Sprints[],4,FALSE)))))</f>
        <v>0</v>
      </c>
      <c r="NO36" s="52">
        <f t="array" aca="1" ref="NO36" ca="1">SUMPRODUCT((OFFSET($A36,0,31*($A$4)+DAY(VLOOKUP(NO$5,Sprints[],2,FALSE)),1,VLOOKUP(NO$5,Sprints[],4,FALSE))&lt;&gt;"")*(IF(OFFSET($A36,0,31*($A$4)+DAY(VLOOKUP(NO$5,Sprints[],2,FALSE)),1,VLOOKUP(NO$5,Sprints[],4,FALSE))=$OB$12,0.5,1)*(OFFSET($A$3,0,31*($A$4)+DAY(VLOOKUP(NO$5,Sprints[],2,FALSE)),1,VLOOKUP(NO$5,Sprints[],4,FALSE)))))</f>
        <v>0</v>
      </c>
      <c r="NP36" s="52">
        <f t="array" aca="1" ref="NP36" ca="1">SUMPRODUCT((OFFSET($A36,0,31*(VLOOKUP(NP$5,Sprints[],5,FALSE))+DAY(VLOOKUP(NP$5,Sprints[],2,FALSE)),1,VLOOKUP(NP$5,Sprints[],4,FALSE))&lt;&gt;"")*(IF(OFFSET($A36,0,31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36" s="52">
        <f t="array" aca="1" ref="NQ36" ca="1">SUMPRODUCT((OFFSET($A36,0,31*(VLOOKUP(NQ$5,Sprints[],5,FALSE))+DAY(VLOOKUP(NQ$5,Sprints[],2,FALSE)),1,VLOOKUP(NQ$5,Sprints[],4,FALSE))&lt;&gt;"")*(IF(OFFSET($A36,0,31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36" s="52">
        <f t="array" aca="1" ref="NR36" ca="1">SUMPRODUCT((OFFSET($A36,0,31*(VLOOKUP(NR$5,Sprints[],5,FALSE))+DAY(VLOOKUP(NR$5,Sprints[],2,FALSE)),1,VLOOKUP(NR$5,Sprints[],4,FALSE))&lt;&gt;"")*(IF(OFFSET($A36,0,31*(VLOOKUP(NR$5,Sprints[],5,FALSE))+DAY(VLOOKUP(NR$5,Sprints[],2,FALSE)),1,VLOOKUP(NR$5,Sprints[],4,FALSE))=$OB$12,0.5,1)*(OFFSET($A$3,0,31*(VLOOKUP(NR$5,Sprints[],5,FALSE))+DAY(VLOOKUP(NR$5,Sprints[],2,FALSE)),1,VLOOKUP(NR$5,Sprints[],4,FALSE)))))</f>
        <v>2</v>
      </c>
      <c r="NS36" s="52">
        <f t="array" aca="1" ref="NS36" ca="1">SUMPRODUCT((OFFSET($A36,0,31*(VLOOKUP(NS$5,Sprints[],5,FALSE))+DAY(VLOOKUP(NS$5,Sprints[],2,FALSE)),1,VLOOKUP(NS$5,Sprints[],4,FALSE))&lt;&gt;"")*(IF(OFFSET($A36,0,31*(VLOOKUP(NS$5,Sprints[],5,FALSE))+DAY(VLOOKUP(NS$5,Sprints[],2,FALSE)),1,VLOOKUP(NS$5,Sprints[],4,FALSE))=$OB$12,0.5,1)*(OFFSET($A$3,0,31*(VLOOKUP(NS$5,Sprints[],5,FALSE))+DAY(VLOOKUP(NS$5,Sprints[],2,FALSE)),1,VLOOKUP(NS$5,Sprints[],4,FALSE)))))</f>
        <v>1</v>
      </c>
      <c r="NT36" s="52">
        <f t="array" aca="1" ref="NT36" ca="1">SUMPRODUCT((OFFSET($A36,0,31*(VLOOKUP(NT$5,Sprints[],5,FALSE))+DAY(VLOOKUP(NT$5,Sprints[],2,FALSE)),1,VLOOKUP(NT$5,Sprints[],4,FALSE))&lt;&gt;"")*(IF(OFFSET($A36,0,31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36" s="52">
        <f t="array" aca="1" ref="NU36" ca="1">SUMPRODUCT((OFFSET($A36,0,31*(VLOOKUP(NU$5,Sprints[],5,FALSE))+DAY(VLOOKUP(NU$5,Sprints[],2,FALSE)),1,VLOOKUP(NU$5,Sprints[],4,FALSE))&lt;&gt;"")*(IF(OFFSET($A36,0,31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36" s="52">
        <f t="array" aca="1" ref="NV36" ca="1">SUMPRODUCT((OFFSET($A36,0,31*(VLOOKUP(NV$5,Sprints[],5,FALSE))+DAY(VLOOKUP(NV$5,Sprints[],2,FALSE)),1,VLOOKUP(NV$5,Sprints[],4,FALSE))&lt;&gt;"")*(IF(OFFSET($A36,0,31*(VLOOKUP(NV$5,Sprints[],5,FALSE))+DAY(VLOOKUP(NV$5,Sprints[],2,FALSE)),1,VLOOKUP(NV$5,Sprints[],4,FALSE))=$OB$12,0.5,1)*(OFFSET($A$3,0,31*(VLOOKUP(NV$5,Sprints[],5,FALSE))+DAY(VLOOKUP(NV$5,Sprints[],2,FALSE)),1,VLOOKUP(NV$5,Sprints[],4,FALSE)))))</f>
        <v>0</v>
      </c>
      <c r="NW36" s="52">
        <f t="array" aca="1" ref="NW36" ca="1">SUMPRODUCT((OFFSET($A36,0,31*(VLOOKUP(NW$5,Sprints[],5,FALSE))+DAY(VLOOKUP(NW$5,Sprints[],2,FALSE)),1,VLOOKUP(NW$5,Sprints[],4,FALSE))&lt;&gt;"")*(IF(OFFSET($A36,0,31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36" s="52">
        <f t="array" aca="1" ref="NX36" ca="1">SUMPRODUCT((OFFSET($A36,0,31*(VLOOKUP(NX$5,Sprints[],5,FALSE))+DAY(VLOOKUP(NX$5,Sprints[],2,FALSE)),1,VLOOKUP(NX$5,Sprints[],4,FALSE))&lt;&gt;"")*(IF(OFFSET($A36,0,31*(VLOOKUP(NX$5,Sprints[],5,FALSE))+DAY(VLOOKUP(NX$5,Sprints[],2,FALSE)),1,VLOOKUP(NX$5,Sprints[],4,FALSE))=$OB$12,0.5,1)*(OFFSET($A$3,0,31*(VLOOKUP(NX$5,Sprints[],5,FALSE))+DAY(VLOOKUP(NX$5,Sprints[],2,FALSE)),1,VLOOKUP(NX$5,Sprints[],4,FALSE)))))</f>
        <v>1</v>
      </c>
      <c r="NY36" s="52">
        <f t="array" aca="1" ref="NY36" ca="1">SUMPRODUCT((OFFSET($A36,0,31*(VLOOKUP(NY$5,Sprints[],5,FALSE))+DAY(VLOOKUP(NY$5,Sprints[],2,FALSE)),1,VLOOKUP(NY$5,Sprints[],4,FALSE))&lt;&gt;"")*(IF(OFFSET($A36,0,31*(VLOOKUP(NY$5,Sprints[],5,FALSE))+DAY(VLOOKUP(NY$5,Sprints[],2,FALSE)),1,VLOOKUP(NY$5,Sprints[],4,FALSE))=$OB$12,0.5,1)*(OFFSET($A$3,0,31*(VLOOKUP(NY$5,Sprints[],5,FALSE))+DAY(VLOOKUP(NY$5,Sprints[],2,FALSE)),1,VLOOKUP(NY$5,Sprints[],4,FALSE)))))</f>
        <v>5</v>
      </c>
    </row>
    <row r="37" spans="1:389" x14ac:dyDescent="0.45">
      <c r="A37" s="44" t="s">
        <v>139</v>
      </c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36"/>
      <c r="R37" s="36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36"/>
      <c r="AF37" s="2"/>
      <c r="AG37" s="36"/>
      <c r="AH37" s="2"/>
      <c r="AI37" s="2"/>
      <c r="AJ37" s="2"/>
      <c r="AK37" s="2"/>
      <c r="AL37" s="2"/>
      <c r="AM37" s="2" t="s">
        <v>35</v>
      </c>
      <c r="AN37" s="2"/>
      <c r="AO37" s="36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 t="s">
        <v>35</v>
      </c>
      <c r="CK37" s="2"/>
      <c r="CL37" s="2"/>
      <c r="CM37" s="2"/>
      <c r="CN37" s="2"/>
      <c r="CO37" s="2"/>
      <c r="CP37" s="2"/>
      <c r="CQ37" s="2" t="s">
        <v>35</v>
      </c>
      <c r="CR37" s="2"/>
      <c r="CS37" s="2"/>
      <c r="CT37" s="2"/>
      <c r="CU37" s="2"/>
      <c r="CV37" s="2"/>
      <c r="CW37" s="2" t="s">
        <v>35</v>
      </c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 t="s">
        <v>35</v>
      </c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  <c r="JJ37" s="2"/>
      <c r="JK37" s="2"/>
      <c r="JL37" s="2"/>
      <c r="JM37" s="2"/>
      <c r="JN37" s="2"/>
      <c r="JO37" s="2"/>
      <c r="JP37" s="2"/>
      <c r="JQ37" s="2"/>
      <c r="JR37" s="2"/>
      <c r="JS37" s="2"/>
      <c r="JT37" s="2"/>
      <c r="JU37" s="2"/>
      <c r="JV37" s="2"/>
      <c r="JW37" s="2"/>
      <c r="JX37" s="2"/>
      <c r="JY37" s="2"/>
      <c r="JZ37" s="2"/>
      <c r="KA37" s="2"/>
      <c r="KB37" s="2"/>
      <c r="KC37" s="2"/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  <c r="KO37" s="2"/>
      <c r="KP37" s="2"/>
      <c r="KQ37" s="2"/>
      <c r="KR37" s="2"/>
      <c r="KS37" s="2"/>
      <c r="KT37" s="2"/>
      <c r="KU37" s="2"/>
      <c r="KV37" s="2"/>
      <c r="KW37" s="2"/>
      <c r="KX37" s="2"/>
      <c r="KY37" s="2"/>
      <c r="KZ37" s="2"/>
      <c r="LA37" s="2"/>
      <c r="LB37" s="2"/>
      <c r="LC37" s="2"/>
      <c r="LD37" s="2"/>
      <c r="LE37" s="2"/>
      <c r="LF37" s="2"/>
      <c r="LG37" s="2"/>
      <c r="LH37" s="2"/>
      <c r="LI37" s="2"/>
      <c r="LJ37" s="2"/>
      <c r="LK37" s="2"/>
      <c r="LL37" s="2"/>
      <c r="LM37" s="2"/>
      <c r="LN37" s="2"/>
      <c r="LO37" s="2"/>
      <c r="LP37" s="2"/>
      <c r="LQ37" s="2"/>
      <c r="LR37" s="2"/>
      <c r="LS37" s="2"/>
      <c r="LT37" s="2"/>
      <c r="LU37" s="2"/>
      <c r="LV37" s="2"/>
      <c r="LW37" s="2"/>
      <c r="LX37" s="2"/>
      <c r="LY37" s="2"/>
      <c r="LZ37" s="2"/>
      <c r="MA37" s="2"/>
      <c r="MB37" s="2"/>
      <c r="MC37" s="2"/>
      <c r="MD37" s="2"/>
      <c r="ME37" s="2"/>
      <c r="MF37" s="2"/>
      <c r="MG37" s="2"/>
      <c r="MH37" s="2"/>
      <c r="MI37" s="2"/>
      <c r="MJ37" s="2"/>
      <c r="MK37" s="2"/>
      <c r="ML37" s="2"/>
      <c r="MM37" s="2"/>
      <c r="MN37" s="2"/>
      <c r="MO37" s="2"/>
      <c r="MP37" s="2"/>
      <c r="MQ37" s="2"/>
      <c r="MR37" s="2"/>
      <c r="MS37" s="2"/>
      <c r="MT37" s="2"/>
      <c r="MU37" s="2"/>
      <c r="MV37" s="2"/>
      <c r="MW37" s="2"/>
      <c r="MX37" s="2"/>
      <c r="MY37" s="2"/>
      <c r="MZ37" s="2"/>
      <c r="NA37" s="2"/>
      <c r="NB37" s="2"/>
      <c r="NC37" s="2"/>
      <c r="ND37" s="2"/>
      <c r="NE37" s="2"/>
      <c r="NF37" s="2"/>
      <c r="NG37" s="2"/>
      <c r="NH37" s="2"/>
      <c r="NI37" s="2"/>
      <c r="NJ37" s="14">
        <f t="array" aca="1" ref="NJ37" ca="1">SUMPRODUCT((OFFSET($A37,0,31*($A$3-1)+1,1,31)&lt;&gt;"")*(IF(OFFSET($A37,0,31*($A$3-1)+1,1,31)=$OB$12,0.5,1)*(OFFSET($A$4,0,31*($A$3-1)+1,1,31))))</f>
        <v>0</v>
      </c>
      <c r="NK37" s="20">
        <f t="array" aca="1" ref="NK37" ca="1">SUMPRODUCT((OFFSET($A37,0,1,1,372)&lt;&gt;"")*(IF(OFFSET($A37,0,1,1,372)=$OB$12,0.5,1)*(OFFSET($A$3,0,1,1,372))))</f>
        <v>5</v>
      </c>
      <c r="NL37" s="28">
        <f t="array" aca="1" ref="NL37" ca="1">SUMPRODUCT((OFFSET($A37,0,31*($A$4)+DAY(Holidays!$E$2),1,Holidays!$G$2)&lt;&gt;"")*(IF(OFFSET($A37,0,31*($A$4)+DAY(Holidays!$E$2),1,Holidays!$G$2)=$OB$12,0.5,1)*(OFFSET($A$3,0,31*($A$4)+DAY(Holidays!$E$2),1,Holidays!$G$2))))</f>
        <v>5</v>
      </c>
      <c r="NM37" s="52">
        <f t="array" aca="1" ref="NM37" ca="1">SUMPRODUCT((OFFSET($A37,0,31*($A$4)+DAY(VLOOKUP(NM$5,Sprints[],2,FALSE)),1,VLOOKUP(NM$5,Sprints[],4,FALSE))&lt;&gt;"")*(IF(OFFSET($A37,0,31*($A$4)+DAY(VLOOKUP(NM$5,Sprints[],2,FALSE)),1,VLOOKUP(NM$5,Sprints[],4,FALSE))=$OB$12,0.5,1)*(OFFSET($A$3,0,31*($A$4)+DAY(VLOOKUP(NM$5,Sprints[],2,FALSE)),1,VLOOKUP(NM$5,Sprints[],4,FALSE)))))</f>
        <v>0</v>
      </c>
      <c r="NN37" s="52">
        <f t="array" aca="1" ref="NN37" ca="1">SUMPRODUCT((OFFSET($A37,0,31*($A$4)+DAY(VLOOKUP(NN$5,Sprints[],2,FALSE)),1,VLOOKUP(NN$5,Sprints[],4,FALSE))&lt;&gt;"")*(IF(OFFSET($A37,0,31*($A$4)+DAY(VLOOKUP(NN$5,Sprints[],2,FALSE)),1,VLOOKUP(NN$5,Sprints[],4,FALSE))=$OB$12,0.5,1)*(OFFSET($A$3,0,31*($A$4)+DAY(VLOOKUP(NN$5,Sprints[],2,FALSE)),1,VLOOKUP(NN$5,Sprints[],4,FALSE)))))</f>
        <v>0</v>
      </c>
      <c r="NO37" s="52">
        <f t="array" aca="1" ref="NO37" ca="1">SUMPRODUCT((OFFSET($A37,0,31*($A$4)+DAY(VLOOKUP(NO$5,Sprints[],2,FALSE)),1,VLOOKUP(NO$5,Sprints[],4,FALSE))&lt;&gt;"")*(IF(OFFSET($A37,0,31*($A$4)+DAY(VLOOKUP(NO$5,Sprints[],2,FALSE)),1,VLOOKUP(NO$5,Sprints[],4,FALSE))=$OB$12,0.5,1)*(OFFSET($A$3,0,31*($A$4)+DAY(VLOOKUP(NO$5,Sprints[],2,FALSE)),1,VLOOKUP(NO$5,Sprints[],4,FALSE)))))</f>
        <v>0</v>
      </c>
      <c r="NP37" s="52">
        <f t="array" aca="1" ref="NP37" ca="1">SUMPRODUCT((OFFSET($A37,0,31*(VLOOKUP(NP$5,Sprints[],5,FALSE))+DAY(VLOOKUP(NP$5,Sprints[],2,FALSE)),1,VLOOKUP(NP$5,Sprints[],4,FALSE))&lt;&gt;"")*(IF(OFFSET($A37,0,31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37" s="52">
        <f t="array" aca="1" ref="NQ37" ca="1">SUMPRODUCT((OFFSET($A37,0,31*(VLOOKUP(NQ$5,Sprints[],5,FALSE))+DAY(VLOOKUP(NQ$5,Sprints[],2,FALSE)),1,VLOOKUP(NQ$5,Sprints[],4,FALSE))&lt;&gt;"")*(IF(OFFSET($A37,0,31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37" s="52">
        <f t="array" aca="1" ref="NR37" ca="1">SUMPRODUCT((OFFSET($A37,0,31*(VLOOKUP(NR$5,Sprints[],5,FALSE))+DAY(VLOOKUP(NR$5,Sprints[],2,FALSE)),1,VLOOKUP(NR$5,Sprints[],4,FALSE))&lt;&gt;"")*(IF(OFFSET($A37,0,31*(VLOOKUP(NR$5,Sprints[],5,FALSE))+DAY(VLOOKUP(NR$5,Sprints[],2,FALSE)),1,VLOOKUP(NR$5,Sprints[],4,FALSE))=$OB$12,0.5,1)*(OFFSET($A$3,0,31*(VLOOKUP(NR$5,Sprints[],5,FALSE))+DAY(VLOOKUP(NR$5,Sprints[],2,FALSE)),1,VLOOKUP(NR$5,Sprints[],4,FALSE)))))</f>
        <v>2</v>
      </c>
      <c r="NS37" s="52">
        <f t="array" aca="1" ref="NS37" ca="1">SUMPRODUCT((OFFSET($A37,0,31*(VLOOKUP(NS$5,Sprints[],5,FALSE))+DAY(VLOOKUP(NS$5,Sprints[],2,FALSE)),1,VLOOKUP(NS$5,Sprints[],4,FALSE))&lt;&gt;"")*(IF(OFFSET($A37,0,31*(VLOOKUP(NS$5,Sprints[],5,FALSE))+DAY(VLOOKUP(NS$5,Sprints[],2,FALSE)),1,VLOOKUP(NS$5,Sprints[],4,FALSE))=$OB$12,0.5,1)*(OFFSET($A$3,0,31*(VLOOKUP(NS$5,Sprints[],5,FALSE))+DAY(VLOOKUP(NS$5,Sprints[],2,FALSE)),1,VLOOKUP(NS$5,Sprints[],4,FALSE)))))</f>
        <v>1</v>
      </c>
      <c r="NT37" s="52">
        <f t="array" aca="1" ref="NT37" ca="1">SUMPRODUCT((OFFSET($A37,0,31*(VLOOKUP(NT$5,Sprints[],5,FALSE))+DAY(VLOOKUP(NT$5,Sprints[],2,FALSE)),1,VLOOKUP(NT$5,Sprints[],4,FALSE))&lt;&gt;"")*(IF(OFFSET($A37,0,31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37" s="52">
        <f t="array" aca="1" ref="NU37" ca="1">SUMPRODUCT((OFFSET($A37,0,31*(VLOOKUP(NU$5,Sprints[],5,FALSE))+DAY(VLOOKUP(NU$5,Sprints[],2,FALSE)),1,VLOOKUP(NU$5,Sprints[],4,FALSE))&lt;&gt;"")*(IF(OFFSET($A37,0,31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37" s="52">
        <f t="array" aca="1" ref="NV37" ca="1">SUMPRODUCT((OFFSET($A37,0,31*(VLOOKUP(NV$5,Sprints[],5,FALSE))+DAY(VLOOKUP(NV$5,Sprints[],2,FALSE)),1,VLOOKUP(NV$5,Sprints[],4,FALSE))&lt;&gt;"")*(IF(OFFSET($A37,0,31*(VLOOKUP(NV$5,Sprints[],5,FALSE))+DAY(VLOOKUP(NV$5,Sprints[],2,FALSE)),1,VLOOKUP(NV$5,Sprints[],4,FALSE))=$OB$12,0.5,1)*(OFFSET($A$3,0,31*(VLOOKUP(NV$5,Sprints[],5,FALSE))+DAY(VLOOKUP(NV$5,Sprints[],2,FALSE)),1,VLOOKUP(NV$5,Sprints[],4,FALSE)))))</f>
        <v>0</v>
      </c>
      <c r="NW37" s="52">
        <f t="array" aca="1" ref="NW37" ca="1">SUMPRODUCT((OFFSET($A37,0,31*(VLOOKUP(NW$5,Sprints[],5,FALSE))+DAY(VLOOKUP(NW$5,Sprints[],2,FALSE)),1,VLOOKUP(NW$5,Sprints[],4,FALSE))&lt;&gt;"")*(IF(OFFSET($A37,0,31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37" s="52">
        <f t="array" aca="1" ref="NX37" ca="1">SUMPRODUCT((OFFSET($A37,0,31*(VLOOKUP(NX$5,Sprints[],5,FALSE))+DAY(VLOOKUP(NX$5,Sprints[],2,FALSE)),1,VLOOKUP(NX$5,Sprints[],4,FALSE))&lt;&gt;"")*(IF(OFFSET($A37,0,31*(VLOOKUP(NX$5,Sprints[],5,FALSE))+DAY(VLOOKUP(NX$5,Sprints[],2,FALSE)),1,VLOOKUP(NX$5,Sprints[],4,FALSE))=$OB$12,0.5,1)*(OFFSET($A$3,0,31*(VLOOKUP(NX$5,Sprints[],5,FALSE))+DAY(VLOOKUP(NX$5,Sprints[],2,FALSE)),1,VLOOKUP(NX$5,Sprints[],4,FALSE)))))</f>
        <v>1</v>
      </c>
      <c r="NY37" s="52">
        <f t="array" aca="1" ref="NY37" ca="1">SUMPRODUCT((OFFSET($A37,0,31*(VLOOKUP(NY$5,Sprints[],5,FALSE))+DAY(VLOOKUP(NY$5,Sprints[],2,FALSE)),1,VLOOKUP(NY$5,Sprints[],4,FALSE))&lt;&gt;"")*(IF(OFFSET($A37,0,31*(VLOOKUP(NY$5,Sprints[],5,FALSE))+DAY(VLOOKUP(NY$5,Sprints[],2,FALSE)),1,VLOOKUP(NY$5,Sprints[],4,FALSE))=$OB$12,0.5,1)*(OFFSET($A$3,0,31*(VLOOKUP(NY$5,Sprints[],5,FALSE))+DAY(VLOOKUP(NY$5,Sprints[],2,FALSE)),1,VLOOKUP(NY$5,Sprints[],4,FALSE)))))</f>
        <v>5</v>
      </c>
    </row>
    <row r="38" spans="1:389" x14ac:dyDescent="0.45">
      <c r="A38" s="44" t="s">
        <v>88</v>
      </c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36"/>
      <c r="R38" s="36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36"/>
      <c r="AF38" s="2"/>
      <c r="AG38" s="36"/>
      <c r="AH38" s="2"/>
      <c r="AI38" s="2"/>
      <c r="AJ38" s="2"/>
      <c r="AK38" s="2"/>
      <c r="AL38" s="2"/>
      <c r="AM38" s="2" t="s">
        <v>35</v>
      </c>
      <c r="AN38" s="2"/>
      <c r="AO38" s="36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 t="s">
        <v>35</v>
      </c>
      <c r="CK38" s="2"/>
      <c r="CL38" s="2"/>
      <c r="CM38" s="2"/>
      <c r="CN38" s="2"/>
      <c r="CO38" s="2"/>
      <c r="CP38" s="2"/>
      <c r="CQ38" s="2" t="s">
        <v>35</v>
      </c>
      <c r="CR38" s="2"/>
      <c r="CS38" s="2"/>
      <c r="CT38" s="2"/>
      <c r="CU38" s="2"/>
      <c r="CV38" s="2"/>
      <c r="CW38" s="2" t="s">
        <v>35</v>
      </c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 t="s">
        <v>35</v>
      </c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  <c r="JJ38" s="2"/>
      <c r="JK38" s="2"/>
      <c r="JL38" s="2"/>
      <c r="JM38" s="2"/>
      <c r="JN38" s="2"/>
      <c r="JO38" s="2"/>
      <c r="JP38" s="2"/>
      <c r="JQ38" s="2"/>
      <c r="JR38" s="2"/>
      <c r="JS38" s="2"/>
      <c r="JT38" s="2"/>
      <c r="JU38" s="2"/>
      <c r="JV38" s="2"/>
      <c r="JW38" s="2"/>
      <c r="JX38" s="2"/>
      <c r="JY38" s="2"/>
      <c r="JZ38" s="2"/>
      <c r="KA38" s="2"/>
      <c r="KB38" s="2"/>
      <c r="KC38" s="2"/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  <c r="KO38" s="2"/>
      <c r="KP38" s="2"/>
      <c r="KQ38" s="2"/>
      <c r="KR38" s="2"/>
      <c r="KS38" s="2"/>
      <c r="KT38" s="2"/>
      <c r="KU38" s="2"/>
      <c r="KV38" s="2"/>
      <c r="KW38" s="2"/>
      <c r="KX38" s="2"/>
      <c r="KY38" s="2"/>
      <c r="KZ38" s="2"/>
      <c r="LA38" s="2"/>
      <c r="LB38" s="2"/>
      <c r="LC38" s="2"/>
      <c r="LD38" s="2"/>
      <c r="LE38" s="2"/>
      <c r="LF38" s="2"/>
      <c r="LG38" s="2"/>
      <c r="LH38" s="2"/>
      <c r="LI38" s="2"/>
      <c r="LJ38" s="2"/>
      <c r="LK38" s="2"/>
      <c r="LL38" s="2"/>
      <c r="LM38" s="2"/>
      <c r="LN38" s="2"/>
      <c r="LO38" s="2"/>
      <c r="LP38" s="2"/>
      <c r="LQ38" s="2"/>
      <c r="LR38" s="2"/>
      <c r="LS38" s="2"/>
      <c r="LT38" s="2"/>
      <c r="LU38" s="2"/>
      <c r="LV38" s="2"/>
      <c r="LW38" s="2"/>
      <c r="LX38" s="2"/>
      <c r="LY38" s="2"/>
      <c r="LZ38" s="2"/>
      <c r="MA38" s="2"/>
      <c r="MB38" s="2"/>
      <c r="MC38" s="2"/>
      <c r="MD38" s="2"/>
      <c r="ME38" s="2"/>
      <c r="MF38" s="2"/>
      <c r="MG38" s="2"/>
      <c r="MH38" s="2"/>
      <c r="MI38" s="2"/>
      <c r="MJ38" s="2"/>
      <c r="MK38" s="2"/>
      <c r="ML38" s="2"/>
      <c r="MM38" s="2"/>
      <c r="MN38" s="2"/>
      <c r="MO38" s="2"/>
      <c r="MP38" s="2"/>
      <c r="MQ38" s="2"/>
      <c r="MR38" s="2"/>
      <c r="MS38" s="2"/>
      <c r="MT38" s="2"/>
      <c r="MU38" s="2"/>
      <c r="MV38" s="2"/>
      <c r="MW38" s="2"/>
      <c r="MX38" s="2"/>
      <c r="MY38" s="2"/>
      <c r="MZ38" s="2"/>
      <c r="NA38" s="2"/>
      <c r="NB38" s="2"/>
      <c r="NC38" s="2"/>
      <c r="ND38" s="2"/>
      <c r="NE38" s="2"/>
      <c r="NF38" s="2"/>
      <c r="NG38" s="2"/>
      <c r="NH38" s="2"/>
      <c r="NI38" s="2"/>
      <c r="NJ38" s="14">
        <f t="array" aca="1" ref="NJ38" ca="1">SUMPRODUCT((OFFSET($A38,0,31*($A$3-1)+1,1,31)&lt;&gt;"")*(IF(OFFSET($A38,0,31*($A$3-1)+1,1,31)=$OB$12,0.5,1)*(OFFSET($A$4,0,31*($A$3-1)+1,1,31))))</f>
        <v>0</v>
      </c>
      <c r="NK38" s="20">
        <f t="array" aca="1" ref="NK38" ca="1">SUMPRODUCT((OFFSET($A38,0,1,1,372)&lt;&gt;"")*(IF(OFFSET($A38,0,1,1,372)=$OB$12,0.5,1)*(OFFSET($A$3,0,1,1,372))))</f>
        <v>5</v>
      </c>
      <c r="NL38" s="28">
        <f t="array" aca="1" ref="NL38" ca="1">SUMPRODUCT((OFFSET($A38,0,31*($A$4)+DAY(Holidays!$E$2),1,Holidays!$G$2)&lt;&gt;"")*(IF(OFFSET($A38,0,31*($A$4)+DAY(Holidays!$E$2),1,Holidays!$G$2)=$OB$12,0.5,1)*(OFFSET($A$3,0,31*($A$4)+DAY(Holidays!$E$2),1,Holidays!$G$2))))</f>
        <v>5</v>
      </c>
      <c r="NM38" s="52">
        <f t="array" aca="1" ref="NM38" ca="1">SUMPRODUCT((OFFSET($A38,0,31*($A$4)+DAY(VLOOKUP(NM$5,Sprints[],2,FALSE)),1,VLOOKUP(NM$5,Sprints[],4,FALSE))&lt;&gt;"")*(IF(OFFSET($A38,0,31*($A$4)+DAY(VLOOKUP(NM$5,Sprints[],2,FALSE)),1,VLOOKUP(NM$5,Sprints[],4,FALSE))=$OB$12,0.5,1)*(OFFSET($A$3,0,31*($A$4)+DAY(VLOOKUP(NM$5,Sprints[],2,FALSE)),1,VLOOKUP(NM$5,Sprints[],4,FALSE)))))</f>
        <v>0</v>
      </c>
      <c r="NN38" s="52">
        <f t="array" aca="1" ref="NN38" ca="1">SUMPRODUCT((OFFSET($A38,0,31*($A$4)+DAY(VLOOKUP(NN$5,Sprints[],2,FALSE)),1,VLOOKUP(NN$5,Sprints[],4,FALSE))&lt;&gt;"")*(IF(OFFSET($A38,0,31*($A$4)+DAY(VLOOKUP(NN$5,Sprints[],2,FALSE)),1,VLOOKUP(NN$5,Sprints[],4,FALSE))=$OB$12,0.5,1)*(OFFSET($A$3,0,31*($A$4)+DAY(VLOOKUP(NN$5,Sprints[],2,FALSE)),1,VLOOKUP(NN$5,Sprints[],4,FALSE)))))</f>
        <v>0</v>
      </c>
      <c r="NO38" s="52">
        <f t="array" aca="1" ref="NO38" ca="1">SUMPRODUCT((OFFSET($A38,0,31*($A$4)+DAY(VLOOKUP(NO$5,Sprints[],2,FALSE)),1,VLOOKUP(NO$5,Sprints[],4,FALSE))&lt;&gt;"")*(IF(OFFSET($A38,0,31*($A$4)+DAY(VLOOKUP(NO$5,Sprints[],2,FALSE)),1,VLOOKUP(NO$5,Sprints[],4,FALSE))=$OB$12,0.5,1)*(OFFSET($A$3,0,31*($A$4)+DAY(VLOOKUP(NO$5,Sprints[],2,FALSE)),1,VLOOKUP(NO$5,Sprints[],4,FALSE)))))</f>
        <v>0</v>
      </c>
      <c r="NP38" s="52">
        <f t="array" aca="1" ref="NP38" ca="1">SUMPRODUCT((OFFSET($A38,0,31*(VLOOKUP(NP$5,Sprints[],5,FALSE))+DAY(VLOOKUP(NP$5,Sprints[],2,FALSE)),1,VLOOKUP(NP$5,Sprints[],4,FALSE))&lt;&gt;"")*(IF(OFFSET($A38,0,31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38" s="52">
        <f t="array" aca="1" ref="NQ38" ca="1">SUMPRODUCT((OFFSET($A38,0,31*(VLOOKUP(NQ$5,Sprints[],5,FALSE))+DAY(VLOOKUP(NQ$5,Sprints[],2,FALSE)),1,VLOOKUP(NQ$5,Sprints[],4,FALSE))&lt;&gt;"")*(IF(OFFSET($A38,0,31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38" s="52">
        <f t="array" aca="1" ref="NR38" ca="1">SUMPRODUCT((OFFSET($A38,0,31*(VLOOKUP(NR$5,Sprints[],5,FALSE))+DAY(VLOOKUP(NR$5,Sprints[],2,FALSE)),1,VLOOKUP(NR$5,Sprints[],4,FALSE))&lt;&gt;"")*(IF(OFFSET($A38,0,31*(VLOOKUP(NR$5,Sprints[],5,FALSE))+DAY(VLOOKUP(NR$5,Sprints[],2,FALSE)),1,VLOOKUP(NR$5,Sprints[],4,FALSE))=$OB$12,0.5,1)*(OFFSET($A$3,0,31*(VLOOKUP(NR$5,Sprints[],5,FALSE))+DAY(VLOOKUP(NR$5,Sprints[],2,FALSE)),1,VLOOKUP(NR$5,Sprints[],4,FALSE)))))</f>
        <v>2</v>
      </c>
      <c r="NS38" s="52">
        <f t="array" aca="1" ref="NS38" ca="1">SUMPRODUCT((OFFSET($A38,0,31*(VLOOKUP(NS$5,Sprints[],5,FALSE))+DAY(VLOOKUP(NS$5,Sprints[],2,FALSE)),1,VLOOKUP(NS$5,Sprints[],4,FALSE))&lt;&gt;"")*(IF(OFFSET($A38,0,31*(VLOOKUP(NS$5,Sprints[],5,FALSE))+DAY(VLOOKUP(NS$5,Sprints[],2,FALSE)),1,VLOOKUP(NS$5,Sprints[],4,FALSE))=$OB$12,0.5,1)*(OFFSET($A$3,0,31*(VLOOKUP(NS$5,Sprints[],5,FALSE))+DAY(VLOOKUP(NS$5,Sprints[],2,FALSE)),1,VLOOKUP(NS$5,Sprints[],4,FALSE)))))</f>
        <v>1</v>
      </c>
      <c r="NT38" s="52">
        <f t="array" aca="1" ref="NT38" ca="1">SUMPRODUCT((OFFSET($A38,0,31*(VLOOKUP(NT$5,Sprints[],5,FALSE))+DAY(VLOOKUP(NT$5,Sprints[],2,FALSE)),1,VLOOKUP(NT$5,Sprints[],4,FALSE))&lt;&gt;"")*(IF(OFFSET($A38,0,31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38" s="52">
        <f t="array" aca="1" ref="NU38" ca="1">SUMPRODUCT((OFFSET($A38,0,31*(VLOOKUP(NU$5,Sprints[],5,FALSE))+DAY(VLOOKUP(NU$5,Sprints[],2,FALSE)),1,VLOOKUP(NU$5,Sprints[],4,FALSE))&lt;&gt;"")*(IF(OFFSET($A38,0,31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38" s="52">
        <f t="array" aca="1" ref="NV38" ca="1">SUMPRODUCT((OFFSET($A38,0,31*(VLOOKUP(NV$5,Sprints[],5,FALSE))+DAY(VLOOKUP(NV$5,Sprints[],2,FALSE)),1,VLOOKUP(NV$5,Sprints[],4,FALSE))&lt;&gt;"")*(IF(OFFSET($A38,0,31*(VLOOKUP(NV$5,Sprints[],5,FALSE))+DAY(VLOOKUP(NV$5,Sprints[],2,FALSE)),1,VLOOKUP(NV$5,Sprints[],4,FALSE))=$OB$12,0.5,1)*(OFFSET($A$3,0,31*(VLOOKUP(NV$5,Sprints[],5,FALSE))+DAY(VLOOKUP(NV$5,Sprints[],2,FALSE)),1,VLOOKUP(NV$5,Sprints[],4,FALSE)))))</f>
        <v>0</v>
      </c>
      <c r="NW38" s="52">
        <f t="array" aca="1" ref="NW38" ca="1">SUMPRODUCT((OFFSET($A38,0,31*(VLOOKUP(NW$5,Sprints[],5,FALSE))+DAY(VLOOKUP(NW$5,Sprints[],2,FALSE)),1,VLOOKUP(NW$5,Sprints[],4,FALSE))&lt;&gt;"")*(IF(OFFSET($A38,0,31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38" s="52">
        <f t="array" aca="1" ref="NX38" ca="1">SUMPRODUCT((OFFSET($A38,0,31*(VLOOKUP(NX$5,Sprints[],5,FALSE))+DAY(VLOOKUP(NX$5,Sprints[],2,FALSE)),1,VLOOKUP(NX$5,Sprints[],4,FALSE))&lt;&gt;"")*(IF(OFFSET($A38,0,31*(VLOOKUP(NX$5,Sprints[],5,FALSE))+DAY(VLOOKUP(NX$5,Sprints[],2,FALSE)),1,VLOOKUP(NX$5,Sprints[],4,FALSE))=$OB$12,0.5,1)*(OFFSET($A$3,0,31*(VLOOKUP(NX$5,Sprints[],5,FALSE))+DAY(VLOOKUP(NX$5,Sprints[],2,FALSE)),1,VLOOKUP(NX$5,Sprints[],4,FALSE)))))</f>
        <v>1</v>
      </c>
      <c r="NY38" s="52">
        <f t="array" aca="1" ref="NY38" ca="1">SUMPRODUCT((OFFSET($A38,0,31*(VLOOKUP(NY$5,Sprints[],5,FALSE))+DAY(VLOOKUP(NY$5,Sprints[],2,FALSE)),1,VLOOKUP(NY$5,Sprints[],4,FALSE))&lt;&gt;"")*(IF(OFFSET($A38,0,31*(VLOOKUP(NY$5,Sprints[],5,FALSE))+DAY(VLOOKUP(NY$5,Sprints[],2,FALSE)),1,VLOOKUP(NY$5,Sprints[],4,FALSE))=$OB$12,0.5,1)*(OFFSET($A$3,0,31*(VLOOKUP(NY$5,Sprints[],5,FALSE))+DAY(VLOOKUP(NY$5,Sprints[],2,FALSE)),1,VLOOKUP(NY$5,Sprints[],4,FALSE)))))</f>
        <v>5</v>
      </c>
    </row>
    <row r="39" spans="1:389" x14ac:dyDescent="0.45">
      <c r="A39" s="44" t="s">
        <v>94</v>
      </c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36"/>
      <c r="R39" s="36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36"/>
      <c r="AF39" s="2"/>
      <c r="AG39" s="36"/>
      <c r="AH39" s="2"/>
      <c r="AI39" s="2"/>
      <c r="AJ39" s="2"/>
      <c r="AK39" s="2"/>
      <c r="AL39" s="2"/>
      <c r="AM39" s="2" t="s">
        <v>35</v>
      </c>
      <c r="AN39" s="2"/>
      <c r="AO39" s="36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 t="s">
        <v>35</v>
      </c>
      <c r="CK39" s="2"/>
      <c r="CL39" s="2"/>
      <c r="CM39" s="2"/>
      <c r="CN39" s="2"/>
      <c r="CO39" s="2"/>
      <c r="CP39" s="2"/>
      <c r="CQ39" s="2" t="s">
        <v>35</v>
      </c>
      <c r="CR39" s="2"/>
      <c r="CS39" s="2"/>
      <c r="CT39" s="2"/>
      <c r="CU39" s="2"/>
      <c r="CV39" s="2"/>
      <c r="CW39" s="2" t="s">
        <v>35</v>
      </c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 t="s">
        <v>35</v>
      </c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2"/>
      <c r="IR39" s="2"/>
      <c r="IS39" s="2"/>
      <c r="IT39" s="2"/>
      <c r="IU39" s="2"/>
      <c r="IV39" s="2"/>
      <c r="IW39" s="2"/>
      <c r="IX39" s="2"/>
      <c r="IY39" s="2"/>
      <c r="IZ39" s="2"/>
      <c r="JA39" s="2"/>
      <c r="JB39" s="2"/>
      <c r="JC39" s="2"/>
      <c r="JD39" s="2"/>
      <c r="JE39" s="2"/>
      <c r="JF39" s="2"/>
      <c r="JG39" s="2"/>
      <c r="JH39" s="2"/>
      <c r="JI39" s="2"/>
      <c r="JJ39" s="2"/>
      <c r="JK39" s="2"/>
      <c r="JL39" s="2"/>
      <c r="JM39" s="2"/>
      <c r="JN39" s="2"/>
      <c r="JO39" s="2"/>
      <c r="JP39" s="2"/>
      <c r="JQ39" s="2"/>
      <c r="JR39" s="2"/>
      <c r="JS39" s="2"/>
      <c r="JT39" s="2"/>
      <c r="JU39" s="2"/>
      <c r="JV39" s="2"/>
      <c r="JW39" s="2"/>
      <c r="JX39" s="2"/>
      <c r="JY39" s="2"/>
      <c r="JZ39" s="2"/>
      <c r="KA39" s="2"/>
      <c r="KB39" s="2"/>
      <c r="KC39" s="2"/>
      <c r="KD39" s="2"/>
      <c r="KE39" s="2"/>
      <c r="KF39" s="2"/>
      <c r="KG39" s="2"/>
      <c r="KH39" s="2"/>
      <c r="KI39" s="2"/>
      <c r="KJ39" s="2"/>
      <c r="KK39" s="2"/>
      <c r="KL39" s="2"/>
      <c r="KM39" s="2"/>
      <c r="KN39" s="2"/>
      <c r="KO39" s="2"/>
      <c r="KP39" s="2"/>
      <c r="KQ39" s="2"/>
      <c r="KR39" s="2"/>
      <c r="KS39" s="2"/>
      <c r="KT39" s="2"/>
      <c r="KU39" s="2"/>
      <c r="KV39" s="2"/>
      <c r="KW39" s="2"/>
      <c r="KX39" s="2"/>
      <c r="KY39" s="2"/>
      <c r="KZ39" s="2"/>
      <c r="LA39" s="2"/>
      <c r="LB39" s="2"/>
      <c r="LC39" s="2"/>
      <c r="LD39" s="2"/>
      <c r="LE39" s="2"/>
      <c r="LF39" s="2"/>
      <c r="LG39" s="2"/>
      <c r="LH39" s="2"/>
      <c r="LI39" s="2"/>
      <c r="LJ39" s="2"/>
      <c r="LK39" s="2"/>
      <c r="LL39" s="2"/>
      <c r="LM39" s="2"/>
      <c r="LN39" s="2"/>
      <c r="LO39" s="2"/>
      <c r="LP39" s="2"/>
      <c r="LQ39" s="2"/>
      <c r="LR39" s="2"/>
      <c r="LS39" s="2"/>
      <c r="LT39" s="2"/>
      <c r="LU39" s="2"/>
      <c r="LV39" s="2"/>
      <c r="LW39" s="2"/>
      <c r="LX39" s="2"/>
      <c r="LY39" s="2"/>
      <c r="LZ39" s="2"/>
      <c r="MA39" s="2"/>
      <c r="MB39" s="2"/>
      <c r="MC39" s="2"/>
      <c r="MD39" s="2"/>
      <c r="ME39" s="2"/>
      <c r="MF39" s="2"/>
      <c r="MG39" s="2"/>
      <c r="MH39" s="2"/>
      <c r="MI39" s="2"/>
      <c r="MJ39" s="2"/>
      <c r="MK39" s="2"/>
      <c r="ML39" s="2"/>
      <c r="MM39" s="2"/>
      <c r="MN39" s="2"/>
      <c r="MO39" s="2"/>
      <c r="MP39" s="2"/>
      <c r="MQ39" s="2"/>
      <c r="MR39" s="2"/>
      <c r="MS39" s="2"/>
      <c r="MT39" s="2"/>
      <c r="MU39" s="2"/>
      <c r="MV39" s="2"/>
      <c r="MW39" s="2"/>
      <c r="MX39" s="2"/>
      <c r="MY39" s="2"/>
      <c r="MZ39" s="2"/>
      <c r="NA39" s="2"/>
      <c r="NB39" s="2"/>
      <c r="NC39" s="2"/>
      <c r="ND39" s="2"/>
      <c r="NE39" s="2"/>
      <c r="NF39" s="2"/>
      <c r="NG39" s="2"/>
      <c r="NH39" s="2"/>
      <c r="NI39" s="2"/>
      <c r="NJ39" s="14">
        <f t="array" aca="1" ref="NJ39" ca="1">SUMPRODUCT((OFFSET($A39,0,31*($A$3-1)+1,1,31)&lt;&gt;"")*(IF(OFFSET($A39,0,31*($A$3-1)+1,1,31)=$OB$12,0.5,1)*(OFFSET($A$4,0,31*($A$3-1)+1,1,31))))</f>
        <v>0</v>
      </c>
      <c r="NK39" s="20">
        <f t="array" aca="1" ref="NK39" ca="1">SUMPRODUCT((OFFSET($A39,0,1,1,372)&lt;&gt;"")*(IF(OFFSET($A39,0,1,1,372)=$OB$12,0.5,1)*(OFFSET($A$3,0,1,1,372))))</f>
        <v>5</v>
      </c>
      <c r="NL39" s="28">
        <f t="array" aca="1" ref="NL39" ca="1">SUMPRODUCT((OFFSET($A39,0,31*($A$4)+DAY(Holidays!$E$2),1,Holidays!$G$2)&lt;&gt;"")*(IF(OFFSET($A39,0,31*($A$4)+DAY(Holidays!$E$2),1,Holidays!$G$2)=$OB$12,0.5,1)*(OFFSET($A$3,0,31*($A$4)+DAY(Holidays!$E$2),1,Holidays!$G$2))))</f>
        <v>5</v>
      </c>
      <c r="NM39" s="52">
        <f t="array" aca="1" ref="NM39" ca="1">SUMPRODUCT((OFFSET($A39,0,31*($A$4)+DAY(VLOOKUP(NM$5,Sprints[],2,FALSE)),1,VLOOKUP(NM$5,Sprints[],4,FALSE))&lt;&gt;"")*(IF(OFFSET($A39,0,31*($A$4)+DAY(VLOOKUP(NM$5,Sprints[],2,FALSE)),1,VLOOKUP(NM$5,Sprints[],4,FALSE))=$OB$12,0.5,1)*(OFFSET($A$3,0,31*($A$4)+DAY(VLOOKUP(NM$5,Sprints[],2,FALSE)),1,VLOOKUP(NM$5,Sprints[],4,FALSE)))))</f>
        <v>0</v>
      </c>
      <c r="NN39" s="52">
        <f t="array" aca="1" ref="NN39" ca="1">SUMPRODUCT((OFFSET($A39,0,31*($A$4)+DAY(VLOOKUP(NN$5,Sprints[],2,FALSE)),1,VLOOKUP(NN$5,Sprints[],4,FALSE))&lt;&gt;"")*(IF(OFFSET($A39,0,31*($A$4)+DAY(VLOOKUP(NN$5,Sprints[],2,FALSE)),1,VLOOKUP(NN$5,Sprints[],4,FALSE))=$OB$12,0.5,1)*(OFFSET($A$3,0,31*($A$4)+DAY(VLOOKUP(NN$5,Sprints[],2,FALSE)),1,VLOOKUP(NN$5,Sprints[],4,FALSE)))))</f>
        <v>0</v>
      </c>
      <c r="NO39" s="52">
        <f t="array" aca="1" ref="NO39" ca="1">SUMPRODUCT((OFFSET($A39,0,31*($A$4)+DAY(VLOOKUP(NO$5,Sprints[],2,FALSE)),1,VLOOKUP(NO$5,Sprints[],4,FALSE))&lt;&gt;"")*(IF(OFFSET($A39,0,31*($A$4)+DAY(VLOOKUP(NO$5,Sprints[],2,FALSE)),1,VLOOKUP(NO$5,Sprints[],4,FALSE))=$OB$12,0.5,1)*(OFFSET($A$3,0,31*($A$4)+DAY(VLOOKUP(NO$5,Sprints[],2,FALSE)),1,VLOOKUP(NO$5,Sprints[],4,FALSE)))))</f>
        <v>0</v>
      </c>
      <c r="NP39" s="52">
        <f t="array" aca="1" ref="NP39" ca="1">SUMPRODUCT((OFFSET($A39,0,31*(VLOOKUP(NP$5,Sprints[],5,FALSE))+DAY(VLOOKUP(NP$5,Sprints[],2,FALSE)),1,VLOOKUP(NP$5,Sprints[],4,FALSE))&lt;&gt;"")*(IF(OFFSET($A39,0,31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39" s="52">
        <f t="array" aca="1" ref="NQ39" ca="1">SUMPRODUCT((OFFSET($A39,0,31*(VLOOKUP(NQ$5,Sprints[],5,FALSE))+DAY(VLOOKUP(NQ$5,Sprints[],2,FALSE)),1,VLOOKUP(NQ$5,Sprints[],4,FALSE))&lt;&gt;"")*(IF(OFFSET($A39,0,31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39" s="52">
        <f t="array" aca="1" ref="NR39" ca="1">SUMPRODUCT((OFFSET($A39,0,31*(VLOOKUP(NR$5,Sprints[],5,FALSE))+DAY(VLOOKUP(NR$5,Sprints[],2,FALSE)),1,VLOOKUP(NR$5,Sprints[],4,FALSE))&lt;&gt;"")*(IF(OFFSET($A39,0,31*(VLOOKUP(NR$5,Sprints[],5,FALSE))+DAY(VLOOKUP(NR$5,Sprints[],2,FALSE)),1,VLOOKUP(NR$5,Sprints[],4,FALSE))=$OB$12,0.5,1)*(OFFSET($A$3,0,31*(VLOOKUP(NR$5,Sprints[],5,FALSE))+DAY(VLOOKUP(NR$5,Sprints[],2,FALSE)),1,VLOOKUP(NR$5,Sprints[],4,FALSE)))))</f>
        <v>2</v>
      </c>
      <c r="NS39" s="52">
        <f t="array" aca="1" ref="NS39" ca="1">SUMPRODUCT((OFFSET($A39,0,31*(VLOOKUP(NS$5,Sprints[],5,FALSE))+DAY(VLOOKUP(NS$5,Sprints[],2,FALSE)),1,VLOOKUP(NS$5,Sprints[],4,FALSE))&lt;&gt;"")*(IF(OFFSET($A39,0,31*(VLOOKUP(NS$5,Sprints[],5,FALSE))+DAY(VLOOKUP(NS$5,Sprints[],2,FALSE)),1,VLOOKUP(NS$5,Sprints[],4,FALSE))=$OB$12,0.5,1)*(OFFSET($A$3,0,31*(VLOOKUP(NS$5,Sprints[],5,FALSE))+DAY(VLOOKUP(NS$5,Sprints[],2,FALSE)),1,VLOOKUP(NS$5,Sprints[],4,FALSE)))))</f>
        <v>1</v>
      </c>
      <c r="NT39" s="52">
        <f t="array" aca="1" ref="NT39" ca="1">SUMPRODUCT((OFFSET($A39,0,31*(VLOOKUP(NT$5,Sprints[],5,FALSE))+DAY(VLOOKUP(NT$5,Sprints[],2,FALSE)),1,VLOOKUP(NT$5,Sprints[],4,FALSE))&lt;&gt;"")*(IF(OFFSET($A39,0,31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39" s="52">
        <f t="array" aca="1" ref="NU39" ca="1">SUMPRODUCT((OFFSET($A39,0,31*(VLOOKUP(NU$5,Sprints[],5,FALSE))+DAY(VLOOKUP(NU$5,Sprints[],2,FALSE)),1,VLOOKUP(NU$5,Sprints[],4,FALSE))&lt;&gt;"")*(IF(OFFSET($A39,0,31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39" s="52">
        <f t="array" aca="1" ref="NV39" ca="1">SUMPRODUCT((OFFSET($A39,0,31*(VLOOKUP(NV$5,Sprints[],5,FALSE))+DAY(VLOOKUP(NV$5,Sprints[],2,FALSE)),1,VLOOKUP(NV$5,Sprints[],4,FALSE))&lt;&gt;"")*(IF(OFFSET($A39,0,31*(VLOOKUP(NV$5,Sprints[],5,FALSE))+DAY(VLOOKUP(NV$5,Sprints[],2,FALSE)),1,VLOOKUP(NV$5,Sprints[],4,FALSE))=$OB$12,0.5,1)*(OFFSET($A$3,0,31*(VLOOKUP(NV$5,Sprints[],5,FALSE))+DAY(VLOOKUP(NV$5,Sprints[],2,FALSE)),1,VLOOKUP(NV$5,Sprints[],4,FALSE)))))</f>
        <v>0</v>
      </c>
      <c r="NW39" s="52">
        <f t="array" aca="1" ref="NW39" ca="1">SUMPRODUCT((OFFSET($A39,0,31*(VLOOKUP(NW$5,Sprints[],5,FALSE))+DAY(VLOOKUP(NW$5,Sprints[],2,FALSE)),1,VLOOKUP(NW$5,Sprints[],4,FALSE))&lt;&gt;"")*(IF(OFFSET($A39,0,31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39" s="52">
        <f t="array" aca="1" ref="NX39" ca="1">SUMPRODUCT((OFFSET($A39,0,31*(VLOOKUP(NX$5,Sprints[],5,FALSE))+DAY(VLOOKUP(NX$5,Sprints[],2,FALSE)),1,VLOOKUP(NX$5,Sprints[],4,FALSE))&lt;&gt;"")*(IF(OFFSET($A39,0,31*(VLOOKUP(NX$5,Sprints[],5,FALSE))+DAY(VLOOKUP(NX$5,Sprints[],2,FALSE)),1,VLOOKUP(NX$5,Sprints[],4,FALSE))=$OB$12,0.5,1)*(OFFSET($A$3,0,31*(VLOOKUP(NX$5,Sprints[],5,FALSE))+DAY(VLOOKUP(NX$5,Sprints[],2,FALSE)),1,VLOOKUP(NX$5,Sprints[],4,FALSE)))))</f>
        <v>1</v>
      </c>
      <c r="NY39" s="52">
        <f t="array" aca="1" ref="NY39" ca="1">SUMPRODUCT((OFFSET($A39,0,31*(VLOOKUP(NY$5,Sprints[],5,FALSE))+DAY(VLOOKUP(NY$5,Sprints[],2,FALSE)),1,VLOOKUP(NY$5,Sprints[],4,FALSE))&lt;&gt;"")*(IF(OFFSET($A39,0,31*(VLOOKUP(NY$5,Sprints[],5,FALSE))+DAY(VLOOKUP(NY$5,Sprints[],2,FALSE)),1,VLOOKUP(NY$5,Sprints[],4,FALSE))=$OB$12,0.5,1)*(OFFSET($A$3,0,31*(VLOOKUP(NY$5,Sprints[],5,FALSE))+DAY(VLOOKUP(NY$5,Sprints[],2,FALSE)),1,VLOOKUP(NY$5,Sprints[],4,FALSE)))))</f>
        <v>5</v>
      </c>
    </row>
    <row r="40" spans="1:389" x14ac:dyDescent="0.45">
      <c r="A40" s="1" t="s">
        <v>91</v>
      </c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36"/>
      <c r="R40" s="36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36"/>
      <c r="AF40" s="2"/>
      <c r="AG40" s="36"/>
      <c r="AH40" s="2"/>
      <c r="AI40" s="2"/>
      <c r="AJ40" s="2"/>
      <c r="AK40" s="2"/>
      <c r="AL40" s="2"/>
      <c r="AM40" s="2" t="s">
        <v>35</v>
      </c>
      <c r="AN40" s="2"/>
      <c r="AO40" s="36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 t="s">
        <v>35</v>
      </c>
      <c r="CK40" s="2"/>
      <c r="CL40" s="2"/>
      <c r="CM40" s="2"/>
      <c r="CN40" s="2"/>
      <c r="CO40" s="2"/>
      <c r="CP40" s="2"/>
      <c r="CQ40" s="2" t="s">
        <v>35</v>
      </c>
      <c r="CR40" s="2"/>
      <c r="CS40" s="2"/>
      <c r="CT40" s="2"/>
      <c r="CU40" s="2"/>
      <c r="CV40" s="2"/>
      <c r="CW40" s="2" t="s">
        <v>35</v>
      </c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 t="s">
        <v>35</v>
      </c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/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  <c r="IN40" s="2"/>
      <c r="IO40" s="2"/>
      <c r="IP40" s="2"/>
      <c r="IQ40" s="2"/>
      <c r="IR40" s="2"/>
      <c r="IS40" s="2"/>
      <c r="IT40" s="2"/>
      <c r="IU40" s="2"/>
      <c r="IV40" s="2"/>
      <c r="IW40" s="2"/>
      <c r="IX40" s="2"/>
      <c r="IY40" s="2"/>
      <c r="IZ40" s="2"/>
      <c r="JA40" s="2"/>
      <c r="JB40" s="2"/>
      <c r="JC40" s="2"/>
      <c r="JD40" s="2"/>
      <c r="JE40" s="2"/>
      <c r="JF40" s="2"/>
      <c r="JG40" s="2"/>
      <c r="JH40" s="2"/>
      <c r="JI40" s="2"/>
      <c r="JJ40" s="2"/>
      <c r="JK40" s="2"/>
      <c r="JL40" s="2"/>
      <c r="JM40" s="2"/>
      <c r="JN40" s="2"/>
      <c r="JO40" s="2"/>
      <c r="JP40" s="2"/>
      <c r="JQ40" s="2"/>
      <c r="JR40" s="2"/>
      <c r="JS40" s="2"/>
      <c r="JT40" s="2"/>
      <c r="JU40" s="2"/>
      <c r="JV40" s="2"/>
      <c r="JW40" s="2"/>
      <c r="JX40" s="2"/>
      <c r="JY40" s="2"/>
      <c r="JZ40" s="2"/>
      <c r="KA40" s="2"/>
      <c r="KB40" s="2"/>
      <c r="KC40" s="2"/>
      <c r="KD40" s="2"/>
      <c r="KE40" s="2"/>
      <c r="KF40" s="2"/>
      <c r="KG40" s="2"/>
      <c r="KH40" s="2"/>
      <c r="KI40" s="2"/>
      <c r="KJ40" s="2"/>
      <c r="KK40" s="2"/>
      <c r="KL40" s="2"/>
      <c r="KM40" s="2"/>
      <c r="KN40" s="2"/>
      <c r="KO40" s="2"/>
      <c r="KP40" s="2"/>
      <c r="KQ40" s="2"/>
      <c r="KR40" s="2"/>
      <c r="KS40" s="2"/>
      <c r="KT40" s="2"/>
      <c r="KU40" s="2"/>
      <c r="KV40" s="2"/>
      <c r="KW40" s="2"/>
      <c r="KX40" s="2"/>
      <c r="KY40" s="2"/>
      <c r="KZ40" s="2"/>
      <c r="LA40" s="2"/>
      <c r="LB40" s="2"/>
      <c r="LC40" s="2"/>
      <c r="LD40" s="2"/>
      <c r="LE40" s="2"/>
      <c r="LF40" s="2"/>
      <c r="LG40" s="2"/>
      <c r="LH40" s="2"/>
      <c r="LI40" s="2"/>
      <c r="LJ40" s="2"/>
      <c r="LK40" s="2"/>
      <c r="LL40" s="2"/>
      <c r="LM40" s="2"/>
      <c r="LN40" s="2"/>
      <c r="LO40" s="2"/>
      <c r="LP40" s="2"/>
      <c r="LQ40" s="2"/>
      <c r="LR40" s="2"/>
      <c r="LS40" s="2"/>
      <c r="LT40" s="2"/>
      <c r="LU40" s="2"/>
      <c r="LV40" s="2"/>
      <c r="LW40" s="2"/>
      <c r="LX40" s="2"/>
      <c r="LY40" s="2"/>
      <c r="LZ40" s="2"/>
      <c r="MA40" s="2"/>
      <c r="MB40" s="2"/>
      <c r="MC40" s="2"/>
      <c r="MD40" s="2"/>
      <c r="ME40" s="2"/>
      <c r="MF40" s="2"/>
      <c r="MG40" s="2"/>
      <c r="MH40" s="2"/>
      <c r="MI40" s="2"/>
      <c r="MJ40" s="2"/>
      <c r="MK40" s="2"/>
      <c r="ML40" s="2"/>
      <c r="MM40" s="2"/>
      <c r="MN40" s="2"/>
      <c r="MO40" s="2"/>
      <c r="MP40" s="2"/>
      <c r="MQ40" s="2"/>
      <c r="MR40" s="2"/>
      <c r="MS40" s="2"/>
      <c r="MT40" s="2"/>
      <c r="MU40" s="2"/>
      <c r="MV40" s="2"/>
      <c r="MW40" s="2"/>
      <c r="MX40" s="2"/>
      <c r="MY40" s="2"/>
      <c r="MZ40" s="2"/>
      <c r="NA40" s="2"/>
      <c r="NB40" s="2"/>
      <c r="NC40" s="2"/>
      <c r="ND40" s="2"/>
      <c r="NE40" s="2"/>
      <c r="NF40" s="2"/>
      <c r="NG40" s="2"/>
      <c r="NH40" s="2"/>
      <c r="NI40" s="2"/>
      <c r="NJ40" s="14">
        <f t="array" aca="1" ref="NJ40" ca="1">SUMPRODUCT((OFFSET($A40,0,31*($A$3-1)+1,1,31)&lt;&gt;"")*(IF(OFFSET($A40,0,31*($A$3-1)+1,1,31)=$OB$12,0.5,1)*(OFFSET($A$4,0,31*($A$3-1)+1,1,31))))</f>
        <v>0</v>
      </c>
      <c r="NK40" s="20">
        <f t="array" aca="1" ref="NK40" ca="1">SUMPRODUCT((OFFSET($A40,0,1,1,372)&lt;&gt;"")*(IF(OFFSET($A40,0,1,1,372)=$OB$12,0.5,1)*(OFFSET($A$3,0,1,1,372))))</f>
        <v>5</v>
      </c>
      <c r="NL40" s="28">
        <f t="array" aca="1" ref="NL40" ca="1">SUMPRODUCT((OFFSET($A40,0,31*($A$4)+DAY(Holidays!$E$2),1,Holidays!$G$2)&lt;&gt;"")*(IF(OFFSET($A40,0,31*($A$4)+DAY(Holidays!$E$2),1,Holidays!$G$2)=$OB$12,0.5,1)*(OFFSET($A$3,0,31*($A$4)+DAY(Holidays!$E$2),1,Holidays!$G$2))))</f>
        <v>5</v>
      </c>
      <c r="NM40" s="52">
        <f t="array" aca="1" ref="NM40" ca="1">SUMPRODUCT((OFFSET($A40,0,31*($A$4)+DAY(VLOOKUP(NM$5,Sprints[],2,FALSE)),1,VLOOKUP(NM$5,Sprints[],4,FALSE))&lt;&gt;"")*(IF(OFFSET($A40,0,31*($A$4)+DAY(VLOOKUP(NM$5,Sprints[],2,FALSE)),1,VLOOKUP(NM$5,Sprints[],4,FALSE))=$OB$12,0.5,1)*(OFFSET($A$3,0,31*($A$4)+DAY(VLOOKUP(NM$5,Sprints[],2,FALSE)),1,VLOOKUP(NM$5,Sprints[],4,FALSE)))))</f>
        <v>0</v>
      </c>
      <c r="NN40" s="52">
        <f t="array" aca="1" ref="NN40" ca="1">SUMPRODUCT((OFFSET($A40,0,31*($A$4)+DAY(VLOOKUP(NN$5,Sprints[],2,FALSE)),1,VLOOKUP(NN$5,Sprints[],4,FALSE))&lt;&gt;"")*(IF(OFFSET($A40,0,31*($A$4)+DAY(VLOOKUP(NN$5,Sprints[],2,FALSE)),1,VLOOKUP(NN$5,Sprints[],4,FALSE))=$OB$12,0.5,1)*(OFFSET($A$3,0,31*($A$4)+DAY(VLOOKUP(NN$5,Sprints[],2,FALSE)),1,VLOOKUP(NN$5,Sprints[],4,FALSE)))))</f>
        <v>0</v>
      </c>
      <c r="NO40" s="52">
        <f t="array" aca="1" ref="NO40" ca="1">SUMPRODUCT((OFFSET($A40,0,31*($A$4)+DAY(VLOOKUP(NO$5,Sprints[],2,FALSE)),1,VLOOKUP(NO$5,Sprints[],4,FALSE))&lt;&gt;"")*(IF(OFFSET($A40,0,31*($A$4)+DAY(VLOOKUP(NO$5,Sprints[],2,FALSE)),1,VLOOKUP(NO$5,Sprints[],4,FALSE))=$OB$12,0.5,1)*(OFFSET($A$3,0,31*($A$4)+DAY(VLOOKUP(NO$5,Sprints[],2,FALSE)),1,VLOOKUP(NO$5,Sprints[],4,FALSE)))))</f>
        <v>0</v>
      </c>
      <c r="NP40" s="52">
        <f t="array" aca="1" ref="NP40" ca="1">SUMPRODUCT((OFFSET($A40,0,31*(VLOOKUP(NP$5,Sprints[],5,FALSE))+DAY(VLOOKUP(NP$5,Sprints[],2,FALSE)),1,VLOOKUP(NP$5,Sprints[],4,FALSE))&lt;&gt;"")*(IF(OFFSET($A40,0,31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40" s="52">
        <f t="array" aca="1" ref="NQ40" ca="1">SUMPRODUCT((OFFSET($A40,0,31*(VLOOKUP(NQ$5,Sprints[],5,FALSE))+DAY(VLOOKUP(NQ$5,Sprints[],2,FALSE)),1,VLOOKUP(NQ$5,Sprints[],4,FALSE))&lt;&gt;"")*(IF(OFFSET($A40,0,31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40" s="52">
        <f t="array" aca="1" ref="NR40" ca="1">SUMPRODUCT((OFFSET($A40,0,31*(VLOOKUP(NR$5,Sprints[],5,FALSE))+DAY(VLOOKUP(NR$5,Sprints[],2,FALSE)),1,VLOOKUP(NR$5,Sprints[],4,FALSE))&lt;&gt;"")*(IF(OFFSET($A40,0,31*(VLOOKUP(NR$5,Sprints[],5,FALSE))+DAY(VLOOKUP(NR$5,Sprints[],2,FALSE)),1,VLOOKUP(NR$5,Sprints[],4,FALSE))=$OB$12,0.5,1)*(OFFSET($A$3,0,31*(VLOOKUP(NR$5,Sprints[],5,FALSE))+DAY(VLOOKUP(NR$5,Sprints[],2,FALSE)),1,VLOOKUP(NR$5,Sprints[],4,FALSE)))))</f>
        <v>2</v>
      </c>
      <c r="NS40" s="52">
        <f t="array" aca="1" ref="NS40" ca="1">SUMPRODUCT((OFFSET($A40,0,31*(VLOOKUP(NS$5,Sprints[],5,FALSE))+DAY(VLOOKUP(NS$5,Sprints[],2,FALSE)),1,VLOOKUP(NS$5,Sprints[],4,FALSE))&lt;&gt;"")*(IF(OFFSET($A40,0,31*(VLOOKUP(NS$5,Sprints[],5,FALSE))+DAY(VLOOKUP(NS$5,Sprints[],2,FALSE)),1,VLOOKUP(NS$5,Sprints[],4,FALSE))=$OB$12,0.5,1)*(OFFSET($A$3,0,31*(VLOOKUP(NS$5,Sprints[],5,FALSE))+DAY(VLOOKUP(NS$5,Sprints[],2,FALSE)),1,VLOOKUP(NS$5,Sprints[],4,FALSE)))))</f>
        <v>1</v>
      </c>
      <c r="NT40" s="52">
        <f t="array" aca="1" ref="NT40" ca="1">SUMPRODUCT((OFFSET($A40,0,31*(VLOOKUP(NT$5,Sprints[],5,FALSE))+DAY(VLOOKUP(NT$5,Sprints[],2,FALSE)),1,VLOOKUP(NT$5,Sprints[],4,FALSE))&lt;&gt;"")*(IF(OFFSET($A40,0,31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40" s="52">
        <f t="array" aca="1" ref="NU40" ca="1">SUMPRODUCT((OFFSET($A40,0,31*(VLOOKUP(NU$5,Sprints[],5,FALSE))+DAY(VLOOKUP(NU$5,Sprints[],2,FALSE)),1,VLOOKUP(NU$5,Sprints[],4,FALSE))&lt;&gt;"")*(IF(OFFSET($A40,0,31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40" s="52">
        <f t="array" aca="1" ref="NV40" ca="1">SUMPRODUCT((OFFSET($A40,0,31*(VLOOKUP(NV$5,Sprints[],5,FALSE))+DAY(VLOOKUP(NV$5,Sprints[],2,FALSE)),1,VLOOKUP(NV$5,Sprints[],4,FALSE))&lt;&gt;"")*(IF(OFFSET($A40,0,31*(VLOOKUP(NV$5,Sprints[],5,FALSE))+DAY(VLOOKUP(NV$5,Sprints[],2,FALSE)),1,VLOOKUP(NV$5,Sprints[],4,FALSE))=$OB$12,0.5,1)*(OFFSET($A$3,0,31*(VLOOKUP(NV$5,Sprints[],5,FALSE))+DAY(VLOOKUP(NV$5,Sprints[],2,FALSE)),1,VLOOKUP(NV$5,Sprints[],4,FALSE)))))</f>
        <v>0</v>
      </c>
      <c r="NW40" s="52">
        <f t="array" aca="1" ref="NW40" ca="1">SUMPRODUCT((OFFSET($A40,0,31*(VLOOKUP(NW$5,Sprints[],5,FALSE))+DAY(VLOOKUP(NW$5,Sprints[],2,FALSE)),1,VLOOKUP(NW$5,Sprints[],4,FALSE))&lt;&gt;"")*(IF(OFFSET($A40,0,31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40" s="52">
        <f t="array" aca="1" ref="NX40" ca="1">SUMPRODUCT((OFFSET($A40,0,31*(VLOOKUP(NX$5,Sprints[],5,FALSE))+DAY(VLOOKUP(NX$5,Sprints[],2,FALSE)),1,VLOOKUP(NX$5,Sprints[],4,FALSE))&lt;&gt;"")*(IF(OFFSET($A40,0,31*(VLOOKUP(NX$5,Sprints[],5,FALSE))+DAY(VLOOKUP(NX$5,Sprints[],2,FALSE)),1,VLOOKUP(NX$5,Sprints[],4,FALSE))=$OB$12,0.5,1)*(OFFSET($A$3,0,31*(VLOOKUP(NX$5,Sprints[],5,FALSE))+DAY(VLOOKUP(NX$5,Sprints[],2,FALSE)),1,VLOOKUP(NX$5,Sprints[],4,FALSE)))))</f>
        <v>1</v>
      </c>
      <c r="NY40" s="52">
        <f t="array" aca="1" ref="NY40" ca="1">SUMPRODUCT((OFFSET($A40,0,31*(VLOOKUP(NY$5,Sprints[],5,FALSE))+DAY(VLOOKUP(NY$5,Sprints[],2,FALSE)),1,VLOOKUP(NY$5,Sprints[],4,FALSE))&lt;&gt;"")*(IF(OFFSET($A40,0,31*(VLOOKUP(NY$5,Sprints[],5,FALSE))+DAY(VLOOKUP(NY$5,Sprints[],2,FALSE)),1,VLOOKUP(NY$5,Sprints[],4,FALSE))=$OB$12,0.5,1)*(OFFSET($A$3,0,31*(VLOOKUP(NY$5,Sprints[],5,FALSE))+DAY(VLOOKUP(NY$5,Sprints[],2,FALSE)),1,VLOOKUP(NY$5,Sprints[],4,FALSE)))))</f>
        <v>5</v>
      </c>
    </row>
    <row r="41" spans="1:389" x14ac:dyDescent="0.45">
      <c r="A41" s="44" t="s">
        <v>140</v>
      </c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36"/>
      <c r="R41" s="36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36"/>
      <c r="AF41" s="2"/>
      <c r="AG41" s="36"/>
      <c r="AH41" s="2"/>
      <c r="AI41" s="2"/>
      <c r="AJ41" s="2"/>
      <c r="AK41" s="2"/>
      <c r="AL41" s="2"/>
      <c r="AM41" s="2" t="s">
        <v>35</v>
      </c>
      <c r="AN41" s="2"/>
      <c r="AO41" s="36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 t="s">
        <v>35</v>
      </c>
      <c r="CK41" s="2"/>
      <c r="CL41" s="2"/>
      <c r="CM41" s="2"/>
      <c r="CN41" s="2"/>
      <c r="CO41" s="2"/>
      <c r="CP41" s="2"/>
      <c r="CQ41" s="2" t="s">
        <v>35</v>
      </c>
      <c r="CR41" s="2"/>
      <c r="CS41" s="2"/>
      <c r="CT41" s="2"/>
      <c r="CU41" s="2"/>
      <c r="CV41" s="2"/>
      <c r="CW41" s="2" t="s">
        <v>35</v>
      </c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 t="s">
        <v>35</v>
      </c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2"/>
      <c r="IR41" s="2"/>
      <c r="IS41" s="2"/>
      <c r="IT41" s="2"/>
      <c r="IU41" s="2"/>
      <c r="IV41" s="2"/>
      <c r="IW41" s="2"/>
      <c r="IX41" s="2"/>
      <c r="IY41" s="2"/>
      <c r="IZ41" s="2"/>
      <c r="JA41" s="2"/>
      <c r="JB41" s="2"/>
      <c r="JC41" s="2"/>
      <c r="JD41" s="2"/>
      <c r="JE41" s="2"/>
      <c r="JF41" s="2"/>
      <c r="JG41" s="2"/>
      <c r="JH41" s="2"/>
      <c r="JI41" s="2"/>
      <c r="JJ41" s="2"/>
      <c r="JK41" s="2"/>
      <c r="JL41" s="2"/>
      <c r="JM41" s="2"/>
      <c r="JN41" s="2"/>
      <c r="JO41" s="2"/>
      <c r="JP41" s="2"/>
      <c r="JQ41" s="2"/>
      <c r="JR41" s="2"/>
      <c r="JS41" s="2"/>
      <c r="JT41" s="2"/>
      <c r="JU41" s="2"/>
      <c r="JV41" s="2"/>
      <c r="JW41" s="2"/>
      <c r="JX41" s="2"/>
      <c r="JY41" s="2"/>
      <c r="JZ41" s="2"/>
      <c r="KA41" s="2"/>
      <c r="KB41" s="2"/>
      <c r="KC41" s="2"/>
      <c r="KD41" s="2"/>
      <c r="KE41" s="2"/>
      <c r="KF41" s="2"/>
      <c r="KG41" s="2"/>
      <c r="KH41" s="2"/>
      <c r="KI41" s="2"/>
      <c r="KJ41" s="2"/>
      <c r="KK41" s="2"/>
      <c r="KL41" s="2"/>
      <c r="KM41" s="2"/>
      <c r="KN41" s="2"/>
      <c r="KO41" s="2"/>
      <c r="KP41" s="2"/>
      <c r="KQ41" s="2"/>
      <c r="KR41" s="2"/>
      <c r="KS41" s="2"/>
      <c r="KT41" s="2"/>
      <c r="KU41" s="2"/>
      <c r="KV41" s="2"/>
      <c r="KW41" s="2"/>
      <c r="KX41" s="2"/>
      <c r="KY41" s="2"/>
      <c r="KZ41" s="2"/>
      <c r="LA41" s="2"/>
      <c r="LB41" s="2"/>
      <c r="LC41" s="2"/>
      <c r="LD41" s="2"/>
      <c r="LE41" s="2"/>
      <c r="LF41" s="2"/>
      <c r="LG41" s="2"/>
      <c r="LH41" s="2"/>
      <c r="LI41" s="2"/>
      <c r="LJ41" s="2"/>
      <c r="LK41" s="2"/>
      <c r="LL41" s="2"/>
      <c r="LM41" s="2"/>
      <c r="LN41" s="2"/>
      <c r="LO41" s="2"/>
      <c r="LP41" s="2"/>
      <c r="LQ41" s="2"/>
      <c r="LR41" s="2"/>
      <c r="LS41" s="2"/>
      <c r="LT41" s="2"/>
      <c r="LU41" s="2"/>
      <c r="LV41" s="2"/>
      <c r="LW41" s="2"/>
      <c r="LX41" s="2"/>
      <c r="LY41" s="2"/>
      <c r="LZ41" s="2"/>
      <c r="MA41" s="2"/>
      <c r="MB41" s="2"/>
      <c r="MC41" s="2"/>
      <c r="MD41" s="2"/>
      <c r="ME41" s="2"/>
      <c r="MF41" s="2"/>
      <c r="MG41" s="2"/>
      <c r="MH41" s="2"/>
      <c r="MI41" s="2"/>
      <c r="MJ41" s="2"/>
      <c r="MK41" s="2"/>
      <c r="ML41" s="2"/>
      <c r="MM41" s="2"/>
      <c r="MN41" s="2"/>
      <c r="MO41" s="2"/>
      <c r="MP41" s="2"/>
      <c r="MQ41" s="2"/>
      <c r="MR41" s="2"/>
      <c r="MS41" s="2"/>
      <c r="MT41" s="2"/>
      <c r="MU41" s="2"/>
      <c r="MV41" s="2"/>
      <c r="MW41" s="2"/>
      <c r="MX41" s="2"/>
      <c r="MY41" s="2"/>
      <c r="MZ41" s="2"/>
      <c r="NA41" s="2"/>
      <c r="NB41" s="2"/>
      <c r="NC41" s="2"/>
      <c r="ND41" s="2"/>
      <c r="NE41" s="2"/>
      <c r="NF41" s="2"/>
      <c r="NG41" s="2"/>
      <c r="NH41" s="2"/>
      <c r="NI41" s="2"/>
      <c r="NJ41" s="14">
        <f t="array" aca="1" ref="NJ41" ca="1">SUMPRODUCT((OFFSET($A41,0,31*($A$3-1)+1,1,31)&lt;&gt;"")*(IF(OFFSET($A41,0,31*($A$3-1)+1,1,31)=$OB$12,0.5,1)*(OFFSET($A$4,0,31*($A$3-1)+1,1,31))))</f>
        <v>0</v>
      </c>
      <c r="NK41" s="20">
        <f t="array" aca="1" ref="NK41" ca="1">SUMPRODUCT((OFFSET($A41,0,1,1,372)&lt;&gt;"")*(IF(OFFSET($A41,0,1,1,372)=$OB$12,0.5,1)*(OFFSET($A$3,0,1,1,372))))</f>
        <v>5</v>
      </c>
      <c r="NL41" s="28">
        <f t="array" aca="1" ref="NL41" ca="1">SUMPRODUCT((OFFSET($A41,0,31*($A$4)+DAY(Holidays!$E$2),1,Holidays!$G$2)&lt;&gt;"")*(IF(OFFSET($A41,0,31*($A$4)+DAY(Holidays!$E$2),1,Holidays!$G$2)=$OB$12,0.5,1)*(OFFSET($A$3,0,31*($A$4)+DAY(Holidays!$E$2),1,Holidays!$G$2))))</f>
        <v>5</v>
      </c>
      <c r="NM41" s="52">
        <f t="array" aca="1" ref="NM41" ca="1">SUMPRODUCT((OFFSET($A41,0,31*($A$4)+DAY(VLOOKUP(NM$5,Sprints[],2,FALSE)),1,VLOOKUP(NM$5,Sprints[],4,FALSE))&lt;&gt;"")*(IF(OFFSET($A41,0,31*($A$4)+DAY(VLOOKUP(NM$5,Sprints[],2,FALSE)),1,VLOOKUP(NM$5,Sprints[],4,FALSE))=$OB$12,0.5,1)*(OFFSET($A$3,0,31*($A$4)+DAY(VLOOKUP(NM$5,Sprints[],2,FALSE)),1,VLOOKUP(NM$5,Sprints[],4,FALSE)))))</f>
        <v>0</v>
      </c>
      <c r="NN41" s="52">
        <f t="array" aca="1" ref="NN41" ca="1">SUMPRODUCT((OFFSET($A41,0,31*($A$4)+DAY(VLOOKUP(NN$5,Sprints[],2,FALSE)),1,VLOOKUP(NN$5,Sprints[],4,FALSE))&lt;&gt;"")*(IF(OFFSET($A41,0,31*($A$4)+DAY(VLOOKUP(NN$5,Sprints[],2,FALSE)),1,VLOOKUP(NN$5,Sprints[],4,FALSE))=$OB$12,0.5,1)*(OFFSET($A$3,0,31*($A$4)+DAY(VLOOKUP(NN$5,Sprints[],2,FALSE)),1,VLOOKUP(NN$5,Sprints[],4,FALSE)))))</f>
        <v>0</v>
      </c>
      <c r="NO41" s="52">
        <f t="array" aca="1" ref="NO41" ca="1">SUMPRODUCT((OFFSET($A41,0,31*($A$4)+DAY(VLOOKUP(NO$5,Sprints[],2,FALSE)),1,VLOOKUP(NO$5,Sprints[],4,FALSE))&lt;&gt;"")*(IF(OFFSET($A41,0,31*($A$4)+DAY(VLOOKUP(NO$5,Sprints[],2,FALSE)),1,VLOOKUP(NO$5,Sprints[],4,FALSE))=$OB$12,0.5,1)*(OFFSET($A$3,0,31*($A$4)+DAY(VLOOKUP(NO$5,Sprints[],2,FALSE)),1,VLOOKUP(NO$5,Sprints[],4,FALSE)))))</f>
        <v>0</v>
      </c>
      <c r="NP41" s="52">
        <f t="array" aca="1" ref="NP41" ca="1">SUMPRODUCT((OFFSET($A41,0,31*(VLOOKUP(NP$5,Sprints[],5,FALSE))+DAY(VLOOKUP(NP$5,Sprints[],2,FALSE)),1,VLOOKUP(NP$5,Sprints[],4,FALSE))&lt;&gt;"")*(IF(OFFSET($A41,0,31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41" s="52">
        <f t="array" aca="1" ref="NQ41" ca="1">SUMPRODUCT((OFFSET($A41,0,31*(VLOOKUP(NQ$5,Sprints[],5,FALSE))+DAY(VLOOKUP(NQ$5,Sprints[],2,FALSE)),1,VLOOKUP(NQ$5,Sprints[],4,FALSE))&lt;&gt;"")*(IF(OFFSET($A41,0,31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41" s="52">
        <f t="array" aca="1" ref="NR41" ca="1">SUMPRODUCT((OFFSET($A41,0,31*(VLOOKUP(NR$5,Sprints[],5,FALSE))+DAY(VLOOKUP(NR$5,Sprints[],2,FALSE)),1,VLOOKUP(NR$5,Sprints[],4,FALSE))&lt;&gt;"")*(IF(OFFSET($A41,0,31*(VLOOKUP(NR$5,Sprints[],5,FALSE))+DAY(VLOOKUP(NR$5,Sprints[],2,FALSE)),1,VLOOKUP(NR$5,Sprints[],4,FALSE))=$OB$12,0.5,1)*(OFFSET($A$3,0,31*(VLOOKUP(NR$5,Sprints[],5,FALSE))+DAY(VLOOKUP(NR$5,Sprints[],2,FALSE)),1,VLOOKUP(NR$5,Sprints[],4,FALSE)))))</f>
        <v>2</v>
      </c>
      <c r="NS41" s="52">
        <f t="array" aca="1" ref="NS41" ca="1">SUMPRODUCT((OFFSET($A41,0,31*(VLOOKUP(NS$5,Sprints[],5,FALSE))+DAY(VLOOKUP(NS$5,Sprints[],2,FALSE)),1,VLOOKUP(NS$5,Sprints[],4,FALSE))&lt;&gt;"")*(IF(OFFSET($A41,0,31*(VLOOKUP(NS$5,Sprints[],5,FALSE))+DAY(VLOOKUP(NS$5,Sprints[],2,FALSE)),1,VLOOKUP(NS$5,Sprints[],4,FALSE))=$OB$12,0.5,1)*(OFFSET($A$3,0,31*(VLOOKUP(NS$5,Sprints[],5,FALSE))+DAY(VLOOKUP(NS$5,Sprints[],2,FALSE)),1,VLOOKUP(NS$5,Sprints[],4,FALSE)))))</f>
        <v>1</v>
      </c>
      <c r="NT41" s="52">
        <f t="array" aca="1" ref="NT41" ca="1">SUMPRODUCT((OFFSET($A41,0,31*(VLOOKUP(NT$5,Sprints[],5,FALSE))+DAY(VLOOKUP(NT$5,Sprints[],2,FALSE)),1,VLOOKUP(NT$5,Sprints[],4,FALSE))&lt;&gt;"")*(IF(OFFSET($A41,0,31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41" s="52">
        <f t="array" aca="1" ref="NU41" ca="1">SUMPRODUCT((OFFSET($A41,0,31*(VLOOKUP(NU$5,Sprints[],5,FALSE))+DAY(VLOOKUP(NU$5,Sprints[],2,FALSE)),1,VLOOKUP(NU$5,Sprints[],4,FALSE))&lt;&gt;"")*(IF(OFFSET($A41,0,31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41" s="52">
        <f t="array" aca="1" ref="NV41" ca="1">SUMPRODUCT((OFFSET($A41,0,31*(VLOOKUP(NV$5,Sprints[],5,FALSE))+DAY(VLOOKUP(NV$5,Sprints[],2,FALSE)),1,VLOOKUP(NV$5,Sprints[],4,FALSE))&lt;&gt;"")*(IF(OFFSET($A41,0,31*(VLOOKUP(NV$5,Sprints[],5,FALSE))+DAY(VLOOKUP(NV$5,Sprints[],2,FALSE)),1,VLOOKUP(NV$5,Sprints[],4,FALSE))=$OB$12,0.5,1)*(OFFSET($A$3,0,31*(VLOOKUP(NV$5,Sprints[],5,FALSE))+DAY(VLOOKUP(NV$5,Sprints[],2,FALSE)),1,VLOOKUP(NV$5,Sprints[],4,FALSE)))))</f>
        <v>0</v>
      </c>
      <c r="NW41" s="52">
        <f t="array" aca="1" ref="NW41" ca="1">SUMPRODUCT((OFFSET($A41,0,31*(VLOOKUP(NW$5,Sprints[],5,FALSE))+DAY(VLOOKUP(NW$5,Sprints[],2,FALSE)),1,VLOOKUP(NW$5,Sprints[],4,FALSE))&lt;&gt;"")*(IF(OFFSET($A41,0,31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41" s="52">
        <f t="array" aca="1" ref="NX41" ca="1">SUMPRODUCT((OFFSET($A41,0,31*(VLOOKUP(NX$5,Sprints[],5,FALSE))+DAY(VLOOKUP(NX$5,Sprints[],2,FALSE)),1,VLOOKUP(NX$5,Sprints[],4,FALSE))&lt;&gt;"")*(IF(OFFSET($A41,0,31*(VLOOKUP(NX$5,Sprints[],5,FALSE))+DAY(VLOOKUP(NX$5,Sprints[],2,FALSE)),1,VLOOKUP(NX$5,Sprints[],4,FALSE))=$OB$12,0.5,1)*(OFFSET($A$3,0,31*(VLOOKUP(NX$5,Sprints[],5,FALSE))+DAY(VLOOKUP(NX$5,Sprints[],2,FALSE)),1,VLOOKUP(NX$5,Sprints[],4,FALSE)))))</f>
        <v>1</v>
      </c>
      <c r="NY41" s="52">
        <f t="array" aca="1" ref="NY41" ca="1">SUMPRODUCT((OFFSET($A41,0,31*(VLOOKUP(NY$5,Sprints[],5,FALSE))+DAY(VLOOKUP(NY$5,Sprints[],2,FALSE)),1,VLOOKUP(NY$5,Sprints[],4,FALSE))&lt;&gt;"")*(IF(OFFSET($A41,0,31*(VLOOKUP(NY$5,Sprints[],5,FALSE))+DAY(VLOOKUP(NY$5,Sprints[],2,FALSE)),1,VLOOKUP(NY$5,Sprints[],4,FALSE))=$OB$12,0.5,1)*(OFFSET($A$3,0,31*(VLOOKUP(NY$5,Sprints[],5,FALSE))+DAY(VLOOKUP(NY$5,Sprints[],2,FALSE)),1,VLOOKUP(NY$5,Sprints[],4,FALSE)))))</f>
        <v>5</v>
      </c>
    </row>
    <row r="42" spans="1:389" x14ac:dyDescent="0.45">
      <c r="A42" s="44" t="s">
        <v>85</v>
      </c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36"/>
      <c r="R42" s="36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36"/>
      <c r="AF42" s="2"/>
      <c r="AG42" s="36"/>
      <c r="AH42" s="2"/>
      <c r="AI42" s="2"/>
      <c r="AJ42" s="2"/>
      <c r="AK42" s="2"/>
      <c r="AL42" s="2"/>
      <c r="AM42" s="2" t="s">
        <v>35</v>
      </c>
      <c r="AN42" s="2"/>
      <c r="AO42" s="36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 t="s">
        <v>35</v>
      </c>
      <c r="CK42" s="2"/>
      <c r="CL42" s="2"/>
      <c r="CM42" s="2"/>
      <c r="CN42" s="2"/>
      <c r="CO42" s="2"/>
      <c r="CP42" s="2"/>
      <c r="CQ42" s="2" t="s">
        <v>35</v>
      </c>
      <c r="CR42" s="2"/>
      <c r="CS42" s="2"/>
      <c r="CT42" s="2"/>
      <c r="CU42" s="2"/>
      <c r="CV42" s="2"/>
      <c r="CW42" s="2" t="s">
        <v>35</v>
      </c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 t="s">
        <v>35</v>
      </c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  <c r="GK42" s="2"/>
      <c r="GL42" s="2"/>
      <c r="GM42" s="2"/>
      <c r="GN42" s="2"/>
      <c r="GO42" s="2"/>
      <c r="GP42" s="2"/>
      <c r="GQ42" s="2"/>
      <c r="GR42" s="2"/>
      <c r="GS42" s="2"/>
      <c r="GT42" s="2"/>
      <c r="GU42" s="2"/>
      <c r="GV42" s="2"/>
      <c r="GW42" s="2"/>
      <c r="GX42" s="2"/>
      <c r="GY42" s="2"/>
      <c r="GZ42" s="2"/>
      <c r="HA42" s="2"/>
      <c r="HB42" s="2"/>
      <c r="HC42" s="2"/>
      <c r="HD42" s="2"/>
      <c r="HE42" s="2"/>
      <c r="HF42" s="2"/>
      <c r="HG42" s="2"/>
      <c r="HH42" s="2"/>
      <c r="HI42" s="2"/>
      <c r="HJ42" s="2"/>
      <c r="HK42" s="2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  <c r="HY42" s="2"/>
      <c r="HZ42" s="2"/>
      <c r="IA42" s="2"/>
      <c r="IB42" s="2"/>
      <c r="IC42" s="2"/>
      <c r="ID42" s="2"/>
      <c r="IE42" s="2"/>
      <c r="IF42" s="2"/>
      <c r="IG42" s="2"/>
      <c r="IH42" s="2"/>
      <c r="II42" s="2"/>
      <c r="IJ42" s="2"/>
      <c r="IK42" s="2"/>
      <c r="IL42" s="2"/>
      <c r="IM42" s="2"/>
      <c r="IN42" s="2"/>
      <c r="IO42" s="2"/>
      <c r="IP42" s="2"/>
      <c r="IQ42" s="2"/>
      <c r="IR42" s="2"/>
      <c r="IS42" s="2"/>
      <c r="IT42" s="2"/>
      <c r="IU42" s="2"/>
      <c r="IV42" s="2"/>
      <c r="IW42" s="2"/>
      <c r="IX42" s="2"/>
      <c r="IY42" s="2"/>
      <c r="IZ42" s="2"/>
      <c r="JA42" s="2"/>
      <c r="JB42" s="2"/>
      <c r="JC42" s="2"/>
      <c r="JD42" s="2"/>
      <c r="JE42" s="2"/>
      <c r="JF42" s="2"/>
      <c r="JG42" s="2"/>
      <c r="JH42" s="2"/>
      <c r="JI42" s="2"/>
      <c r="JJ42" s="2"/>
      <c r="JK42" s="2"/>
      <c r="JL42" s="2"/>
      <c r="JM42" s="2"/>
      <c r="JN42" s="2"/>
      <c r="JO42" s="2"/>
      <c r="JP42" s="2"/>
      <c r="JQ42" s="2"/>
      <c r="JR42" s="2"/>
      <c r="JS42" s="2"/>
      <c r="JT42" s="2"/>
      <c r="JU42" s="2"/>
      <c r="JV42" s="2"/>
      <c r="JW42" s="2"/>
      <c r="JX42" s="2"/>
      <c r="JY42" s="2"/>
      <c r="JZ42" s="2"/>
      <c r="KA42" s="2"/>
      <c r="KB42" s="2"/>
      <c r="KC42" s="2"/>
      <c r="KD42" s="2"/>
      <c r="KE42" s="2"/>
      <c r="KF42" s="2"/>
      <c r="KG42" s="2"/>
      <c r="KH42" s="2"/>
      <c r="KI42" s="2"/>
      <c r="KJ42" s="2"/>
      <c r="KK42" s="2"/>
      <c r="KL42" s="2"/>
      <c r="KM42" s="2"/>
      <c r="KN42" s="2"/>
      <c r="KO42" s="2"/>
      <c r="KP42" s="2"/>
      <c r="KQ42" s="2"/>
      <c r="KR42" s="2"/>
      <c r="KS42" s="2"/>
      <c r="KT42" s="2"/>
      <c r="KU42" s="2"/>
      <c r="KV42" s="2"/>
      <c r="KW42" s="2"/>
      <c r="KX42" s="2"/>
      <c r="KY42" s="2"/>
      <c r="KZ42" s="2"/>
      <c r="LA42" s="2"/>
      <c r="LB42" s="2"/>
      <c r="LC42" s="2"/>
      <c r="LD42" s="2"/>
      <c r="LE42" s="2"/>
      <c r="LF42" s="2"/>
      <c r="LG42" s="2"/>
      <c r="LH42" s="2"/>
      <c r="LI42" s="2"/>
      <c r="LJ42" s="2"/>
      <c r="LK42" s="2"/>
      <c r="LL42" s="2"/>
      <c r="LM42" s="2"/>
      <c r="LN42" s="2"/>
      <c r="LO42" s="2"/>
      <c r="LP42" s="2"/>
      <c r="LQ42" s="2"/>
      <c r="LR42" s="2"/>
      <c r="LS42" s="2"/>
      <c r="LT42" s="2"/>
      <c r="LU42" s="2"/>
      <c r="LV42" s="2"/>
      <c r="LW42" s="2"/>
      <c r="LX42" s="2"/>
      <c r="LY42" s="2"/>
      <c r="LZ42" s="2"/>
      <c r="MA42" s="2"/>
      <c r="MB42" s="2"/>
      <c r="MC42" s="2"/>
      <c r="MD42" s="2"/>
      <c r="ME42" s="2"/>
      <c r="MF42" s="2"/>
      <c r="MG42" s="2"/>
      <c r="MH42" s="2"/>
      <c r="MI42" s="2"/>
      <c r="MJ42" s="2"/>
      <c r="MK42" s="2"/>
      <c r="ML42" s="2"/>
      <c r="MM42" s="2"/>
      <c r="MN42" s="2"/>
      <c r="MO42" s="2"/>
      <c r="MP42" s="2"/>
      <c r="MQ42" s="2"/>
      <c r="MR42" s="2"/>
      <c r="MS42" s="2"/>
      <c r="MT42" s="2"/>
      <c r="MU42" s="2"/>
      <c r="MV42" s="2"/>
      <c r="MW42" s="2"/>
      <c r="MX42" s="2"/>
      <c r="MY42" s="2"/>
      <c r="MZ42" s="2"/>
      <c r="NA42" s="2"/>
      <c r="NB42" s="2"/>
      <c r="NC42" s="2"/>
      <c r="ND42" s="2"/>
      <c r="NE42" s="2"/>
      <c r="NF42" s="2"/>
      <c r="NG42" s="2"/>
      <c r="NH42" s="2"/>
      <c r="NI42" s="2"/>
      <c r="NJ42" s="14">
        <f t="array" aca="1" ref="NJ42" ca="1">SUMPRODUCT((OFFSET($A42,0,31*($A$3-1)+1,1,31)&lt;&gt;"")*(IF(OFFSET($A42,0,31*($A$3-1)+1,1,31)=$OB$12,0.5,1)*(OFFSET($A$4,0,31*($A$3-1)+1,1,31))))</f>
        <v>0</v>
      </c>
      <c r="NK42" s="20">
        <f t="array" aca="1" ref="NK42" ca="1">SUMPRODUCT((OFFSET($A42,0,1,1,372)&lt;&gt;"")*(IF(OFFSET($A42,0,1,1,372)=$OB$12,0.5,1)*(OFFSET($A$3,0,1,1,372))))</f>
        <v>5</v>
      </c>
      <c r="NL42" s="28">
        <f t="array" aca="1" ref="NL42" ca="1">SUMPRODUCT((OFFSET($A42,0,31*($A$4)+DAY(Holidays!$E$2),1,Holidays!$G$2)&lt;&gt;"")*(IF(OFFSET($A42,0,31*($A$4)+DAY(Holidays!$E$2),1,Holidays!$G$2)=$OB$12,0.5,1)*(OFFSET($A$3,0,31*($A$4)+DAY(Holidays!$E$2),1,Holidays!$G$2))))</f>
        <v>5</v>
      </c>
      <c r="NM42" s="52">
        <f t="array" aca="1" ref="NM42" ca="1">SUMPRODUCT((OFFSET($A42,0,31*($A$4)+DAY(VLOOKUP(NM$5,Sprints[],2,FALSE)),1,VLOOKUP(NM$5,Sprints[],4,FALSE))&lt;&gt;"")*(IF(OFFSET($A42,0,31*($A$4)+DAY(VLOOKUP(NM$5,Sprints[],2,FALSE)),1,VLOOKUP(NM$5,Sprints[],4,FALSE))=$OB$12,0.5,1)*(OFFSET($A$3,0,31*($A$4)+DAY(VLOOKUP(NM$5,Sprints[],2,FALSE)),1,VLOOKUP(NM$5,Sprints[],4,FALSE)))))</f>
        <v>0</v>
      </c>
      <c r="NN42" s="52">
        <f t="array" aca="1" ref="NN42" ca="1">SUMPRODUCT((OFFSET($A42,0,31*($A$4)+DAY(VLOOKUP(NN$5,Sprints[],2,FALSE)),1,VLOOKUP(NN$5,Sprints[],4,FALSE))&lt;&gt;"")*(IF(OFFSET($A42,0,31*($A$4)+DAY(VLOOKUP(NN$5,Sprints[],2,FALSE)),1,VLOOKUP(NN$5,Sprints[],4,FALSE))=$OB$12,0.5,1)*(OFFSET($A$3,0,31*($A$4)+DAY(VLOOKUP(NN$5,Sprints[],2,FALSE)),1,VLOOKUP(NN$5,Sprints[],4,FALSE)))))</f>
        <v>0</v>
      </c>
      <c r="NO42" s="52">
        <f t="array" aca="1" ref="NO42" ca="1">SUMPRODUCT((OFFSET($A42,0,31*($A$4)+DAY(VLOOKUP(NO$5,Sprints[],2,FALSE)),1,VLOOKUP(NO$5,Sprints[],4,FALSE))&lt;&gt;"")*(IF(OFFSET($A42,0,31*($A$4)+DAY(VLOOKUP(NO$5,Sprints[],2,FALSE)),1,VLOOKUP(NO$5,Sprints[],4,FALSE))=$OB$12,0.5,1)*(OFFSET($A$3,0,31*($A$4)+DAY(VLOOKUP(NO$5,Sprints[],2,FALSE)),1,VLOOKUP(NO$5,Sprints[],4,FALSE)))))</f>
        <v>0</v>
      </c>
      <c r="NP42" s="52">
        <f t="array" aca="1" ref="NP42" ca="1">SUMPRODUCT((OFFSET($A42,0,31*(VLOOKUP(NP$5,Sprints[],5,FALSE))+DAY(VLOOKUP(NP$5,Sprints[],2,FALSE)),1,VLOOKUP(NP$5,Sprints[],4,FALSE))&lt;&gt;"")*(IF(OFFSET($A42,0,31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42" s="52">
        <f t="array" aca="1" ref="NQ42" ca="1">SUMPRODUCT((OFFSET($A42,0,31*(VLOOKUP(NQ$5,Sprints[],5,FALSE))+DAY(VLOOKUP(NQ$5,Sprints[],2,FALSE)),1,VLOOKUP(NQ$5,Sprints[],4,FALSE))&lt;&gt;"")*(IF(OFFSET($A42,0,31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42" s="52">
        <f t="array" aca="1" ref="NR42" ca="1">SUMPRODUCT((OFFSET($A42,0,31*(VLOOKUP(NR$5,Sprints[],5,FALSE))+DAY(VLOOKUP(NR$5,Sprints[],2,FALSE)),1,VLOOKUP(NR$5,Sprints[],4,FALSE))&lt;&gt;"")*(IF(OFFSET($A42,0,31*(VLOOKUP(NR$5,Sprints[],5,FALSE))+DAY(VLOOKUP(NR$5,Sprints[],2,FALSE)),1,VLOOKUP(NR$5,Sprints[],4,FALSE))=$OB$12,0.5,1)*(OFFSET($A$3,0,31*(VLOOKUP(NR$5,Sprints[],5,FALSE))+DAY(VLOOKUP(NR$5,Sprints[],2,FALSE)),1,VLOOKUP(NR$5,Sprints[],4,FALSE)))))</f>
        <v>2</v>
      </c>
      <c r="NS42" s="52">
        <f t="array" aca="1" ref="NS42" ca="1">SUMPRODUCT((OFFSET($A42,0,31*(VLOOKUP(NS$5,Sprints[],5,FALSE))+DAY(VLOOKUP(NS$5,Sprints[],2,FALSE)),1,VLOOKUP(NS$5,Sprints[],4,FALSE))&lt;&gt;"")*(IF(OFFSET($A42,0,31*(VLOOKUP(NS$5,Sprints[],5,FALSE))+DAY(VLOOKUP(NS$5,Sprints[],2,FALSE)),1,VLOOKUP(NS$5,Sprints[],4,FALSE))=$OB$12,0.5,1)*(OFFSET($A$3,0,31*(VLOOKUP(NS$5,Sprints[],5,FALSE))+DAY(VLOOKUP(NS$5,Sprints[],2,FALSE)),1,VLOOKUP(NS$5,Sprints[],4,FALSE)))))</f>
        <v>1</v>
      </c>
      <c r="NT42" s="52">
        <f t="array" aca="1" ref="NT42" ca="1">SUMPRODUCT((OFFSET($A42,0,31*(VLOOKUP(NT$5,Sprints[],5,FALSE))+DAY(VLOOKUP(NT$5,Sprints[],2,FALSE)),1,VLOOKUP(NT$5,Sprints[],4,FALSE))&lt;&gt;"")*(IF(OFFSET($A42,0,31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42" s="52">
        <f t="array" aca="1" ref="NU42" ca="1">SUMPRODUCT((OFFSET($A42,0,31*(VLOOKUP(NU$5,Sprints[],5,FALSE))+DAY(VLOOKUP(NU$5,Sprints[],2,FALSE)),1,VLOOKUP(NU$5,Sprints[],4,FALSE))&lt;&gt;"")*(IF(OFFSET($A42,0,31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42" s="52">
        <f t="array" aca="1" ref="NV42" ca="1">SUMPRODUCT((OFFSET($A42,0,31*(VLOOKUP(NV$5,Sprints[],5,FALSE))+DAY(VLOOKUP(NV$5,Sprints[],2,FALSE)),1,VLOOKUP(NV$5,Sprints[],4,FALSE))&lt;&gt;"")*(IF(OFFSET($A42,0,31*(VLOOKUP(NV$5,Sprints[],5,FALSE))+DAY(VLOOKUP(NV$5,Sprints[],2,FALSE)),1,VLOOKUP(NV$5,Sprints[],4,FALSE))=$OB$12,0.5,1)*(OFFSET($A$3,0,31*(VLOOKUP(NV$5,Sprints[],5,FALSE))+DAY(VLOOKUP(NV$5,Sprints[],2,FALSE)),1,VLOOKUP(NV$5,Sprints[],4,FALSE)))))</f>
        <v>0</v>
      </c>
      <c r="NW42" s="52">
        <f t="array" aca="1" ref="NW42" ca="1">SUMPRODUCT((OFFSET($A42,0,31*(VLOOKUP(NW$5,Sprints[],5,FALSE))+DAY(VLOOKUP(NW$5,Sprints[],2,FALSE)),1,VLOOKUP(NW$5,Sprints[],4,FALSE))&lt;&gt;"")*(IF(OFFSET($A42,0,31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42" s="52">
        <f t="array" aca="1" ref="NX42" ca="1">SUMPRODUCT((OFFSET($A42,0,31*(VLOOKUP(NX$5,Sprints[],5,FALSE))+DAY(VLOOKUP(NX$5,Sprints[],2,FALSE)),1,VLOOKUP(NX$5,Sprints[],4,FALSE))&lt;&gt;"")*(IF(OFFSET($A42,0,31*(VLOOKUP(NX$5,Sprints[],5,FALSE))+DAY(VLOOKUP(NX$5,Sprints[],2,FALSE)),1,VLOOKUP(NX$5,Sprints[],4,FALSE))=$OB$12,0.5,1)*(OFFSET($A$3,0,31*(VLOOKUP(NX$5,Sprints[],5,FALSE))+DAY(VLOOKUP(NX$5,Sprints[],2,FALSE)),1,VLOOKUP(NX$5,Sprints[],4,FALSE)))))</f>
        <v>1</v>
      </c>
      <c r="NY42" s="52">
        <f t="array" aca="1" ref="NY42" ca="1">SUMPRODUCT((OFFSET($A42,0,31*(VLOOKUP(NY$5,Sprints[],5,FALSE))+DAY(VLOOKUP(NY$5,Sprints[],2,FALSE)),1,VLOOKUP(NY$5,Sprints[],4,FALSE))&lt;&gt;"")*(IF(OFFSET($A42,0,31*(VLOOKUP(NY$5,Sprints[],5,FALSE))+DAY(VLOOKUP(NY$5,Sprints[],2,FALSE)),1,VLOOKUP(NY$5,Sprints[],4,FALSE))=$OB$12,0.5,1)*(OFFSET($A$3,0,31*(VLOOKUP(NY$5,Sprints[],5,FALSE))+DAY(VLOOKUP(NY$5,Sprints[],2,FALSE)),1,VLOOKUP(NY$5,Sprints[],4,FALSE)))))</f>
        <v>5</v>
      </c>
    </row>
    <row r="43" spans="1:389" x14ac:dyDescent="0.45">
      <c r="A43" s="44" t="s">
        <v>87</v>
      </c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36"/>
      <c r="R43" s="36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36"/>
      <c r="AF43" s="2"/>
      <c r="AG43" s="36"/>
      <c r="AH43" s="2"/>
      <c r="AI43" s="2"/>
      <c r="AJ43" s="2"/>
      <c r="AK43" s="2"/>
      <c r="AL43" s="2"/>
      <c r="AM43" s="2" t="s">
        <v>35</v>
      </c>
      <c r="AN43" s="2"/>
      <c r="AO43" s="36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 t="s">
        <v>35</v>
      </c>
      <c r="CK43" s="2"/>
      <c r="CL43" s="2"/>
      <c r="CM43" s="2"/>
      <c r="CN43" s="2"/>
      <c r="CO43" s="2"/>
      <c r="CP43" s="2"/>
      <c r="CQ43" s="2" t="s">
        <v>35</v>
      </c>
      <c r="CR43" s="2"/>
      <c r="CS43" s="2"/>
      <c r="CT43" s="2"/>
      <c r="CU43" s="2"/>
      <c r="CV43" s="2"/>
      <c r="CW43" s="2" t="s">
        <v>35</v>
      </c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 t="s">
        <v>35</v>
      </c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2"/>
      <c r="GD43" s="2"/>
      <c r="GE43" s="2"/>
      <c r="GF43" s="2"/>
      <c r="GG43" s="2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2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  <c r="HY43" s="2"/>
      <c r="HZ43" s="2"/>
      <c r="IA43" s="2"/>
      <c r="IB43" s="2"/>
      <c r="IC43" s="2"/>
      <c r="ID43" s="2"/>
      <c r="IE43" s="2"/>
      <c r="IF43" s="2"/>
      <c r="IG43" s="2"/>
      <c r="IH43" s="2"/>
      <c r="II43" s="2"/>
      <c r="IJ43" s="2"/>
      <c r="IK43" s="2"/>
      <c r="IL43" s="2"/>
      <c r="IM43" s="2"/>
      <c r="IN43" s="2"/>
      <c r="IO43" s="2"/>
      <c r="IP43" s="2"/>
      <c r="IQ43" s="2"/>
      <c r="IR43" s="2"/>
      <c r="IS43" s="2"/>
      <c r="IT43" s="2"/>
      <c r="IU43" s="2"/>
      <c r="IV43" s="2"/>
      <c r="IW43" s="2"/>
      <c r="IX43" s="2"/>
      <c r="IY43" s="2"/>
      <c r="IZ43" s="2"/>
      <c r="JA43" s="2"/>
      <c r="JB43" s="2"/>
      <c r="JC43" s="2"/>
      <c r="JD43" s="2"/>
      <c r="JE43" s="2"/>
      <c r="JF43" s="2"/>
      <c r="JG43" s="2"/>
      <c r="JH43" s="2"/>
      <c r="JI43" s="2"/>
      <c r="JJ43" s="2"/>
      <c r="JK43" s="2"/>
      <c r="JL43" s="2"/>
      <c r="JM43" s="2"/>
      <c r="JN43" s="2"/>
      <c r="JO43" s="2"/>
      <c r="JP43" s="2"/>
      <c r="JQ43" s="2"/>
      <c r="JR43" s="2"/>
      <c r="JS43" s="2"/>
      <c r="JT43" s="2"/>
      <c r="JU43" s="2"/>
      <c r="JV43" s="2"/>
      <c r="JW43" s="2"/>
      <c r="JX43" s="2"/>
      <c r="JY43" s="2"/>
      <c r="JZ43" s="2"/>
      <c r="KA43" s="2"/>
      <c r="KB43" s="2"/>
      <c r="KC43" s="2"/>
      <c r="KD43" s="2"/>
      <c r="KE43" s="2"/>
      <c r="KF43" s="2"/>
      <c r="KG43" s="2"/>
      <c r="KH43" s="2"/>
      <c r="KI43" s="2"/>
      <c r="KJ43" s="2"/>
      <c r="KK43" s="2"/>
      <c r="KL43" s="2"/>
      <c r="KM43" s="2"/>
      <c r="KN43" s="2"/>
      <c r="KO43" s="2"/>
      <c r="KP43" s="2"/>
      <c r="KQ43" s="2"/>
      <c r="KR43" s="2"/>
      <c r="KS43" s="2"/>
      <c r="KT43" s="2"/>
      <c r="KU43" s="2"/>
      <c r="KV43" s="2"/>
      <c r="KW43" s="2"/>
      <c r="KX43" s="2"/>
      <c r="KY43" s="2"/>
      <c r="KZ43" s="2"/>
      <c r="LA43" s="2"/>
      <c r="LB43" s="2"/>
      <c r="LC43" s="2"/>
      <c r="LD43" s="2"/>
      <c r="LE43" s="2"/>
      <c r="LF43" s="2"/>
      <c r="LG43" s="2"/>
      <c r="LH43" s="2"/>
      <c r="LI43" s="2"/>
      <c r="LJ43" s="2"/>
      <c r="LK43" s="2"/>
      <c r="LL43" s="2"/>
      <c r="LM43" s="2"/>
      <c r="LN43" s="2"/>
      <c r="LO43" s="2"/>
      <c r="LP43" s="2"/>
      <c r="LQ43" s="2"/>
      <c r="LR43" s="2"/>
      <c r="LS43" s="2"/>
      <c r="LT43" s="2"/>
      <c r="LU43" s="2"/>
      <c r="LV43" s="2"/>
      <c r="LW43" s="2"/>
      <c r="LX43" s="2"/>
      <c r="LY43" s="2"/>
      <c r="LZ43" s="2"/>
      <c r="MA43" s="2"/>
      <c r="MB43" s="2"/>
      <c r="MC43" s="2"/>
      <c r="MD43" s="2"/>
      <c r="ME43" s="2"/>
      <c r="MF43" s="2"/>
      <c r="MG43" s="2"/>
      <c r="MH43" s="2"/>
      <c r="MI43" s="2"/>
      <c r="MJ43" s="2"/>
      <c r="MK43" s="2"/>
      <c r="ML43" s="2"/>
      <c r="MM43" s="2"/>
      <c r="MN43" s="2"/>
      <c r="MO43" s="2"/>
      <c r="MP43" s="2"/>
      <c r="MQ43" s="2"/>
      <c r="MR43" s="2"/>
      <c r="MS43" s="2"/>
      <c r="MT43" s="2"/>
      <c r="MU43" s="2"/>
      <c r="MV43" s="2"/>
      <c r="MW43" s="2"/>
      <c r="MX43" s="2"/>
      <c r="MY43" s="2"/>
      <c r="MZ43" s="2"/>
      <c r="NA43" s="2"/>
      <c r="NB43" s="2"/>
      <c r="NC43" s="2"/>
      <c r="ND43" s="2"/>
      <c r="NE43" s="2"/>
      <c r="NF43" s="2"/>
      <c r="NG43" s="2"/>
      <c r="NH43" s="2"/>
      <c r="NI43" s="2"/>
      <c r="NJ43" s="14">
        <f t="array" aca="1" ref="NJ43" ca="1">SUMPRODUCT((OFFSET($A43,0,31*($A$3-1)+1,1,31)&lt;&gt;"")*(IF(OFFSET($A43,0,31*($A$3-1)+1,1,31)=$OB$12,0.5,1)*(OFFSET($A$4,0,31*($A$3-1)+1,1,31))))</f>
        <v>0</v>
      </c>
      <c r="NK43" s="20">
        <f t="array" aca="1" ref="NK43" ca="1">SUMPRODUCT((OFFSET($A43,0,1,1,372)&lt;&gt;"")*(IF(OFFSET($A43,0,1,1,372)=$OB$12,0.5,1)*(OFFSET($A$3,0,1,1,372))))</f>
        <v>5</v>
      </c>
      <c r="NL43" s="28">
        <f t="array" aca="1" ref="NL43" ca="1">SUMPRODUCT((OFFSET($A43,0,31*($A$4)+DAY(Holidays!$E$2),1,Holidays!$G$2)&lt;&gt;"")*(IF(OFFSET($A43,0,31*($A$4)+DAY(Holidays!$E$2),1,Holidays!$G$2)=$OB$12,0.5,1)*(OFFSET($A$3,0,31*($A$4)+DAY(Holidays!$E$2),1,Holidays!$G$2))))</f>
        <v>5</v>
      </c>
      <c r="NM43" s="52">
        <f t="array" aca="1" ref="NM43" ca="1">SUMPRODUCT((OFFSET($A43,0,31*($A$4)+DAY(VLOOKUP(NM$5,Sprints[],2,FALSE)),1,VLOOKUP(NM$5,Sprints[],4,FALSE))&lt;&gt;"")*(IF(OFFSET($A43,0,31*($A$4)+DAY(VLOOKUP(NM$5,Sprints[],2,FALSE)),1,VLOOKUP(NM$5,Sprints[],4,FALSE))=$OB$12,0.5,1)*(OFFSET($A$3,0,31*($A$4)+DAY(VLOOKUP(NM$5,Sprints[],2,FALSE)),1,VLOOKUP(NM$5,Sprints[],4,FALSE)))))</f>
        <v>0</v>
      </c>
      <c r="NN43" s="52">
        <f t="array" aca="1" ref="NN43" ca="1">SUMPRODUCT((OFFSET($A43,0,31*($A$4)+DAY(VLOOKUP(NN$5,Sprints[],2,FALSE)),1,VLOOKUP(NN$5,Sprints[],4,FALSE))&lt;&gt;"")*(IF(OFFSET($A43,0,31*($A$4)+DAY(VLOOKUP(NN$5,Sprints[],2,FALSE)),1,VLOOKUP(NN$5,Sprints[],4,FALSE))=$OB$12,0.5,1)*(OFFSET($A$3,0,31*($A$4)+DAY(VLOOKUP(NN$5,Sprints[],2,FALSE)),1,VLOOKUP(NN$5,Sprints[],4,FALSE)))))</f>
        <v>0</v>
      </c>
      <c r="NO43" s="52">
        <f t="array" aca="1" ref="NO43" ca="1">SUMPRODUCT((OFFSET($A43,0,31*($A$4)+DAY(VLOOKUP(NO$5,Sprints[],2,FALSE)),1,VLOOKUP(NO$5,Sprints[],4,FALSE))&lt;&gt;"")*(IF(OFFSET($A43,0,31*($A$4)+DAY(VLOOKUP(NO$5,Sprints[],2,FALSE)),1,VLOOKUP(NO$5,Sprints[],4,FALSE))=$OB$12,0.5,1)*(OFFSET($A$3,0,31*($A$4)+DAY(VLOOKUP(NO$5,Sprints[],2,FALSE)),1,VLOOKUP(NO$5,Sprints[],4,FALSE)))))</f>
        <v>0</v>
      </c>
      <c r="NP43" s="52">
        <f t="array" aca="1" ref="NP43" ca="1">SUMPRODUCT((OFFSET($A43,0,31*(VLOOKUP(NP$5,Sprints[],5,FALSE))+DAY(VLOOKUP(NP$5,Sprints[],2,FALSE)),1,VLOOKUP(NP$5,Sprints[],4,FALSE))&lt;&gt;"")*(IF(OFFSET($A43,0,31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43" s="52">
        <f t="array" aca="1" ref="NQ43" ca="1">SUMPRODUCT((OFFSET($A43,0,31*(VLOOKUP(NQ$5,Sprints[],5,FALSE))+DAY(VLOOKUP(NQ$5,Sprints[],2,FALSE)),1,VLOOKUP(NQ$5,Sprints[],4,FALSE))&lt;&gt;"")*(IF(OFFSET($A43,0,31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43" s="52">
        <f t="array" aca="1" ref="NR43" ca="1">SUMPRODUCT((OFFSET($A43,0,31*(VLOOKUP(NR$5,Sprints[],5,FALSE))+DAY(VLOOKUP(NR$5,Sprints[],2,FALSE)),1,VLOOKUP(NR$5,Sprints[],4,FALSE))&lt;&gt;"")*(IF(OFFSET($A43,0,31*(VLOOKUP(NR$5,Sprints[],5,FALSE))+DAY(VLOOKUP(NR$5,Sprints[],2,FALSE)),1,VLOOKUP(NR$5,Sprints[],4,FALSE))=$OB$12,0.5,1)*(OFFSET($A$3,0,31*(VLOOKUP(NR$5,Sprints[],5,FALSE))+DAY(VLOOKUP(NR$5,Sprints[],2,FALSE)),1,VLOOKUP(NR$5,Sprints[],4,FALSE)))))</f>
        <v>2</v>
      </c>
      <c r="NS43" s="52">
        <f t="array" aca="1" ref="NS43" ca="1">SUMPRODUCT((OFFSET($A43,0,31*(VLOOKUP(NS$5,Sprints[],5,FALSE))+DAY(VLOOKUP(NS$5,Sprints[],2,FALSE)),1,VLOOKUP(NS$5,Sprints[],4,FALSE))&lt;&gt;"")*(IF(OFFSET($A43,0,31*(VLOOKUP(NS$5,Sprints[],5,FALSE))+DAY(VLOOKUP(NS$5,Sprints[],2,FALSE)),1,VLOOKUP(NS$5,Sprints[],4,FALSE))=$OB$12,0.5,1)*(OFFSET($A$3,0,31*(VLOOKUP(NS$5,Sprints[],5,FALSE))+DAY(VLOOKUP(NS$5,Sprints[],2,FALSE)),1,VLOOKUP(NS$5,Sprints[],4,FALSE)))))</f>
        <v>1</v>
      </c>
      <c r="NT43" s="52">
        <f t="array" aca="1" ref="NT43" ca="1">SUMPRODUCT((OFFSET($A43,0,31*(VLOOKUP(NT$5,Sprints[],5,FALSE))+DAY(VLOOKUP(NT$5,Sprints[],2,FALSE)),1,VLOOKUP(NT$5,Sprints[],4,FALSE))&lt;&gt;"")*(IF(OFFSET($A43,0,31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43" s="52">
        <f t="array" aca="1" ref="NU43" ca="1">SUMPRODUCT((OFFSET($A43,0,31*(VLOOKUP(NU$5,Sprints[],5,FALSE))+DAY(VLOOKUP(NU$5,Sprints[],2,FALSE)),1,VLOOKUP(NU$5,Sprints[],4,FALSE))&lt;&gt;"")*(IF(OFFSET($A43,0,31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43" s="52">
        <f t="array" aca="1" ref="NV43" ca="1">SUMPRODUCT((OFFSET($A43,0,31*(VLOOKUP(NV$5,Sprints[],5,FALSE))+DAY(VLOOKUP(NV$5,Sprints[],2,FALSE)),1,VLOOKUP(NV$5,Sprints[],4,FALSE))&lt;&gt;"")*(IF(OFFSET($A43,0,31*(VLOOKUP(NV$5,Sprints[],5,FALSE))+DAY(VLOOKUP(NV$5,Sprints[],2,FALSE)),1,VLOOKUP(NV$5,Sprints[],4,FALSE))=$OB$12,0.5,1)*(OFFSET($A$3,0,31*(VLOOKUP(NV$5,Sprints[],5,FALSE))+DAY(VLOOKUP(NV$5,Sprints[],2,FALSE)),1,VLOOKUP(NV$5,Sprints[],4,FALSE)))))</f>
        <v>0</v>
      </c>
      <c r="NW43" s="52">
        <f t="array" aca="1" ref="NW43" ca="1">SUMPRODUCT((OFFSET($A43,0,31*(VLOOKUP(NW$5,Sprints[],5,FALSE))+DAY(VLOOKUP(NW$5,Sprints[],2,FALSE)),1,VLOOKUP(NW$5,Sprints[],4,FALSE))&lt;&gt;"")*(IF(OFFSET($A43,0,31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43" s="52">
        <f t="array" aca="1" ref="NX43" ca="1">SUMPRODUCT((OFFSET($A43,0,31*(VLOOKUP(NX$5,Sprints[],5,FALSE))+DAY(VLOOKUP(NX$5,Sprints[],2,FALSE)),1,VLOOKUP(NX$5,Sprints[],4,FALSE))&lt;&gt;"")*(IF(OFFSET($A43,0,31*(VLOOKUP(NX$5,Sprints[],5,FALSE))+DAY(VLOOKUP(NX$5,Sprints[],2,FALSE)),1,VLOOKUP(NX$5,Sprints[],4,FALSE))=$OB$12,0.5,1)*(OFFSET($A$3,0,31*(VLOOKUP(NX$5,Sprints[],5,FALSE))+DAY(VLOOKUP(NX$5,Sprints[],2,FALSE)),1,VLOOKUP(NX$5,Sprints[],4,FALSE)))))</f>
        <v>1</v>
      </c>
      <c r="NY43" s="52">
        <f t="array" aca="1" ref="NY43" ca="1">SUMPRODUCT((OFFSET($A43,0,31*(VLOOKUP(NY$5,Sprints[],5,FALSE))+DAY(VLOOKUP(NY$5,Sprints[],2,FALSE)),1,VLOOKUP(NY$5,Sprints[],4,FALSE))&lt;&gt;"")*(IF(OFFSET($A43,0,31*(VLOOKUP(NY$5,Sprints[],5,FALSE))+DAY(VLOOKUP(NY$5,Sprints[],2,FALSE)),1,VLOOKUP(NY$5,Sprints[],4,FALSE))=$OB$12,0.5,1)*(OFFSET($A$3,0,31*(VLOOKUP(NY$5,Sprints[],5,FALSE))+DAY(VLOOKUP(NY$5,Sprints[],2,FALSE)),1,VLOOKUP(NY$5,Sprints[],4,FALSE)))))</f>
        <v>5</v>
      </c>
    </row>
    <row r="44" spans="1:389" x14ac:dyDescent="0.45">
      <c r="A44" s="44" t="s">
        <v>90</v>
      </c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36"/>
      <c r="R44" s="36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36"/>
      <c r="AF44" s="2"/>
      <c r="AG44" s="36"/>
      <c r="AH44" s="2"/>
      <c r="AI44" s="2"/>
      <c r="AJ44" s="2"/>
      <c r="AK44" s="2"/>
      <c r="AL44" s="2"/>
      <c r="AM44" s="2" t="s">
        <v>35</v>
      </c>
      <c r="AN44" s="2"/>
      <c r="AO44" s="36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 t="s">
        <v>35</v>
      </c>
      <c r="CK44" s="2"/>
      <c r="CL44" s="2"/>
      <c r="CM44" s="2"/>
      <c r="CN44" s="2"/>
      <c r="CO44" s="2"/>
      <c r="CP44" s="2"/>
      <c r="CQ44" s="2" t="s">
        <v>35</v>
      </c>
      <c r="CR44" s="2"/>
      <c r="CS44" s="2"/>
      <c r="CT44" s="2"/>
      <c r="CU44" s="2"/>
      <c r="CV44" s="2"/>
      <c r="CW44" s="2" t="s">
        <v>35</v>
      </c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2"/>
      <c r="EE44" s="2"/>
      <c r="EF44" s="2"/>
      <c r="EG44" s="2"/>
      <c r="EH44" s="2"/>
      <c r="EI44" s="2"/>
      <c r="EJ44" s="2"/>
      <c r="EK44" s="2"/>
      <c r="EL44" s="2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  <c r="EZ44" s="2"/>
      <c r="FA44" s="2"/>
      <c r="FB44" s="2"/>
      <c r="FC44" s="2"/>
      <c r="FD44" s="2"/>
      <c r="FE44" s="2"/>
      <c r="FF44" s="2"/>
      <c r="FG44" s="2"/>
      <c r="FH44" s="2" t="s">
        <v>35</v>
      </c>
      <c r="FI44" s="2"/>
      <c r="FJ44" s="2"/>
      <c r="FK44" s="2"/>
      <c r="FL44" s="2"/>
      <c r="FM44" s="2"/>
      <c r="FN44" s="2"/>
      <c r="FO44" s="2"/>
      <c r="FP44" s="2"/>
      <c r="FQ44" s="2"/>
      <c r="FR44" s="2"/>
      <c r="FS44" s="2"/>
      <c r="FT44" s="2"/>
      <c r="FU44" s="2"/>
      <c r="FV44" s="2"/>
      <c r="FW44" s="2"/>
      <c r="FX44" s="2"/>
      <c r="FY44" s="2"/>
      <c r="FZ44" s="2"/>
      <c r="GA44" s="2"/>
      <c r="GB44" s="2"/>
      <c r="GC44" s="2"/>
      <c r="GD44" s="2"/>
      <c r="GE44" s="2"/>
      <c r="GF44" s="2"/>
      <c r="GG44" s="2"/>
      <c r="GH44" s="2"/>
      <c r="GI44" s="2"/>
      <c r="GJ44" s="2"/>
      <c r="GK44" s="2"/>
      <c r="GL44" s="2"/>
      <c r="GM44" s="2"/>
      <c r="GN44" s="2"/>
      <c r="GO44" s="2"/>
      <c r="GP44" s="2"/>
      <c r="GQ44" s="2"/>
      <c r="GR44" s="2"/>
      <c r="GS44" s="2"/>
      <c r="GT44" s="2"/>
      <c r="GU44" s="2"/>
      <c r="GV44" s="2"/>
      <c r="GW44" s="2"/>
      <c r="GX44" s="2"/>
      <c r="GY44" s="2"/>
      <c r="GZ44" s="2"/>
      <c r="HA44" s="2"/>
      <c r="HB44" s="2"/>
      <c r="HC44" s="2"/>
      <c r="HD44" s="2"/>
      <c r="HE44" s="2"/>
      <c r="HF44" s="2"/>
      <c r="HG44" s="2"/>
      <c r="HH44" s="2"/>
      <c r="HI44" s="2"/>
      <c r="HJ44" s="2"/>
      <c r="HK44" s="2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  <c r="HY44" s="2"/>
      <c r="HZ44" s="2"/>
      <c r="IA44" s="2"/>
      <c r="IB44" s="2"/>
      <c r="IC44" s="2"/>
      <c r="ID44" s="2"/>
      <c r="IE44" s="2"/>
      <c r="IF44" s="2"/>
      <c r="IG44" s="2"/>
      <c r="IH44" s="2"/>
      <c r="II44" s="2"/>
      <c r="IJ44" s="2"/>
      <c r="IK44" s="2"/>
      <c r="IL44" s="2"/>
      <c r="IM44" s="2"/>
      <c r="IN44" s="2"/>
      <c r="IO44" s="2"/>
      <c r="IP44" s="2"/>
      <c r="IQ44" s="2"/>
      <c r="IR44" s="2"/>
      <c r="IS44" s="2"/>
      <c r="IT44" s="2"/>
      <c r="IU44" s="2"/>
      <c r="IV44" s="2"/>
      <c r="IW44" s="2"/>
      <c r="IX44" s="2"/>
      <c r="IY44" s="2"/>
      <c r="IZ44" s="2"/>
      <c r="JA44" s="2"/>
      <c r="JB44" s="2"/>
      <c r="JC44" s="2"/>
      <c r="JD44" s="2"/>
      <c r="JE44" s="2"/>
      <c r="JF44" s="2"/>
      <c r="JG44" s="2"/>
      <c r="JH44" s="2"/>
      <c r="JI44" s="2"/>
      <c r="JJ44" s="2"/>
      <c r="JK44" s="2"/>
      <c r="JL44" s="2"/>
      <c r="JM44" s="2"/>
      <c r="JN44" s="2"/>
      <c r="JO44" s="2"/>
      <c r="JP44" s="2"/>
      <c r="JQ44" s="2"/>
      <c r="JR44" s="2"/>
      <c r="JS44" s="2"/>
      <c r="JT44" s="2"/>
      <c r="JU44" s="2"/>
      <c r="JV44" s="2"/>
      <c r="JW44" s="2"/>
      <c r="JX44" s="2"/>
      <c r="JY44" s="2"/>
      <c r="JZ44" s="2"/>
      <c r="KA44" s="2"/>
      <c r="KB44" s="2"/>
      <c r="KC44" s="2"/>
      <c r="KD44" s="2"/>
      <c r="KE44" s="2"/>
      <c r="KF44" s="2"/>
      <c r="KG44" s="2"/>
      <c r="KH44" s="2"/>
      <c r="KI44" s="2"/>
      <c r="KJ44" s="2"/>
      <c r="KK44" s="2"/>
      <c r="KL44" s="2"/>
      <c r="KM44" s="2"/>
      <c r="KN44" s="2"/>
      <c r="KO44" s="2"/>
      <c r="KP44" s="2"/>
      <c r="KQ44" s="2"/>
      <c r="KR44" s="2"/>
      <c r="KS44" s="2"/>
      <c r="KT44" s="2"/>
      <c r="KU44" s="2"/>
      <c r="KV44" s="2"/>
      <c r="KW44" s="2"/>
      <c r="KX44" s="2"/>
      <c r="KY44" s="2"/>
      <c r="KZ44" s="2"/>
      <c r="LA44" s="2"/>
      <c r="LB44" s="2"/>
      <c r="LC44" s="2"/>
      <c r="LD44" s="2"/>
      <c r="LE44" s="2"/>
      <c r="LF44" s="2"/>
      <c r="LG44" s="2"/>
      <c r="LH44" s="2"/>
      <c r="LI44" s="2"/>
      <c r="LJ44" s="2"/>
      <c r="LK44" s="2"/>
      <c r="LL44" s="2"/>
      <c r="LM44" s="2"/>
      <c r="LN44" s="2"/>
      <c r="LO44" s="2"/>
      <c r="LP44" s="2"/>
      <c r="LQ44" s="2"/>
      <c r="LR44" s="2"/>
      <c r="LS44" s="2"/>
      <c r="LT44" s="2"/>
      <c r="LU44" s="2"/>
      <c r="LV44" s="2"/>
      <c r="LW44" s="2"/>
      <c r="LX44" s="2"/>
      <c r="LY44" s="2"/>
      <c r="LZ44" s="2"/>
      <c r="MA44" s="2"/>
      <c r="MB44" s="2"/>
      <c r="MC44" s="2"/>
      <c r="MD44" s="2"/>
      <c r="ME44" s="2"/>
      <c r="MF44" s="2"/>
      <c r="MG44" s="2"/>
      <c r="MH44" s="2"/>
      <c r="MI44" s="2"/>
      <c r="MJ44" s="2"/>
      <c r="MK44" s="2"/>
      <c r="ML44" s="2"/>
      <c r="MM44" s="2"/>
      <c r="MN44" s="2"/>
      <c r="MO44" s="2"/>
      <c r="MP44" s="2"/>
      <c r="MQ44" s="2"/>
      <c r="MR44" s="2"/>
      <c r="MS44" s="2"/>
      <c r="MT44" s="2"/>
      <c r="MU44" s="2"/>
      <c r="MV44" s="2"/>
      <c r="MW44" s="2"/>
      <c r="MX44" s="2"/>
      <c r="MY44" s="2"/>
      <c r="MZ44" s="2"/>
      <c r="NA44" s="2"/>
      <c r="NB44" s="2"/>
      <c r="NC44" s="2"/>
      <c r="ND44" s="2"/>
      <c r="NE44" s="2"/>
      <c r="NF44" s="2"/>
      <c r="NG44" s="2"/>
      <c r="NH44" s="2"/>
      <c r="NI44" s="2"/>
      <c r="NJ44" s="14">
        <f t="array" aca="1" ref="NJ44" ca="1">SUMPRODUCT((OFFSET($A44,0,31*($A$3-1)+1,1,31)&lt;&gt;"")*(IF(OFFSET($A44,0,31*($A$3-1)+1,1,31)=$OB$12,0.5,1)*(OFFSET($A$4,0,31*($A$3-1)+1,1,31))))</f>
        <v>0</v>
      </c>
      <c r="NK44" s="20">
        <f t="array" aca="1" ref="NK44" ca="1">SUMPRODUCT((OFFSET($A44,0,1,1,372)&lt;&gt;"")*(IF(OFFSET($A44,0,1,1,372)=$OB$12,0.5,1)*(OFFSET($A$3,0,1,1,372))))</f>
        <v>5</v>
      </c>
      <c r="NL44" s="28">
        <f t="array" aca="1" ref="NL44" ca="1">SUMPRODUCT((OFFSET($A44,0,31*($A$4)+DAY(Holidays!$E$2),1,Holidays!$G$2)&lt;&gt;"")*(IF(OFFSET($A44,0,31*($A$4)+DAY(Holidays!$E$2),1,Holidays!$G$2)=$OB$12,0.5,1)*(OFFSET($A$3,0,31*($A$4)+DAY(Holidays!$E$2),1,Holidays!$G$2))))</f>
        <v>5</v>
      </c>
      <c r="NM44" s="52">
        <f t="array" aca="1" ref="NM44" ca="1">SUMPRODUCT((OFFSET($A44,0,31*($A$4)+DAY(VLOOKUP(NM$5,Sprints[],2,FALSE)),1,VLOOKUP(NM$5,Sprints[],4,FALSE))&lt;&gt;"")*(IF(OFFSET($A44,0,31*($A$4)+DAY(VLOOKUP(NM$5,Sprints[],2,FALSE)),1,VLOOKUP(NM$5,Sprints[],4,FALSE))=$OB$12,0.5,1)*(OFFSET($A$3,0,31*($A$4)+DAY(VLOOKUP(NM$5,Sprints[],2,FALSE)),1,VLOOKUP(NM$5,Sprints[],4,FALSE)))))</f>
        <v>0</v>
      </c>
      <c r="NN44" s="52">
        <f t="array" aca="1" ref="NN44" ca="1">SUMPRODUCT((OFFSET($A44,0,31*($A$4)+DAY(VLOOKUP(NN$5,Sprints[],2,FALSE)),1,VLOOKUP(NN$5,Sprints[],4,FALSE))&lt;&gt;"")*(IF(OFFSET($A44,0,31*($A$4)+DAY(VLOOKUP(NN$5,Sprints[],2,FALSE)),1,VLOOKUP(NN$5,Sprints[],4,FALSE))=$OB$12,0.5,1)*(OFFSET($A$3,0,31*($A$4)+DAY(VLOOKUP(NN$5,Sprints[],2,FALSE)),1,VLOOKUP(NN$5,Sprints[],4,FALSE)))))</f>
        <v>0</v>
      </c>
      <c r="NO44" s="52">
        <f t="array" aca="1" ref="NO44" ca="1">SUMPRODUCT((OFFSET($A44,0,31*($A$4)+DAY(VLOOKUP(NO$5,Sprints[],2,FALSE)),1,VLOOKUP(NO$5,Sprints[],4,FALSE))&lt;&gt;"")*(IF(OFFSET($A44,0,31*($A$4)+DAY(VLOOKUP(NO$5,Sprints[],2,FALSE)),1,VLOOKUP(NO$5,Sprints[],4,FALSE))=$OB$12,0.5,1)*(OFFSET($A$3,0,31*($A$4)+DAY(VLOOKUP(NO$5,Sprints[],2,FALSE)),1,VLOOKUP(NO$5,Sprints[],4,FALSE)))))</f>
        <v>0</v>
      </c>
      <c r="NP44" s="52">
        <f t="array" aca="1" ref="NP44" ca="1">SUMPRODUCT((OFFSET($A44,0,31*(VLOOKUP(NP$5,Sprints[],5,FALSE))+DAY(VLOOKUP(NP$5,Sprints[],2,FALSE)),1,VLOOKUP(NP$5,Sprints[],4,FALSE))&lt;&gt;"")*(IF(OFFSET($A44,0,31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44" s="52">
        <f t="array" aca="1" ref="NQ44" ca="1">SUMPRODUCT((OFFSET($A44,0,31*(VLOOKUP(NQ$5,Sprints[],5,FALSE))+DAY(VLOOKUP(NQ$5,Sprints[],2,FALSE)),1,VLOOKUP(NQ$5,Sprints[],4,FALSE))&lt;&gt;"")*(IF(OFFSET($A44,0,31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44" s="52">
        <f t="array" aca="1" ref="NR44" ca="1">SUMPRODUCT((OFFSET($A44,0,31*(VLOOKUP(NR$5,Sprints[],5,FALSE))+DAY(VLOOKUP(NR$5,Sprints[],2,FALSE)),1,VLOOKUP(NR$5,Sprints[],4,FALSE))&lt;&gt;"")*(IF(OFFSET($A44,0,31*(VLOOKUP(NR$5,Sprints[],5,FALSE))+DAY(VLOOKUP(NR$5,Sprints[],2,FALSE)),1,VLOOKUP(NR$5,Sprints[],4,FALSE))=$OB$12,0.5,1)*(OFFSET($A$3,0,31*(VLOOKUP(NR$5,Sprints[],5,FALSE))+DAY(VLOOKUP(NR$5,Sprints[],2,FALSE)),1,VLOOKUP(NR$5,Sprints[],4,FALSE)))))</f>
        <v>2</v>
      </c>
      <c r="NS44" s="52">
        <f t="array" aca="1" ref="NS44" ca="1">SUMPRODUCT((OFFSET($A44,0,31*(VLOOKUP(NS$5,Sprints[],5,FALSE))+DAY(VLOOKUP(NS$5,Sprints[],2,FALSE)),1,VLOOKUP(NS$5,Sprints[],4,FALSE))&lt;&gt;"")*(IF(OFFSET($A44,0,31*(VLOOKUP(NS$5,Sprints[],5,FALSE))+DAY(VLOOKUP(NS$5,Sprints[],2,FALSE)),1,VLOOKUP(NS$5,Sprints[],4,FALSE))=$OB$12,0.5,1)*(OFFSET($A$3,0,31*(VLOOKUP(NS$5,Sprints[],5,FALSE))+DAY(VLOOKUP(NS$5,Sprints[],2,FALSE)),1,VLOOKUP(NS$5,Sprints[],4,FALSE)))))</f>
        <v>1</v>
      </c>
      <c r="NT44" s="52">
        <f t="array" aca="1" ref="NT44" ca="1">SUMPRODUCT((OFFSET($A44,0,31*(VLOOKUP(NT$5,Sprints[],5,FALSE))+DAY(VLOOKUP(NT$5,Sprints[],2,FALSE)),1,VLOOKUP(NT$5,Sprints[],4,FALSE))&lt;&gt;"")*(IF(OFFSET($A44,0,31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44" s="52">
        <f t="array" aca="1" ref="NU44" ca="1">SUMPRODUCT((OFFSET($A44,0,31*(VLOOKUP(NU$5,Sprints[],5,FALSE))+DAY(VLOOKUP(NU$5,Sprints[],2,FALSE)),1,VLOOKUP(NU$5,Sprints[],4,FALSE))&lt;&gt;"")*(IF(OFFSET($A44,0,31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44" s="52">
        <f t="array" aca="1" ref="NV44" ca="1">SUMPRODUCT((OFFSET($A44,0,31*(VLOOKUP(NV$5,Sprints[],5,FALSE))+DAY(VLOOKUP(NV$5,Sprints[],2,FALSE)),1,VLOOKUP(NV$5,Sprints[],4,FALSE))&lt;&gt;"")*(IF(OFFSET($A44,0,31*(VLOOKUP(NV$5,Sprints[],5,FALSE))+DAY(VLOOKUP(NV$5,Sprints[],2,FALSE)),1,VLOOKUP(NV$5,Sprints[],4,FALSE))=$OB$12,0.5,1)*(OFFSET($A$3,0,31*(VLOOKUP(NV$5,Sprints[],5,FALSE))+DAY(VLOOKUP(NV$5,Sprints[],2,FALSE)),1,VLOOKUP(NV$5,Sprints[],4,FALSE)))))</f>
        <v>0</v>
      </c>
      <c r="NW44" s="52">
        <f t="array" aca="1" ref="NW44" ca="1">SUMPRODUCT((OFFSET($A44,0,31*(VLOOKUP(NW$5,Sprints[],5,FALSE))+DAY(VLOOKUP(NW$5,Sprints[],2,FALSE)),1,VLOOKUP(NW$5,Sprints[],4,FALSE))&lt;&gt;"")*(IF(OFFSET($A44,0,31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44" s="52">
        <f t="array" aca="1" ref="NX44" ca="1">SUMPRODUCT((OFFSET($A44,0,31*(VLOOKUP(NX$5,Sprints[],5,FALSE))+DAY(VLOOKUP(NX$5,Sprints[],2,FALSE)),1,VLOOKUP(NX$5,Sprints[],4,FALSE))&lt;&gt;"")*(IF(OFFSET($A44,0,31*(VLOOKUP(NX$5,Sprints[],5,FALSE))+DAY(VLOOKUP(NX$5,Sprints[],2,FALSE)),1,VLOOKUP(NX$5,Sprints[],4,FALSE))=$OB$12,0.5,1)*(OFFSET($A$3,0,31*(VLOOKUP(NX$5,Sprints[],5,FALSE))+DAY(VLOOKUP(NX$5,Sprints[],2,FALSE)),1,VLOOKUP(NX$5,Sprints[],4,FALSE)))))</f>
        <v>1</v>
      </c>
      <c r="NY44" s="52">
        <f t="array" aca="1" ref="NY44" ca="1">SUMPRODUCT((OFFSET($A44,0,31*(VLOOKUP(NY$5,Sprints[],5,FALSE))+DAY(VLOOKUP(NY$5,Sprints[],2,FALSE)),1,VLOOKUP(NY$5,Sprints[],4,FALSE))&lt;&gt;"")*(IF(OFFSET($A44,0,31*(VLOOKUP(NY$5,Sprints[],5,FALSE))+DAY(VLOOKUP(NY$5,Sprints[],2,FALSE)),1,VLOOKUP(NY$5,Sprints[],4,FALSE))=$OB$12,0.5,1)*(OFFSET($A$3,0,31*(VLOOKUP(NY$5,Sprints[],5,FALSE))+DAY(VLOOKUP(NY$5,Sprints[],2,FALSE)),1,VLOOKUP(NY$5,Sprints[],4,FALSE)))))</f>
        <v>5</v>
      </c>
    </row>
    <row r="45" spans="1:389" x14ac:dyDescent="0.45">
      <c r="A45" s="44" t="s">
        <v>93</v>
      </c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36"/>
      <c r="R45" s="36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36"/>
      <c r="AF45" s="2"/>
      <c r="AG45" s="36"/>
      <c r="AH45" s="2"/>
      <c r="AI45" s="2"/>
      <c r="AJ45" s="2"/>
      <c r="AK45" s="2"/>
      <c r="AL45" s="2"/>
      <c r="AM45" s="2" t="s">
        <v>35</v>
      </c>
      <c r="AN45" s="2"/>
      <c r="AO45" s="36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 t="s">
        <v>35</v>
      </c>
      <c r="CK45" s="2"/>
      <c r="CL45" s="2"/>
      <c r="CM45" s="2"/>
      <c r="CN45" s="2"/>
      <c r="CO45" s="2"/>
      <c r="CP45" s="2"/>
      <c r="CQ45" s="2" t="s">
        <v>35</v>
      </c>
      <c r="CR45" s="2"/>
      <c r="CS45" s="2"/>
      <c r="CT45" s="2"/>
      <c r="CU45" s="2"/>
      <c r="CV45" s="2"/>
      <c r="CW45" s="2" t="s">
        <v>35</v>
      </c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2"/>
      <c r="EE45" s="2"/>
      <c r="EF45" s="2"/>
      <c r="EG45" s="2"/>
      <c r="EH45" s="2"/>
      <c r="EI45" s="2"/>
      <c r="EJ45" s="2"/>
      <c r="EK45" s="2"/>
      <c r="EL45" s="2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  <c r="EZ45" s="2"/>
      <c r="FA45" s="2"/>
      <c r="FB45" s="2"/>
      <c r="FC45" s="2"/>
      <c r="FD45" s="2"/>
      <c r="FE45" s="2"/>
      <c r="FF45" s="2"/>
      <c r="FG45" s="2"/>
      <c r="FH45" s="2" t="s">
        <v>35</v>
      </c>
      <c r="FI45" s="2"/>
      <c r="FJ45" s="2"/>
      <c r="FK45" s="2"/>
      <c r="FL45" s="2"/>
      <c r="FM45" s="2"/>
      <c r="FN45" s="2"/>
      <c r="FO45" s="2"/>
      <c r="FP45" s="2"/>
      <c r="FQ45" s="2"/>
      <c r="FR45" s="2"/>
      <c r="FS45" s="2"/>
      <c r="FT45" s="2"/>
      <c r="FU45" s="2"/>
      <c r="FV45" s="2"/>
      <c r="FW45" s="2"/>
      <c r="FX45" s="2"/>
      <c r="FY45" s="2"/>
      <c r="FZ45" s="2"/>
      <c r="GA45" s="2"/>
      <c r="GB45" s="2"/>
      <c r="GC45" s="2"/>
      <c r="GD45" s="2"/>
      <c r="GE45" s="2"/>
      <c r="GF45" s="2"/>
      <c r="GG45" s="2"/>
      <c r="GH45" s="2"/>
      <c r="GI45" s="2"/>
      <c r="GJ45" s="2"/>
      <c r="GK45" s="2"/>
      <c r="GL45" s="2"/>
      <c r="GM45" s="2"/>
      <c r="GN45" s="2"/>
      <c r="GO45" s="2"/>
      <c r="GP45" s="2"/>
      <c r="GQ45" s="2"/>
      <c r="GR45" s="2"/>
      <c r="GS45" s="2"/>
      <c r="GT45" s="2"/>
      <c r="GU45" s="2"/>
      <c r="GV45" s="2"/>
      <c r="GW45" s="2"/>
      <c r="GX45" s="2"/>
      <c r="GY45" s="2"/>
      <c r="GZ45" s="2"/>
      <c r="HA45" s="2"/>
      <c r="HB45" s="2"/>
      <c r="HC45" s="2"/>
      <c r="HD45" s="2"/>
      <c r="HE45" s="2"/>
      <c r="HF45" s="2"/>
      <c r="HG45" s="2"/>
      <c r="HH45" s="2"/>
      <c r="HI45" s="2"/>
      <c r="HJ45" s="2"/>
      <c r="HK45" s="2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  <c r="HY45" s="2"/>
      <c r="HZ45" s="2"/>
      <c r="IA45" s="2"/>
      <c r="IB45" s="2"/>
      <c r="IC45" s="2"/>
      <c r="ID45" s="2"/>
      <c r="IE45" s="2"/>
      <c r="IF45" s="2"/>
      <c r="IG45" s="2"/>
      <c r="IH45" s="2"/>
      <c r="II45" s="2"/>
      <c r="IJ45" s="2"/>
      <c r="IK45" s="2"/>
      <c r="IL45" s="2"/>
      <c r="IM45" s="2"/>
      <c r="IN45" s="2"/>
      <c r="IO45" s="2"/>
      <c r="IP45" s="2"/>
      <c r="IQ45" s="2"/>
      <c r="IR45" s="2"/>
      <c r="IS45" s="2"/>
      <c r="IT45" s="2"/>
      <c r="IU45" s="2"/>
      <c r="IV45" s="2"/>
      <c r="IW45" s="2"/>
      <c r="IX45" s="2"/>
      <c r="IY45" s="2"/>
      <c r="IZ45" s="2"/>
      <c r="JA45" s="2"/>
      <c r="JB45" s="2"/>
      <c r="JC45" s="2"/>
      <c r="JD45" s="2"/>
      <c r="JE45" s="2"/>
      <c r="JF45" s="2"/>
      <c r="JG45" s="2"/>
      <c r="JH45" s="2"/>
      <c r="JI45" s="2"/>
      <c r="JJ45" s="2"/>
      <c r="JK45" s="2"/>
      <c r="JL45" s="2"/>
      <c r="JM45" s="2"/>
      <c r="JN45" s="2"/>
      <c r="JO45" s="2"/>
      <c r="JP45" s="2"/>
      <c r="JQ45" s="2"/>
      <c r="JR45" s="2"/>
      <c r="JS45" s="2"/>
      <c r="JT45" s="2"/>
      <c r="JU45" s="2"/>
      <c r="JV45" s="2"/>
      <c r="JW45" s="2"/>
      <c r="JX45" s="2"/>
      <c r="JY45" s="2"/>
      <c r="JZ45" s="2"/>
      <c r="KA45" s="2"/>
      <c r="KB45" s="2"/>
      <c r="KC45" s="2"/>
      <c r="KD45" s="2"/>
      <c r="KE45" s="2"/>
      <c r="KF45" s="2"/>
      <c r="KG45" s="2"/>
      <c r="KH45" s="2"/>
      <c r="KI45" s="2"/>
      <c r="KJ45" s="2"/>
      <c r="KK45" s="2"/>
      <c r="KL45" s="2"/>
      <c r="KM45" s="2"/>
      <c r="KN45" s="2"/>
      <c r="KO45" s="2"/>
      <c r="KP45" s="2"/>
      <c r="KQ45" s="2"/>
      <c r="KR45" s="2"/>
      <c r="KS45" s="2"/>
      <c r="KT45" s="2"/>
      <c r="KU45" s="2"/>
      <c r="KV45" s="2"/>
      <c r="KW45" s="2"/>
      <c r="KX45" s="2"/>
      <c r="KY45" s="2"/>
      <c r="KZ45" s="2"/>
      <c r="LA45" s="2"/>
      <c r="LB45" s="2"/>
      <c r="LC45" s="2"/>
      <c r="LD45" s="2"/>
      <c r="LE45" s="2"/>
      <c r="LF45" s="2"/>
      <c r="LG45" s="2"/>
      <c r="LH45" s="2"/>
      <c r="LI45" s="2"/>
      <c r="LJ45" s="2"/>
      <c r="LK45" s="2"/>
      <c r="LL45" s="2"/>
      <c r="LM45" s="2"/>
      <c r="LN45" s="2"/>
      <c r="LO45" s="2"/>
      <c r="LP45" s="2"/>
      <c r="LQ45" s="2"/>
      <c r="LR45" s="2"/>
      <c r="LS45" s="2"/>
      <c r="LT45" s="2"/>
      <c r="LU45" s="2"/>
      <c r="LV45" s="2"/>
      <c r="LW45" s="2"/>
      <c r="LX45" s="2"/>
      <c r="LY45" s="2"/>
      <c r="LZ45" s="2"/>
      <c r="MA45" s="2"/>
      <c r="MB45" s="2"/>
      <c r="MC45" s="2"/>
      <c r="MD45" s="2"/>
      <c r="ME45" s="2"/>
      <c r="MF45" s="2"/>
      <c r="MG45" s="2"/>
      <c r="MH45" s="2"/>
      <c r="MI45" s="2"/>
      <c r="MJ45" s="2"/>
      <c r="MK45" s="2"/>
      <c r="ML45" s="2"/>
      <c r="MM45" s="2"/>
      <c r="MN45" s="2"/>
      <c r="MO45" s="2"/>
      <c r="MP45" s="2"/>
      <c r="MQ45" s="2"/>
      <c r="MR45" s="2"/>
      <c r="MS45" s="2"/>
      <c r="MT45" s="2"/>
      <c r="MU45" s="2"/>
      <c r="MV45" s="2"/>
      <c r="MW45" s="2"/>
      <c r="MX45" s="2"/>
      <c r="MY45" s="2"/>
      <c r="MZ45" s="2"/>
      <c r="NA45" s="2"/>
      <c r="NB45" s="2"/>
      <c r="NC45" s="2"/>
      <c r="ND45" s="2"/>
      <c r="NE45" s="2"/>
      <c r="NF45" s="2"/>
      <c r="NG45" s="2"/>
      <c r="NH45" s="2"/>
      <c r="NI45" s="2"/>
      <c r="NJ45" s="14">
        <f t="array" aca="1" ref="NJ45" ca="1">SUMPRODUCT((OFFSET($A45,0,31*($A$3-1)+1,1,31)&lt;&gt;"")*(IF(OFFSET($A45,0,31*($A$3-1)+1,1,31)=$OB$12,0.5,1)*(OFFSET($A$4,0,31*($A$3-1)+1,1,31))))</f>
        <v>0</v>
      </c>
      <c r="NK45" s="20">
        <f t="array" aca="1" ref="NK45" ca="1">SUMPRODUCT((OFFSET($A45,0,1,1,372)&lt;&gt;"")*(IF(OFFSET($A45,0,1,1,372)=$OB$12,0.5,1)*(OFFSET($A$3,0,1,1,372))))</f>
        <v>5</v>
      </c>
      <c r="NL45" s="28">
        <f t="array" aca="1" ref="NL45" ca="1">SUMPRODUCT((OFFSET($A45,0,31*($A$4)+DAY(Holidays!$E$2),1,Holidays!$G$2)&lt;&gt;"")*(IF(OFFSET($A45,0,31*($A$4)+DAY(Holidays!$E$2),1,Holidays!$G$2)=$OB$12,0.5,1)*(OFFSET($A$3,0,31*($A$4)+DAY(Holidays!$E$2),1,Holidays!$G$2))))</f>
        <v>5</v>
      </c>
      <c r="NM45" s="52">
        <f t="array" aca="1" ref="NM45" ca="1">SUMPRODUCT((OFFSET($A45,0,31*($A$4)+DAY(VLOOKUP(NM$5,Sprints[],2,FALSE)),1,VLOOKUP(NM$5,Sprints[],4,FALSE))&lt;&gt;"")*(IF(OFFSET($A45,0,31*($A$4)+DAY(VLOOKUP(NM$5,Sprints[],2,FALSE)),1,VLOOKUP(NM$5,Sprints[],4,FALSE))=$OB$12,0.5,1)*(OFFSET($A$3,0,31*($A$4)+DAY(VLOOKUP(NM$5,Sprints[],2,FALSE)),1,VLOOKUP(NM$5,Sprints[],4,FALSE)))))</f>
        <v>0</v>
      </c>
      <c r="NN45" s="52">
        <f t="array" aca="1" ref="NN45" ca="1">SUMPRODUCT((OFFSET($A45,0,31*($A$4)+DAY(VLOOKUP(NN$5,Sprints[],2,FALSE)),1,VLOOKUP(NN$5,Sprints[],4,FALSE))&lt;&gt;"")*(IF(OFFSET($A45,0,31*($A$4)+DAY(VLOOKUP(NN$5,Sprints[],2,FALSE)),1,VLOOKUP(NN$5,Sprints[],4,FALSE))=$OB$12,0.5,1)*(OFFSET($A$3,0,31*($A$4)+DAY(VLOOKUP(NN$5,Sprints[],2,FALSE)),1,VLOOKUP(NN$5,Sprints[],4,FALSE)))))</f>
        <v>0</v>
      </c>
      <c r="NO45" s="52">
        <f t="array" aca="1" ref="NO45" ca="1">SUMPRODUCT((OFFSET($A45,0,31*($A$4)+DAY(VLOOKUP(NO$5,Sprints[],2,FALSE)),1,VLOOKUP(NO$5,Sprints[],4,FALSE))&lt;&gt;"")*(IF(OFFSET($A45,0,31*($A$4)+DAY(VLOOKUP(NO$5,Sprints[],2,FALSE)),1,VLOOKUP(NO$5,Sprints[],4,FALSE))=$OB$12,0.5,1)*(OFFSET($A$3,0,31*($A$4)+DAY(VLOOKUP(NO$5,Sprints[],2,FALSE)),1,VLOOKUP(NO$5,Sprints[],4,FALSE)))))</f>
        <v>0</v>
      </c>
      <c r="NP45" s="52">
        <f t="array" aca="1" ref="NP45" ca="1">SUMPRODUCT((OFFSET($A45,0,31*(VLOOKUP(NP$5,Sprints[],5,FALSE))+DAY(VLOOKUP(NP$5,Sprints[],2,FALSE)),1,VLOOKUP(NP$5,Sprints[],4,FALSE))&lt;&gt;"")*(IF(OFFSET($A45,0,31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45" s="52">
        <f t="array" aca="1" ref="NQ45" ca="1">SUMPRODUCT((OFFSET($A45,0,31*(VLOOKUP(NQ$5,Sprints[],5,FALSE))+DAY(VLOOKUP(NQ$5,Sprints[],2,FALSE)),1,VLOOKUP(NQ$5,Sprints[],4,FALSE))&lt;&gt;"")*(IF(OFFSET($A45,0,31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45" s="52">
        <f t="array" aca="1" ref="NR45" ca="1">SUMPRODUCT((OFFSET($A45,0,31*(VLOOKUP(NR$5,Sprints[],5,FALSE))+DAY(VLOOKUP(NR$5,Sprints[],2,FALSE)),1,VLOOKUP(NR$5,Sprints[],4,FALSE))&lt;&gt;"")*(IF(OFFSET($A45,0,31*(VLOOKUP(NR$5,Sprints[],5,FALSE))+DAY(VLOOKUP(NR$5,Sprints[],2,FALSE)),1,VLOOKUP(NR$5,Sprints[],4,FALSE))=$OB$12,0.5,1)*(OFFSET($A$3,0,31*(VLOOKUP(NR$5,Sprints[],5,FALSE))+DAY(VLOOKUP(NR$5,Sprints[],2,FALSE)),1,VLOOKUP(NR$5,Sprints[],4,FALSE)))))</f>
        <v>2</v>
      </c>
      <c r="NS45" s="52">
        <f t="array" aca="1" ref="NS45" ca="1">SUMPRODUCT((OFFSET($A45,0,31*(VLOOKUP(NS$5,Sprints[],5,FALSE))+DAY(VLOOKUP(NS$5,Sprints[],2,FALSE)),1,VLOOKUP(NS$5,Sprints[],4,FALSE))&lt;&gt;"")*(IF(OFFSET($A45,0,31*(VLOOKUP(NS$5,Sprints[],5,FALSE))+DAY(VLOOKUP(NS$5,Sprints[],2,FALSE)),1,VLOOKUP(NS$5,Sprints[],4,FALSE))=$OB$12,0.5,1)*(OFFSET($A$3,0,31*(VLOOKUP(NS$5,Sprints[],5,FALSE))+DAY(VLOOKUP(NS$5,Sprints[],2,FALSE)),1,VLOOKUP(NS$5,Sprints[],4,FALSE)))))</f>
        <v>1</v>
      </c>
      <c r="NT45" s="52">
        <f t="array" aca="1" ref="NT45" ca="1">SUMPRODUCT((OFFSET($A45,0,31*(VLOOKUP(NT$5,Sprints[],5,FALSE))+DAY(VLOOKUP(NT$5,Sprints[],2,FALSE)),1,VLOOKUP(NT$5,Sprints[],4,FALSE))&lt;&gt;"")*(IF(OFFSET($A45,0,31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45" s="52">
        <f t="array" aca="1" ref="NU45" ca="1">SUMPRODUCT((OFFSET($A45,0,31*(VLOOKUP(NU$5,Sprints[],5,FALSE))+DAY(VLOOKUP(NU$5,Sprints[],2,FALSE)),1,VLOOKUP(NU$5,Sprints[],4,FALSE))&lt;&gt;"")*(IF(OFFSET($A45,0,31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45" s="52">
        <f t="array" aca="1" ref="NV45" ca="1">SUMPRODUCT((OFFSET($A45,0,31*(VLOOKUP(NV$5,Sprints[],5,FALSE))+DAY(VLOOKUP(NV$5,Sprints[],2,FALSE)),1,VLOOKUP(NV$5,Sprints[],4,FALSE))&lt;&gt;"")*(IF(OFFSET($A45,0,31*(VLOOKUP(NV$5,Sprints[],5,FALSE))+DAY(VLOOKUP(NV$5,Sprints[],2,FALSE)),1,VLOOKUP(NV$5,Sprints[],4,FALSE))=$OB$12,0.5,1)*(OFFSET($A$3,0,31*(VLOOKUP(NV$5,Sprints[],5,FALSE))+DAY(VLOOKUP(NV$5,Sprints[],2,FALSE)),1,VLOOKUP(NV$5,Sprints[],4,FALSE)))))</f>
        <v>0</v>
      </c>
      <c r="NW45" s="52">
        <f t="array" aca="1" ref="NW45" ca="1">SUMPRODUCT((OFFSET($A45,0,31*(VLOOKUP(NW$5,Sprints[],5,FALSE))+DAY(VLOOKUP(NW$5,Sprints[],2,FALSE)),1,VLOOKUP(NW$5,Sprints[],4,FALSE))&lt;&gt;"")*(IF(OFFSET($A45,0,31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45" s="52">
        <f t="array" aca="1" ref="NX45" ca="1">SUMPRODUCT((OFFSET($A45,0,31*(VLOOKUP(NX$5,Sprints[],5,FALSE))+DAY(VLOOKUP(NX$5,Sprints[],2,FALSE)),1,VLOOKUP(NX$5,Sprints[],4,FALSE))&lt;&gt;"")*(IF(OFFSET($A45,0,31*(VLOOKUP(NX$5,Sprints[],5,FALSE))+DAY(VLOOKUP(NX$5,Sprints[],2,FALSE)),1,VLOOKUP(NX$5,Sprints[],4,FALSE))=$OB$12,0.5,1)*(OFFSET($A$3,0,31*(VLOOKUP(NX$5,Sprints[],5,FALSE))+DAY(VLOOKUP(NX$5,Sprints[],2,FALSE)),1,VLOOKUP(NX$5,Sprints[],4,FALSE)))))</f>
        <v>1</v>
      </c>
      <c r="NY45" s="52">
        <f t="array" aca="1" ref="NY45" ca="1">SUMPRODUCT((OFFSET($A45,0,31*(VLOOKUP(NY$5,Sprints[],5,FALSE))+DAY(VLOOKUP(NY$5,Sprints[],2,FALSE)),1,VLOOKUP(NY$5,Sprints[],4,FALSE))&lt;&gt;"")*(IF(OFFSET($A45,0,31*(VLOOKUP(NY$5,Sprints[],5,FALSE))+DAY(VLOOKUP(NY$5,Sprints[],2,FALSE)),1,VLOOKUP(NY$5,Sprints[],4,FALSE))=$OB$12,0.5,1)*(OFFSET($A$3,0,31*(VLOOKUP(NY$5,Sprints[],5,FALSE))+DAY(VLOOKUP(NY$5,Sprints[],2,FALSE)),1,VLOOKUP(NY$5,Sprints[],4,FALSE)))))</f>
        <v>5</v>
      </c>
    </row>
    <row r="46" spans="1:389" x14ac:dyDescent="0.45">
      <c r="A46" s="44" t="s">
        <v>96</v>
      </c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36"/>
      <c r="R46" s="36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36"/>
      <c r="AF46" s="2"/>
      <c r="AG46" s="36"/>
      <c r="AH46" s="2"/>
      <c r="AI46" s="2"/>
      <c r="AJ46" s="2"/>
      <c r="AK46" s="2"/>
      <c r="AL46" s="2"/>
      <c r="AM46" s="2" t="s">
        <v>35</v>
      </c>
      <c r="AN46" s="2"/>
      <c r="AO46" s="36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 t="s">
        <v>35</v>
      </c>
      <c r="CK46" s="2"/>
      <c r="CL46" s="2"/>
      <c r="CM46" s="2"/>
      <c r="CN46" s="2"/>
      <c r="CO46" s="2"/>
      <c r="CP46" s="2"/>
      <c r="CQ46" s="2" t="s">
        <v>35</v>
      </c>
      <c r="CR46" s="2"/>
      <c r="CS46" s="2"/>
      <c r="CT46" s="2"/>
      <c r="CU46" s="2"/>
      <c r="CV46" s="2"/>
      <c r="CW46" s="2" t="s">
        <v>35</v>
      </c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2"/>
      <c r="EE46" s="2"/>
      <c r="EF46" s="2"/>
      <c r="EG46" s="2"/>
      <c r="EH46" s="2"/>
      <c r="EI46" s="2"/>
      <c r="EJ46" s="2"/>
      <c r="EK46" s="2"/>
      <c r="EL46" s="2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  <c r="EZ46" s="2"/>
      <c r="FA46" s="2"/>
      <c r="FB46" s="2"/>
      <c r="FC46" s="2"/>
      <c r="FD46" s="2"/>
      <c r="FE46" s="2"/>
      <c r="FF46" s="2"/>
      <c r="FG46" s="2"/>
      <c r="FH46" s="2" t="s">
        <v>35</v>
      </c>
      <c r="FI46" s="2"/>
      <c r="FJ46" s="2"/>
      <c r="FK46" s="2"/>
      <c r="FL46" s="2"/>
      <c r="FM46" s="2"/>
      <c r="FN46" s="2"/>
      <c r="FO46" s="2"/>
      <c r="FP46" s="2"/>
      <c r="FQ46" s="2"/>
      <c r="FR46" s="2"/>
      <c r="FS46" s="2"/>
      <c r="FT46" s="2"/>
      <c r="FU46" s="2"/>
      <c r="FV46" s="2"/>
      <c r="FW46" s="2"/>
      <c r="FX46" s="2"/>
      <c r="FY46" s="2"/>
      <c r="FZ46" s="2"/>
      <c r="GA46" s="2"/>
      <c r="GB46" s="2"/>
      <c r="GC46" s="2"/>
      <c r="GD46" s="2"/>
      <c r="GE46" s="2"/>
      <c r="GF46" s="2"/>
      <c r="GG46" s="2"/>
      <c r="GH46" s="2"/>
      <c r="GI46" s="2"/>
      <c r="GJ46" s="2"/>
      <c r="GK46" s="2"/>
      <c r="GL46" s="2"/>
      <c r="GM46" s="2"/>
      <c r="GN46" s="2"/>
      <c r="GO46" s="2"/>
      <c r="GP46" s="2"/>
      <c r="GQ46" s="2"/>
      <c r="GR46" s="2"/>
      <c r="GS46" s="2"/>
      <c r="GT46" s="2"/>
      <c r="GU46" s="2"/>
      <c r="GV46" s="2"/>
      <c r="GW46" s="2"/>
      <c r="GX46" s="2"/>
      <c r="GY46" s="2"/>
      <c r="GZ46" s="2"/>
      <c r="HA46" s="2"/>
      <c r="HB46" s="2"/>
      <c r="HC46" s="2"/>
      <c r="HD46" s="2"/>
      <c r="HE46" s="2"/>
      <c r="HF46" s="2"/>
      <c r="HG46" s="2"/>
      <c r="HH46" s="2"/>
      <c r="HI46" s="2"/>
      <c r="HJ46" s="2"/>
      <c r="HK46" s="2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  <c r="HY46" s="2"/>
      <c r="HZ46" s="2"/>
      <c r="IA46" s="2"/>
      <c r="IB46" s="2"/>
      <c r="IC46" s="2"/>
      <c r="ID46" s="2"/>
      <c r="IE46" s="2"/>
      <c r="IF46" s="2"/>
      <c r="IG46" s="2"/>
      <c r="IH46" s="2"/>
      <c r="II46" s="2"/>
      <c r="IJ46" s="2"/>
      <c r="IK46" s="2"/>
      <c r="IL46" s="2"/>
      <c r="IM46" s="2"/>
      <c r="IN46" s="2"/>
      <c r="IO46" s="2"/>
      <c r="IP46" s="2"/>
      <c r="IQ46" s="2"/>
      <c r="IR46" s="2"/>
      <c r="IS46" s="2"/>
      <c r="IT46" s="2"/>
      <c r="IU46" s="2"/>
      <c r="IV46" s="2"/>
      <c r="IW46" s="2"/>
      <c r="IX46" s="2"/>
      <c r="IY46" s="2"/>
      <c r="IZ46" s="2"/>
      <c r="JA46" s="2"/>
      <c r="JB46" s="2"/>
      <c r="JC46" s="2"/>
      <c r="JD46" s="2"/>
      <c r="JE46" s="2"/>
      <c r="JF46" s="2"/>
      <c r="JG46" s="2"/>
      <c r="JH46" s="2"/>
      <c r="JI46" s="2"/>
      <c r="JJ46" s="2"/>
      <c r="JK46" s="2"/>
      <c r="JL46" s="2"/>
      <c r="JM46" s="2"/>
      <c r="JN46" s="2"/>
      <c r="JO46" s="2"/>
      <c r="JP46" s="2"/>
      <c r="JQ46" s="2"/>
      <c r="JR46" s="2"/>
      <c r="JS46" s="2"/>
      <c r="JT46" s="2"/>
      <c r="JU46" s="2"/>
      <c r="JV46" s="2"/>
      <c r="JW46" s="2"/>
      <c r="JX46" s="2"/>
      <c r="JY46" s="2"/>
      <c r="JZ46" s="2"/>
      <c r="KA46" s="2"/>
      <c r="KB46" s="2"/>
      <c r="KC46" s="2"/>
      <c r="KD46" s="2"/>
      <c r="KE46" s="2"/>
      <c r="KF46" s="2"/>
      <c r="KG46" s="2"/>
      <c r="KH46" s="2"/>
      <c r="KI46" s="2"/>
      <c r="KJ46" s="2"/>
      <c r="KK46" s="2"/>
      <c r="KL46" s="2"/>
      <c r="KM46" s="2"/>
      <c r="KN46" s="2"/>
      <c r="KO46" s="2"/>
      <c r="KP46" s="2"/>
      <c r="KQ46" s="2"/>
      <c r="KR46" s="2"/>
      <c r="KS46" s="2"/>
      <c r="KT46" s="2"/>
      <c r="KU46" s="2"/>
      <c r="KV46" s="2"/>
      <c r="KW46" s="2"/>
      <c r="KX46" s="2"/>
      <c r="KY46" s="2"/>
      <c r="KZ46" s="2"/>
      <c r="LA46" s="2"/>
      <c r="LB46" s="2"/>
      <c r="LC46" s="2"/>
      <c r="LD46" s="2"/>
      <c r="LE46" s="2"/>
      <c r="LF46" s="2"/>
      <c r="LG46" s="2"/>
      <c r="LH46" s="2"/>
      <c r="LI46" s="2"/>
      <c r="LJ46" s="2"/>
      <c r="LK46" s="2"/>
      <c r="LL46" s="2"/>
      <c r="LM46" s="2"/>
      <c r="LN46" s="2"/>
      <c r="LO46" s="2"/>
      <c r="LP46" s="2"/>
      <c r="LQ46" s="2"/>
      <c r="LR46" s="2"/>
      <c r="LS46" s="2"/>
      <c r="LT46" s="2"/>
      <c r="LU46" s="2"/>
      <c r="LV46" s="2"/>
      <c r="LW46" s="2"/>
      <c r="LX46" s="2"/>
      <c r="LY46" s="2"/>
      <c r="LZ46" s="2"/>
      <c r="MA46" s="2"/>
      <c r="MB46" s="2"/>
      <c r="MC46" s="2"/>
      <c r="MD46" s="2"/>
      <c r="ME46" s="2"/>
      <c r="MF46" s="2"/>
      <c r="MG46" s="2"/>
      <c r="MH46" s="2"/>
      <c r="MI46" s="2"/>
      <c r="MJ46" s="2"/>
      <c r="MK46" s="2"/>
      <c r="ML46" s="2"/>
      <c r="MM46" s="2"/>
      <c r="MN46" s="2"/>
      <c r="MO46" s="2"/>
      <c r="MP46" s="2"/>
      <c r="MQ46" s="2"/>
      <c r="MR46" s="2"/>
      <c r="MS46" s="2"/>
      <c r="MT46" s="2"/>
      <c r="MU46" s="2"/>
      <c r="MV46" s="2"/>
      <c r="MW46" s="2"/>
      <c r="MX46" s="2"/>
      <c r="MY46" s="2"/>
      <c r="MZ46" s="2"/>
      <c r="NA46" s="2"/>
      <c r="NB46" s="2"/>
      <c r="NC46" s="2"/>
      <c r="ND46" s="2"/>
      <c r="NE46" s="2"/>
      <c r="NF46" s="2"/>
      <c r="NG46" s="2"/>
      <c r="NH46" s="2"/>
      <c r="NI46" s="2"/>
      <c r="NJ46" s="14">
        <f t="array" aca="1" ref="NJ46" ca="1">SUMPRODUCT((OFFSET($A46,0,31*($A$3-1)+1,1,31)&lt;&gt;"")*(IF(OFFSET($A46,0,31*($A$3-1)+1,1,31)=$OB$12,0.5,1)*(OFFSET($A$4,0,31*($A$3-1)+1,1,31))))</f>
        <v>0</v>
      </c>
      <c r="NK46" s="20">
        <f t="array" aca="1" ref="NK46" ca="1">SUMPRODUCT((OFFSET($A46,0,1,1,372)&lt;&gt;"")*(IF(OFFSET($A46,0,1,1,372)=$OB$12,0.5,1)*(OFFSET($A$3,0,1,1,372))))</f>
        <v>5</v>
      </c>
      <c r="NL46" s="28">
        <f t="array" aca="1" ref="NL46" ca="1">SUMPRODUCT((OFFSET($A46,0,31*($A$4)+DAY(Holidays!$E$2),1,Holidays!$G$2)&lt;&gt;"")*(IF(OFFSET($A46,0,31*($A$4)+DAY(Holidays!$E$2),1,Holidays!$G$2)=$OB$12,0.5,1)*(OFFSET($A$3,0,31*($A$4)+DAY(Holidays!$E$2),1,Holidays!$G$2))))</f>
        <v>5</v>
      </c>
      <c r="NM46" s="52">
        <f t="array" aca="1" ref="NM46" ca="1">SUMPRODUCT((OFFSET($A46,0,31*($A$4)+DAY(VLOOKUP(NM$5,Sprints[],2,FALSE)),1,VLOOKUP(NM$5,Sprints[],4,FALSE))&lt;&gt;"")*(IF(OFFSET($A46,0,31*($A$4)+DAY(VLOOKUP(NM$5,Sprints[],2,FALSE)),1,VLOOKUP(NM$5,Sprints[],4,FALSE))=$OB$12,0.5,1)*(OFFSET($A$3,0,31*($A$4)+DAY(VLOOKUP(NM$5,Sprints[],2,FALSE)),1,VLOOKUP(NM$5,Sprints[],4,FALSE)))))</f>
        <v>0</v>
      </c>
      <c r="NN46" s="52">
        <f t="array" aca="1" ref="NN46" ca="1">SUMPRODUCT((OFFSET($A46,0,31*($A$4)+DAY(VLOOKUP(NN$5,Sprints[],2,FALSE)),1,VLOOKUP(NN$5,Sprints[],4,FALSE))&lt;&gt;"")*(IF(OFFSET($A46,0,31*($A$4)+DAY(VLOOKUP(NN$5,Sprints[],2,FALSE)),1,VLOOKUP(NN$5,Sprints[],4,FALSE))=$OB$12,0.5,1)*(OFFSET($A$3,0,31*($A$4)+DAY(VLOOKUP(NN$5,Sprints[],2,FALSE)),1,VLOOKUP(NN$5,Sprints[],4,FALSE)))))</f>
        <v>0</v>
      </c>
      <c r="NO46" s="52">
        <f t="array" aca="1" ref="NO46" ca="1">SUMPRODUCT((OFFSET($A46,0,31*($A$4)+DAY(VLOOKUP(NO$5,Sprints[],2,FALSE)),1,VLOOKUP(NO$5,Sprints[],4,FALSE))&lt;&gt;"")*(IF(OFFSET($A46,0,31*($A$4)+DAY(VLOOKUP(NO$5,Sprints[],2,FALSE)),1,VLOOKUP(NO$5,Sprints[],4,FALSE))=$OB$12,0.5,1)*(OFFSET($A$3,0,31*($A$4)+DAY(VLOOKUP(NO$5,Sprints[],2,FALSE)),1,VLOOKUP(NO$5,Sprints[],4,FALSE)))))</f>
        <v>0</v>
      </c>
      <c r="NP46" s="52">
        <f t="array" aca="1" ref="NP46" ca="1">SUMPRODUCT((OFFSET($A46,0,31*(VLOOKUP(NP$5,Sprints[],5,FALSE))+DAY(VLOOKUP(NP$5,Sprints[],2,FALSE)),1,VLOOKUP(NP$5,Sprints[],4,FALSE))&lt;&gt;"")*(IF(OFFSET($A46,0,31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46" s="52">
        <f t="array" aca="1" ref="NQ46" ca="1">SUMPRODUCT((OFFSET($A46,0,31*(VLOOKUP(NQ$5,Sprints[],5,FALSE))+DAY(VLOOKUP(NQ$5,Sprints[],2,FALSE)),1,VLOOKUP(NQ$5,Sprints[],4,FALSE))&lt;&gt;"")*(IF(OFFSET($A46,0,31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46" s="52">
        <f t="array" aca="1" ref="NR46" ca="1">SUMPRODUCT((OFFSET($A46,0,31*(VLOOKUP(NR$5,Sprints[],5,FALSE))+DAY(VLOOKUP(NR$5,Sprints[],2,FALSE)),1,VLOOKUP(NR$5,Sprints[],4,FALSE))&lt;&gt;"")*(IF(OFFSET($A46,0,31*(VLOOKUP(NR$5,Sprints[],5,FALSE))+DAY(VLOOKUP(NR$5,Sprints[],2,FALSE)),1,VLOOKUP(NR$5,Sprints[],4,FALSE))=$OB$12,0.5,1)*(OFFSET($A$3,0,31*(VLOOKUP(NR$5,Sprints[],5,FALSE))+DAY(VLOOKUP(NR$5,Sprints[],2,FALSE)),1,VLOOKUP(NR$5,Sprints[],4,FALSE)))))</f>
        <v>2</v>
      </c>
      <c r="NS46" s="52">
        <f t="array" aca="1" ref="NS46" ca="1">SUMPRODUCT((OFFSET($A46,0,31*(VLOOKUP(NS$5,Sprints[],5,FALSE))+DAY(VLOOKUP(NS$5,Sprints[],2,FALSE)),1,VLOOKUP(NS$5,Sprints[],4,FALSE))&lt;&gt;"")*(IF(OFFSET($A46,0,31*(VLOOKUP(NS$5,Sprints[],5,FALSE))+DAY(VLOOKUP(NS$5,Sprints[],2,FALSE)),1,VLOOKUP(NS$5,Sprints[],4,FALSE))=$OB$12,0.5,1)*(OFFSET($A$3,0,31*(VLOOKUP(NS$5,Sprints[],5,FALSE))+DAY(VLOOKUP(NS$5,Sprints[],2,FALSE)),1,VLOOKUP(NS$5,Sprints[],4,FALSE)))))</f>
        <v>1</v>
      </c>
      <c r="NT46" s="52">
        <f t="array" aca="1" ref="NT46" ca="1">SUMPRODUCT((OFFSET($A46,0,31*(VLOOKUP(NT$5,Sprints[],5,FALSE))+DAY(VLOOKUP(NT$5,Sprints[],2,FALSE)),1,VLOOKUP(NT$5,Sprints[],4,FALSE))&lt;&gt;"")*(IF(OFFSET($A46,0,31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46" s="52">
        <f t="array" aca="1" ref="NU46" ca="1">SUMPRODUCT((OFFSET($A46,0,31*(VLOOKUP(NU$5,Sprints[],5,FALSE))+DAY(VLOOKUP(NU$5,Sprints[],2,FALSE)),1,VLOOKUP(NU$5,Sprints[],4,FALSE))&lt;&gt;"")*(IF(OFFSET($A46,0,31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46" s="52">
        <f t="array" aca="1" ref="NV46" ca="1">SUMPRODUCT((OFFSET($A46,0,31*(VLOOKUP(NV$5,Sprints[],5,FALSE))+DAY(VLOOKUP(NV$5,Sprints[],2,FALSE)),1,VLOOKUP(NV$5,Sprints[],4,FALSE))&lt;&gt;"")*(IF(OFFSET($A46,0,31*(VLOOKUP(NV$5,Sprints[],5,FALSE))+DAY(VLOOKUP(NV$5,Sprints[],2,FALSE)),1,VLOOKUP(NV$5,Sprints[],4,FALSE))=$OB$12,0.5,1)*(OFFSET($A$3,0,31*(VLOOKUP(NV$5,Sprints[],5,FALSE))+DAY(VLOOKUP(NV$5,Sprints[],2,FALSE)),1,VLOOKUP(NV$5,Sprints[],4,FALSE)))))</f>
        <v>0</v>
      </c>
      <c r="NW46" s="52">
        <f t="array" aca="1" ref="NW46" ca="1">SUMPRODUCT((OFFSET($A46,0,31*(VLOOKUP(NW$5,Sprints[],5,FALSE))+DAY(VLOOKUP(NW$5,Sprints[],2,FALSE)),1,VLOOKUP(NW$5,Sprints[],4,FALSE))&lt;&gt;"")*(IF(OFFSET($A46,0,31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46" s="52">
        <f t="array" aca="1" ref="NX46" ca="1">SUMPRODUCT((OFFSET($A46,0,31*(VLOOKUP(NX$5,Sprints[],5,FALSE))+DAY(VLOOKUP(NX$5,Sprints[],2,FALSE)),1,VLOOKUP(NX$5,Sprints[],4,FALSE))&lt;&gt;"")*(IF(OFFSET($A46,0,31*(VLOOKUP(NX$5,Sprints[],5,FALSE))+DAY(VLOOKUP(NX$5,Sprints[],2,FALSE)),1,VLOOKUP(NX$5,Sprints[],4,FALSE))=$OB$12,0.5,1)*(OFFSET($A$3,0,31*(VLOOKUP(NX$5,Sprints[],5,FALSE))+DAY(VLOOKUP(NX$5,Sprints[],2,FALSE)),1,VLOOKUP(NX$5,Sprints[],4,FALSE)))))</f>
        <v>1</v>
      </c>
      <c r="NY46" s="52">
        <f t="array" aca="1" ref="NY46" ca="1">SUMPRODUCT((OFFSET($A46,0,31*(VLOOKUP(NY$5,Sprints[],5,FALSE))+DAY(VLOOKUP(NY$5,Sprints[],2,FALSE)),1,VLOOKUP(NY$5,Sprints[],4,FALSE))&lt;&gt;"")*(IF(OFFSET($A46,0,31*(VLOOKUP(NY$5,Sprints[],5,FALSE))+DAY(VLOOKUP(NY$5,Sprints[],2,FALSE)),1,VLOOKUP(NY$5,Sprints[],4,FALSE))=$OB$12,0.5,1)*(OFFSET($A$3,0,31*(VLOOKUP(NY$5,Sprints[],5,FALSE))+DAY(VLOOKUP(NY$5,Sprints[],2,FALSE)),1,VLOOKUP(NY$5,Sprints[],4,FALSE)))))</f>
        <v>5</v>
      </c>
    </row>
    <row r="47" spans="1:389" x14ac:dyDescent="0.45">
      <c r="A47" s="44" t="s">
        <v>138</v>
      </c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36"/>
      <c r="R47" s="36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36"/>
      <c r="AF47" s="2"/>
      <c r="AG47" s="36"/>
      <c r="AH47" s="2"/>
      <c r="AI47" s="2"/>
      <c r="AJ47" s="2"/>
      <c r="AK47" s="2"/>
      <c r="AL47" s="2"/>
      <c r="AM47" s="2" t="s">
        <v>35</v>
      </c>
      <c r="AN47" s="2"/>
      <c r="AO47" s="36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 t="s">
        <v>35</v>
      </c>
      <c r="CK47" s="2"/>
      <c r="CL47" s="2"/>
      <c r="CM47" s="2"/>
      <c r="CN47" s="2"/>
      <c r="CO47" s="2"/>
      <c r="CP47" s="2"/>
      <c r="CQ47" s="2" t="s">
        <v>35</v>
      </c>
      <c r="CR47" s="2"/>
      <c r="CS47" s="2"/>
      <c r="CT47" s="2"/>
      <c r="CU47" s="2"/>
      <c r="CV47" s="2"/>
      <c r="CW47" s="2" t="s">
        <v>35</v>
      </c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2"/>
      <c r="EE47" s="2"/>
      <c r="EF47" s="2"/>
      <c r="EG47" s="2"/>
      <c r="EH47" s="2"/>
      <c r="EI47" s="2"/>
      <c r="EJ47" s="2"/>
      <c r="EK47" s="2"/>
      <c r="EL47" s="2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  <c r="EZ47" s="2"/>
      <c r="FA47" s="2"/>
      <c r="FB47" s="2"/>
      <c r="FC47" s="2"/>
      <c r="FD47" s="2"/>
      <c r="FE47" s="2"/>
      <c r="FF47" s="2"/>
      <c r="FG47" s="2"/>
      <c r="FH47" s="2" t="s">
        <v>35</v>
      </c>
      <c r="FI47" s="2"/>
      <c r="FJ47" s="2"/>
      <c r="FK47" s="2"/>
      <c r="FL47" s="2"/>
      <c r="FM47" s="2"/>
      <c r="FN47" s="2"/>
      <c r="FO47" s="2"/>
      <c r="FP47" s="2"/>
      <c r="FQ47" s="2"/>
      <c r="FR47" s="2"/>
      <c r="FS47" s="2"/>
      <c r="FT47" s="2"/>
      <c r="FU47" s="2"/>
      <c r="FV47" s="2"/>
      <c r="FW47" s="2"/>
      <c r="FX47" s="2"/>
      <c r="FY47" s="2"/>
      <c r="FZ47" s="2"/>
      <c r="GA47" s="2"/>
      <c r="GB47" s="2"/>
      <c r="GC47" s="2"/>
      <c r="GD47" s="2"/>
      <c r="GE47" s="2"/>
      <c r="GF47" s="2"/>
      <c r="GG47" s="2"/>
      <c r="GH47" s="2"/>
      <c r="GI47" s="2"/>
      <c r="GJ47" s="2"/>
      <c r="GK47" s="2"/>
      <c r="GL47" s="2"/>
      <c r="GM47" s="2"/>
      <c r="GN47" s="2"/>
      <c r="GO47" s="2"/>
      <c r="GP47" s="2"/>
      <c r="GQ47" s="2"/>
      <c r="GR47" s="2"/>
      <c r="GS47" s="2"/>
      <c r="GT47" s="2"/>
      <c r="GU47" s="2"/>
      <c r="GV47" s="2"/>
      <c r="GW47" s="2"/>
      <c r="GX47" s="2"/>
      <c r="GY47" s="2"/>
      <c r="GZ47" s="2"/>
      <c r="HA47" s="2"/>
      <c r="HB47" s="2"/>
      <c r="HC47" s="2"/>
      <c r="HD47" s="2"/>
      <c r="HE47" s="2"/>
      <c r="HF47" s="2"/>
      <c r="HG47" s="2"/>
      <c r="HH47" s="2"/>
      <c r="HI47" s="2"/>
      <c r="HJ47" s="2"/>
      <c r="HK47" s="2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  <c r="HY47" s="2"/>
      <c r="HZ47" s="2"/>
      <c r="IA47" s="2"/>
      <c r="IB47" s="2"/>
      <c r="IC47" s="2"/>
      <c r="ID47" s="2"/>
      <c r="IE47" s="2"/>
      <c r="IF47" s="2"/>
      <c r="IG47" s="2"/>
      <c r="IH47" s="2"/>
      <c r="II47" s="2"/>
      <c r="IJ47" s="2"/>
      <c r="IK47" s="2"/>
      <c r="IL47" s="2"/>
      <c r="IM47" s="2"/>
      <c r="IN47" s="2"/>
      <c r="IO47" s="2"/>
      <c r="IP47" s="2"/>
      <c r="IQ47" s="2"/>
      <c r="IR47" s="2"/>
      <c r="IS47" s="2"/>
      <c r="IT47" s="2"/>
      <c r="IU47" s="2"/>
      <c r="IV47" s="2"/>
      <c r="IW47" s="2"/>
      <c r="IX47" s="2"/>
      <c r="IY47" s="2"/>
      <c r="IZ47" s="2"/>
      <c r="JA47" s="2"/>
      <c r="JB47" s="2"/>
      <c r="JC47" s="2"/>
      <c r="JD47" s="2"/>
      <c r="JE47" s="2"/>
      <c r="JF47" s="2"/>
      <c r="JG47" s="2"/>
      <c r="JH47" s="2"/>
      <c r="JI47" s="2"/>
      <c r="JJ47" s="2"/>
      <c r="JK47" s="2"/>
      <c r="JL47" s="2"/>
      <c r="JM47" s="2"/>
      <c r="JN47" s="2"/>
      <c r="JO47" s="2"/>
      <c r="JP47" s="2"/>
      <c r="JQ47" s="2"/>
      <c r="JR47" s="2"/>
      <c r="JS47" s="2"/>
      <c r="JT47" s="2"/>
      <c r="JU47" s="2"/>
      <c r="JV47" s="2"/>
      <c r="JW47" s="2"/>
      <c r="JX47" s="2"/>
      <c r="JY47" s="2"/>
      <c r="JZ47" s="2"/>
      <c r="KA47" s="2"/>
      <c r="KB47" s="2"/>
      <c r="KC47" s="2"/>
      <c r="KD47" s="2"/>
      <c r="KE47" s="2"/>
      <c r="KF47" s="2"/>
      <c r="KG47" s="2"/>
      <c r="KH47" s="2"/>
      <c r="KI47" s="2"/>
      <c r="KJ47" s="2"/>
      <c r="KK47" s="2"/>
      <c r="KL47" s="2"/>
      <c r="KM47" s="2"/>
      <c r="KN47" s="2"/>
      <c r="KO47" s="2"/>
      <c r="KP47" s="2"/>
      <c r="KQ47" s="2"/>
      <c r="KR47" s="2"/>
      <c r="KS47" s="2"/>
      <c r="KT47" s="2"/>
      <c r="KU47" s="2"/>
      <c r="KV47" s="2"/>
      <c r="KW47" s="2"/>
      <c r="KX47" s="2"/>
      <c r="KY47" s="2"/>
      <c r="KZ47" s="2"/>
      <c r="LA47" s="2"/>
      <c r="LB47" s="2"/>
      <c r="LC47" s="2"/>
      <c r="LD47" s="2"/>
      <c r="LE47" s="2"/>
      <c r="LF47" s="2"/>
      <c r="LG47" s="2"/>
      <c r="LH47" s="2"/>
      <c r="LI47" s="2"/>
      <c r="LJ47" s="2"/>
      <c r="LK47" s="2"/>
      <c r="LL47" s="2"/>
      <c r="LM47" s="2"/>
      <c r="LN47" s="2"/>
      <c r="LO47" s="2"/>
      <c r="LP47" s="2"/>
      <c r="LQ47" s="2"/>
      <c r="LR47" s="2"/>
      <c r="LS47" s="2"/>
      <c r="LT47" s="2"/>
      <c r="LU47" s="2"/>
      <c r="LV47" s="2"/>
      <c r="LW47" s="2"/>
      <c r="LX47" s="2"/>
      <c r="LY47" s="2"/>
      <c r="LZ47" s="2"/>
      <c r="MA47" s="2"/>
      <c r="MB47" s="2"/>
      <c r="MC47" s="2"/>
      <c r="MD47" s="2"/>
      <c r="ME47" s="2"/>
      <c r="MF47" s="2"/>
      <c r="MG47" s="2"/>
      <c r="MH47" s="2"/>
      <c r="MI47" s="2"/>
      <c r="MJ47" s="2"/>
      <c r="MK47" s="2"/>
      <c r="ML47" s="2"/>
      <c r="MM47" s="2"/>
      <c r="MN47" s="2"/>
      <c r="MO47" s="2"/>
      <c r="MP47" s="2"/>
      <c r="MQ47" s="2"/>
      <c r="MR47" s="2"/>
      <c r="MS47" s="2"/>
      <c r="MT47" s="2"/>
      <c r="MU47" s="2"/>
      <c r="MV47" s="2"/>
      <c r="MW47" s="2"/>
      <c r="MX47" s="2"/>
      <c r="MY47" s="2"/>
      <c r="MZ47" s="2"/>
      <c r="NA47" s="2"/>
      <c r="NB47" s="2"/>
      <c r="NC47" s="2"/>
      <c r="ND47" s="2"/>
      <c r="NE47" s="2"/>
      <c r="NF47" s="2"/>
      <c r="NG47" s="2"/>
      <c r="NH47" s="2"/>
      <c r="NI47" s="2"/>
      <c r="NJ47" s="14">
        <f t="array" aca="1" ref="NJ47" ca="1">SUMPRODUCT((OFFSET($A47,0,31*($A$3-1)+1,1,31)&lt;&gt;"")*(IF(OFFSET($A47,0,31*($A$3-1)+1,1,31)=$OB$12,0.5,1)*(OFFSET($A$4,0,31*($A$3-1)+1,1,31))))</f>
        <v>0</v>
      </c>
      <c r="NK47" s="20">
        <f t="array" aca="1" ref="NK47" ca="1">SUMPRODUCT((OFFSET($A47,0,1,1,372)&lt;&gt;"")*(IF(OFFSET($A47,0,1,1,372)=$OB$12,0.5,1)*(OFFSET($A$3,0,1,1,372))))</f>
        <v>5</v>
      </c>
      <c r="NL47" s="28">
        <f t="array" aca="1" ref="NL47" ca="1">SUMPRODUCT((OFFSET($A47,0,31*($A$4)+DAY(Holidays!$E$2),1,Holidays!$G$2)&lt;&gt;"")*(IF(OFFSET($A47,0,31*($A$4)+DAY(Holidays!$E$2),1,Holidays!$G$2)=$OB$12,0.5,1)*(OFFSET($A$3,0,31*($A$4)+DAY(Holidays!$E$2),1,Holidays!$G$2))))</f>
        <v>5</v>
      </c>
      <c r="NM47" s="52">
        <f t="array" aca="1" ref="NM47" ca="1">SUMPRODUCT((OFFSET($A47,0,31*($A$4)+DAY(VLOOKUP(NM$5,Sprints[],2,FALSE)),1,VLOOKUP(NM$5,Sprints[],4,FALSE))&lt;&gt;"")*(IF(OFFSET($A47,0,31*($A$4)+DAY(VLOOKUP(NM$5,Sprints[],2,FALSE)),1,VLOOKUP(NM$5,Sprints[],4,FALSE))=$OB$12,0.5,1)*(OFFSET($A$3,0,31*($A$4)+DAY(VLOOKUP(NM$5,Sprints[],2,FALSE)),1,VLOOKUP(NM$5,Sprints[],4,FALSE)))))</f>
        <v>0</v>
      </c>
      <c r="NN47" s="52">
        <f t="array" aca="1" ref="NN47" ca="1">SUMPRODUCT((OFFSET($A47,0,31*($A$4)+DAY(VLOOKUP(NN$5,Sprints[],2,FALSE)),1,VLOOKUP(NN$5,Sprints[],4,FALSE))&lt;&gt;"")*(IF(OFFSET($A47,0,31*($A$4)+DAY(VLOOKUP(NN$5,Sprints[],2,FALSE)),1,VLOOKUP(NN$5,Sprints[],4,FALSE))=$OB$12,0.5,1)*(OFFSET($A$3,0,31*($A$4)+DAY(VLOOKUP(NN$5,Sprints[],2,FALSE)),1,VLOOKUP(NN$5,Sprints[],4,FALSE)))))</f>
        <v>0</v>
      </c>
      <c r="NO47" s="52">
        <f t="array" aca="1" ref="NO47" ca="1">SUMPRODUCT((OFFSET($A47,0,31*($A$4)+DAY(VLOOKUP(NO$5,Sprints[],2,FALSE)),1,VLOOKUP(NO$5,Sprints[],4,FALSE))&lt;&gt;"")*(IF(OFFSET($A47,0,31*($A$4)+DAY(VLOOKUP(NO$5,Sprints[],2,FALSE)),1,VLOOKUP(NO$5,Sprints[],4,FALSE))=$OB$12,0.5,1)*(OFFSET($A$3,0,31*($A$4)+DAY(VLOOKUP(NO$5,Sprints[],2,FALSE)),1,VLOOKUP(NO$5,Sprints[],4,FALSE)))))</f>
        <v>0</v>
      </c>
      <c r="NP47" s="52">
        <f t="array" aca="1" ref="NP47" ca="1">SUMPRODUCT((OFFSET($A47,0,31*(VLOOKUP(NP$5,Sprints[],5,FALSE))+DAY(VLOOKUP(NP$5,Sprints[],2,FALSE)),1,VLOOKUP(NP$5,Sprints[],4,FALSE))&lt;&gt;"")*(IF(OFFSET($A47,0,31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47" s="52">
        <f t="array" aca="1" ref="NQ47" ca="1">SUMPRODUCT((OFFSET($A47,0,31*(VLOOKUP(NQ$5,Sprints[],5,FALSE))+DAY(VLOOKUP(NQ$5,Sprints[],2,FALSE)),1,VLOOKUP(NQ$5,Sprints[],4,FALSE))&lt;&gt;"")*(IF(OFFSET($A47,0,31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47" s="52">
        <f t="array" aca="1" ref="NR47" ca="1">SUMPRODUCT((OFFSET($A47,0,31*(VLOOKUP(NR$5,Sprints[],5,FALSE))+DAY(VLOOKUP(NR$5,Sprints[],2,FALSE)),1,VLOOKUP(NR$5,Sprints[],4,FALSE))&lt;&gt;"")*(IF(OFFSET($A47,0,31*(VLOOKUP(NR$5,Sprints[],5,FALSE))+DAY(VLOOKUP(NR$5,Sprints[],2,FALSE)),1,VLOOKUP(NR$5,Sprints[],4,FALSE))=$OB$12,0.5,1)*(OFFSET($A$3,0,31*(VLOOKUP(NR$5,Sprints[],5,FALSE))+DAY(VLOOKUP(NR$5,Sprints[],2,FALSE)),1,VLOOKUP(NR$5,Sprints[],4,FALSE)))))</f>
        <v>2</v>
      </c>
      <c r="NS47" s="52">
        <f t="array" aca="1" ref="NS47" ca="1">SUMPRODUCT((OFFSET($A47,0,31*(VLOOKUP(NS$5,Sprints[],5,FALSE))+DAY(VLOOKUP(NS$5,Sprints[],2,FALSE)),1,VLOOKUP(NS$5,Sprints[],4,FALSE))&lt;&gt;"")*(IF(OFFSET($A47,0,31*(VLOOKUP(NS$5,Sprints[],5,FALSE))+DAY(VLOOKUP(NS$5,Sprints[],2,FALSE)),1,VLOOKUP(NS$5,Sprints[],4,FALSE))=$OB$12,0.5,1)*(OFFSET($A$3,0,31*(VLOOKUP(NS$5,Sprints[],5,FALSE))+DAY(VLOOKUP(NS$5,Sprints[],2,FALSE)),1,VLOOKUP(NS$5,Sprints[],4,FALSE)))))</f>
        <v>1</v>
      </c>
      <c r="NT47" s="52">
        <f t="array" aca="1" ref="NT47" ca="1">SUMPRODUCT((OFFSET($A47,0,31*(VLOOKUP(NT$5,Sprints[],5,FALSE))+DAY(VLOOKUP(NT$5,Sprints[],2,FALSE)),1,VLOOKUP(NT$5,Sprints[],4,FALSE))&lt;&gt;"")*(IF(OFFSET($A47,0,31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47" s="52">
        <f t="array" aca="1" ref="NU47" ca="1">SUMPRODUCT((OFFSET($A47,0,31*(VLOOKUP(NU$5,Sprints[],5,FALSE))+DAY(VLOOKUP(NU$5,Sprints[],2,FALSE)),1,VLOOKUP(NU$5,Sprints[],4,FALSE))&lt;&gt;"")*(IF(OFFSET($A47,0,31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47" s="52">
        <f t="array" aca="1" ref="NV47" ca="1">SUMPRODUCT((OFFSET($A47,0,31*(VLOOKUP(NV$5,Sprints[],5,FALSE))+DAY(VLOOKUP(NV$5,Sprints[],2,FALSE)),1,VLOOKUP(NV$5,Sprints[],4,FALSE))&lt;&gt;"")*(IF(OFFSET($A47,0,31*(VLOOKUP(NV$5,Sprints[],5,FALSE))+DAY(VLOOKUP(NV$5,Sprints[],2,FALSE)),1,VLOOKUP(NV$5,Sprints[],4,FALSE))=$OB$12,0.5,1)*(OFFSET($A$3,0,31*(VLOOKUP(NV$5,Sprints[],5,FALSE))+DAY(VLOOKUP(NV$5,Sprints[],2,FALSE)),1,VLOOKUP(NV$5,Sprints[],4,FALSE)))))</f>
        <v>0</v>
      </c>
      <c r="NW47" s="52">
        <f t="array" aca="1" ref="NW47" ca="1">SUMPRODUCT((OFFSET($A47,0,31*(VLOOKUP(NW$5,Sprints[],5,FALSE))+DAY(VLOOKUP(NW$5,Sprints[],2,FALSE)),1,VLOOKUP(NW$5,Sprints[],4,FALSE))&lt;&gt;"")*(IF(OFFSET($A47,0,31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47" s="52">
        <f t="array" aca="1" ref="NX47" ca="1">SUMPRODUCT((OFFSET($A47,0,31*(VLOOKUP(NX$5,Sprints[],5,FALSE))+DAY(VLOOKUP(NX$5,Sprints[],2,FALSE)),1,VLOOKUP(NX$5,Sprints[],4,FALSE))&lt;&gt;"")*(IF(OFFSET($A47,0,31*(VLOOKUP(NX$5,Sprints[],5,FALSE))+DAY(VLOOKUP(NX$5,Sprints[],2,FALSE)),1,VLOOKUP(NX$5,Sprints[],4,FALSE))=$OB$12,0.5,1)*(OFFSET($A$3,0,31*(VLOOKUP(NX$5,Sprints[],5,FALSE))+DAY(VLOOKUP(NX$5,Sprints[],2,FALSE)),1,VLOOKUP(NX$5,Sprints[],4,FALSE)))))</f>
        <v>1</v>
      </c>
      <c r="NY47" s="52">
        <f t="array" aca="1" ref="NY47" ca="1">SUMPRODUCT((OFFSET($A47,0,31*(VLOOKUP(NY$5,Sprints[],5,FALSE))+DAY(VLOOKUP(NY$5,Sprints[],2,FALSE)),1,VLOOKUP(NY$5,Sprints[],4,FALSE))&lt;&gt;"")*(IF(OFFSET($A47,0,31*(VLOOKUP(NY$5,Sprints[],5,FALSE))+DAY(VLOOKUP(NY$5,Sprints[],2,FALSE)),1,VLOOKUP(NY$5,Sprints[],4,FALSE))=$OB$12,0.5,1)*(OFFSET($A$3,0,31*(VLOOKUP(NY$5,Sprints[],5,FALSE))+DAY(VLOOKUP(NY$5,Sprints[],2,FALSE)),1,VLOOKUP(NY$5,Sprints[],4,FALSE)))))</f>
        <v>5</v>
      </c>
    </row>
    <row r="48" spans="1:389" s="45" customFormat="1" x14ac:dyDescent="0.45">
      <c r="A48" s="44" t="s">
        <v>95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36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36"/>
      <c r="AH48" s="2"/>
      <c r="AI48" s="2"/>
      <c r="AJ48" s="2"/>
      <c r="AK48" s="2"/>
      <c r="AL48" s="2"/>
      <c r="AM48" s="2" t="s">
        <v>35</v>
      </c>
      <c r="AN48" s="2"/>
      <c r="AO48" s="36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 t="s">
        <v>35</v>
      </c>
      <c r="CK48" s="2"/>
      <c r="CL48" s="2"/>
      <c r="CM48" s="2"/>
      <c r="CN48" s="2"/>
      <c r="CO48" s="2"/>
      <c r="CP48" s="2"/>
      <c r="CQ48" s="2" t="s">
        <v>35</v>
      </c>
      <c r="CR48" s="2"/>
      <c r="CS48" s="2"/>
      <c r="CT48" s="2"/>
      <c r="CU48" s="2"/>
      <c r="CV48" s="2"/>
      <c r="CW48" s="2" t="s">
        <v>35</v>
      </c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  <c r="EG48" s="2"/>
      <c r="EH48" s="2"/>
      <c r="EI48" s="2"/>
      <c r="EJ48" s="2"/>
      <c r="EK48" s="2"/>
      <c r="EL48" s="2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  <c r="EZ48" s="2"/>
      <c r="FA48" s="2"/>
      <c r="FB48" s="2"/>
      <c r="FC48" s="2"/>
      <c r="FD48" s="2"/>
      <c r="FE48" s="2"/>
      <c r="FF48" s="2"/>
      <c r="FG48" s="2"/>
      <c r="FH48" s="2" t="s">
        <v>35</v>
      </c>
      <c r="FI48" s="2"/>
      <c r="FJ48" s="2"/>
      <c r="FK48" s="2"/>
      <c r="FL48" s="2"/>
      <c r="FM48" s="2"/>
      <c r="FN48" s="2"/>
      <c r="FO48" s="2"/>
      <c r="FP48" s="2"/>
      <c r="FQ48" s="2"/>
      <c r="FR48" s="2"/>
      <c r="FS48" s="2"/>
      <c r="FT48" s="2"/>
      <c r="FU48" s="2"/>
      <c r="FV48" s="2"/>
      <c r="FW48" s="2"/>
      <c r="FX48" s="2"/>
      <c r="FY48" s="2"/>
      <c r="FZ48" s="2"/>
      <c r="GA48" s="2"/>
      <c r="GB48" s="2"/>
      <c r="GC48" s="2"/>
      <c r="GD48" s="2"/>
      <c r="GE48" s="2"/>
      <c r="GF48" s="2"/>
      <c r="GG48" s="2"/>
      <c r="GH48" s="2"/>
      <c r="GI48" s="2"/>
      <c r="GJ48" s="2"/>
      <c r="GK48" s="2"/>
      <c r="GL48" s="2"/>
      <c r="GM48" s="2"/>
      <c r="GN48" s="2"/>
      <c r="GO48" s="2"/>
      <c r="GP48" s="2"/>
      <c r="GQ48" s="2"/>
      <c r="GR48" s="2"/>
      <c r="GS48" s="2"/>
      <c r="GT48" s="2"/>
      <c r="GU48" s="2"/>
      <c r="GV48" s="2"/>
      <c r="GW48" s="2"/>
      <c r="GX48" s="2"/>
      <c r="GY48" s="2"/>
      <c r="GZ48" s="2"/>
      <c r="HA48" s="2"/>
      <c r="HB48" s="2"/>
      <c r="HC48" s="2"/>
      <c r="HD48" s="2"/>
      <c r="HE48" s="2"/>
      <c r="HF48" s="2"/>
      <c r="HG48" s="2"/>
      <c r="HH48" s="2"/>
      <c r="HI48" s="2"/>
      <c r="HJ48" s="2"/>
      <c r="HK48" s="2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  <c r="HY48" s="2"/>
      <c r="HZ48" s="2"/>
      <c r="IA48" s="2"/>
      <c r="IB48" s="2"/>
      <c r="IC48" s="2"/>
      <c r="ID48" s="2"/>
      <c r="IE48" s="2"/>
      <c r="IF48" s="2"/>
      <c r="IG48" s="2"/>
      <c r="IH48" s="2"/>
      <c r="II48" s="2"/>
      <c r="IJ48" s="2"/>
      <c r="IK48" s="2"/>
      <c r="IL48" s="2"/>
      <c r="IM48" s="2"/>
      <c r="IN48" s="2"/>
      <c r="IO48" s="2"/>
      <c r="IP48" s="2"/>
      <c r="IQ48" s="2"/>
      <c r="IR48" s="2"/>
      <c r="IS48" s="2"/>
      <c r="IT48" s="2"/>
      <c r="IU48" s="2"/>
      <c r="IV48" s="2"/>
      <c r="IW48" s="2"/>
      <c r="IX48" s="2"/>
      <c r="IY48" s="2"/>
      <c r="IZ48" s="2"/>
      <c r="JA48" s="2"/>
      <c r="JB48" s="2"/>
      <c r="JC48" s="2"/>
      <c r="JD48" s="2"/>
      <c r="JE48" s="2"/>
      <c r="JF48" s="2"/>
      <c r="JG48" s="2"/>
      <c r="JH48" s="2"/>
      <c r="JI48" s="2"/>
      <c r="JJ48" s="2"/>
      <c r="JK48" s="2"/>
      <c r="JL48" s="2"/>
      <c r="JM48" s="2"/>
      <c r="JN48" s="2"/>
      <c r="JO48" s="2"/>
      <c r="JP48" s="2"/>
      <c r="JQ48" s="2"/>
      <c r="JR48" s="2"/>
      <c r="JS48" s="2"/>
      <c r="JT48" s="2"/>
      <c r="JU48" s="2"/>
      <c r="JV48" s="2"/>
      <c r="JW48" s="2"/>
      <c r="JX48" s="2"/>
      <c r="JY48" s="2"/>
      <c r="JZ48" s="2"/>
      <c r="KA48" s="2"/>
      <c r="KB48" s="2"/>
      <c r="KC48" s="2"/>
      <c r="KD48" s="2"/>
      <c r="KE48" s="2"/>
      <c r="KF48" s="2"/>
      <c r="KG48" s="2"/>
      <c r="KH48" s="2"/>
      <c r="KI48" s="2"/>
      <c r="KJ48" s="2"/>
      <c r="KK48" s="2"/>
      <c r="KL48" s="2"/>
      <c r="KM48" s="2"/>
      <c r="KN48" s="2"/>
      <c r="KO48" s="2"/>
      <c r="KP48" s="2"/>
      <c r="KQ48" s="2"/>
      <c r="KR48" s="2"/>
      <c r="KS48" s="2"/>
      <c r="KT48" s="2"/>
      <c r="KU48" s="2"/>
      <c r="KV48" s="2"/>
      <c r="KW48" s="2"/>
      <c r="KX48" s="2"/>
      <c r="KY48" s="2"/>
      <c r="KZ48" s="2"/>
      <c r="LA48" s="2"/>
      <c r="LB48" s="2"/>
      <c r="LC48" s="2"/>
      <c r="LD48" s="2"/>
      <c r="LE48" s="2"/>
      <c r="LF48" s="2"/>
      <c r="LG48" s="2"/>
      <c r="LH48" s="2"/>
      <c r="LI48" s="2"/>
      <c r="LJ48" s="2"/>
      <c r="LK48" s="2"/>
      <c r="LL48" s="2"/>
      <c r="LM48" s="2"/>
      <c r="LN48" s="2"/>
      <c r="LO48" s="2"/>
      <c r="LP48" s="2"/>
      <c r="LQ48" s="2"/>
      <c r="LR48" s="2"/>
      <c r="LS48" s="2"/>
      <c r="LT48" s="2"/>
      <c r="LU48" s="2"/>
      <c r="LV48" s="2"/>
      <c r="LW48" s="2"/>
      <c r="LX48" s="2"/>
      <c r="LY48" s="2"/>
      <c r="LZ48" s="2"/>
      <c r="MA48" s="2"/>
      <c r="MB48" s="2"/>
      <c r="MC48" s="2"/>
      <c r="MD48" s="2"/>
      <c r="ME48" s="2"/>
      <c r="MF48" s="2"/>
      <c r="MG48" s="2"/>
      <c r="MH48" s="2"/>
      <c r="MI48" s="2"/>
      <c r="MJ48" s="2"/>
      <c r="MK48" s="2"/>
      <c r="ML48" s="2"/>
      <c r="MM48" s="2"/>
      <c r="MN48" s="2"/>
      <c r="MO48" s="2"/>
      <c r="MP48" s="2"/>
      <c r="MQ48" s="2"/>
      <c r="MR48" s="2"/>
      <c r="MS48" s="2"/>
      <c r="MT48" s="2"/>
      <c r="MU48" s="2"/>
      <c r="MV48" s="2"/>
      <c r="MW48" s="2"/>
      <c r="MX48" s="2"/>
      <c r="MY48" s="2"/>
      <c r="MZ48" s="2"/>
      <c r="NA48" s="2"/>
      <c r="NB48" s="2"/>
      <c r="NC48" s="2"/>
      <c r="ND48" s="2"/>
      <c r="NE48" s="2"/>
      <c r="NF48" s="2"/>
      <c r="NG48" s="2"/>
      <c r="NH48" s="2"/>
      <c r="NI48" s="2"/>
      <c r="NJ48" s="14">
        <f t="array" aca="1" ref="NJ48" ca="1">SUMPRODUCT((OFFSET($A48,0,31*($A$3-1)+1,1,31)&lt;&gt;"")*(IF(OFFSET($A48,0,31*($A$3-1)+1,1,31)=$OB$12,0.5,1)*(OFFSET($A$4,0,31*($A$3-1)+1,1,31))))</f>
        <v>0</v>
      </c>
      <c r="NK48" s="20">
        <f t="array" aca="1" ref="NK48" ca="1">SUMPRODUCT((OFFSET($A48,0,1,1,372)&lt;&gt;"")*(IF(OFFSET($A48,0,1,1,372)=$OB$12,0.5,1)*(OFFSET($A$3,0,1,1,372))))</f>
        <v>5</v>
      </c>
      <c r="NL48" s="28">
        <f t="array" aca="1" ref="NL48" ca="1">SUMPRODUCT((OFFSET($A48,0,31*($A$4)+DAY(Holidays!$E$2),1,Holidays!$G$2)&lt;&gt;"")*(IF(OFFSET($A48,0,31*($A$4)+DAY(Holidays!$E$2),1,Holidays!$G$2)=$OB$12,0.5,1)*(OFFSET($A$3,0,31*($A$4)+DAY(Holidays!$E$2),1,Holidays!$G$2))))</f>
        <v>5</v>
      </c>
      <c r="NM48" s="52">
        <f t="array" aca="1" ref="NM48" ca="1">SUMPRODUCT((OFFSET($A48,0,31*($A$4)+DAY(VLOOKUP(NM$5,Sprints[],2,FALSE)),1,VLOOKUP(NM$5,Sprints[],4,FALSE))&lt;&gt;"")*(IF(OFFSET($A48,0,31*($A$4)+DAY(VLOOKUP(NM$5,Sprints[],2,FALSE)),1,VLOOKUP(NM$5,Sprints[],4,FALSE))=$OB$12,0.5,1)*(OFFSET($A$3,0,31*($A$4)+DAY(VLOOKUP(NM$5,Sprints[],2,FALSE)),1,VLOOKUP(NM$5,Sprints[],4,FALSE)))))</f>
        <v>0</v>
      </c>
      <c r="NN48" s="52">
        <f t="array" aca="1" ref="NN48" ca="1">SUMPRODUCT((OFFSET($A48,0,31*($A$4)+DAY(VLOOKUP(NN$5,Sprints[],2,FALSE)),1,VLOOKUP(NN$5,Sprints[],4,FALSE))&lt;&gt;"")*(IF(OFFSET($A48,0,31*($A$4)+DAY(VLOOKUP(NN$5,Sprints[],2,FALSE)),1,VLOOKUP(NN$5,Sprints[],4,FALSE))=$OB$12,0.5,1)*(OFFSET($A$3,0,31*($A$4)+DAY(VLOOKUP(NN$5,Sprints[],2,FALSE)),1,VLOOKUP(NN$5,Sprints[],4,FALSE)))))</f>
        <v>0</v>
      </c>
      <c r="NO48" s="52">
        <f t="array" aca="1" ref="NO48" ca="1">SUMPRODUCT((OFFSET($A48,0,31*($A$4)+DAY(VLOOKUP(NO$5,Sprints[],2,FALSE)),1,VLOOKUP(NO$5,Sprints[],4,FALSE))&lt;&gt;"")*(IF(OFFSET($A48,0,31*($A$4)+DAY(VLOOKUP(NO$5,Sprints[],2,FALSE)),1,VLOOKUP(NO$5,Sprints[],4,FALSE))=$OB$12,0.5,1)*(OFFSET($A$3,0,31*($A$4)+DAY(VLOOKUP(NO$5,Sprints[],2,FALSE)),1,VLOOKUP(NO$5,Sprints[],4,FALSE)))))</f>
        <v>0</v>
      </c>
      <c r="NP48" s="52">
        <f t="array" aca="1" ref="NP48" ca="1">SUMPRODUCT((OFFSET($A48,0,31*(VLOOKUP(NP$5,Sprints[],5,FALSE))+DAY(VLOOKUP(NP$5,Sprints[],2,FALSE)),1,VLOOKUP(NP$5,Sprints[],4,FALSE))&lt;&gt;"")*(IF(OFFSET($A48,0,31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48" s="52">
        <f t="array" aca="1" ref="NQ48" ca="1">SUMPRODUCT((OFFSET($A48,0,31*(VLOOKUP(NQ$5,Sprints[],5,FALSE))+DAY(VLOOKUP(NQ$5,Sprints[],2,FALSE)),1,VLOOKUP(NQ$5,Sprints[],4,FALSE))&lt;&gt;"")*(IF(OFFSET($A48,0,31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48" s="52">
        <f t="array" aca="1" ref="NR48" ca="1">SUMPRODUCT((OFFSET($A48,0,31*(VLOOKUP(NR$5,Sprints[],5,FALSE))+DAY(VLOOKUP(NR$5,Sprints[],2,FALSE)),1,VLOOKUP(NR$5,Sprints[],4,FALSE))&lt;&gt;"")*(IF(OFFSET($A48,0,31*(VLOOKUP(NR$5,Sprints[],5,FALSE))+DAY(VLOOKUP(NR$5,Sprints[],2,FALSE)),1,VLOOKUP(NR$5,Sprints[],4,FALSE))=$OB$12,0.5,1)*(OFFSET($A$3,0,31*(VLOOKUP(NR$5,Sprints[],5,FALSE))+DAY(VLOOKUP(NR$5,Sprints[],2,FALSE)),1,VLOOKUP(NR$5,Sprints[],4,FALSE)))))</f>
        <v>2</v>
      </c>
      <c r="NS48" s="52">
        <f t="array" aca="1" ref="NS48" ca="1">SUMPRODUCT((OFFSET($A48,0,31*(VLOOKUP(NS$5,Sprints[],5,FALSE))+DAY(VLOOKUP(NS$5,Sprints[],2,FALSE)),1,VLOOKUP(NS$5,Sprints[],4,FALSE))&lt;&gt;"")*(IF(OFFSET($A48,0,31*(VLOOKUP(NS$5,Sprints[],5,FALSE))+DAY(VLOOKUP(NS$5,Sprints[],2,FALSE)),1,VLOOKUP(NS$5,Sprints[],4,FALSE))=$OB$12,0.5,1)*(OFFSET($A$3,0,31*(VLOOKUP(NS$5,Sprints[],5,FALSE))+DAY(VLOOKUP(NS$5,Sprints[],2,FALSE)),1,VLOOKUP(NS$5,Sprints[],4,FALSE)))))</f>
        <v>1</v>
      </c>
      <c r="NT48" s="52">
        <f t="array" aca="1" ref="NT48" ca="1">SUMPRODUCT((OFFSET($A48,0,31*(VLOOKUP(NT$5,Sprints[],5,FALSE))+DAY(VLOOKUP(NT$5,Sprints[],2,FALSE)),1,VLOOKUP(NT$5,Sprints[],4,FALSE))&lt;&gt;"")*(IF(OFFSET($A48,0,31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48" s="52">
        <f t="array" aca="1" ref="NU48" ca="1">SUMPRODUCT((OFFSET($A48,0,31*(VLOOKUP(NU$5,Sprints[],5,FALSE))+DAY(VLOOKUP(NU$5,Sprints[],2,FALSE)),1,VLOOKUP(NU$5,Sprints[],4,FALSE))&lt;&gt;"")*(IF(OFFSET($A48,0,31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48" s="52">
        <f t="array" aca="1" ref="NV48" ca="1">SUMPRODUCT((OFFSET($A48,0,31*(VLOOKUP(NV$5,Sprints[],5,FALSE))+DAY(VLOOKUP(NV$5,Sprints[],2,FALSE)),1,VLOOKUP(NV$5,Sprints[],4,FALSE))&lt;&gt;"")*(IF(OFFSET($A48,0,31*(VLOOKUP(NV$5,Sprints[],5,FALSE))+DAY(VLOOKUP(NV$5,Sprints[],2,FALSE)),1,VLOOKUP(NV$5,Sprints[],4,FALSE))=$OB$12,0.5,1)*(OFFSET($A$3,0,31*(VLOOKUP(NV$5,Sprints[],5,FALSE))+DAY(VLOOKUP(NV$5,Sprints[],2,FALSE)),1,VLOOKUP(NV$5,Sprints[],4,FALSE)))))</f>
        <v>0</v>
      </c>
      <c r="NW48" s="52">
        <f t="array" aca="1" ref="NW48" ca="1">SUMPRODUCT((OFFSET($A48,0,31*(VLOOKUP(NW$5,Sprints[],5,FALSE))+DAY(VLOOKUP(NW$5,Sprints[],2,FALSE)),1,VLOOKUP(NW$5,Sprints[],4,FALSE))&lt;&gt;"")*(IF(OFFSET($A48,0,31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48" s="52">
        <f t="array" aca="1" ref="NX48" ca="1">SUMPRODUCT((OFFSET($A48,0,31*(VLOOKUP(NX$5,Sprints[],5,FALSE))+DAY(VLOOKUP(NX$5,Sprints[],2,FALSE)),1,VLOOKUP(NX$5,Sprints[],4,FALSE))&lt;&gt;"")*(IF(OFFSET($A48,0,31*(VLOOKUP(NX$5,Sprints[],5,FALSE))+DAY(VLOOKUP(NX$5,Sprints[],2,FALSE)),1,VLOOKUP(NX$5,Sprints[],4,FALSE))=$OB$12,0.5,1)*(OFFSET($A$3,0,31*(VLOOKUP(NX$5,Sprints[],5,FALSE))+DAY(VLOOKUP(NX$5,Sprints[],2,FALSE)),1,VLOOKUP(NX$5,Sprints[],4,FALSE)))))</f>
        <v>1</v>
      </c>
      <c r="NY48" s="52">
        <f t="array" aca="1" ref="NY48" ca="1">SUMPRODUCT((OFFSET($A48,0,31*(VLOOKUP(NY$5,Sprints[],5,FALSE))+DAY(VLOOKUP(NY$5,Sprints[],2,FALSE)),1,VLOOKUP(NY$5,Sprints[],4,FALSE))&lt;&gt;"")*(IF(OFFSET($A48,0,31*(VLOOKUP(NY$5,Sprints[],5,FALSE))+DAY(VLOOKUP(NY$5,Sprints[],2,FALSE)),1,VLOOKUP(NY$5,Sprints[],4,FALSE))=$OB$12,0.5,1)*(OFFSET($A$3,0,31*(VLOOKUP(NY$5,Sprints[],5,FALSE))+DAY(VLOOKUP(NY$5,Sprints[],2,FALSE)),1,VLOOKUP(NY$5,Sprints[],4,FALSE)))))</f>
        <v>5</v>
      </c>
    </row>
    <row r="49" spans="1:389" s="45" customFormat="1" x14ac:dyDescent="0.45">
      <c r="A49" s="44" t="s">
        <v>84</v>
      </c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36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36"/>
      <c r="AH49" s="2"/>
      <c r="AI49" s="2"/>
      <c r="AJ49" s="2"/>
      <c r="AK49" s="2"/>
      <c r="AL49" s="2"/>
      <c r="AM49" s="2" t="s">
        <v>35</v>
      </c>
      <c r="AN49" s="2"/>
      <c r="AO49" s="36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 t="s">
        <v>35</v>
      </c>
      <c r="CK49" s="2"/>
      <c r="CL49" s="2"/>
      <c r="CM49" s="2"/>
      <c r="CN49" s="2"/>
      <c r="CO49" s="2"/>
      <c r="CP49" s="2"/>
      <c r="CQ49" s="2" t="s">
        <v>35</v>
      </c>
      <c r="CR49" s="2"/>
      <c r="CS49" s="2"/>
      <c r="CT49" s="2"/>
      <c r="CU49" s="2"/>
      <c r="CV49" s="2"/>
      <c r="CW49" s="2" t="s">
        <v>35</v>
      </c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2"/>
      <c r="EE49" s="2"/>
      <c r="EF49" s="2"/>
      <c r="EG49" s="2"/>
      <c r="EH49" s="2"/>
      <c r="EI49" s="2"/>
      <c r="EJ49" s="2"/>
      <c r="EK49" s="2"/>
      <c r="EL49" s="2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  <c r="EZ49" s="2"/>
      <c r="FA49" s="2"/>
      <c r="FB49" s="2"/>
      <c r="FC49" s="2"/>
      <c r="FD49" s="2"/>
      <c r="FE49" s="2"/>
      <c r="FF49" s="2"/>
      <c r="FG49" s="2"/>
      <c r="FH49" s="2" t="s">
        <v>35</v>
      </c>
      <c r="FI49" s="2"/>
      <c r="FJ49" s="2"/>
      <c r="FK49" s="2"/>
      <c r="FL49" s="2"/>
      <c r="FM49" s="2"/>
      <c r="FN49" s="2"/>
      <c r="FO49" s="2"/>
      <c r="FP49" s="2"/>
      <c r="FQ49" s="2"/>
      <c r="FR49" s="2"/>
      <c r="FS49" s="2"/>
      <c r="FT49" s="2"/>
      <c r="FU49" s="2"/>
      <c r="FV49" s="2"/>
      <c r="FW49" s="2"/>
      <c r="FX49" s="2"/>
      <c r="FY49" s="2"/>
      <c r="FZ49" s="2"/>
      <c r="GA49" s="2"/>
      <c r="GB49" s="2"/>
      <c r="GC49" s="2"/>
      <c r="GD49" s="2"/>
      <c r="GE49" s="2"/>
      <c r="GF49" s="2"/>
      <c r="GG49" s="2"/>
      <c r="GH49" s="2"/>
      <c r="GI49" s="2"/>
      <c r="GJ49" s="2"/>
      <c r="GK49" s="2"/>
      <c r="GL49" s="2"/>
      <c r="GM49" s="2"/>
      <c r="GN49" s="2"/>
      <c r="GO49" s="2"/>
      <c r="GP49" s="2"/>
      <c r="GQ49" s="2"/>
      <c r="GR49" s="2"/>
      <c r="GS49" s="2"/>
      <c r="GT49" s="2"/>
      <c r="GU49" s="2"/>
      <c r="GV49" s="2"/>
      <c r="GW49" s="2"/>
      <c r="GX49" s="2"/>
      <c r="GY49" s="2"/>
      <c r="GZ49" s="2"/>
      <c r="HA49" s="2"/>
      <c r="HB49" s="2"/>
      <c r="HC49" s="2"/>
      <c r="HD49" s="2"/>
      <c r="HE49" s="2"/>
      <c r="HF49" s="2"/>
      <c r="HG49" s="2"/>
      <c r="HH49" s="2"/>
      <c r="HI49" s="2"/>
      <c r="HJ49" s="2"/>
      <c r="HK49" s="2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  <c r="HY49" s="2"/>
      <c r="HZ49" s="2"/>
      <c r="IA49" s="2"/>
      <c r="IB49" s="2"/>
      <c r="IC49" s="2"/>
      <c r="ID49" s="2"/>
      <c r="IE49" s="2"/>
      <c r="IF49" s="2"/>
      <c r="IG49" s="2"/>
      <c r="IH49" s="2"/>
      <c r="II49" s="2"/>
      <c r="IJ49" s="2"/>
      <c r="IK49" s="2"/>
      <c r="IL49" s="2"/>
      <c r="IM49" s="2"/>
      <c r="IN49" s="2"/>
      <c r="IO49" s="2"/>
      <c r="IP49" s="2"/>
      <c r="IQ49" s="2"/>
      <c r="IR49" s="2"/>
      <c r="IS49" s="2"/>
      <c r="IT49" s="2"/>
      <c r="IU49" s="2"/>
      <c r="IV49" s="2"/>
      <c r="IW49" s="2"/>
      <c r="IX49" s="2"/>
      <c r="IY49" s="2"/>
      <c r="IZ49" s="2"/>
      <c r="JA49" s="2"/>
      <c r="JB49" s="2"/>
      <c r="JC49" s="2"/>
      <c r="JD49" s="2"/>
      <c r="JE49" s="2"/>
      <c r="JF49" s="2"/>
      <c r="JG49" s="2"/>
      <c r="JH49" s="2"/>
      <c r="JI49" s="2"/>
      <c r="JJ49" s="2"/>
      <c r="JK49" s="2"/>
      <c r="JL49" s="2"/>
      <c r="JM49" s="2"/>
      <c r="JN49" s="2"/>
      <c r="JO49" s="2"/>
      <c r="JP49" s="2"/>
      <c r="JQ49" s="2"/>
      <c r="JR49" s="2"/>
      <c r="JS49" s="2"/>
      <c r="JT49" s="2"/>
      <c r="JU49" s="2"/>
      <c r="JV49" s="2"/>
      <c r="JW49" s="2"/>
      <c r="JX49" s="2"/>
      <c r="JY49" s="2"/>
      <c r="JZ49" s="2"/>
      <c r="KA49" s="2"/>
      <c r="KB49" s="2"/>
      <c r="KC49" s="2"/>
      <c r="KD49" s="2"/>
      <c r="KE49" s="2"/>
      <c r="KF49" s="2"/>
      <c r="KG49" s="2"/>
      <c r="KH49" s="2"/>
      <c r="KI49" s="2"/>
      <c r="KJ49" s="2"/>
      <c r="KK49" s="2"/>
      <c r="KL49" s="2"/>
      <c r="KM49" s="2"/>
      <c r="KN49" s="2"/>
      <c r="KO49" s="2"/>
      <c r="KP49" s="2"/>
      <c r="KQ49" s="2"/>
      <c r="KR49" s="2"/>
      <c r="KS49" s="2"/>
      <c r="KT49" s="2"/>
      <c r="KU49" s="2"/>
      <c r="KV49" s="2"/>
      <c r="KW49" s="2"/>
      <c r="KX49" s="2"/>
      <c r="KY49" s="2"/>
      <c r="KZ49" s="2"/>
      <c r="LA49" s="2"/>
      <c r="LB49" s="2"/>
      <c r="LC49" s="2"/>
      <c r="LD49" s="2"/>
      <c r="LE49" s="2"/>
      <c r="LF49" s="2"/>
      <c r="LG49" s="2"/>
      <c r="LH49" s="2"/>
      <c r="LI49" s="2"/>
      <c r="LJ49" s="2"/>
      <c r="LK49" s="2"/>
      <c r="LL49" s="2"/>
      <c r="LM49" s="2"/>
      <c r="LN49" s="2"/>
      <c r="LO49" s="2"/>
      <c r="LP49" s="2"/>
      <c r="LQ49" s="2"/>
      <c r="LR49" s="2"/>
      <c r="LS49" s="2"/>
      <c r="LT49" s="2"/>
      <c r="LU49" s="2"/>
      <c r="LV49" s="2"/>
      <c r="LW49" s="2"/>
      <c r="LX49" s="2"/>
      <c r="LY49" s="2"/>
      <c r="LZ49" s="2"/>
      <c r="MA49" s="2"/>
      <c r="MB49" s="2"/>
      <c r="MC49" s="2"/>
      <c r="MD49" s="2"/>
      <c r="ME49" s="2"/>
      <c r="MF49" s="2"/>
      <c r="MG49" s="2"/>
      <c r="MH49" s="2"/>
      <c r="MI49" s="2"/>
      <c r="MJ49" s="2"/>
      <c r="MK49" s="2"/>
      <c r="ML49" s="2"/>
      <c r="MM49" s="2"/>
      <c r="MN49" s="2"/>
      <c r="MO49" s="2"/>
      <c r="MP49" s="2"/>
      <c r="MQ49" s="2"/>
      <c r="MR49" s="2"/>
      <c r="MS49" s="2"/>
      <c r="MT49" s="2"/>
      <c r="MU49" s="2"/>
      <c r="MV49" s="2"/>
      <c r="MW49" s="2"/>
      <c r="MX49" s="2"/>
      <c r="MY49" s="2"/>
      <c r="MZ49" s="2"/>
      <c r="NA49" s="2"/>
      <c r="NB49" s="2"/>
      <c r="NC49" s="2"/>
      <c r="ND49" s="2"/>
      <c r="NE49" s="2"/>
      <c r="NF49" s="2"/>
      <c r="NG49" s="2"/>
      <c r="NH49" s="2"/>
      <c r="NI49" s="2"/>
      <c r="NJ49" s="14">
        <f t="array" aca="1" ref="NJ49" ca="1">SUMPRODUCT((OFFSET($A49,0,31*($A$3-1)+1,1,31)&lt;&gt;"")*(IF(OFFSET($A49,0,31*($A$3-1)+1,1,31)=$OB$12,0.5,1)*(OFFSET($A$4,0,31*($A$3-1)+1,1,31))))</f>
        <v>0</v>
      </c>
      <c r="NK49" s="20">
        <f t="array" aca="1" ref="NK49" ca="1">SUMPRODUCT((OFFSET($A49,0,1,1,372)&lt;&gt;"")*(IF(OFFSET($A49,0,1,1,372)=$OB$12,0.5,1)*(OFFSET($A$3,0,1,1,372))))</f>
        <v>5</v>
      </c>
      <c r="NL49" s="28">
        <f t="array" aca="1" ref="NL49" ca="1">SUMPRODUCT((OFFSET($A49,0,31*($A$4)+DAY(Holidays!$E$2),1,Holidays!$G$2)&lt;&gt;"")*(IF(OFFSET($A49,0,31*($A$4)+DAY(Holidays!$E$2),1,Holidays!$G$2)=$OB$12,0.5,1)*(OFFSET($A$3,0,31*($A$4)+DAY(Holidays!$E$2),1,Holidays!$G$2))))</f>
        <v>5</v>
      </c>
      <c r="NM49" s="52">
        <f t="array" aca="1" ref="NM49" ca="1">SUMPRODUCT((OFFSET($A49,0,31*($A$4)+DAY(VLOOKUP(NM$5,Sprints[],2,FALSE)),1,VLOOKUP(NM$5,Sprints[],4,FALSE))&lt;&gt;"")*(IF(OFFSET($A49,0,31*($A$4)+DAY(VLOOKUP(NM$5,Sprints[],2,FALSE)),1,VLOOKUP(NM$5,Sprints[],4,FALSE))=$OB$12,0.5,1)*(OFFSET($A$3,0,31*($A$4)+DAY(VLOOKUP(NM$5,Sprints[],2,FALSE)),1,VLOOKUP(NM$5,Sprints[],4,FALSE)))))</f>
        <v>0</v>
      </c>
      <c r="NN49" s="52">
        <f t="array" aca="1" ref="NN49" ca="1">SUMPRODUCT((OFFSET($A49,0,31*($A$4)+DAY(VLOOKUP(NN$5,Sprints[],2,FALSE)),1,VLOOKUP(NN$5,Sprints[],4,FALSE))&lt;&gt;"")*(IF(OFFSET($A49,0,31*($A$4)+DAY(VLOOKUP(NN$5,Sprints[],2,FALSE)),1,VLOOKUP(NN$5,Sprints[],4,FALSE))=$OB$12,0.5,1)*(OFFSET($A$3,0,31*($A$4)+DAY(VLOOKUP(NN$5,Sprints[],2,FALSE)),1,VLOOKUP(NN$5,Sprints[],4,FALSE)))))</f>
        <v>0</v>
      </c>
      <c r="NO49" s="52">
        <f t="array" aca="1" ref="NO49" ca="1">SUMPRODUCT((OFFSET($A49,0,31*($A$4)+DAY(VLOOKUP(NO$5,Sprints[],2,FALSE)),1,VLOOKUP(NO$5,Sprints[],4,FALSE))&lt;&gt;"")*(IF(OFFSET($A49,0,31*($A$4)+DAY(VLOOKUP(NO$5,Sprints[],2,FALSE)),1,VLOOKUP(NO$5,Sprints[],4,FALSE))=$OB$12,0.5,1)*(OFFSET($A$3,0,31*($A$4)+DAY(VLOOKUP(NO$5,Sprints[],2,FALSE)),1,VLOOKUP(NO$5,Sprints[],4,FALSE)))))</f>
        <v>0</v>
      </c>
      <c r="NP49" s="52">
        <f t="array" aca="1" ref="NP49" ca="1">SUMPRODUCT((OFFSET($A49,0,31*(VLOOKUP(NP$5,Sprints[],5,FALSE))+DAY(VLOOKUP(NP$5,Sprints[],2,FALSE)),1,VLOOKUP(NP$5,Sprints[],4,FALSE))&lt;&gt;"")*(IF(OFFSET($A49,0,31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49" s="52">
        <f t="array" aca="1" ref="NQ49" ca="1">SUMPRODUCT((OFFSET($A49,0,31*(VLOOKUP(NQ$5,Sprints[],5,FALSE))+DAY(VLOOKUP(NQ$5,Sprints[],2,FALSE)),1,VLOOKUP(NQ$5,Sprints[],4,FALSE))&lt;&gt;"")*(IF(OFFSET($A49,0,31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49" s="52">
        <f t="array" aca="1" ref="NR49" ca="1">SUMPRODUCT((OFFSET($A49,0,31*(VLOOKUP(NR$5,Sprints[],5,FALSE))+DAY(VLOOKUP(NR$5,Sprints[],2,FALSE)),1,VLOOKUP(NR$5,Sprints[],4,FALSE))&lt;&gt;"")*(IF(OFFSET($A49,0,31*(VLOOKUP(NR$5,Sprints[],5,FALSE))+DAY(VLOOKUP(NR$5,Sprints[],2,FALSE)),1,VLOOKUP(NR$5,Sprints[],4,FALSE))=$OB$12,0.5,1)*(OFFSET($A$3,0,31*(VLOOKUP(NR$5,Sprints[],5,FALSE))+DAY(VLOOKUP(NR$5,Sprints[],2,FALSE)),1,VLOOKUP(NR$5,Sprints[],4,FALSE)))))</f>
        <v>2</v>
      </c>
      <c r="NS49" s="52">
        <f t="array" aca="1" ref="NS49" ca="1">SUMPRODUCT((OFFSET($A49,0,31*(VLOOKUP(NS$5,Sprints[],5,FALSE))+DAY(VLOOKUP(NS$5,Sprints[],2,FALSE)),1,VLOOKUP(NS$5,Sprints[],4,FALSE))&lt;&gt;"")*(IF(OFFSET($A49,0,31*(VLOOKUP(NS$5,Sprints[],5,FALSE))+DAY(VLOOKUP(NS$5,Sprints[],2,FALSE)),1,VLOOKUP(NS$5,Sprints[],4,FALSE))=$OB$12,0.5,1)*(OFFSET($A$3,0,31*(VLOOKUP(NS$5,Sprints[],5,FALSE))+DAY(VLOOKUP(NS$5,Sprints[],2,FALSE)),1,VLOOKUP(NS$5,Sprints[],4,FALSE)))))</f>
        <v>1</v>
      </c>
      <c r="NT49" s="52">
        <f t="array" aca="1" ref="NT49" ca="1">SUMPRODUCT((OFFSET($A49,0,31*(VLOOKUP(NT$5,Sprints[],5,FALSE))+DAY(VLOOKUP(NT$5,Sprints[],2,FALSE)),1,VLOOKUP(NT$5,Sprints[],4,FALSE))&lt;&gt;"")*(IF(OFFSET($A49,0,31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49" s="52">
        <f t="array" aca="1" ref="NU49" ca="1">SUMPRODUCT((OFFSET($A49,0,31*(VLOOKUP(NU$5,Sprints[],5,FALSE))+DAY(VLOOKUP(NU$5,Sprints[],2,FALSE)),1,VLOOKUP(NU$5,Sprints[],4,FALSE))&lt;&gt;"")*(IF(OFFSET($A49,0,31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49" s="52">
        <f t="array" aca="1" ref="NV49" ca="1">SUMPRODUCT((OFFSET($A49,0,31*(VLOOKUP(NV$5,Sprints[],5,FALSE))+DAY(VLOOKUP(NV$5,Sprints[],2,FALSE)),1,VLOOKUP(NV$5,Sprints[],4,FALSE))&lt;&gt;"")*(IF(OFFSET($A49,0,31*(VLOOKUP(NV$5,Sprints[],5,FALSE))+DAY(VLOOKUP(NV$5,Sprints[],2,FALSE)),1,VLOOKUP(NV$5,Sprints[],4,FALSE))=$OB$12,0.5,1)*(OFFSET($A$3,0,31*(VLOOKUP(NV$5,Sprints[],5,FALSE))+DAY(VLOOKUP(NV$5,Sprints[],2,FALSE)),1,VLOOKUP(NV$5,Sprints[],4,FALSE)))))</f>
        <v>0</v>
      </c>
      <c r="NW49" s="52">
        <f t="array" aca="1" ref="NW49" ca="1">SUMPRODUCT((OFFSET($A49,0,31*(VLOOKUP(NW$5,Sprints[],5,FALSE))+DAY(VLOOKUP(NW$5,Sprints[],2,FALSE)),1,VLOOKUP(NW$5,Sprints[],4,FALSE))&lt;&gt;"")*(IF(OFFSET($A49,0,31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49" s="52">
        <f t="array" aca="1" ref="NX49" ca="1">SUMPRODUCT((OFFSET($A49,0,31*(VLOOKUP(NX$5,Sprints[],5,FALSE))+DAY(VLOOKUP(NX$5,Sprints[],2,FALSE)),1,VLOOKUP(NX$5,Sprints[],4,FALSE))&lt;&gt;"")*(IF(OFFSET($A49,0,31*(VLOOKUP(NX$5,Sprints[],5,FALSE))+DAY(VLOOKUP(NX$5,Sprints[],2,FALSE)),1,VLOOKUP(NX$5,Sprints[],4,FALSE))=$OB$12,0.5,1)*(OFFSET($A$3,0,31*(VLOOKUP(NX$5,Sprints[],5,FALSE))+DAY(VLOOKUP(NX$5,Sprints[],2,FALSE)),1,VLOOKUP(NX$5,Sprints[],4,FALSE)))))</f>
        <v>1</v>
      </c>
      <c r="NY49" s="52">
        <f t="array" aca="1" ref="NY49" ca="1">SUMPRODUCT((OFFSET($A49,0,31*(VLOOKUP(NY$5,Sprints[],5,FALSE))+DAY(VLOOKUP(NY$5,Sprints[],2,FALSE)),1,VLOOKUP(NY$5,Sprints[],4,FALSE))&lt;&gt;"")*(IF(OFFSET($A49,0,31*(VLOOKUP(NY$5,Sprints[],5,FALSE))+DAY(VLOOKUP(NY$5,Sprints[],2,FALSE)),1,VLOOKUP(NY$5,Sprints[],4,FALSE))=$OB$12,0.5,1)*(OFFSET($A$3,0,31*(VLOOKUP(NY$5,Sprints[],5,FALSE))+DAY(VLOOKUP(NY$5,Sprints[],2,FALSE)),1,VLOOKUP(NY$5,Sprints[],4,FALSE)))))</f>
        <v>5</v>
      </c>
    </row>
    <row r="50" spans="1:389" s="45" customFormat="1" x14ac:dyDescent="0.45">
      <c r="A50" s="44" t="s">
        <v>83</v>
      </c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36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36"/>
      <c r="AH50" s="2"/>
      <c r="AI50" s="2"/>
      <c r="AJ50" s="2"/>
      <c r="AK50" s="2"/>
      <c r="AL50" s="2"/>
      <c r="AM50" s="2" t="s">
        <v>35</v>
      </c>
      <c r="AN50" s="2"/>
      <c r="AO50" s="36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 t="s">
        <v>35</v>
      </c>
      <c r="CK50" s="2"/>
      <c r="CL50" s="2"/>
      <c r="CM50" s="2"/>
      <c r="CN50" s="2"/>
      <c r="CO50" s="2"/>
      <c r="CP50" s="2"/>
      <c r="CQ50" s="2" t="s">
        <v>35</v>
      </c>
      <c r="CR50" s="2"/>
      <c r="CS50" s="2"/>
      <c r="CT50" s="2"/>
      <c r="CU50" s="2"/>
      <c r="CV50" s="2"/>
      <c r="CW50" s="2" t="s">
        <v>35</v>
      </c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2"/>
      <c r="EC50" s="2"/>
      <c r="ED50" s="2"/>
      <c r="EE50" s="2"/>
      <c r="EF50" s="2"/>
      <c r="EG50" s="2"/>
      <c r="EH50" s="2"/>
      <c r="EI50" s="2"/>
      <c r="EJ50" s="2"/>
      <c r="EK50" s="2"/>
      <c r="EL50" s="2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  <c r="EZ50" s="2"/>
      <c r="FA50" s="2"/>
      <c r="FB50" s="2"/>
      <c r="FC50" s="2"/>
      <c r="FD50" s="2"/>
      <c r="FE50" s="2"/>
      <c r="FF50" s="2"/>
      <c r="FG50" s="2"/>
      <c r="FH50" s="2" t="s">
        <v>35</v>
      </c>
      <c r="FI50" s="2"/>
      <c r="FJ50" s="2"/>
      <c r="FK50" s="2"/>
      <c r="FL50" s="2"/>
      <c r="FM50" s="2"/>
      <c r="FN50" s="2"/>
      <c r="FO50" s="2"/>
      <c r="FP50" s="2"/>
      <c r="FQ50" s="2"/>
      <c r="FR50" s="2"/>
      <c r="FS50" s="2"/>
      <c r="FT50" s="2"/>
      <c r="FU50" s="2"/>
      <c r="FV50" s="2"/>
      <c r="FW50" s="2"/>
      <c r="FX50" s="2"/>
      <c r="FY50" s="2"/>
      <c r="FZ50" s="2"/>
      <c r="GA50" s="2"/>
      <c r="GB50" s="2"/>
      <c r="GC50" s="2"/>
      <c r="GD50" s="2"/>
      <c r="GE50" s="2"/>
      <c r="GF50" s="2"/>
      <c r="GG50" s="2"/>
      <c r="GH50" s="2"/>
      <c r="GI50" s="2"/>
      <c r="GJ50" s="2"/>
      <c r="GK50" s="2"/>
      <c r="GL50" s="2"/>
      <c r="GM50" s="2"/>
      <c r="GN50" s="2"/>
      <c r="GO50" s="2"/>
      <c r="GP50" s="2"/>
      <c r="GQ50" s="2"/>
      <c r="GR50" s="2"/>
      <c r="GS50" s="2"/>
      <c r="GT50" s="2"/>
      <c r="GU50" s="2"/>
      <c r="GV50" s="2"/>
      <c r="GW50" s="2"/>
      <c r="GX50" s="2"/>
      <c r="GY50" s="2"/>
      <c r="GZ50" s="2"/>
      <c r="HA50" s="2"/>
      <c r="HB50" s="2"/>
      <c r="HC50" s="2"/>
      <c r="HD50" s="2"/>
      <c r="HE50" s="2"/>
      <c r="HF50" s="2"/>
      <c r="HG50" s="2"/>
      <c r="HH50" s="2"/>
      <c r="HI50" s="2"/>
      <c r="HJ50" s="2"/>
      <c r="HK50" s="2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  <c r="HY50" s="2"/>
      <c r="HZ50" s="2"/>
      <c r="IA50" s="2"/>
      <c r="IB50" s="2"/>
      <c r="IC50" s="2"/>
      <c r="ID50" s="2"/>
      <c r="IE50" s="2"/>
      <c r="IF50" s="2"/>
      <c r="IG50" s="2"/>
      <c r="IH50" s="2"/>
      <c r="II50" s="2"/>
      <c r="IJ50" s="2"/>
      <c r="IK50" s="2"/>
      <c r="IL50" s="2"/>
      <c r="IM50" s="2"/>
      <c r="IN50" s="2"/>
      <c r="IO50" s="2"/>
      <c r="IP50" s="2"/>
      <c r="IQ50" s="2"/>
      <c r="IR50" s="2"/>
      <c r="IS50" s="2"/>
      <c r="IT50" s="2"/>
      <c r="IU50" s="2"/>
      <c r="IV50" s="2"/>
      <c r="IW50" s="2"/>
      <c r="IX50" s="2"/>
      <c r="IY50" s="2"/>
      <c r="IZ50" s="2"/>
      <c r="JA50" s="2"/>
      <c r="JB50" s="2"/>
      <c r="JC50" s="2"/>
      <c r="JD50" s="2"/>
      <c r="JE50" s="2"/>
      <c r="JF50" s="2"/>
      <c r="JG50" s="2"/>
      <c r="JH50" s="2"/>
      <c r="JI50" s="2"/>
      <c r="JJ50" s="2"/>
      <c r="JK50" s="2"/>
      <c r="JL50" s="2"/>
      <c r="JM50" s="2"/>
      <c r="JN50" s="2"/>
      <c r="JO50" s="2"/>
      <c r="JP50" s="2"/>
      <c r="JQ50" s="2"/>
      <c r="JR50" s="2"/>
      <c r="JS50" s="2"/>
      <c r="JT50" s="2"/>
      <c r="JU50" s="2"/>
      <c r="JV50" s="2"/>
      <c r="JW50" s="2"/>
      <c r="JX50" s="2"/>
      <c r="JY50" s="2"/>
      <c r="JZ50" s="2"/>
      <c r="KA50" s="2"/>
      <c r="KB50" s="2"/>
      <c r="KC50" s="2"/>
      <c r="KD50" s="2"/>
      <c r="KE50" s="2"/>
      <c r="KF50" s="2"/>
      <c r="KG50" s="2"/>
      <c r="KH50" s="2"/>
      <c r="KI50" s="2"/>
      <c r="KJ50" s="2"/>
      <c r="KK50" s="2"/>
      <c r="KL50" s="2"/>
      <c r="KM50" s="2"/>
      <c r="KN50" s="2"/>
      <c r="KO50" s="2"/>
      <c r="KP50" s="2"/>
      <c r="KQ50" s="2"/>
      <c r="KR50" s="2"/>
      <c r="KS50" s="2"/>
      <c r="KT50" s="2"/>
      <c r="KU50" s="2"/>
      <c r="KV50" s="2"/>
      <c r="KW50" s="2"/>
      <c r="KX50" s="2"/>
      <c r="KY50" s="2"/>
      <c r="KZ50" s="2"/>
      <c r="LA50" s="2"/>
      <c r="LB50" s="2"/>
      <c r="LC50" s="2"/>
      <c r="LD50" s="2"/>
      <c r="LE50" s="2"/>
      <c r="LF50" s="2"/>
      <c r="LG50" s="2"/>
      <c r="LH50" s="2"/>
      <c r="LI50" s="2"/>
      <c r="LJ50" s="2"/>
      <c r="LK50" s="2"/>
      <c r="LL50" s="2"/>
      <c r="LM50" s="2"/>
      <c r="LN50" s="2"/>
      <c r="LO50" s="2"/>
      <c r="LP50" s="2"/>
      <c r="LQ50" s="2"/>
      <c r="LR50" s="2"/>
      <c r="LS50" s="2"/>
      <c r="LT50" s="2"/>
      <c r="LU50" s="2"/>
      <c r="LV50" s="2"/>
      <c r="LW50" s="2"/>
      <c r="LX50" s="2"/>
      <c r="LY50" s="2"/>
      <c r="LZ50" s="2"/>
      <c r="MA50" s="2"/>
      <c r="MB50" s="2"/>
      <c r="MC50" s="2"/>
      <c r="MD50" s="2"/>
      <c r="ME50" s="2"/>
      <c r="MF50" s="2"/>
      <c r="MG50" s="2"/>
      <c r="MH50" s="2"/>
      <c r="MI50" s="2"/>
      <c r="MJ50" s="2"/>
      <c r="MK50" s="2"/>
      <c r="ML50" s="2"/>
      <c r="MM50" s="2"/>
      <c r="MN50" s="2"/>
      <c r="MO50" s="2"/>
      <c r="MP50" s="2"/>
      <c r="MQ50" s="2"/>
      <c r="MR50" s="2"/>
      <c r="MS50" s="2"/>
      <c r="MT50" s="2"/>
      <c r="MU50" s="2"/>
      <c r="MV50" s="2"/>
      <c r="MW50" s="2"/>
      <c r="MX50" s="2"/>
      <c r="MY50" s="2"/>
      <c r="MZ50" s="2"/>
      <c r="NA50" s="2"/>
      <c r="NB50" s="2"/>
      <c r="NC50" s="2"/>
      <c r="ND50" s="2"/>
      <c r="NE50" s="2"/>
      <c r="NF50" s="2"/>
      <c r="NG50" s="2"/>
      <c r="NH50" s="2"/>
      <c r="NI50" s="2"/>
      <c r="NJ50" s="14">
        <f t="array" aca="1" ref="NJ50" ca="1">SUMPRODUCT((OFFSET($A50,0,31*($A$3-1)+1,1,31)&lt;&gt;"")*(IF(OFFSET($A50,0,31*($A$3-1)+1,1,31)=$OB$12,0.5,1)*(OFFSET($A$4,0,31*($A$3-1)+1,1,31))))</f>
        <v>0</v>
      </c>
      <c r="NK50" s="20">
        <f t="array" aca="1" ref="NK50" ca="1">SUMPRODUCT((OFFSET($A50,0,1,1,372)&lt;&gt;"")*(IF(OFFSET($A50,0,1,1,372)=$OB$12,0.5,1)*(OFFSET($A$3,0,1,1,372))))</f>
        <v>5</v>
      </c>
      <c r="NL50" s="28">
        <f t="array" aca="1" ref="NL50" ca="1">SUMPRODUCT((OFFSET($A50,0,31*($A$4)+DAY(Holidays!$E$2),1,Holidays!$G$2)&lt;&gt;"")*(IF(OFFSET($A50,0,31*($A$4)+DAY(Holidays!$E$2),1,Holidays!$G$2)=$OB$12,0.5,1)*(OFFSET($A$3,0,31*($A$4)+DAY(Holidays!$E$2),1,Holidays!$G$2))))</f>
        <v>5</v>
      </c>
      <c r="NM50" s="52">
        <f t="array" aca="1" ref="NM50" ca="1">SUMPRODUCT((OFFSET($A50,0,31*($A$4)+DAY(VLOOKUP(NM$5,Sprints[],2,FALSE)),1,VLOOKUP(NM$5,Sprints[],4,FALSE))&lt;&gt;"")*(IF(OFFSET($A50,0,31*($A$4)+DAY(VLOOKUP(NM$5,Sprints[],2,FALSE)),1,VLOOKUP(NM$5,Sprints[],4,FALSE))=$OB$12,0.5,1)*(OFFSET($A$3,0,31*($A$4)+DAY(VLOOKUP(NM$5,Sprints[],2,FALSE)),1,VLOOKUP(NM$5,Sprints[],4,FALSE)))))</f>
        <v>0</v>
      </c>
      <c r="NN50" s="52">
        <f t="array" aca="1" ref="NN50" ca="1">SUMPRODUCT((OFFSET($A50,0,31*($A$4)+DAY(VLOOKUP(NN$5,Sprints[],2,FALSE)),1,VLOOKUP(NN$5,Sprints[],4,FALSE))&lt;&gt;"")*(IF(OFFSET($A50,0,31*($A$4)+DAY(VLOOKUP(NN$5,Sprints[],2,FALSE)),1,VLOOKUP(NN$5,Sprints[],4,FALSE))=$OB$12,0.5,1)*(OFFSET($A$3,0,31*($A$4)+DAY(VLOOKUP(NN$5,Sprints[],2,FALSE)),1,VLOOKUP(NN$5,Sprints[],4,FALSE)))))</f>
        <v>0</v>
      </c>
      <c r="NO50" s="52">
        <f t="array" aca="1" ref="NO50" ca="1">SUMPRODUCT((OFFSET($A50,0,31*($A$4)+DAY(VLOOKUP(NO$5,Sprints[],2,FALSE)),1,VLOOKUP(NO$5,Sprints[],4,FALSE))&lt;&gt;"")*(IF(OFFSET($A50,0,31*($A$4)+DAY(VLOOKUP(NO$5,Sprints[],2,FALSE)),1,VLOOKUP(NO$5,Sprints[],4,FALSE))=$OB$12,0.5,1)*(OFFSET($A$3,0,31*($A$4)+DAY(VLOOKUP(NO$5,Sprints[],2,FALSE)),1,VLOOKUP(NO$5,Sprints[],4,FALSE)))))</f>
        <v>0</v>
      </c>
      <c r="NP50" s="52">
        <f t="array" aca="1" ref="NP50" ca="1">SUMPRODUCT((OFFSET($A50,0,31*(VLOOKUP(NP$5,Sprints[],5,FALSE))+DAY(VLOOKUP(NP$5,Sprints[],2,FALSE)),1,VLOOKUP(NP$5,Sprints[],4,FALSE))&lt;&gt;"")*(IF(OFFSET($A50,0,31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50" s="52">
        <f t="array" aca="1" ref="NQ50" ca="1">SUMPRODUCT((OFFSET($A50,0,31*(VLOOKUP(NQ$5,Sprints[],5,FALSE))+DAY(VLOOKUP(NQ$5,Sprints[],2,FALSE)),1,VLOOKUP(NQ$5,Sprints[],4,FALSE))&lt;&gt;"")*(IF(OFFSET($A50,0,31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50" s="52">
        <f t="array" aca="1" ref="NR50" ca="1">SUMPRODUCT((OFFSET($A50,0,31*(VLOOKUP(NR$5,Sprints[],5,FALSE))+DAY(VLOOKUP(NR$5,Sprints[],2,FALSE)),1,VLOOKUP(NR$5,Sprints[],4,FALSE))&lt;&gt;"")*(IF(OFFSET($A50,0,31*(VLOOKUP(NR$5,Sprints[],5,FALSE))+DAY(VLOOKUP(NR$5,Sprints[],2,FALSE)),1,VLOOKUP(NR$5,Sprints[],4,FALSE))=$OB$12,0.5,1)*(OFFSET($A$3,0,31*(VLOOKUP(NR$5,Sprints[],5,FALSE))+DAY(VLOOKUP(NR$5,Sprints[],2,FALSE)),1,VLOOKUP(NR$5,Sprints[],4,FALSE)))))</f>
        <v>2</v>
      </c>
      <c r="NS50" s="52">
        <f t="array" aca="1" ref="NS50" ca="1">SUMPRODUCT((OFFSET($A50,0,31*(VLOOKUP(NS$5,Sprints[],5,FALSE))+DAY(VLOOKUP(NS$5,Sprints[],2,FALSE)),1,VLOOKUP(NS$5,Sprints[],4,FALSE))&lt;&gt;"")*(IF(OFFSET($A50,0,31*(VLOOKUP(NS$5,Sprints[],5,FALSE))+DAY(VLOOKUP(NS$5,Sprints[],2,FALSE)),1,VLOOKUP(NS$5,Sprints[],4,FALSE))=$OB$12,0.5,1)*(OFFSET($A$3,0,31*(VLOOKUP(NS$5,Sprints[],5,FALSE))+DAY(VLOOKUP(NS$5,Sprints[],2,FALSE)),1,VLOOKUP(NS$5,Sprints[],4,FALSE)))))</f>
        <v>1</v>
      </c>
      <c r="NT50" s="52">
        <f t="array" aca="1" ref="NT50" ca="1">SUMPRODUCT((OFFSET($A50,0,31*(VLOOKUP(NT$5,Sprints[],5,FALSE))+DAY(VLOOKUP(NT$5,Sprints[],2,FALSE)),1,VLOOKUP(NT$5,Sprints[],4,FALSE))&lt;&gt;"")*(IF(OFFSET($A50,0,31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50" s="52">
        <f t="array" aca="1" ref="NU50" ca="1">SUMPRODUCT((OFFSET($A50,0,31*(VLOOKUP(NU$5,Sprints[],5,FALSE))+DAY(VLOOKUP(NU$5,Sprints[],2,FALSE)),1,VLOOKUP(NU$5,Sprints[],4,FALSE))&lt;&gt;"")*(IF(OFFSET($A50,0,31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50" s="52">
        <f t="array" aca="1" ref="NV50" ca="1">SUMPRODUCT((OFFSET($A50,0,31*(VLOOKUP(NV$5,Sprints[],5,FALSE))+DAY(VLOOKUP(NV$5,Sprints[],2,FALSE)),1,VLOOKUP(NV$5,Sprints[],4,FALSE))&lt;&gt;"")*(IF(OFFSET($A50,0,31*(VLOOKUP(NV$5,Sprints[],5,FALSE))+DAY(VLOOKUP(NV$5,Sprints[],2,FALSE)),1,VLOOKUP(NV$5,Sprints[],4,FALSE))=$OB$12,0.5,1)*(OFFSET($A$3,0,31*(VLOOKUP(NV$5,Sprints[],5,FALSE))+DAY(VLOOKUP(NV$5,Sprints[],2,FALSE)),1,VLOOKUP(NV$5,Sprints[],4,FALSE)))))</f>
        <v>0</v>
      </c>
      <c r="NW50" s="52">
        <f t="array" aca="1" ref="NW50" ca="1">SUMPRODUCT((OFFSET($A50,0,31*(VLOOKUP(NW$5,Sprints[],5,FALSE))+DAY(VLOOKUP(NW$5,Sprints[],2,FALSE)),1,VLOOKUP(NW$5,Sprints[],4,FALSE))&lt;&gt;"")*(IF(OFFSET($A50,0,31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50" s="52">
        <f t="array" aca="1" ref="NX50" ca="1">SUMPRODUCT((OFFSET($A50,0,31*(VLOOKUP(NX$5,Sprints[],5,FALSE))+DAY(VLOOKUP(NX$5,Sprints[],2,FALSE)),1,VLOOKUP(NX$5,Sprints[],4,FALSE))&lt;&gt;"")*(IF(OFFSET($A50,0,31*(VLOOKUP(NX$5,Sprints[],5,FALSE))+DAY(VLOOKUP(NX$5,Sprints[],2,FALSE)),1,VLOOKUP(NX$5,Sprints[],4,FALSE))=$OB$12,0.5,1)*(OFFSET($A$3,0,31*(VLOOKUP(NX$5,Sprints[],5,FALSE))+DAY(VLOOKUP(NX$5,Sprints[],2,FALSE)),1,VLOOKUP(NX$5,Sprints[],4,FALSE)))))</f>
        <v>1</v>
      </c>
      <c r="NY50" s="52">
        <f t="array" aca="1" ref="NY50" ca="1">SUMPRODUCT((OFFSET($A50,0,31*(VLOOKUP(NY$5,Sprints[],5,FALSE))+DAY(VLOOKUP(NY$5,Sprints[],2,FALSE)),1,VLOOKUP(NY$5,Sprints[],4,FALSE))&lt;&gt;"")*(IF(OFFSET($A50,0,31*(VLOOKUP(NY$5,Sprints[],5,FALSE))+DAY(VLOOKUP(NY$5,Sprints[],2,FALSE)),1,VLOOKUP(NY$5,Sprints[],4,FALSE))=$OB$12,0.5,1)*(OFFSET($A$3,0,31*(VLOOKUP(NY$5,Sprints[],5,FALSE))+DAY(VLOOKUP(NY$5,Sprints[],2,FALSE)),1,VLOOKUP(NY$5,Sprints[],4,FALSE)))))</f>
        <v>5</v>
      </c>
    </row>
    <row r="52" spans="1:389" x14ac:dyDescent="0.45">
      <c r="MT52">
        <f>COUNTBLANK(CQ5:JU5)</f>
        <v>187</v>
      </c>
    </row>
  </sheetData>
  <mergeCells count="16">
    <mergeCell ref="NV5:NV6"/>
    <mergeCell ref="NW5:NW6"/>
    <mergeCell ref="NX5:NX6"/>
    <mergeCell ref="NY5:NY6"/>
    <mergeCell ref="NJ5:NJ6"/>
    <mergeCell ref="NK5:NK6"/>
    <mergeCell ref="NL5:NL6"/>
    <mergeCell ref="NM5:NM6"/>
    <mergeCell ref="NN5:NN6"/>
    <mergeCell ref="NT5:NT6"/>
    <mergeCell ref="NU5:NU6"/>
    <mergeCell ref="NO5:NO6"/>
    <mergeCell ref="NP5:NP6"/>
    <mergeCell ref="NQ5:NQ6"/>
    <mergeCell ref="NR5:NR6"/>
    <mergeCell ref="NS5:NS6"/>
  </mergeCells>
  <conditionalFormatting sqref="OB17:OB23">
    <cfRule type="expression" dxfId="113" priority="1311">
      <formula>OB17="No"</formula>
    </cfRule>
  </conditionalFormatting>
  <conditionalFormatting sqref="B6:NI6">
    <cfRule type="expression" dxfId="112" priority="1355">
      <formula>IF(VLOOKUP(B6,$OA$17:$OB$23,2,0)="No",TRUE,FALSE)</formula>
    </cfRule>
  </conditionalFormatting>
  <conditionalFormatting sqref="CO8:CP8 CH8:CI8 B8:AW8 AY19:CC19 CH19:CI19 AW14:CI14 CO13:CP13 CH13:CI13 AW13:CF13 AX23:CI25 AX26:CB26 AW9:AW12 AX8:AX12 AY15:CI18 AY20:CI22 AY8:CE8 AY9:CI12 CF26:CI26 AX27:CI30 CN19:CP19 B9:H33 J31:CI33 J15:AX22 J23:AW30 J9:AV14 B34:CI50 CL9:CP12 CK34:CP50 CL13:CM13 CL14:CP18 CL8 CL20:CP33 CR34:CV50 CX34:FG50 EN8:NI33 CR8:EL33 FI34:NI50">
    <cfRule type="expression" dxfId="111" priority="1601" stopIfTrue="1">
      <formula>AND(B$5&lt;&gt;"",VLOOKUP(B$6,$OA$17:$OB$23,2,0)&lt;&gt;"Yes")</formula>
    </cfRule>
    <cfRule type="expression" dxfId="110" priority="1602" stopIfTrue="1">
      <formula>ISNUMBER(MATCH(DATE($A$2,$A$1+$A$3-1,B$5),HolidayListNamedRange,0))</formula>
    </cfRule>
    <cfRule type="expression" dxfId="109" priority="1603">
      <formula>OR(B8=$OB$11)</formula>
    </cfRule>
    <cfRule type="expression" dxfId="108" priority="1604">
      <formula>OR(B8=$OB$8,B8=$OB$9,B8=$OB$10)</formula>
    </cfRule>
    <cfRule type="expression" dxfId="107" priority="1605">
      <formula>OR(B8=$OB$12)</formula>
    </cfRule>
  </conditionalFormatting>
  <conditionalFormatting sqref="CG13 CD19:CG19 CF8:CG8">
    <cfRule type="expression" dxfId="106" priority="1801" stopIfTrue="1">
      <formula>AND(CK$5&lt;&gt;"",VLOOKUP(CK$6,$OA$17:$OB$23,2,0)&lt;&gt;"Yes")</formula>
    </cfRule>
    <cfRule type="expression" dxfId="105" priority="1802" stopIfTrue="1">
      <formula>ISNUMBER(MATCH(DATE($A$2,$A$1+$A$3-1,CK$5),HolidayListNamedRange,0))</formula>
    </cfRule>
    <cfRule type="expression" dxfId="104" priority="1803">
      <formula>OR(CD8=$OB$11)</formula>
    </cfRule>
    <cfRule type="expression" dxfId="103" priority="1804">
      <formula>OR(CD8=$OB$8,CD8=$OB$9,CD8=$OB$10)</formula>
    </cfRule>
    <cfRule type="expression" dxfId="102" priority="1805">
      <formula>OR(CD8=$OB$12)</formula>
    </cfRule>
  </conditionalFormatting>
  <conditionalFormatting sqref="I9:I33">
    <cfRule type="expression" dxfId="101" priority="41" stopIfTrue="1">
      <formula>AND(I$5&lt;&gt;"",VLOOKUP(I$6,$OA$17:$OB$23,2,0)&lt;&gt;"Yes")</formula>
    </cfRule>
    <cfRule type="expression" dxfId="100" priority="42" stopIfTrue="1">
      <formula>ISNUMBER(MATCH(DATE($A$2,$A$1+$A$3-1,I$5),HolidayListNamedRange,0))</formula>
    </cfRule>
    <cfRule type="expression" dxfId="99" priority="43">
      <formula>OR(I9=$OB$11)</formula>
    </cfRule>
    <cfRule type="expression" dxfId="98" priority="44">
      <formula>OR(I9=$OB$8,I9=$OB$9,I9=$OB$10)</formula>
    </cfRule>
    <cfRule type="expression" dxfId="97" priority="45">
      <formula>OR(I9=$OB$12)</formula>
    </cfRule>
  </conditionalFormatting>
  <conditionalFormatting sqref="CJ8:CJ50">
    <cfRule type="expression" dxfId="96" priority="36" stopIfTrue="1">
      <formula>AND(CJ$5&lt;&gt;"",VLOOKUP(CJ$6,$OA$17:$OB$23,2,0)&lt;&gt;"Yes")</formula>
    </cfRule>
    <cfRule type="expression" dxfId="95" priority="37" stopIfTrue="1">
      <formula>ISNUMBER(MATCH(DATE($A$2,$A$1+$A$3-1,CJ$5),HolidayListNamedRange,0))</formula>
    </cfRule>
    <cfRule type="expression" dxfId="94" priority="38">
      <formula>OR(CJ8=$OB$11)</formula>
    </cfRule>
    <cfRule type="expression" dxfId="93" priority="39">
      <formula>OR(CJ8=$OB$8,CJ8=$OB$9,CJ8=$OB$10)</formula>
    </cfRule>
    <cfRule type="expression" dxfId="92" priority="40">
      <formula>OR(CJ8=$OB$12)</formula>
    </cfRule>
  </conditionalFormatting>
  <conditionalFormatting sqref="CK8:CK33">
    <cfRule type="expression" dxfId="91" priority="31" stopIfTrue="1">
      <formula>AND(CK$5&lt;&gt;"",VLOOKUP(CK$6,$OA$17:$OB$23,2,0)&lt;&gt;"Yes")</formula>
    </cfRule>
    <cfRule type="expression" dxfId="90" priority="32" stopIfTrue="1">
      <formula>ISNUMBER(MATCH(DATE($A$2,$A$1+$A$3-1,CK$5),HolidayListNamedRange,0))</formula>
    </cfRule>
    <cfRule type="expression" dxfId="89" priority="33">
      <formula>OR(CK8=$OB$11)</formula>
    </cfRule>
    <cfRule type="expression" dxfId="88" priority="34">
      <formula>OR(CK8=$OB$8,CK8=$OB$9,CK8=$OB$10)</formula>
    </cfRule>
    <cfRule type="expression" dxfId="87" priority="35">
      <formula>OR(CK8=$OB$12)</formula>
    </cfRule>
  </conditionalFormatting>
  <conditionalFormatting sqref="CN8">
    <cfRule type="expression" dxfId="86" priority="26" stopIfTrue="1">
      <formula>AND(CN$5&lt;&gt;"",VLOOKUP(CN$6,$OA$17:$OB$23,2,0)&lt;&gt;"Yes")</formula>
    </cfRule>
    <cfRule type="expression" dxfId="85" priority="27" stopIfTrue="1">
      <formula>ISNUMBER(MATCH(DATE($A$2,$A$1+$A$3-1,CN$5),HolidayListNamedRange,0))</formula>
    </cfRule>
    <cfRule type="expression" dxfId="84" priority="28">
      <formula>OR(CN8=$OB$11)</formula>
    </cfRule>
    <cfRule type="expression" dxfId="83" priority="29">
      <formula>OR(CN8=$OB$8,CN8=$OB$9,CN8=$OB$10)</formula>
    </cfRule>
    <cfRule type="expression" dxfId="82" priority="30">
      <formula>OR(CN8=$OB$12)</formula>
    </cfRule>
  </conditionalFormatting>
  <conditionalFormatting sqref="CN13">
    <cfRule type="expression" dxfId="81" priority="21" stopIfTrue="1">
      <formula>AND(CN$5&lt;&gt;"",VLOOKUP(CN$6,$OA$17:$OB$23,2,0)&lt;&gt;"Yes")</formula>
    </cfRule>
    <cfRule type="expression" dxfId="80" priority="22" stopIfTrue="1">
      <formula>ISNUMBER(MATCH(DATE($A$2,$A$1+$A$3-1,CN$5),HolidayListNamedRange,0))</formula>
    </cfRule>
    <cfRule type="expression" dxfId="79" priority="23">
      <formula>OR(CN13=$OB$11)</formula>
    </cfRule>
    <cfRule type="expression" dxfId="78" priority="24">
      <formula>OR(CN13=$OB$8,CN13=$OB$9,CN13=$OB$10)</formula>
    </cfRule>
    <cfRule type="expression" dxfId="77" priority="25">
      <formula>OR(CN13=$OB$12)</formula>
    </cfRule>
  </conditionalFormatting>
  <conditionalFormatting sqref="CQ8:CQ50">
    <cfRule type="expression" dxfId="76" priority="16" stopIfTrue="1">
      <formula>AND(CQ$5&lt;&gt;"",VLOOKUP(CQ$6,$OA$17:$OB$23,2,0)&lt;&gt;"Yes")</formula>
    </cfRule>
    <cfRule type="expression" dxfId="75" priority="17" stopIfTrue="1">
      <formula>ISNUMBER(MATCH(DATE($A$2,$A$1+$A$3-1,CQ$5),HolidayListNamedRange,0))</formula>
    </cfRule>
    <cfRule type="expression" dxfId="74" priority="18">
      <formula>OR(CQ8=$OB$11)</formula>
    </cfRule>
    <cfRule type="expression" dxfId="73" priority="19">
      <formula>OR(CQ8=$OB$8,CQ8=$OB$9,CQ8=$OB$10)</formula>
    </cfRule>
    <cfRule type="expression" dxfId="72" priority="20">
      <formula>OR(CQ8=$OB$12)</formula>
    </cfRule>
  </conditionalFormatting>
  <conditionalFormatting sqref="CW34:CW50">
    <cfRule type="expression" dxfId="71" priority="11" stopIfTrue="1">
      <formula>AND(CW$5&lt;&gt;"",VLOOKUP(CW$6,$OA$17:$OB$23,2,0)&lt;&gt;"Yes")</formula>
    </cfRule>
    <cfRule type="expression" dxfId="70" priority="12" stopIfTrue="1">
      <formula>ISNUMBER(MATCH(DATE($A$2,$A$1+$A$3-1,CW$5),HolidayListNamedRange,0))</formula>
    </cfRule>
    <cfRule type="expression" dxfId="69" priority="13">
      <formula>OR(CW34=$OB$11)</formula>
    </cfRule>
    <cfRule type="expression" dxfId="68" priority="14">
      <formula>OR(CW34=$OB$8,CW34=$OB$9,CW34=$OB$10)</formula>
    </cfRule>
    <cfRule type="expression" dxfId="67" priority="15">
      <formula>OR(CW34=$OB$12)</formula>
    </cfRule>
  </conditionalFormatting>
  <conditionalFormatting sqref="EM8:EM33">
    <cfRule type="expression" dxfId="66" priority="6" stopIfTrue="1">
      <formula>AND(EM$5&lt;&gt;"",VLOOKUP(EM$6,$OA$17:$OB$23,2,0)&lt;&gt;"Yes")</formula>
    </cfRule>
    <cfRule type="expression" dxfId="65" priority="7" stopIfTrue="1">
      <formula>ISNUMBER(MATCH(DATE($A$2,$A$1+$A$3-1,EM$5),HolidayListNamedRange,0))</formula>
    </cfRule>
    <cfRule type="expression" dxfId="64" priority="8">
      <formula>OR(EM8=$OB$11)</formula>
    </cfRule>
    <cfRule type="expression" dxfId="63" priority="9">
      <formula>OR(EM8=$OB$8,EM8=$OB$9,EM8=$OB$10)</formula>
    </cfRule>
    <cfRule type="expression" dxfId="62" priority="10">
      <formula>OR(EM8=$OB$12)</formula>
    </cfRule>
  </conditionalFormatting>
  <conditionalFormatting sqref="FH34:FH50">
    <cfRule type="expression" dxfId="61" priority="1" stopIfTrue="1">
      <formula>AND(FH$5&lt;&gt;"",VLOOKUP(FH$6,$OA$17:$OB$23,2,0)&lt;&gt;"Yes")</formula>
    </cfRule>
    <cfRule type="expression" dxfId="60" priority="2" stopIfTrue="1">
      <formula>ISNUMBER(MATCH(DATE($A$2,$A$1+$A$3-1,FH$5),HolidayListNamedRange,0))</formula>
    </cfRule>
    <cfRule type="expression" dxfId="59" priority="3">
      <formula>OR(FH34=$OB$11)</formula>
    </cfRule>
    <cfRule type="expression" dxfId="58" priority="4">
      <formula>OR(FH34=$OB$8,FH34=$OB$9,FH34=$OB$10)</formula>
    </cfRule>
    <cfRule type="expression" dxfId="57" priority="5">
      <formula>OR(FH34=$OB$12)</formula>
    </cfRule>
  </conditionalFormatting>
  <dataValidations count="4">
    <dataValidation type="list" allowBlank="1" showInputMessage="1" showErrorMessage="1" sqref="OB17:OB23">
      <formula1>"Yes, No"</formula1>
    </dataValidation>
    <dataValidation type="list" allowBlank="1" showInputMessage="1" showErrorMessage="1" sqref="A1">
      <formula1>"1,2,3,4,5,6,7,8,9,10,11,12"</formula1>
    </dataValidation>
    <dataValidation type="custom" allowBlank="1" showErrorMessage="1" errorTitle="Not a Valid Date" error="This isn't a valid Date" sqref="B8:CE8 CH19:CK19 I26:CB26 B25:H26 B19:CC19 J13:CF13 B9:I18 CH8:CL8 CN8:NI8 CN19:NI19 CH13:NI13 I25:NI25 CF26:NI26 J9:NI12 J14:NI18 B20:NI24 B27:NI50">
      <formula1>B$6&lt;&gt;""</formula1>
    </dataValidation>
    <dataValidation type="custom" allowBlank="1" showErrorMessage="1" errorTitle="Not a Valid Date" error="This isn't a valid Date" sqref="CF8:CG8 CG13 CD19:CG19">
      <formula1>CK$6&lt;&gt;""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6"/>
  <sheetViews>
    <sheetView showGridLines="0" topLeftCell="A7" zoomScale="115" zoomScaleNormal="115" workbookViewId="0">
      <selection activeCell="B11" sqref="B11"/>
    </sheetView>
  </sheetViews>
  <sheetFormatPr defaultColWidth="8.796875" defaultRowHeight="14.25" x14ac:dyDescent="0.45"/>
  <cols>
    <col min="1" max="1" width="21.33203125" customWidth="1"/>
    <col min="2" max="2" width="12.06640625" customWidth="1"/>
    <col min="4" max="4" width="10.46484375" bestFit="1" customWidth="1"/>
    <col min="5" max="5" width="12.33203125" customWidth="1"/>
    <col min="6" max="6" width="11.46484375" customWidth="1"/>
    <col min="7" max="7" width="25.59765625" customWidth="1"/>
  </cols>
  <sheetData>
    <row r="1" spans="1:7" x14ac:dyDescent="0.45">
      <c r="A1" s="10" t="s">
        <v>63</v>
      </c>
      <c r="B1" s="11" t="s">
        <v>20</v>
      </c>
      <c r="E1" s="33" t="s">
        <v>36</v>
      </c>
      <c r="F1" s="34" t="s">
        <v>37</v>
      </c>
      <c r="G1" s="35" t="s">
        <v>38</v>
      </c>
    </row>
    <row r="2" spans="1:7" x14ac:dyDescent="0.45">
      <c r="A2" s="40"/>
      <c r="B2" s="19"/>
      <c r="D2" s="6"/>
      <c r="E2" s="29">
        <v>43383</v>
      </c>
      <c r="F2" s="29">
        <v>43550</v>
      </c>
      <c r="G2" s="30">
        <f>DATEDIF(E2,F2,"d") + 1 + (DATEDIF(DATE(YEAR(E2),MONTH(E2),1),DATE(YEAR(F2),MONTH(F2),1),"m")*31 - DATEDIF(DATE(YEAR(E2),MONTH(E2),1),DATE(YEAR(F2),MONTH(F2),1),"d"))</f>
        <v>172</v>
      </c>
    </row>
    <row r="3" spans="1:7" x14ac:dyDescent="0.45">
      <c r="E3" s="31"/>
      <c r="F3" s="31"/>
      <c r="G3" s="31"/>
    </row>
    <row r="4" spans="1:7" x14ac:dyDescent="0.45">
      <c r="E4" s="31"/>
      <c r="F4" s="31"/>
      <c r="G4" s="31"/>
    </row>
    <row r="5" spans="1:7" x14ac:dyDescent="0.45">
      <c r="A5" s="38" t="s">
        <v>39</v>
      </c>
      <c r="B5" s="39" t="s">
        <v>20</v>
      </c>
      <c r="E5" s="31"/>
      <c r="F5" s="31"/>
      <c r="G5" s="31"/>
    </row>
    <row r="6" spans="1:7" x14ac:dyDescent="0.45">
      <c r="A6" s="40" t="s">
        <v>49</v>
      </c>
      <c r="B6" s="19">
        <v>43241</v>
      </c>
      <c r="E6" s="31"/>
      <c r="F6" s="31"/>
      <c r="G6" s="31"/>
    </row>
    <row r="7" spans="1:7" x14ac:dyDescent="0.45">
      <c r="A7" s="40" t="s">
        <v>50</v>
      </c>
      <c r="B7" s="19">
        <v>43283</v>
      </c>
      <c r="E7" s="31"/>
      <c r="F7" s="31"/>
      <c r="G7" s="31"/>
    </row>
    <row r="8" spans="1:7" x14ac:dyDescent="0.45">
      <c r="A8" s="40" t="s">
        <v>51</v>
      </c>
      <c r="B8" s="19">
        <v>43318</v>
      </c>
      <c r="E8" s="31"/>
      <c r="F8" s="31"/>
      <c r="G8" s="31"/>
    </row>
    <row r="9" spans="1:7" x14ac:dyDescent="0.45">
      <c r="A9" s="40" t="s">
        <v>52</v>
      </c>
      <c r="B9" s="19">
        <v>43346</v>
      </c>
      <c r="E9" s="31"/>
      <c r="F9" s="31"/>
      <c r="G9" s="31"/>
    </row>
    <row r="10" spans="1:7" x14ac:dyDescent="0.45">
      <c r="A10" s="40" t="s">
        <v>53</v>
      </c>
      <c r="B10" s="19">
        <v>43381</v>
      </c>
      <c r="E10" s="31"/>
      <c r="F10" s="31"/>
      <c r="G10" s="31"/>
    </row>
    <row r="11" spans="1:7" x14ac:dyDescent="0.45">
      <c r="A11" s="18" t="s">
        <v>54</v>
      </c>
      <c r="B11" s="19">
        <v>43459</v>
      </c>
      <c r="E11" s="31"/>
      <c r="F11" s="31"/>
      <c r="G11" s="31"/>
    </row>
    <row r="12" spans="1:7" x14ac:dyDescent="0.45">
      <c r="A12" s="40" t="s">
        <v>55</v>
      </c>
      <c r="B12" s="19">
        <v>43460</v>
      </c>
      <c r="E12" s="31"/>
      <c r="F12" s="31"/>
      <c r="G12" s="31"/>
    </row>
    <row r="13" spans="1:7" x14ac:dyDescent="0.45">
      <c r="A13" s="40" t="s">
        <v>21</v>
      </c>
      <c r="B13" s="19">
        <v>43466</v>
      </c>
    </row>
    <row r="14" spans="1:7" x14ac:dyDescent="0.45">
      <c r="A14" s="40" t="s">
        <v>56</v>
      </c>
      <c r="B14" s="19">
        <v>43514</v>
      </c>
    </row>
    <row r="15" spans="1:7" x14ac:dyDescent="0.45">
      <c r="E15" s="6"/>
      <c r="F15" s="6"/>
    </row>
    <row r="17" spans="1:2" x14ac:dyDescent="0.45">
      <c r="A17" s="38" t="s">
        <v>40</v>
      </c>
      <c r="B17" s="39" t="s">
        <v>20</v>
      </c>
    </row>
    <row r="18" spans="1:2" x14ac:dyDescent="0.45">
      <c r="A18" s="40" t="s">
        <v>57</v>
      </c>
      <c r="B18" s="19">
        <v>43207</v>
      </c>
    </row>
    <row r="19" spans="1:2" x14ac:dyDescent="0.45">
      <c r="A19" s="40" t="s">
        <v>52</v>
      </c>
      <c r="B19" s="19">
        <v>43221</v>
      </c>
    </row>
    <row r="20" spans="1:2" x14ac:dyDescent="0.45">
      <c r="A20" s="40" t="s">
        <v>58</v>
      </c>
      <c r="B20" s="19">
        <v>43229</v>
      </c>
    </row>
    <row r="21" spans="1:2" x14ac:dyDescent="0.45">
      <c r="A21" s="40" t="s">
        <v>59</v>
      </c>
      <c r="B21" s="19">
        <v>43284</v>
      </c>
    </row>
    <row r="22" spans="1:2" x14ac:dyDescent="0.45">
      <c r="A22" s="40" t="s">
        <v>60</v>
      </c>
      <c r="B22" s="19">
        <v>43411</v>
      </c>
    </row>
    <row r="23" spans="1:2" x14ac:dyDescent="0.45">
      <c r="A23" s="18" t="s">
        <v>54</v>
      </c>
      <c r="B23" s="19">
        <v>43459</v>
      </c>
    </row>
    <row r="24" spans="1:2" x14ac:dyDescent="0.45">
      <c r="A24" s="40" t="s">
        <v>21</v>
      </c>
      <c r="B24" s="19">
        <v>43466</v>
      </c>
    </row>
    <row r="25" spans="1:2" x14ac:dyDescent="0.45">
      <c r="A25" s="40" t="s">
        <v>61</v>
      </c>
      <c r="B25" s="19">
        <v>43472</v>
      </c>
    </row>
    <row r="26" spans="1:2" x14ac:dyDescent="0.45">
      <c r="A26" s="40" t="s">
        <v>62</v>
      </c>
      <c r="B26" s="19">
        <v>43532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8"/>
  <sheetViews>
    <sheetView showGridLines="0" zoomScale="80" zoomScaleNormal="80" workbookViewId="0">
      <selection activeCell="V31" sqref="V31"/>
    </sheetView>
  </sheetViews>
  <sheetFormatPr defaultColWidth="8.796875" defaultRowHeight="14.25" x14ac:dyDescent="0.45"/>
  <cols>
    <col min="1" max="1" width="25.73046875" customWidth="1"/>
    <col min="2" max="2" width="9.06640625" customWidth="1"/>
    <col min="3" max="4" width="9.796875" customWidth="1"/>
    <col min="5" max="5" width="13.33203125" style="45" customWidth="1"/>
    <col min="6" max="6" width="10.46484375" customWidth="1"/>
    <col min="7" max="10" width="9.796875" customWidth="1"/>
    <col min="11" max="11" width="10.796875" customWidth="1"/>
    <col min="15" max="16" width="9.06640625" bestFit="1" customWidth="1"/>
    <col min="17" max="17" width="9.33203125" customWidth="1"/>
    <col min="19" max="19" width="10.73046875" style="45" customWidth="1"/>
  </cols>
  <sheetData>
    <row r="1" spans="1:19" x14ac:dyDescent="0.45">
      <c r="A1" s="45" t="s">
        <v>22</v>
      </c>
      <c r="B1" s="45" t="s">
        <v>97</v>
      </c>
      <c r="C1" s="45" t="s">
        <v>98</v>
      </c>
      <c r="D1" s="45" t="s">
        <v>107</v>
      </c>
      <c r="E1" s="45" t="s">
        <v>118</v>
      </c>
      <c r="F1" s="45" t="s">
        <v>117</v>
      </c>
      <c r="G1" s="45" t="s">
        <v>141</v>
      </c>
      <c r="H1" s="45" t="s">
        <v>142</v>
      </c>
      <c r="I1" s="45" t="s">
        <v>143</v>
      </c>
      <c r="J1" s="45" t="s">
        <v>144</v>
      </c>
      <c r="K1" s="45" t="s">
        <v>145</v>
      </c>
      <c r="L1" t="s">
        <v>146</v>
      </c>
      <c r="M1" t="s">
        <v>147</v>
      </c>
      <c r="N1" t="s">
        <v>148</v>
      </c>
      <c r="O1" s="31" t="s">
        <v>149</v>
      </c>
      <c r="P1" s="31" t="s">
        <v>150</v>
      </c>
      <c r="Q1" t="s">
        <v>151</v>
      </c>
      <c r="R1" t="s">
        <v>152</v>
      </c>
      <c r="S1" s="72" t="s">
        <v>135</v>
      </c>
    </row>
    <row r="2" spans="1:19" x14ac:dyDescent="0.45">
      <c r="A2" t="s">
        <v>71</v>
      </c>
      <c r="B2" s="45" t="s">
        <v>106</v>
      </c>
      <c r="C2" s="45" t="s">
        <v>104</v>
      </c>
      <c r="D2" s="45" t="s">
        <v>119</v>
      </c>
      <c r="E2" s="45" t="s">
        <v>113</v>
      </c>
      <c r="F2" s="47">
        <v>0.75</v>
      </c>
      <c r="G2" s="45">
        <f t="array" aca="1" ref="G2" ca="1">Sheet3!$W$2*$F2*(NETWORKDAYS(VLOOKUP(G$1,Sprints[],2,FALSE), VLOOKUP(G$1,Sprints[],3,FALSE))-SUMPRODUCT((OFFSET(INDIRECT(CELL("address",INDEX('Leave Tracker'!$A$8:$A$92,MATCH($A2,'Leave Tracker'!$A$8:$A$92,0)))),0,31*(VLOOKUP(G$1,Sprints[],5,FALSE))+DAY(VLOOKUP(G$1,Sprints[],2,FALSE)),1,VLOOKUP(G$1,Sprints[],4,FALSE))&lt;&gt;"")*(IF(OFFSET(INDIRECT(CELL("address",INDEX('Leave Tracker'!$A$8:$A$92,MATCH($A2,'Leave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2">
        <f t="array" aca="1" ref="H2" ca="1">Sheet3!$W$2*$F2*(NETWORKDAYS(VLOOKUP(H$1,Sprints[],2,FALSE), VLOOKUP(H$1,Sprints[],3,FALSE))-SUMPRODUCT((OFFSET(INDIRECT(CELL("address",INDEX('Leave Tracker'!$A$8:$A$92,MATCH($A2,'Leave Tracker'!$A$8:$A$92,0)))),0,31*(VLOOKUP(H$1,Sprints[],5,FALSE))+DAY(VLOOKUP(H$1,Sprints[],2,FALSE)),1,VLOOKUP(H$1,Sprints[],4,FALSE))&lt;&gt;"")*(IF(OFFSET(INDIRECT(CELL("address",INDEX('Leave Tracker'!$A$8:$A$92,MATCH($A2,'Leave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2">
        <f t="array" aca="1" ref="I2" ca="1">Sheet3!$W$2*$F2*(NETWORKDAYS(VLOOKUP(I$1,Sprints[],2,FALSE), VLOOKUP(I$1,Sprints[],3,FALSE))-SUMPRODUCT((OFFSET(INDIRECT(CELL("address",INDEX('Leave Tracker'!$A$8:$A$92,MATCH($A2,'Leave Tracker'!$A$8:$A$92,0)))),0,31*(VLOOKUP(I$1,Sprints[],5,FALSE))+DAY(VLOOKUP(I$1,Sprints[],2,FALSE)),1,VLOOKUP(I$1,Sprints[],4,FALSE))&lt;&gt;"")*(IF(OFFSET(INDIRECT(CELL("address",INDEX('Leave Tracker'!$A$8:$A$92,MATCH($A2,'Leave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6.0000000000000009</v>
      </c>
      <c r="J2">
        <f t="array" aca="1" ref="J2" ca="1">Sheet3!$W$2*$F2*(NETWORKDAYS(VLOOKUP(J$1,Sprints[],2,FALSE), VLOOKUP(J$1,Sprints[],3,FALSE))-SUMPRODUCT((OFFSET(INDIRECT(CELL("address",INDEX('Leave Tracker'!$A$8:$A$92,MATCH($A2,'Leave Tracker'!$A$8:$A$92,0)))),0,31*(VLOOKUP(J$1,Sprints[],5,FALSE))+DAY(VLOOKUP(J$1,Sprints[],2,FALSE)),1,VLOOKUP(J$1,Sprints[],4,FALSE))&lt;&gt;"")*(IF(OFFSET(INDIRECT(CELL("address",INDEX('Leave Tracker'!$A$8:$A$92,MATCH($A2,'Leave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2">
        <f t="array" aca="1" ref="K2" ca="1">Sheet3!$W$2*$F2*(NETWORKDAYS(VLOOKUP(K$1,Sprints[],2,FALSE), VLOOKUP(K$1,Sprints[],3,FALSE))-SUMPRODUCT((OFFSET(INDIRECT(CELL("address",INDEX('Leave Tracker'!$A$8:$A$92,MATCH($A2,'Leave Tracker'!$A$8:$A$92,0)))),0,31*(VLOOKUP(K$1,Sprints[],5,FALSE))+DAY(VLOOKUP(K$1,Sprints[],2,FALSE)),1,VLOOKUP(K$1,Sprints[],4,FALSE))&lt;&gt;"")*(IF(OFFSET(INDIRECT(CELL("address",INDEX('Leave Tracker'!$A$8:$A$92,MATCH($A2,'Leave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2">
        <f t="array" aca="1" ref="L2" ca="1">Sheet3!$W$2*$F2*(NETWORKDAYS(VLOOKUP(L$1,Sprints[],2,FALSE), VLOOKUP(L$1,Sprints[],3,FALSE))-SUMPRODUCT((OFFSET(INDIRECT(CELL("address",INDEX('Leave Tracker'!$A$8:$A$92,MATCH($A2,'Leave Tracker'!$A$8:$A$92,0)))),0,31*(VLOOKUP(L$1,Sprints[],5,FALSE))+DAY(VLOOKUP(L$1,Sprints[],2,FALSE)),1,VLOOKUP(L$1,Sprints[],4,FALSE))&lt;&gt;"")*(IF(OFFSET(INDIRECT(CELL("address",INDEX('Leave Tracker'!$A$8:$A$92,MATCH($A2,'Leave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4.2000000000000011</v>
      </c>
      <c r="M2" s="45">
        <f t="array" aca="1" ref="M2" ca="1">Sheet3!$W$2*$F2*(NETWORKDAYS(VLOOKUP(M$1,Sprints[],2,FALSE), VLOOKUP(M$1,Sprints[],3,FALSE))-SUMPRODUCT((OFFSET(INDIRECT(CELL("address",INDEX('Leave Tracker'!$A$8:$A$92,MATCH($A2,'Leave Tracker'!$A$8:$A$92,0)))),0,31*(VLOOKUP(M$1,Sprints[],5,FALSE))+DAY(VLOOKUP(M$1,Sprints[],2,FALSE)),1,VLOOKUP(M$1,Sprints[],4,FALSE))&lt;&gt;"")*(IF(OFFSET(INDIRECT(CELL("address",INDEX('Leave Tracker'!$A$8:$A$92,MATCH($A2,'Leave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6.0000000000000009</v>
      </c>
      <c r="N2">
        <f t="array" aca="1" ref="N2" ca="1">Sheet3!$W$2*$F2*(NETWORKDAYS(VLOOKUP(N$1,Sprints[],2,FALSE), VLOOKUP(N$1,Sprints[],3,FALSE))-SUMPRODUCT((OFFSET(INDIRECT(CELL("address",INDEX('Leave Tracker'!$A$8:$A$92,MATCH($A2,'Leave Tracker'!$A$8:$A$92,0)))),0,31*(VLOOKUP(N$1,Sprints[],5,FALSE))+DAY(VLOOKUP(N$1,Sprints[],2,FALSE)),1,VLOOKUP(N$1,Sprints[],4,FALSE))&lt;&gt;"")*(IF(OFFSET(INDIRECT(CELL("address",INDEX('Leave Tracker'!$A$8:$A$92,MATCH($A2,'Leave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2">
        <f t="array" aca="1" ref="O2" ca="1">Sheet3!$W$2*$F2*(NETWORKDAYS(VLOOKUP(O$1,Sprints[],2,FALSE), VLOOKUP(O$1,Sprints[],3,FALSE))-SUMPRODUCT((OFFSET(INDIRECT(CELL("address",INDEX('Leave Tracker'!$A$8:$A$92,MATCH($A2,'Leave Tracker'!$A$8:$A$92,0)))),0,31*(VLOOKUP(O$1,Sprints[],5,FALSE))+DAY(VLOOKUP(O$1,Sprints[],2,FALSE)),1,VLOOKUP(O$1,Sprints[],4,FALSE))&lt;&gt;"")*(IF(OFFSET(INDIRECT(CELL("address",INDEX('Leave Tracker'!$A$8:$A$92,MATCH($A2,'Leave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2">
        <f t="array" aca="1" ref="P2" ca="1">Sheet3!$W$2*$F2*(NETWORKDAYS(VLOOKUP(P$1,Sprints[],2,FALSE), VLOOKUP(P$1,Sprints[],3,FALSE))-SUMPRODUCT((OFFSET(INDIRECT(CELL("address",INDEX('Leave Tracker'!$A$8:$A$92,MATCH($A2,'Leave Tracker'!$A$8:$A$92,0)))),0,31*(VLOOKUP(P$1,Sprints[],5,FALSE))+DAY(VLOOKUP(P$1,Sprints[],2,FALSE)),1,VLOOKUP(P$1,Sprints[],4,FALSE))&lt;&gt;"")*(IF(OFFSET(INDIRECT(CELL("address",INDEX('Leave Tracker'!$A$8:$A$92,MATCH($A2,'Leave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5.4</v>
      </c>
      <c r="Q2">
        <f t="array" aca="1" ref="Q2" ca="1">Sheet3!$W$2*$F2*(NETWORKDAYS(VLOOKUP(Q$1,Sprints[],2,FALSE), VLOOKUP(Q$1,Sprints[],3,FALSE))-SUMPRODUCT((OFFSET(INDIRECT(CELL("address",INDEX('Leave Tracker'!$A$8:$A$92,MATCH($A2,'Leave Tracker'!$A$8:$A$92,0)))),0,31*(VLOOKUP(Q$1,Sprints[],5,FALSE))+DAY(VLOOKUP(Q$1,Sprints[],2,FALSE)),1,VLOOKUP(Q$1,Sprints[],4,FALSE))&lt;&gt;"")*(IF(OFFSET(INDIRECT(CELL("address",INDEX('Leave Tracker'!$A$8:$A$92,MATCH($A2,'Leave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2">
        <f t="array" aca="1" ref="R2" ca="1">Sheet3!$W$2*$F2*(NETWORKDAYS(VLOOKUP(R$1,Sprints[],2,FALSE), VLOOKUP(R$1,Sprints[],3,FALSE))-SUMPRODUCT((OFFSET(INDIRECT(CELL("address",INDEX('Leave Tracker'!$A$8:$A$92,MATCH($A2,'Leave Tracker'!$A$8:$A$92,0)))),0,31*(VLOOKUP(R$1,Sprints[],5,FALSE))+DAY(VLOOKUP(R$1,Sprints[],2,FALSE)),1,VLOOKUP(R$1,Sprints[],4,FALSE))&lt;&gt;"")*(IF(OFFSET(INDIRECT(CELL("address",INDEX('Leave Tracker'!$A$8:$A$92,MATCH($A2,'Leave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6.0000000000000009</v>
      </c>
      <c r="S2" s="74">
        <f t="array" aca="1" ref="S2" ca="1">Sheet3!$W$2*$F2*(NETWORKDAYS(VLOOKUP(S$1,Sprints[],2,FALSE), VLOOKUP(S$1,Sprints[],3,FALSE))-SUMPRODUCT((OFFSET(INDIRECT(CELL("address",INDEX('Leave Tracker'!$A$8:$A$92,MATCH($A2,'Leave Tracker'!$A$8:$A$92,0)))),0,31*(VLOOKUP(S$1,Sprints[],5,FALSE))+DAY(VLOOKUP(S$1,Sprints[],2,FALSE)),1,VLOOKUP(S$1,Sprints[],4,FALSE))&lt;&gt;"")*(IF(OFFSET(INDIRECT(CELL("address",INDEX('Leave Tracker'!$A$8:$A$92,MATCH($A2,'Leave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63.600000000000009</v>
      </c>
    </row>
    <row r="3" spans="1:19" x14ac:dyDescent="0.45">
      <c r="A3" t="s">
        <v>89</v>
      </c>
      <c r="B3" s="45" t="s">
        <v>103</v>
      </c>
      <c r="C3" s="45" t="s">
        <v>105</v>
      </c>
      <c r="D3" s="45" t="s">
        <v>119</v>
      </c>
      <c r="E3" s="45" t="s">
        <v>112</v>
      </c>
      <c r="F3" s="47">
        <v>0.75</v>
      </c>
      <c r="G3" s="45">
        <f t="array" aca="1" ref="G3" ca="1">Sheet3!$W$2*$F3*(NETWORKDAYS(VLOOKUP(G$1,Sprints[],2,FALSE), VLOOKUP(G$1,Sprints[],3,FALSE))-SUMPRODUCT((OFFSET(INDIRECT(CELL("address",INDEX('Leave Tracker'!$A$8:$A$92,MATCH($A3,'Leave Tracker'!$A$8:$A$92,0)))),0,31*(VLOOKUP(G$1,Sprints[],5,FALSE))+DAY(VLOOKUP(G$1,Sprints[],2,FALSE)),1,VLOOKUP(G$1,Sprints[],4,FALSE))&lt;&gt;"")*(IF(OFFSET(INDIRECT(CELL("address",INDEX('Leave Tracker'!$A$8:$A$92,MATCH($A3,'Leave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3">
        <f t="array" aca="1" ref="H3" ca="1">Sheet3!$W$2*$F3*(NETWORKDAYS(VLOOKUP(H$1,Sprints[],2,FALSE), VLOOKUP(H$1,Sprints[],3,FALSE))-SUMPRODUCT((OFFSET(INDIRECT(CELL("address",INDEX('Leave Tracker'!$A$8:$A$92,MATCH($A3,'Leave Tracker'!$A$8:$A$92,0)))),0,31*(VLOOKUP(H$1,Sprints[],5,FALSE))+DAY(VLOOKUP(H$1,Sprints[],2,FALSE)),1,VLOOKUP(H$1,Sprints[],4,FALSE))&lt;&gt;"")*(IF(OFFSET(INDIRECT(CELL("address",INDEX('Leave Tracker'!$A$8:$A$92,MATCH($A3,'Leave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3">
        <f t="array" aca="1" ref="I3" ca="1">Sheet3!$W$2*$F3*(NETWORKDAYS(VLOOKUP(I$1,Sprints[],2,FALSE), VLOOKUP(I$1,Sprints[],3,FALSE))-SUMPRODUCT((OFFSET(INDIRECT(CELL("address",INDEX('Leave Tracker'!$A$8:$A$92,MATCH($A3,'Leave Tracker'!$A$8:$A$92,0)))),0,31*(VLOOKUP(I$1,Sprints[],5,FALSE))+DAY(VLOOKUP(I$1,Sprints[],2,FALSE)),1,VLOOKUP(I$1,Sprints[],4,FALSE))&lt;&gt;"")*(IF(OFFSET(INDIRECT(CELL("address",INDEX('Leave Tracker'!$A$8:$A$92,MATCH($A3,'Leave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5.4</v>
      </c>
      <c r="J3">
        <f t="array" aca="1" ref="J3" ca="1">Sheet3!$W$2*$F3*(NETWORKDAYS(VLOOKUP(J$1,Sprints[],2,FALSE), VLOOKUP(J$1,Sprints[],3,FALSE))-SUMPRODUCT((OFFSET(INDIRECT(CELL("address",INDEX('Leave Tracker'!$A$8:$A$92,MATCH($A3,'Leave Tracker'!$A$8:$A$92,0)))),0,31*(VLOOKUP(J$1,Sprints[],5,FALSE))+DAY(VLOOKUP(J$1,Sprints[],2,FALSE)),1,VLOOKUP(J$1,Sprints[],4,FALSE))&lt;&gt;"")*(IF(OFFSET(INDIRECT(CELL("address",INDEX('Leave Tracker'!$A$8:$A$92,MATCH($A3,'Leave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3">
        <f t="array" aca="1" ref="K3" ca="1">Sheet3!$W$2*$F3*(NETWORKDAYS(VLOOKUP(K$1,Sprints[],2,FALSE), VLOOKUP(K$1,Sprints[],3,FALSE))-SUMPRODUCT((OFFSET(INDIRECT(CELL("address",INDEX('Leave Tracker'!$A$8:$A$92,MATCH($A3,'Leave Tracker'!$A$8:$A$92,0)))),0,31*(VLOOKUP(K$1,Sprints[],5,FALSE))+DAY(VLOOKUP(K$1,Sprints[],2,FALSE)),1,VLOOKUP(K$1,Sprints[],4,FALSE))&lt;&gt;"")*(IF(OFFSET(INDIRECT(CELL("address",INDEX('Leave Tracker'!$A$8:$A$92,MATCH($A3,'Leave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3">
        <f t="array" aca="1" ref="L3" ca="1">Sheet3!$W$2*$F3*(NETWORKDAYS(VLOOKUP(L$1,Sprints[],2,FALSE), VLOOKUP(L$1,Sprints[],3,FALSE))-SUMPRODUCT((OFFSET(INDIRECT(CELL("address",INDEX('Leave Tracker'!$A$8:$A$92,MATCH($A3,'Leave Tracker'!$A$8:$A$92,0)))),0,31*(VLOOKUP(L$1,Sprints[],5,FALSE))+DAY(VLOOKUP(L$1,Sprints[],2,FALSE)),1,VLOOKUP(L$1,Sprints[],4,FALSE))&lt;&gt;"")*(IF(OFFSET(INDIRECT(CELL("address",INDEX('Leave Tracker'!$A$8:$A$92,MATCH($A3,'Leave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4.8000000000000007</v>
      </c>
      <c r="M3" s="45">
        <f t="array" aca="1" ref="M3" ca="1">Sheet3!$W$2*$F3*(NETWORKDAYS(VLOOKUP(M$1,Sprints[],2,FALSE), VLOOKUP(M$1,Sprints[],3,FALSE))-SUMPRODUCT((OFFSET(INDIRECT(CELL("address",INDEX('Leave Tracker'!$A$8:$A$92,MATCH($A3,'Leave Tracker'!$A$8:$A$92,0)))),0,31*(VLOOKUP(M$1,Sprints[],5,FALSE))+DAY(VLOOKUP(M$1,Sprints[],2,FALSE)),1,VLOOKUP(M$1,Sprints[],4,FALSE))&lt;&gt;"")*(IF(OFFSET(INDIRECT(CELL("address",INDEX('Leave Tracker'!$A$8:$A$92,MATCH($A3,'Leave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5.4</v>
      </c>
      <c r="N3">
        <f t="array" aca="1" ref="N3" ca="1">Sheet3!$W$2*$F3*(NETWORKDAYS(VLOOKUP(N$1,Sprints[],2,FALSE), VLOOKUP(N$1,Sprints[],3,FALSE))-SUMPRODUCT((OFFSET(INDIRECT(CELL("address",INDEX('Leave Tracker'!$A$8:$A$92,MATCH($A3,'Leave Tracker'!$A$8:$A$92,0)))),0,31*(VLOOKUP(N$1,Sprints[],5,FALSE))+DAY(VLOOKUP(N$1,Sprints[],2,FALSE)),1,VLOOKUP(N$1,Sprints[],4,FALSE))&lt;&gt;"")*(IF(OFFSET(INDIRECT(CELL("address",INDEX('Leave Tracker'!$A$8:$A$92,MATCH($A3,'Leave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3">
        <f t="array" aca="1" ref="O3" ca="1">Sheet3!$W$2*$F3*(NETWORKDAYS(VLOOKUP(O$1,Sprints[],2,FALSE), VLOOKUP(O$1,Sprints[],3,FALSE))-SUMPRODUCT((OFFSET(INDIRECT(CELL("address",INDEX('Leave Tracker'!$A$8:$A$92,MATCH($A3,'Leave Tracker'!$A$8:$A$92,0)))),0,31*(VLOOKUP(O$1,Sprints[],5,FALSE))+DAY(VLOOKUP(O$1,Sprints[],2,FALSE)),1,VLOOKUP(O$1,Sprints[],4,FALSE))&lt;&gt;"")*(IF(OFFSET(INDIRECT(CELL("address",INDEX('Leave Tracker'!$A$8:$A$92,MATCH($A3,'Leave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3">
        <f t="array" aca="1" ref="P3" ca="1">Sheet3!$W$2*$F3*(NETWORKDAYS(VLOOKUP(P$1,Sprints[],2,FALSE), VLOOKUP(P$1,Sprints[],3,FALSE))-SUMPRODUCT((OFFSET(INDIRECT(CELL("address",INDEX('Leave Tracker'!$A$8:$A$92,MATCH($A3,'Leave Tracker'!$A$8:$A$92,0)))),0,31*(VLOOKUP(P$1,Sprints[],5,FALSE))+DAY(VLOOKUP(P$1,Sprints[],2,FALSE)),1,VLOOKUP(P$1,Sprints[],4,FALSE))&lt;&gt;"")*(IF(OFFSET(INDIRECT(CELL("address",INDEX('Leave Tracker'!$A$8:$A$92,MATCH($A3,'Leave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6.0000000000000009</v>
      </c>
      <c r="Q3">
        <f t="array" aca="1" ref="Q3" ca="1">Sheet3!$W$2*$F3*(NETWORKDAYS(VLOOKUP(Q$1,Sprints[],2,FALSE), VLOOKUP(Q$1,Sprints[],3,FALSE))-SUMPRODUCT((OFFSET(INDIRECT(CELL("address",INDEX('Leave Tracker'!$A$8:$A$92,MATCH($A3,'Leave Tracker'!$A$8:$A$92,0)))),0,31*(VLOOKUP(Q$1,Sprints[],5,FALSE))+DAY(VLOOKUP(Q$1,Sprints[],2,FALSE)),1,VLOOKUP(Q$1,Sprints[],4,FALSE))&lt;&gt;"")*(IF(OFFSET(INDIRECT(CELL("address",INDEX('Leave Tracker'!$A$8:$A$92,MATCH($A3,'Leave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3">
        <f t="array" aca="1" ref="R3" ca="1">Sheet3!$W$2*$F3*(NETWORKDAYS(VLOOKUP(R$1,Sprints[],2,FALSE), VLOOKUP(R$1,Sprints[],3,FALSE))-SUMPRODUCT((OFFSET(INDIRECT(CELL("address",INDEX('Leave Tracker'!$A$8:$A$92,MATCH($A3,'Leave Tracker'!$A$8:$A$92,0)))),0,31*(VLOOKUP(R$1,Sprints[],5,FALSE))+DAY(VLOOKUP(R$1,Sprints[],2,FALSE)),1,VLOOKUP(R$1,Sprints[],4,FALSE))&lt;&gt;"")*(IF(OFFSET(INDIRECT(CELL("address",INDEX('Leave Tracker'!$A$8:$A$92,MATCH($A3,'Leave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5.4</v>
      </c>
      <c r="S3" s="74">
        <f t="array" aca="1" ref="S3" ca="1">Sheet3!$W$2*$F3*(NETWORKDAYS(VLOOKUP(S$1,Sprints[],2,FALSE), VLOOKUP(S$1,Sprints[],3,FALSE))-SUMPRODUCT((OFFSET(INDIRECT(CELL("address",INDEX('Leave Tracker'!$A$8:$A$92,MATCH($A3,'Leave Tracker'!$A$8:$A$92,0)))),0,31*(VLOOKUP(S$1,Sprints[],5,FALSE))+DAY(VLOOKUP(S$1,Sprints[],2,FALSE)),1,VLOOKUP(S$1,Sprints[],4,FALSE))&lt;&gt;"")*(IF(OFFSET(INDIRECT(CELL("address",INDEX('Leave Tracker'!$A$8:$A$92,MATCH($A3,'Leave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63.000000000000007</v>
      </c>
    </row>
    <row r="4" spans="1:19" x14ac:dyDescent="0.45">
      <c r="A4" t="s">
        <v>92</v>
      </c>
      <c r="B4" s="45" t="s">
        <v>103</v>
      </c>
      <c r="C4" s="45" t="s">
        <v>105</v>
      </c>
      <c r="D4" s="45" t="s">
        <v>120</v>
      </c>
      <c r="E4" s="45" t="s">
        <v>115</v>
      </c>
      <c r="F4" s="47">
        <v>0.75</v>
      </c>
      <c r="G4" s="45">
        <f t="array" aca="1" ref="G4" ca="1">Sheet3!$W$2*$F4*(NETWORKDAYS(VLOOKUP(G$1,Sprints[],2,FALSE), VLOOKUP(G$1,Sprints[],3,FALSE))-SUMPRODUCT((OFFSET(INDIRECT(CELL("address",INDEX('Leave Tracker'!$A$8:$A$92,MATCH($A4,'Leave Tracker'!$A$8:$A$92,0)))),0,31*(VLOOKUP(G$1,Sprints[],5,FALSE))+DAY(VLOOKUP(G$1,Sprints[],2,FALSE)),1,VLOOKUP(G$1,Sprints[],4,FALSE))&lt;&gt;"")*(IF(OFFSET(INDIRECT(CELL("address",INDEX('Leave Tracker'!$A$8:$A$92,MATCH($A4,'Leave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4">
        <f t="array" aca="1" ref="H4" ca="1">Sheet3!$W$2*$F4*(NETWORKDAYS(VLOOKUP(H$1,Sprints[],2,FALSE), VLOOKUP(H$1,Sprints[],3,FALSE))-SUMPRODUCT((OFFSET(INDIRECT(CELL("address",INDEX('Leave Tracker'!$A$8:$A$92,MATCH($A4,'Leave Tracker'!$A$8:$A$92,0)))),0,31*(VLOOKUP(H$1,Sprints[],5,FALSE))+DAY(VLOOKUP(H$1,Sprints[],2,FALSE)),1,VLOOKUP(H$1,Sprints[],4,FALSE))&lt;&gt;"")*(IF(OFFSET(INDIRECT(CELL("address",INDEX('Leave Tracker'!$A$8:$A$92,MATCH($A4,'Leave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4">
        <f t="array" aca="1" ref="I4" ca="1">Sheet3!$W$2*$F4*(NETWORKDAYS(VLOOKUP(I$1,Sprints[],2,FALSE), VLOOKUP(I$1,Sprints[],3,FALSE))-SUMPRODUCT((OFFSET(INDIRECT(CELL("address",INDEX('Leave Tracker'!$A$8:$A$92,MATCH($A4,'Leave Tracker'!$A$8:$A$92,0)))),0,31*(VLOOKUP(I$1,Sprints[],5,FALSE))+DAY(VLOOKUP(I$1,Sprints[],2,FALSE)),1,VLOOKUP(I$1,Sprints[],4,FALSE))&lt;&gt;"")*(IF(OFFSET(INDIRECT(CELL("address",INDEX('Leave Tracker'!$A$8:$A$92,MATCH($A4,'Leave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5.4</v>
      </c>
      <c r="J4">
        <f t="array" aca="1" ref="J4" ca="1">Sheet3!$W$2*$F4*(NETWORKDAYS(VLOOKUP(J$1,Sprints[],2,FALSE), VLOOKUP(J$1,Sprints[],3,FALSE))-SUMPRODUCT((OFFSET(INDIRECT(CELL("address",INDEX('Leave Tracker'!$A$8:$A$92,MATCH($A4,'Leave Tracker'!$A$8:$A$92,0)))),0,31*(VLOOKUP(J$1,Sprints[],5,FALSE))+DAY(VLOOKUP(J$1,Sprints[],2,FALSE)),1,VLOOKUP(J$1,Sprints[],4,FALSE))&lt;&gt;"")*(IF(OFFSET(INDIRECT(CELL("address",INDEX('Leave Tracker'!$A$8:$A$92,MATCH($A4,'Leave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4">
        <f t="array" aca="1" ref="K4" ca="1">Sheet3!$W$2*$F4*(NETWORKDAYS(VLOOKUP(K$1,Sprints[],2,FALSE), VLOOKUP(K$1,Sprints[],3,FALSE))-SUMPRODUCT((OFFSET(INDIRECT(CELL("address",INDEX('Leave Tracker'!$A$8:$A$92,MATCH($A4,'Leave Tracker'!$A$8:$A$92,0)))),0,31*(VLOOKUP(K$1,Sprints[],5,FALSE))+DAY(VLOOKUP(K$1,Sprints[],2,FALSE)),1,VLOOKUP(K$1,Sprints[],4,FALSE))&lt;&gt;"")*(IF(OFFSET(INDIRECT(CELL("address",INDEX('Leave Tracker'!$A$8:$A$92,MATCH($A4,'Leave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4">
        <f t="array" aca="1" ref="L4" ca="1">Sheet3!$W$2*$F4*(NETWORKDAYS(VLOOKUP(L$1,Sprints[],2,FALSE), VLOOKUP(L$1,Sprints[],3,FALSE))-SUMPRODUCT((OFFSET(INDIRECT(CELL("address",INDEX('Leave Tracker'!$A$8:$A$92,MATCH($A4,'Leave Tracker'!$A$8:$A$92,0)))),0,31*(VLOOKUP(L$1,Sprints[],5,FALSE))+DAY(VLOOKUP(L$1,Sprints[],2,FALSE)),1,VLOOKUP(L$1,Sprints[],4,FALSE))&lt;&gt;"")*(IF(OFFSET(INDIRECT(CELL("address",INDEX('Leave Tracker'!$A$8:$A$92,MATCH($A4,'Leave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4.8000000000000007</v>
      </c>
      <c r="M4" s="45">
        <f t="array" aca="1" ref="M4" ca="1">Sheet3!$W$2*$F4*(NETWORKDAYS(VLOOKUP(M$1,Sprints[],2,FALSE), VLOOKUP(M$1,Sprints[],3,FALSE))-SUMPRODUCT((OFFSET(INDIRECT(CELL("address",INDEX('Leave Tracker'!$A$8:$A$92,MATCH($A4,'Leave Tracker'!$A$8:$A$92,0)))),0,31*(VLOOKUP(M$1,Sprints[],5,FALSE))+DAY(VLOOKUP(M$1,Sprints[],2,FALSE)),1,VLOOKUP(M$1,Sprints[],4,FALSE))&lt;&gt;"")*(IF(OFFSET(INDIRECT(CELL("address",INDEX('Leave Tracker'!$A$8:$A$92,MATCH($A4,'Leave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5.4</v>
      </c>
      <c r="N4">
        <f t="array" aca="1" ref="N4" ca="1">Sheet3!$W$2*$F4*(NETWORKDAYS(VLOOKUP(N$1,Sprints[],2,FALSE), VLOOKUP(N$1,Sprints[],3,FALSE))-SUMPRODUCT((OFFSET(INDIRECT(CELL("address",INDEX('Leave Tracker'!$A$8:$A$92,MATCH($A4,'Leave Tracker'!$A$8:$A$92,0)))),0,31*(VLOOKUP(N$1,Sprints[],5,FALSE))+DAY(VLOOKUP(N$1,Sprints[],2,FALSE)),1,VLOOKUP(N$1,Sprints[],4,FALSE))&lt;&gt;"")*(IF(OFFSET(INDIRECT(CELL("address",INDEX('Leave Tracker'!$A$8:$A$92,MATCH($A4,'Leave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4">
        <f t="array" aca="1" ref="O4" ca="1">Sheet3!$W$2*$F4*(NETWORKDAYS(VLOOKUP(O$1,Sprints[],2,FALSE), VLOOKUP(O$1,Sprints[],3,FALSE))-SUMPRODUCT((OFFSET(INDIRECT(CELL("address",INDEX('Leave Tracker'!$A$8:$A$92,MATCH($A4,'Leave Tracker'!$A$8:$A$92,0)))),0,31*(VLOOKUP(O$1,Sprints[],5,FALSE))+DAY(VLOOKUP(O$1,Sprints[],2,FALSE)),1,VLOOKUP(O$1,Sprints[],4,FALSE))&lt;&gt;"")*(IF(OFFSET(INDIRECT(CELL("address",INDEX('Leave Tracker'!$A$8:$A$92,MATCH($A4,'Leave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4">
        <f t="array" aca="1" ref="P4" ca="1">Sheet3!$W$2*$F4*(NETWORKDAYS(VLOOKUP(P$1,Sprints[],2,FALSE), VLOOKUP(P$1,Sprints[],3,FALSE))-SUMPRODUCT((OFFSET(INDIRECT(CELL("address",INDEX('Leave Tracker'!$A$8:$A$92,MATCH($A4,'Leave Tracker'!$A$8:$A$92,0)))),0,31*(VLOOKUP(P$1,Sprints[],5,FALSE))+DAY(VLOOKUP(P$1,Sprints[],2,FALSE)),1,VLOOKUP(P$1,Sprints[],4,FALSE))&lt;&gt;"")*(IF(OFFSET(INDIRECT(CELL("address",INDEX('Leave Tracker'!$A$8:$A$92,MATCH($A4,'Leave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6.0000000000000009</v>
      </c>
      <c r="Q4">
        <f t="array" aca="1" ref="Q4" ca="1">Sheet3!$W$2*$F4*(NETWORKDAYS(VLOOKUP(Q$1,Sprints[],2,FALSE), VLOOKUP(Q$1,Sprints[],3,FALSE))-SUMPRODUCT((OFFSET(INDIRECT(CELL("address",INDEX('Leave Tracker'!$A$8:$A$92,MATCH($A4,'Leave Tracker'!$A$8:$A$92,0)))),0,31*(VLOOKUP(Q$1,Sprints[],5,FALSE))+DAY(VLOOKUP(Q$1,Sprints[],2,FALSE)),1,VLOOKUP(Q$1,Sprints[],4,FALSE))&lt;&gt;"")*(IF(OFFSET(INDIRECT(CELL("address",INDEX('Leave Tracker'!$A$8:$A$92,MATCH($A4,'Leave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4">
        <f t="array" aca="1" ref="R4" ca="1">Sheet3!$W$2*$F4*(NETWORKDAYS(VLOOKUP(R$1,Sprints[],2,FALSE), VLOOKUP(R$1,Sprints[],3,FALSE))-SUMPRODUCT((OFFSET(INDIRECT(CELL("address",INDEX('Leave Tracker'!$A$8:$A$92,MATCH($A4,'Leave Tracker'!$A$8:$A$92,0)))),0,31*(VLOOKUP(R$1,Sprints[],5,FALSE))+DAY(VLOOKUP(R$1,Sprints[],2,FALSE)),1,VLOOKUP(R$1,Sprints[],4,FALSE))&lt;&gt;"")*(IF(OFFSET(INDIRECT(CELL("address",INDEX('Leave Tracker'!$A$8:$A$92,MATCH($A4,'Leave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5.4</v>
      </c>
      <c r="S4" s="74">
        <f t="array" aca="1" ref="S4" ca="1">Sheet3!$W$2*$F4*(NETWORKDAYS(VLOOKUP(S$1,Sprints[],2,FALSE), VLOOKUP(S$1,Sprints[],3,FALSE))-SUMPRODUCT((OFFSET(INDIRECT(CELL("address",INDEX('Leave Tracker'!$A$8:$A$92,MATCH($A4,'Leave Tracker'!$A$8:$A$92,0)))),0,31*(VLOOKUP(S$1,Sprints[],5,FALSE))+DAY(VLOOKUP(S$1,Sprints[],2,FALSE)),1,VLOOKUP(S$1,Sprints[],4,FALSE))&lt;&gt;"")*(IF(OFFSET(INDIRECT(CELL("address",INDEX('Leave Tracker'!$A$8:$A$92,MATCH($A4,'Leave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63.000000000000007</v>
      </c>
    </row>
    <row r="5" spans="1:19" s="45" customFormat="1" x14ac:dyDescent="0.45">
      <c r="A5" s="45" t="s">
        <v>86</v>
      </c>
      <c r="B5" s="45" t="s">
        <v>103</v>
      </c>
      <c r="C5" s="45" t="s">
        <v>105</v>
      </c>
      <c r="D5" s="45" t="s">
        <v>120</v>
      </c>
      <c r="E5" s="45" t="s">
        <v>114</v>
      </c>
      <c r="F5" s="47">
        <v>0.75</v>
      </c>
      <c r="G5" s="45">
        <f t="array" aca="1" ref="G5" ca="1">Sheet3!$W$2*$F5*(NETWORKDAYS(VLOOKUP(G$1,Sprints[],2,FALSE), VLOOKUP(G$1,Sprints[],3,FALSE))-SUMPRODUCT((OFFSET(INDIRECT(CELL("address",INDEX('Leave Tracker'!$A$8:$A$92,MATCH($A5,'Leave Tracker'!$A$8:$A$92,0)))),0,31*(VLOOKUP(G$1,Sprints[],5,FALSE))+DAY(VLOOKUP(G$1,Sprints[],2,FALSE)),1,VLOOKUP(G$1,Sprints[],4,FALSE))&lt;&gt;"")*(IF(OFFSET(INDIRECT(CELL("address",INDEX('Leave Tracker'!$A$8:$A$92,MATCH($A5,'Leave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5" s="45">
        <f t="array" aca="1" ref="H5" ca="1">Sheet3!$W$2*$F5*(NETWORKDAYS(VLOOKUP(H$1,Sprints[],2,FALSE), VLOOKUP(H$1,Sprints[],3,FALSE))-SUMPRODUCT((OFFSET(INDIRECT(CELL("address",INDEX('Leave Tracker'!$A$8:$A$92,MATCH($A5,'Leave Tracker'!$A$8:$A$92,0)))),0,31*(VLOOKUP(H$1,Sprints[],5,FALSE))+DAY(VLOOKUP(H$1,Sprints[],2,FALSE)),1,VLOOKUP(H$1,Sprints[],4,FALSE))&lt;&gt;"")*(IF(OFFSET(INDIRECT(CELL("address",INDEX('Leave Tracker'!$A$8:$A$92,MATCH($A5,'Leave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5" s="45">
        <f t="array" aca="1" ref="I5" ca="1">Sheet3!$W$2*$F5*(NETWORKDAYS(VLOOKUP(I$1,Sprints[],2,FALSE), VLOOKUP(I$1,Sprints[],3,FALSE))-SUMPRODUCT((OFFSET(INDIRECT(CELL("address",INDEX('Leave Tracker'!$A$8:$A$92,MATCH($A5,'Leave Tracker'!$A$8:$A$92,0)))),0,31*(VLOOKUP(I$1,Sprints[],5,FALSE))+DAY(VLOOKUP(I$1,Sprints[],2,FALSE)),1,VLOOKUP(I$1,Sprints[],4,FALSE))&lt;&gt;"")*(IF(OFFSET(INDIRECT(CELL("address",INDEX('Leave Tracker'!$A$8:$A$92,MATCH($A5,'Leave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5.4</v>
      </c>
      <c r="J5" s="45">
        <f t="array" aca="1" ref="J5" ca="1">Sheet3!$W$2*$F5*(NETWORKDAYS(VLOOKUP(J$1,Sprints[],2,FALSE), VLOOKUP(J$1,Sprints[],3,FALSE))-SUMPRODUCT((OFFSET(INDIRECT(CELL("address",INDEX('Leave Tracker'!$A$8:$A$92,MATCH($A5,'Leave Tracker'!$A$8:$A$92,0)))),0,31*(VLOOKUP(J$1,Sprints[],5,FALSE))+DAY(VLOOKUP(J$1,Sprints[],2,FALSE)),1,VLOOKUP(J$1,Sprints[],4,FALSE))&lt;&gt;"")*(IF(OFFSET(INDIRECT(CELL("address",INDEX('Leave Tracker'!$A$8:$A$92,MATCH($A5,'Leave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5" s="45">
        <f t="array" aca="1" ref="K5" ca="1">Sheet3!$W$2*$F5*(NETWORKDAYS(VLOOKUP(K$1,Sprints[],2,FALSE), VLOOKUP(K$1,Sprints[],3,FALSE))-SUMPRODUCT((OFFSET(INDIRECT(CELL("address",INDEX('Leave Tracker'!$A$8:$A$92,MATCH($A5,'Leave Tracker'!$A$8:$A$92,0)))),0,31*(VLOOKUP(K$1,Sprints[],5,FALSE))+DAY(VLOOKUP(K$1,Sprints[],2,FALSE)),1,VLOOKUP(K$1,Sprints[],4,FALSE))&lt;&gt;"")*(IF(OFFSET(INDIRECT(CELL("address",INDEX('Leave Tracker'!$A$8:$A$92,MATCH($A5,'Leave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5" s="45">
        <f t="array" aca="1" ref="L5" ca="1">Sheet3!$W$2*$F5*(NETWORKDAYS(VLOOKUP(L$1,Sprints[],2,FALSE), VLOOKUP(L$1,Sprints[],3,FALSE))-SUMPRODUCT((OFFSET(INDIRECT(CELL("address",INDEX('Leave Tracker'!$A$8:$A$92,MATCH($A5,'Leave Tracker'!$A$8:$A$92,0)))),0,31*(VLOOKUP(L$1,Sprints[],5,FALSE))+DAY(VLOOKUP(L$1,Sprints[],2,FALSE)),1,VLOOKUP(L$1,Sprints[],4,FALSE))&lt;&gt;"")*(IF(OFFSET(INDIRECT(CELL("address",INDEX('Leave Tracker'!$A$8:$A$92,MATCH($A5,'Leave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4.8000000000000007</v>
      </c>
      <c r="M5" s="45">
        <f t="array" aca="1" ref="M5" ca="1">Sheet3!$W$2*$F5*(NETWORKDAYS(VLOOKUP(M$1,Sprints[],2,FALSE), VLOOKUP(M$1,Sprints[],3,FALSE))-SUMPRODUCT((OFFSET(INDIRECT(CELL("address",INDEX('Leave Tracker'!$A$8:$A$92,MATCH($A5,'Leave Tracker'!$A$8:$A$92,0)))),0,31*(VLOOKUP(M$1,Sprints[],5,FALSE))+DAY(VLOOKUP(M$1,Sprints[],2,FALSE)),1,VLOOKUP(M$1,Sprints[],4,FALSE))&lt;&gt;"")*(IF(OFFSET(INDIRECT(CELL("address",INDEX('Leave Tracker'!$A$8:$A$92,MATCH($A5,'Leave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5.4</v>
      </c>
      <c r="N5" s="45">
        <f t="array" aca="1" ref="N5" ca="1">Sheet3!$W$2*$F5*(NETWORKDAYS(VLOOKUP(N$1,Sprints[],2,FALSE), VLOOKUP(N$1,Sprints[],3,FALSE))-SUMPRODUCT((OFFSET(INDIRECT(CELL("address",INDEX('Leave Tracker'!$A$8:$A$92,MATCH($A5,'Leave Tracker'!$A$8:$A$92,0)))),0,31*(VLOOKUP(N$1,Sprints[],5,FALSE))+DAY(VLOOKUP(N$1,Sprints[],2,FALSE)),1,VLOOKUP(N$1,Sprints[],4,FALSE))&lt;&gt;"")*(IF(OFFSET(INDIRECT(CELL("address",INDEX('Leave Tracker'!$A$8:$A$92,MATCH($A5,'Leave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5" s="45">
        <f t="array" aca="1" ref="O5" ca="1">Sheet3!$W$2*$F5*(NETWORKDAYS(VLOOKUP(O$1,Sprints[],2,FALSE), VLOOKUP(O$1,Sprints[],3,FALSE))-SUMPRODUCT((OFFSET(INDIRECT(CELL("address",INDEX('Leave Tracker'!$A$8:$A$92,MATCH($A5,'Leave Tracker'!$A$8:$A$92,0)))),0,31*(VLOOKUP(O$1,Sprints[],5,FALSE))+DAY(VLOOKUP(O$1,Sprints[],2,FALSE)),1,VLOOKUP(O$1,Sprints[],4,FALSE))&lt;&gt;"")*(IF(OFFSET(INDIRECT(CELL("address",INDEX('Leave Tracker'!$A$8:$A$92,MATCH($A5,'Leave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5" s="45">
        <f t="array" aca="1" ref="P5" ca="1">Sheet3!$W$2*$F5*(NETWORKDAYS(VLOOKUP(P$1,Sprints[],2,FALSE), VLOOKUP(P$1,Sprints[],3,FALSE))-SUMPRODUCT((OFFSET(INDIRECT(CELL("address",INDEX('Leave Tracker'!$A$8:$A$92,MATCH($A5,'Leave Tracker'!$A$8:$A$92,0)))),0,31*(VLOOKUP(P$1,Sprints[],5,FALSE))+DAY(VLOOKUP(P$1,Sprints[],2,FALSE)),1,VLOOKUP(P$1,Sprints[],4,FALSE))&lt;&gt;"")*(IF(OFFSET(INDIRECT(CELL("address",INDEX('Leave Tracker'!$A$8:$A$92,MATCH($A5,'Leave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6.0000000000000009</v>
      </c>
      <c r="Q5" s="45">
        <f t="array" aca="1" ref="Q5" ca="1">Sheet3!$W$2*$F5*(NETWORKDAYS(VLOOKUP(Q$1,Sprints[],2,FALSE), VLOOKUP(Q$1,Sprints[],3,FALSE))-SUMPRODUCT((OFFSET(INDIRECT(CELL("address",INDEX('Leave Tracker'!$A$8:$A$92,MATCH($A5,'Leave Tracker'!$A$8:$A$92,0)))),0,31*(VLOOKUP(Q$1,Sprints[],5,FALSE))+DAY(VLOOKUP(Q$1,Sprints[],2,FALSE)),1,VLOOKUP(Q$1,Sprints[],4,FALSE))&lt;&gt;"")*(IF(OFFSET(INDIRECT(CELL("address",INDEX('Leave Tracker'!$A$8:$A$92,MATCH($A5,'Leave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5" s="45">
        <f t="array" aca="1" ref="R5" ca="1">Sheet3!$W$2*$F5*(NETWORKDAYS(VLOOKUP(R$1,Sprints[],2,FALSE), VLOOKUP(R$1,Sprints[],3,FALSE))-SUMPRODUCT((OFFSET(INDIRECT(CELL("address",INDEX('Leave Tracker'!$A$8:$A$92,MATCH($A5,'Leave Tracker'!$A$8:$A$92,0)))),0,31*(VLOOKUP(R$1,Sprints[],5,FALSE))+DAY(VLOOKUP(R$1,Sprints[],2,FALSE)),1,VLOOKUP(R$1,Sprints[],4,FALSE))&lt;&gt;"")*(IF(OFFSET(INDIRECT(CELL("address",INDEX('Leave Tracker'!$A$8:$A$92,MATCH($A5,'Leave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5.4</v>
      </c>
      <c r="S5" s="74">
        <f t="array" aca="1" ref="S5" ca="1">Sheet3!$W$2*$F5*(NETWORKDAYS(VLOOKUP(S$1,Sprints[],2,FALSE), VLOOKUP(S$1,Sprints[],3,FALSE))-SUMPRODUCT((OFFSET(INDIRECT(CELL("address",INDEX('Leave Tracker'!$A$8:$A$92,MATCH($A5,'Leave Tracker'!$A$8:$A$92,0)))),0,31*(VLOOKUP(S$1,Sprints[],5,FALSE))+DAY(VLOOKUP(S$1,Sprints[],2,FALSE)),1,VLOOKUP(S$1,Sprints[],4,FALSE))&lt;&gt;"")*(IF(OFFSET(INDIRECT(CELL("address",INDEX('Leave Tracker'!$A$8:$A$92,MATCH($A5,'Leave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63.000000000000007</v>
      </c>
    </row>
    <row r="6" spans="1:19" x14ac:dyDescent="0.45">
      <c r="A6" t="s">
        <v>42</v>
      </c>
      <c r="B6" s="45" t="s">
        <v>99</v>
      </c>
      <c r="C6" s="45" t="s">
        <v>104</v>
      </c>
      <c r="D6" s="45" t="s">
        <v>119</v>
      </c>
      <c r="E6" s="45" t="s">
        <v>111</v>
      </c>
      <c r="F6" s="47">
        <v>0.5</v>
      </c>
      <c r="G6" s="45">
        <f t="array" aca="1" ref="G6" ca="1">Sheet3!$W$2*$F6*(NETWORKDAYS(VLOOKUP(G$1,Sprints[],2,FALSE), VLOOKUP(G$1,Sprints[],3,FALSE))-SUMPRODUCT((OFFSET(INDIRECT(CELL("address",INDEX('Leave Tracker'!$A$8:$A$92,MATCH($A6,'Leave Tracker'!$A$8:$A$92,0)))),0,31*(VLOOKUP(G$1,Sprints[],5,FALSE))+DAY(VLOOKUP(G$1,Sprints[],2,FALSE)),1,VLOOKUP(G$1,Sprints[],4,FALSE))&lt;&gt;"")*(IF(OFFSET(INDIRECT(CELL("address",INDEX('Leave Tracker'!$A$8:$A$92,MATCH($A6,'Leave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2</v>
      </c>
      <c r="H6">
        <f t="array" aca="1" ref="H6" ca="1">Sheet3!$W$2*$F6*(NETWORKDAYS(VLOOKUP(H$1,Sprints[],2,FALSE), VLOOKUP(H$1,Sprints[],3,FALSE))-SUMPRODUCT((OFFSET(INDIRECT(CELL("address",INDEX('Leave Tracker'!$A$8:$A$92,MATCH($A6,'Leave Tracker'!$A$8:$A$92,0)))),0,31*(VLOOKUP(H$1,Sprints[],5,FALSE))+DAY(VLOOKUP(H$1,Sprints[],2,FALSE)),1,VLOOKUP(H$1,Sprints[],4,FALSE))&lt;&gt;"")*(IF(OFFSET(INDIRECT(CELL("address",INDEX('Leave Tracker'!$A$8:$A$92,MATCH($A6,'Leave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4</v>
      </c>
      <c r="I6">
        <f t="array" aca="1" ref="I6" ca="1">Sheet3!$W$2*$F6*(NETWORKDAYS(VLOOKUP(I$1,Sprints[],2,FALSE), VLOOKUP(I$1,Sprints[],3,FALSE))-SUMPRODUCT((OFFSET(INDIRECT(CELL("address",INDEX('Leave Tracker'!$A$8:$A$92,MATCH($A6,'Leave Tracker'!$A$8:$A$92,0)))),0,31*(VLOOKUP(I$1,Sprints[],5,FALSE))+DAY(VLOOKUP(I$1,Sprints[],2,FALSE)),1,VLOOKUP(I$1,Sprints[],4,FALSE))&lt;&gt;"")*(IF(OFFSET(INDIRECT(CELL("address",INDEX('Leave Tracker'!$A$8:$A$92,MATCH($A6,'Leave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4</v>
      </c>
      <c r="J6">
        <f t="array" aca="1" ref="J6" ca="1">Sheet3!$W$2*$F6*(NETWORKDAYS(VLOOKUP(J$1,Sprints[],2,FALSE), VLOOKUP(J$1,Sprints[],3,FALSE))-SUMPRODUCT((OFFSET(INDIRECT(CELL("address",INDEX('Leave Tracker'!$A$8:$A$92,MATCH($A6,'Leave Tracker'!$A$8:$A$92,0)))),0,31*(VLOOKUP(J$1,Sprints[],5,FALSE))+DAY(VLOOKUP(J$1,Sprints[],2,FALSE)),1,VLOOKUP(J$1,Sprints[],4,FALSE))&lt;&gt;"")*(IF(OFFSET(INDIRECT(CELL("address",INDEX('Leave Tracker'!$A$8:$A$92,MATCH($A6,'Leave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4</v>
      </c>
      <c r="K6">
        <f t="array" aca="1" ref="K6" ca="1">Sheet3!$W$2*$F6*(NETWORKDAYS(VLOOKUP(K$1,Sprints[],2,FALSE), VLOOKUP(K$1,Sprints[],3,FALSE))-SUMPRODUCT((OFFSET(INDIRECT(CELL("address",INDEX('Leave Tracker'!$A$8:$A$92,MATCH($A6,'Leave Tracker'!$A$8:$A$92,0)))),0,31*(VLOOKUP(K$1,Sprints[],5,FALSE))+DAY(VLOOKUP(K$1,Sprints[],2,FALSE)),1,VLOOKUP(K$1,Sprints[],4,FALSE))&lt;&gt;"")*(IF(OFFSET(INDIRECT(CELL("address",INDEX('Leave Tracker'!$A$8:$A$92,MATCH($A6,'Leave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4</v>
      </c>
      <c r="L6">
        <f t="array" aca="1" ref="L6" ca="1">Sheet3!$W$2*$F6*(NETWORKDAYS(VLOOKUP(L$1,Sprints[],2,FALSE), VLOOKUP(L$1,Sprints[],3,FALSE))-SUMPRODUCT((OFFSET(INDIRECT(CELL("address",INDEX('Leave Tracker'!$A$8:$A$92,MATCH($A6,'Leave Tracker'!$A$8:$A$92,0)))),0,31*(VLOOKUP(L$1,Sprints[],5,FALSE))+DAY(VLOOKUP(L$1,Sprints[],2,FALSE)),1,VLOOKUP(L$1,Sprints[],4,FALSE))&lt;&gt;"")*(IF(OFFSET(INDIRECT(CELL("address",INDEX('Leave Tracker'!$A$8:$A$92,MATCH($A6,'Leave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2.8000000000000003</v>
      </c>
      <c r="M6" s="45">
        <f t="array" aca="1" ref="M6" ca="1">Sheet3!$W$2*$F6*(NETWORKDAYS(VLOOKUP(M$1,Sprints[],2,FALSE), VLOOKUP(M$1,Sprints[],3,FALSE))-SUMPRODUCT((OFFSET(INDIRECT(CELL("address",INDEX('Leave Tracker'!$A$8:$A$92,MATCH($A6,'Leave Tracker'!$A$8:$A$92,0)))),0,31*(VLOOKUP(M$1,Sprints[],5,FALSE))+DAY(VLOOKUP(M$1,Sprints[],2,FALSE)),1,VLOOKUP(M$1,Sprints[],4,FALSE))&lt;&gt;"")*(IF(OFFSET(INDIRECT(CELL("address",INDEX('Leave Tracker'!$A$8:$A$92,MATCH($A6,'Leave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4</v>
      </c>
      <c r="N6">
        <f t="array" aca="1" ref="N6" ca="1">Sheet3!$W$2*$F6*(NETWORKDAYS(VLOOKUP(N$1,Sprints[],2,FALSE), VLOOKUP(N$1,Sprints[],3,FALSE))-SUMPRODUCT((OFFSET(INDIRECT(CELL("address",INDEX('Leave Tracker'!$A$8:$A$92,MATCH($A6,'Leave Tracker'!$A$8:$A$92,0)))),0,31*(VLOOKUP(N$1,Sprints[],5,FALSE))+DAY(VLOOKUP(N$1,Sprints[],2,FALSE)),1,VLOOKUP(N$1,Sprints[],4,FALSE))&lt;&gt;"")*(IF(OFFSET(INDIRECT(CELL("address",INDEX('Leave Tracker'!$A$8:$A$92,MATCH($A6,'Leave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2</v>
      </c>
      <c r="O6">
        <f t="array" aca="1" ref="O6" ca="1">Sheet3!$W$2*$F6*(NETWORKDAYS(VLOOKUP(O$1,Sprints[],2,FALSE), VLOOKUP(O$1,Sprints[],3,FALSE))-SUMPRODUCT((OFFSET(INDIRECT(CELL("address",INDEX('Leave Tracker'!$A$8:$A$92,MATCH($A6,'Leave Tracker'!$A$8:$A$92,0)))),0,31*(VLOOKUP(O$1,Sprints[],5,FALSE))+DAY(VLOOKUP(O$1,Sprints[],2,FALSE)),1,VLOOKUP(O$1,Sprints[],4,FALSE))&lt;&gt;"")*(IF(OFFSET(INDIRECT(CELL("address",INDEX('Leave Tracker'!$A$8:$A$92,MATCH($A6,'Leave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4</v>
      </c>
      <c r="P6">
        <f t="array" aca="1" ref="P6" ca="1">Sheet3!$W$2*$F6*(NETWORKDAYS(VLOOKUP(P$1,Sprints[],2,FALSE), VLOOKUP(P$1,Sprints[],3,FALSE))-SUMPRODUCT((OFFSET(INDIRECT(CELL("address",INDEX('Leave Tracker'!$A$8:$A$92,MATCH($A6,'Leave Tracker'!$A$8:$A$92,0)))),0,31*(VLOOKUP(P$1,Sprints[],5,FALSE))+DAY(VLOOKUP(P$1,Sprints[],2,FALSE)),1,VLOOKUP(P$1,Sprints[],4,FALSE))&lt;&gt;"")*(IF(OFFSET(INDIRECT(CELL("address",INDEX('Leave Tracker'!$A$8:$A$92,MATCH($A6,'Leave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3.6</v>
      </c>
      <c r="Q6">
        <f t="array" aca="1" ref="Q6" ca="1">Sheet3!$W$2*$F6*(NETWORKDAYS(VLOOKUP(Q$1,Sprints[],2,FALSE), VLOOKUP(Q$1,Sprints[],3,FALSE))-SUMPRODUCT((OFFSET(INDIRECT(CELL("address",INDEX('Leave Tracker'!$A$8:$A$92,MATCH($A6,'Leave Tracker'!$A$8:$A$92,0)))),0,31*(VLOOKUP(Q$1,Sprints[],5,FALSE))+DAY(VLOOKUP(Q$1,Sprints[],2,FALSE)),1,VLOOKUP(Q$1,Sprints[],4,FALSE))&lt;&gt;"")*(IF(OFFSET(INDIRECT(CELL("address",INDEX('Leave Tracker'!$A$8:$A$92,MATCH($A6,'Leave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4</v>
      </c>
      <c r="R6">
        <f t="array" aca="1" ref="R6" ca="1">Sheet3!$W$2*$F6*(NETWORKDAYS(VLOOKUP(R$1,Sprints[],2,FALSE), VLOOKUP(R$1,Sprints[],3,FALSE))-SUMPRODUCT((OFFSET(INDIRECT(CELL("address",INDEX('Leave Tracker'!$A$8:$A$92,MATCH($A6,'Leave Tracker'!$A$8:$A$92,0)))),0,31*(VLOOKUP(R$1,Sprints[],5,FALSE))+DAY(VLOOKUP(R$1,Sprints[],2,FALSE)),1,VLOOKUP(R$1,Sprints[],4,FALSE))&lt;&gt;"")*(IF(OFFSET(INDIRECT(CELL("address",INDEX('Leave Tracker'!$A$8:$A$92,MATCH($A6,'Leave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4</v>
      </c>
      <c r="S6" s="74">
        <f t="array" aca="1" ref="S6" ca="1">Sheet3!$W$2*$F6*(NETWORKDAYS(VLOOKUP(S$1,Sprints[],2,FALSE), VLOOKUP(S$1,Sprints[],3,FALSE))-SUMPRODUCT((OFFSET(INDIRECT(CELL("address",INDEX('Leave Tracker'!$A$8:$A$92,MATCH($A6,'Leave Tracker'!$A$8:$A$92,0)))),0,31*(VLOOKUP(S$1,Sprints[],5,FALSE))+DAY(VLOOKUP(S$1,Sprints[],2,FALSE)),1,VLOOKUP(S$1,Sprints[],4,FALSE))&lt;&gt;"")*(IF(OFFSET(INDIRECT(CELL("address",INDEX('Leave Tracker'!$A$8:$A$92,MATCH($A6,'Leave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42.400000000000006</v>
      </c>
    </row>
    <row r="7" spans="1:19" x14ac:dyDescent="0.45">
      <c r="A7" s="80" t="s">
        <v>139</v>
      </c>
      <c r="B7" s="80" t="s">
        <v>106</v>
      </c>
      <c r="C7" s="80" t="s">
        <v>105</v>
      </c>
      <c r="D7" s="80" t="s">
        <v>120</v>
      </c>
      <c r="E7" s="80" t="s">
        <v>115</v>
      </c>
      <c r="F7" s="81">
        <v>0.75</v>
      </c>
      <c r="G7" s="79">
        <f t="array" aca="1" ref="G7" ca="1">Sheet3!$W$2*$F7*(NETWORKDAYS(VLOOKUP(G$1,Sprints[],2,FALSE), VLOOKUP(G$1,Sprints[],3,FALSE))-SUMPRODUCT((OFFSET(INDIRECT(CELL("address",INDEX('Leave Tracker'!$A$8:$A$92,MATCH($A7,'Leave Tracker'!$A$8:$A$92,0)))),0,31*(VLOOKUP(G$1,Sprints[],5,FALSE))+DAY(VLOOKUP(G$1,Sprints[],2,FALSE)),1,VLOOKUP(G$1,Sprints[],4,FALSE))&lt;&gt;"")*(IF(OFFSET(INDIRECT(CELL("address",INDEX('Leave Tracker'!$A$8:$A$92,MATCH($A7,'Leave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7" s="79">
        <f t="array" aca="1" ref="H7" ca="1">Sheet3!$W$2*$F7*(NETWORKDAYS(VLOOKUP(H$1,Sprints[],2,FALSE), VLOOKUP(H$1,Sprints[],3,FALSE))-SUMPRODUCT((OFFSET(INDIRECT(CELL("address",INDEX('Leave Tracker'!$A$8:$A$92,MATCH($A7,'Leave Tracker'!$A$8:$A$92,0)))),0,31*(VLOOKUP(H$1,Sprints[],5,FALSE))+DAY(VLOOKUP(H$1,Sprints[],2,FALSE)),1,VLOOKUP(H$1,Sprints[],4,FALSE))&lt;&gt;"")*(IF(OFFSET(INDIRECT(CELL("address",INDEX('Leave Tracker'!$A$8:$A$92,MATCH($A7,'Leave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7" s="79">
        <f t="array" aca="1" ref="I7" ca="1">Sheet3!$W$2*$F7*(NETWORKDAYS(VLOOKUP(I$1,Sprints[],2,FALSE), VLOOKUP(I$1,Sprints[],3,FALSE))-SUMPRODUCT((OFFSET(INDIRECT(CELL("address",INDEX('Leave Tracker'!$A$8:$A$92,MATCH($A7,'Leave Tracker'!$A$8:$A$92,0)))),0,31*(VLOOKUP(I$1,Sprints[],5,FALSE))+DAY(VLOOKUP(I$1,Sprints[],2,FALSE)),1,VLOOKUP(I$1,Sprints[],4,FALSE))&lt;&gt;"")*(IF(OFFSET(INDIRECT(CELL("address",INDEX('Leave Tracker'!$A$8:$A$92,MATCH($A7,'Leave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5.4</v>
      </c>
      <c r="J7" s="79">
        <f t="array" aca="1" ref="J7" ca="1">Sheet3!$W$2*$F7*(NETWORKDAYS(VLOOKUP(J$1,Sprints[],2,FALSE), VLOOKUP(J$1,Sprints[],3,FALSE))-SUMPRODUCT((OFFSET(INDIRECT(CELL("address",INDEX('Leave Tracker'!$A$8:$A$92,MATCH($A7,'Leave Tracker'!$A$8:$A$92,0)))),0,31*(VLOOKUP(J$1,Sprints[],5,FALSE))+DAY(VLOOKUP(J$1,Sprints[],2,FALSE)),1,VLOOKUP(J$1,Sprints[],4,FALSE))&lt;&gt;"")*(IF(OFFSET(INDIRECT(CELL("address",INDEX('Leave Tracker'!$A$8:$A$92,MATCH($A7,'Leave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7" s="79">
        <f t="array" aca="1" ref="K7" ca="1">Sheet3!$W$2*$F7*(NETWORKDAYS(VLOOKUP(K$1,Sprints[],2,FALSE), VLOOKUP(K$1,Sprints[],3,FALSE))-SUMPRODUCT((OFFSET(INDIRECT(CELL("address",INDEX('Leave Tracker'!$A$8:$A$92,MATCH($A7,'Leave Tracker'!$A$8:$A$92,0)))),0,31*(VLOOKUP(K$1,Sprints[],5,FALSE))+DAY(VLOOKUP(K$1,Sprints[],2,FALSE)),1,VLOOKUP(K$1,Sprints[],4,FALSE))&lt;&gt;"")*(IF(OFFSET(INDIRECT(CELL("address",INDEX('Leave Tracker'!$A$8:$A$92,MATCH($A7,'Leave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7" s="79">
        <f t="array" aca="1" ref="L7" ca="1">Sheet3!$W$2*$F7*(NETWORKDAYS(VLOOKUP(L$1,Sprints[],2,FALSE), VLOOKUP(L$1,Sprints[],3,FALSE))-SUMPRODUCT((OFFSET(INDIRECT(CELL("address",INDEX('Leave Tracker'!$A$8:$A$92,MATCH($A7,'Leave Tracker'!$A$8:$A$92,0)))),0,31*(VLOOKUP(L$1,Sprints[],5,FALSE))+DAY(VLOOKUP(L$1,Sprints[],2,FALSE)),1,VLOOKUP(L$1,Sprints[],4,FALSE))&lt;&gt;"")*(IF(OFFSET(INDIRECT(CELL("address",INDEX('Leave Tracker'!$A$8:$A$92,MATCH($A7,'Leave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4.8000000000000007</v>
      </c>
      <c r="M7" s="79">
        <f t="array" aca="1" ref="M7" ca="1">Sheet3!$W$2*$F7*(NETWORKDAYS(VLOOKUP(M$1,Sprints[],2,FALSE), VLOOKUP(M$1,Sprints[],3,FALSE))-SUMPRODUCT((OFFSET(INDIRECT(CELL("address",INDEX('Leave Tracker'!$A$8:$A$92,MATCH($A7,'Leave Tracker'!$A$8:$A$92,0)))),0,31*(VLOOKUP(M$1,Sprints[],5,FALSE))+DAY(VLOOKUP(M$1,Sprints[],2,FALSE)),1,VLOOKUP(M$1,Sprints[],4,FALSE))&lt;&gt;"")*(IF(OFFSET(INDIRECT(CELL("address",INDEX('Leave Tracker'!$A$8:$A$92,MATCH($A7,'Leave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5.4</v>
      </c>
      <c r="N7" s="79">
        <f t="array" aca="1" ref="N7" ca="1">Sheet3!$W$2*$F7*(NETWORKDAYS(VLOOKUP(N$1,Sprints[],2,FALSE), VLOOKUP(N$1,Sprints[],3,FALSE))-SUMPRODUCT((OFFSET(INDIRECT(CELL("address",INDEX('Leave Tracker'!$A$8:$A$92,MATCH($A7,'Leave Tracker'!$A$8:$A$92,0)))),0,31*(VLOOKUP(N$1,Sprints[],5,FALSE))+DAY(VLOOKUP(N$1,Sprints[],2,FALSE)),1,VLOOKUP(N$1,Sprints[],4,FALSE))&lt;&gt;"")*(IF(OFFSET(INDIRECT(CELL("address",INDEX('Leave Tracker'!$A$8:$A$92,MATCH($A7,'Leave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7" s="79">
        <f t="array" aca="1" ref="O7" ca="1">Sheet3!$W$2*$F7*(NETWORKDAYS(VLOOKUP(O$1,Sprints[],2,FALSE), VLOOKUP(O$1,Sprints[],3,FALSE))-SUMPRODUCT((OFFSET(INDIRECT(CELL("address",INDEX('Leave Tracker'!$A$8:$A$92,MATCH($A7,'Leave Tracker'!$A$8:$A$92,0)))),0,31*(VLOOKUP(O$1,Sprints[],5,FALSE))+DAY(VLOOKUP(O$1,Sprints[],2,FALSE)),1,VLOOKUP(O$1,Sprints[],4,FALSE))&lt;&gt;"")*(IF(OFFSET(INDIRECT(CELL("address",INDEX('Leave Tracker'!$A$8:$A$92,MATCH($A7,'Leave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7" s="79">
        <f t="array" aca="1" ref="P7" ca="1">Sheet3!$W$2*$F7*(NETWORKDAYS(VLOOKUP(P$1,Sprints[],2,FALSE), VLOOKUP(P$1,Sprints[],3,FALSE))-SUMPRODUCT((OFFSET(INDIRECT(CELL("address",INDEX('Leave Tracker'!$A$8:$A$92,MATCH($A7,'Leave Tracker'!$A$8:$A$92,0)))),0,31*(VLOOKUP(P$1,Sprints[],5,FALSE))+DAY(VLOOKUP(P$1,Sprints[],2,FALSE)),1,VLOOKUP(P$1,Sprints[],4,FALSE))&lt;&gt;"")*(IF(OFFSET(INDIRECT(CELL("address",INDEX('Leave Tracker'!$A$8:$A$92,MATCH($A7,'Leave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6.0000000000000009</v>
      </c>
      <c r="Q7" s="79">
        <f t="array" aca="1" ref="Q7" ca="1">Sheet3!$W$2*$F7*(NETWORKDAYS(VLOOKUP(Q$1,Sprints[],2,FALSE), VLOOKUP(Q$1,Sprints[],3,FALSE))-SUMPRODUCT((OFFSET(INDIRECT(CELL("address",INDEX('Leave Tracker'!$A$8:$A$92,MATCH($A7,'Leave Tracker'!$A$8:$A$92,0)))),0,31*(VLOOKUP(Q$1,Sprints[],5,FALSE))+DAY(VLOOKUP(Q$1,Sprints[],2,FALSE)),1,VLOOKUP(Q$1,Sprints[],4,FALSE))&lt;&gt;"")*(IF(OFFSET(INDIRECT(CELL("address",INDEX('Leave Tracker'!$A$8:$A$92,MATCH($A7,'Leave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7" s="79">
        <f t="array" aca="1" ref="R7" ca="1">Sheet3!$W$2*$F7*(NETWORKDAYS(VLOOKUP(R$1,Sprints[],2,FALSE), VLOOKUP(R$1,Sprints[],3,FALSE))-SUMPRODUCT((OFFSET(INDIRECT(CELL("address",INDEX('Leave Tracker'!$A$8:$A$92,MATCH($A7,'Leave Tracker'!$A$8:$A$92,0)))),0,31*(VLOOKUP(R$1,Sprints[],5,FALSE))+DAY(VLOOKUP(R$1,Sprints[],2,FALSE)),1,VLOOKUP(R$1,Sprints[],4,FALSE))&lt;&gt;"")*(IF(OFFSET(INDIRECT(CELL("address",INDEX('Leave Tracker'!$A$8:$A$92,MATCH($A7,'Leave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5.4</v>
      </c>
      <c r="S7" s="74">
        <f t="array" aca="1" ref="S7" ca="1">Sheet3!$W$2*$F7*(NETWORKDAYS(VLOOKUP(S$1,Sprints[],2,FALSE), VLOOKUP(S$1,Sprints[],3,FALSE))-SUMPRODUCT((OFFSET(INDIRECT(CELL("address",INDEX('Leave Tracker'!$A$8:$A$92,MATCH($A7,'Leave Tracker'!$A$8:$A$92,0)))),0,31*(VLOOKUP(S$1,Sprints[],5,FALSE))+DAY(VLOOKUP(S$1,Sprints[],2,FALSE)),1,VLOOKUP(S$1,Sprints[],4,FALSE))&lt;&gt;"")*(IF(OFFSET(INDIRECT(CELL("address",INDEX('Leave Tracker'!$A$8:$A$92,MATCH($A7,'Leave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63.000000000000007</v>
      </c>
    </row>
    <row r="8" spans="1:19" x14ac:dyDescent="0.45">
      <c r="A8" t="s">
        <v>64</v>
      </c>
      <c r="B8" s="45" t="s">
        <v>100</v>
      </c>
      <c r="C8" s="45" t="s">
        <v>104</v>
      </c>
      <c r="D8" s="45" t="s">
        <v>108</v>
      </c>
      <c r="E8" s="45" t="s">
        <v>113</v>
      </c>
      <c r="F8" s="47">
        <v>0.2</v>
      </c>
      <c r="G8" s="45">
        <f t="array" aca="1" ref="G8" ca="1">Sheet3!$W$2*$F8*(NETWORKDAYS(VLOOKUP(G$1,Sprints[],2,FALSE), VLOOKUP(G$1,Sprints[],3,FALSE))-SUMPRODUCT((OFFSET(INDIRECT(CELL("address",INDEX('Leave Tracker'!$A$8:$A$92,MATCH($A8,'Leave Tracker'!$A$8:$A$92,0)))),0,31*(VLOOKUP(G$1,Sprints[],5,FALSE))+DAY(VLOOKUP(G$1,Sprints[],2,FALSE)),1,VLOOKUP(G$1,Sprints[],4,FALSE))&lt;&gt;"")*(IF(OFFSET(INDIRECT(CELL("address",INDEX('Leave Tracker'!$A$8:$A$92,MATCH($A8,'Leave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0.80000000000000016</v>
      </c>
      <c r="H8">
        <f t="array" aca="1" ref="H8" ca="1">Sheet3!$W$2*$F8*(NETWORKDAYS(VLOOKUP(H$1,Sprints[],2,FALSE), VLOOKUP(H$1,Sprints[],3,FALSE))-SUMPRODUCT((OFFSET(INDIRECT(CELL("address",INDEX('Leave Tracker'!$A$8:$A$92,MATCH($A8,'Leave Tracker'!$A$8:$A$92,0)))),0,31*(VLOOKUP(H$1,Sprints[],5,FALSE))+DAY(VLOOKUP(H$1,Sprints[],2,FALSE)),1,VLOOKUP(H$1,Sprints[],4,FALSE))&lt;&gt;"")*(IF(OFFSET(INDIRECT(CELL("address",INDEX('Leave Tracker'!$A$8:$A$92,MATCH($A8,'Leave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1.6000000000000003</v>
      </c>
      <c r="I8">
        <f t="array" aca="1" ref="I8" ca="1">Sheet3!$W$2*$F8*(NETWORKDAYS(VLOOKUP(I$1,Sprints[],2,FALSE), VLOOKUP(I$1,Sprints[],3,FALSE))-SUMPRODUCT((OFFSET(INDIRECT(CELL("address",INDEX('Leave Tracker'!$A$8:$A$92,MATCH($A8,'Leave Tracker'!$A$8:$A$92,0)))),0,31*(VLOOKUP(I$1,Sprints[],5,FALSE))+DAY(VLOOKUP(I$1,Sprints[],2,FALSE)),1,VLOOKUP(I$1,Sprints[],4,FALSE))&lt;&gt;"")*(IF(OFFSET(INDIRECT(CELL("address",INDEX('Leave Tracker'!$A$8:$A$92,MATCH($A8,'Leave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1.6000000000000003</v>
      </c>
      <c r="J8">
        <f t="array" aca="1" ref="J8" ca="1">Sheet3!$W$2*$F8*(NETWORKDAYS(VLOOKUP(J$1,Sprints[],2,FALSE), VLOOKUP(J$1,Sprints[],3,FALSE))-SUMPRODUCT((OFFSET(INDIRECT(CELL("address",INDEX('Leave Tracker'!$A$8:$A$92,MATCH($A8,'Leave Tracker'!$A$8:$A$92,0)))),0,31*(VLOOKUP(J$1,Sprints[],5,FALSE))+DAY(VLOOKUP(J$1,Sprints[],2,FALSE)),1,VLOOKUP(J$1,Sprints[],4,FALSE))&lt;&gt;"")*(IF(OFFSET(INDIRECT(CELL("address",INDEX('Leave Tracker'!$A$8:$A$92,MATCH($A8,'Leave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1.6000000000000003</v>
      </c>
      <c r="K8">
        <f t="array" aca="1" ref="K8" ca="1">Sheet3!$W$2*$F8*(NETWORKDAYS(VLOOKUP(K$1,Sprints[],2,FALSE), VLOOKUP(K$1,Sprints[],3,FALSE))-SUMPRODUCT((OFFSET(INDIRECT(CELL("address",INDEX('Leave Tracker'!$A$8:$A$92,MATCH($A8,'Leave Tracker'!$A$8:$A$92,0)))),0,31*(VLOOKUP(K$1,Sprints[],5,FALSE))+DAY(VLOOKUP(K$1,Sprints[],2,FALSE)),1,VLOOKUP(K$1,Sprints[],4,FALSE))&lt;&gt;"")*(IF(OFFSET(INDIRECT(CELL("address",INDEX('Leave Tracker'!$A$8:$A$92,MATCH($A8,'Leave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1.6000000000000003</v>
      </c>
      <c r="L8">
        <f t="array" aca="1" ref="L8" ca="1">Sheet3!$W$2*$F8*(NETWORKDAYS(VLOOKUP(L$1,Sprints[],2,FALSE), VLOOKUP(L$1,Sprints[],3,FALSE))-SUMPRODUCT((OFFSET(INDIRECT(CELL("address",INDEX('Leave Tracker'!$A$8:$A$92,MATCH($A8,'Leave Tracker'!$A$8:$A$92,0)))),0,31*(VLOOKUP(L$1,Sprints[],5,FALSE))+DAY(VLOOKUP(L$1,Sprints[],2,FALSE)),1,VLOOKUP(L$1,Sprints[],4,FALSE))&lt;&gt;"")*(IF(OFFSET(INDIRECT(CELL("address",INDEX('Leave Tracker'!$A$8:$A$92,MATCH($A8,'Leave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1.1200000000000001</v>
      </c>
      <c r="M8" s="45">
        <f t="array" aca="1" ref="M8" ca="1">Sheet3!$W$2*$F8*(NETWORKDAYS(VLOOKUP(M$1,Sprints[],2,FALSE), VLOOKUP(M$1,Sprints[],3,FALSE))-SUMPRODUCT((OFFSET(INDIRECT(CELL("address",INDEX('Leave Tracker'!$A$8:$A$92,MATCH($A8,'Leave Tracker'!$A$8:$A$92,0)))),0,31*(VLOOKUP(M$1,Sprints[],5,FALSE))+DAY(VLOOKUP(M$1,Sprints[],2,FALSE)),1,VLOOKUP(M$1,Sprints[],4,FALSE))&lt;&gt;"")*(IF(OFFSET(INDIRECT(CELL("address",INDEX('Leave Tracker'!$A$8:$A$92,MATCH($A8,'Leave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1.6000000000000003</v>
      </c>
      <c r="N8">
        <f t="array" aca="1" ref="N8" ca="1">Sheet3!$W$2*$F8*(NETWORKDAYS(VLOOKUP(N$1,Sprints[],2,FALSE), VLOOKUP(N$1,Sprints[],3,FALSE))-SUMPRODUCT((OFFSET(INDIRECT(CELL("address",INDEX('Leave Tracker'!$A$8:$A$92,MATCH($A8,'Leave Tracker'!$A$8:$A$92,0)))),0,31*(VLOOKUP(N$1,Sprints[],5,FALSE))+DAY(VLOOKUP(N$1,Sprints[],2,FALSE)),1,VLOOKUP(N$1,Sprints[],4,FALSE))&lt;&gt;"")*(IF(OFFSET(INDIRECT(CELL("address",INDEX('Leave Tracker'!$A$8:$A$92,MATCH($A8,'Leave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0.80000000000000016</v>
      </c>
      <c r="O8">
        <f t="array" aca="1" ref="O8" ca="1">Sheet3!$W$2*$F8*(NETWORKDAYS(VLOOKUP(O$1,Sprints[],2,FALSE), VLOOKUP(O$1,Sprints[],3,FALSE))-SUMPRODUCT((OFFSET(INDIRECT(CELL("address",INDEX('Leave Tracker'!$A$8:$A$92,MATCH($A8,'Leave Tracker'!$A$8:$A$92,0)))),0,31*(VLOOKUP(O$1,Sprints[],5,FALSE))+DAY(VLOOKUP(O$1,Sprints[],2,FALSE)),1,VLOOKUP(O$1,Sprints[],4,FALSE))&lt;&gt;"")*(IF(OFFSET(INDIRECT(CELL("address",INDEX('Leave Tracker'!$A$8:$A$92,MATCH($A8,'Leave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1.6000000000000003</v>
      </c>
      <c r="P8">
        <f t="array" aca="1" ref="P8" ca="1">Sheet3!$W$2*$F8*(NETWORKDAYS(VLOOKUP(P$1,Sprints[],2,FALSE), VLOOKUP(P$1,Sprints[],3,FALSE))-SUMPRODUCT((OFFSET(INDIRECT(CELL("address",INDEX('Leave Tracker'!$A$8:$A$92,MATCH($A8,'Leave Tracker'!$A$8:$A$92,0)))),0,31*(VLOOKUP(P$1,Sprints[],5,FALSE))+DAY(VLOOKUP(P$1,Sprints[],2,FALSE)),1,VLOOKUP(P$1,Sprints[],4,FALSE))&lt;&gt;"")*(IF(OFFSET(INDIRECT(CELL("address",INDEX('Leave Tracker'!$A$8:$A$92,MATCH($A8,'Leave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1.4400000000000004</v>
      </c>
      <c r="Q8">
        <f t="array" aca="1" ref="Q8" ca="1">Sheet3!$W$2*$F8*(NETWORKDAYS(VLOOKUP(Q$1,Sprints[],2,FALSE), VLOOKUP(Q$1,Sprints[],3,FALSE))-SUMPRODUCT((OFFSET(INDIRECT(CELL("address",INDEX('Leave Tracker'!$A$8:$A$92,MATCH($A8,'Leave Tracker'!$A$8:$A$92,0)))),0,31*(VLOOKUP(Q$1,Sprints[],5,FALSE))+DAY(VLOOKUP(Q$1,Sprints[],2,FALSE)),1,VLOOKUP(Q$1,Sprints[],4,FALSE))&lt;&gt;"")*(IF(OFFSET(INDIRECT(CELL("address",INDEX('Leave Tracker'!$A$8:$A$92,MATCH($A8,'Leave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1.6000000000000003</v>
      </c>
      <c r="R8">
        <f t="array" aca="1" ref="R8" ca="1">Sheet3!$W$2*$F8*(NETWORKDAYS(VLOOKUP(R$1,Sprints[],2,FALSE), VLOOKUP(R$1,Sprints[],3,FALSE))-SUMPRODUCT((OFFSET(INDIRECT(CELL("address",INDEX('Leave Tracker'!$A$8:$A$92,MATCH($A8,'Leave Tracker'!$A$8:$A$92,0)))),0,31*(VLOOKUP(R$1,Sprints[],5,FALSE))+DAY(VLOOKUP(R$1,Sprints[],2,FALSE)),1,VLOOKUP(R$1,Sprints[],4,FALSE))&lt;&gt;"")*(IF(OFFSET(INDIRECT(CELL("address",INDEX('Leave Tracker'!$A$8:$A$92,MATCH($A8,'Leave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1.6000000000000003</v>
      </c>
      <c r="S8" s="74">
        <f t="array" aca="1" ref="S8" ca="1">Sheet3!$W$2*$F8*(NETWORKDAYS(VLOOKUP(S$1,Sprints[],2,FALSE), VLOOKUP(S$1,Sprints[],3,FALSE))-SUMPRODUCT((OFFSET(INDIRECT(CELL("address",INDEX('Leave Tracker'!$A$8:$A$92,MATCH($A8,'Leave Tracker'!$A$8:$A$92,0)))),0,31*(VLOOKUP(S$1,Sprints[],5,FALSE))+DAY(VLOOKUP(S$1,Sprints[],2,FALSE)),1,VLOOKUP(S$1,Sprints[],4,FALSE))&lt;&gt;"")*(IF(OFFSET(INDIRECT(CELL("address",INDEX('Leave Tracker'!$A$8:$A$92,MATCH($A8,'Leave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16.960000000000004</v>
      </c>
    </row>
    <row r="9" spans="1:19" x14ac:dyDescent="0.45">
      <c r="A9" t="s">
        <v>81</v>
      </c>
      <c r="B9" s="45" t="s">
        <v>100</v>
      </c>
      <c r="C9" s="45" t="s">
        <v>104</v>
      </c>
      <c r="D9" s="45" t="s">
        <v>120</v>
      </c>
      <c r="E9" s="45" t="s">
        <v>115</v>
      </c>
      <c r="F9" s="47">
        <v>0.75</v>
      </c>
      <c r="G9" s="45">
        <f t="array" aca="1" ref="G9" ca="1">Sheet3!$W$2*$F9*(NETWORKDAYS(VLOOKUP(G$1,Sprints[],2,FALSE), VLOOKUP(G$1,Sprints[],3,FALSE))-SUMPRODUCT((OFFSET(INDIRECT(CELL("address",INDEX('Leave Tracker'!$A$8:$A$92,MATCH($A9,'Leave Tracker'!$A$8:$A$92,0)))),0,31*(VLOOKUP(G$1,Sprints[],5,FALSE))+DAY(VLOOKUP(G$1,Sprints[],2,FALSE)),1,VLOOKUP(G$1,Sprints[],4,FALSE))&lt;&gt;"")*(IF(OFFSET(INDIRECT(CELL("address",INDEX('Leave Tracker'!$A$8:$A$92,MATCH($A9,'Leave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9">
        <f t="array" aca="1" ref="H9" ca="1">Sheet3!$W$2*$F9*(NETWORKDAYS(VLOOKUP(H$1,Sprints[],2,FALSE), VLOOKUP(H$1,Sprints[],3,FALSE))-SUMPRODUCT((OFFSET(INDIRECT(CELL("address",INDEX('Leave Tracker'!$A$8:$A$92,MATCH($A9,'Leave Tracker'!$A$8:$A$92,0)))),0,31*(VLOOKUP(H$1,Sprints[],5,FALSE))+DAY(VLOOKUP(H$1,Sprints[],2,FALSE)),1,VLOOKUP(H$1,Sprints[],4,FALSE))&lt;&gt;"")*(IF(OFFSET(INDIRECT(CELL("address",INDEX('Leave Tracker'!$A$8:$A$92,MATCH($A9,'Leave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9">
        <f t="array" aca="1" ref="I9" ca="1">Sheet3!$W$2*$F9*(NETWORKDAYS(VLOOKUP(I$1,Sprints[],2,FALSE), VLOOKUP(I$1,Sprints[],3,FALSE))-SUMPRODUCT((OFFSET(INDIRECT(CELL("address",INDEX('Leave Tracker'!$A$8:$A$92,MATCH($A9,'Leave Tracker'!$A$8:$A$92,0)))),0,31*(VLOOKUP(I$1,Sprints[],5,FALSE))+DAY(VLOOKUP(I$1,Sprints[],2,FALSE)),1,VLOOKUP(I$1,Sprints[],4,FALSE))&lt;&gt;"")*(IF(OFFSET(INDIRECT(CELL("address",INDEX('Leave Tracker'!$A$8:$A$92,MATCH($A9,'Leave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6.0000000000000009</v>
      </c>
      <c r="J9">
        <f t="array" aca="1" ref="J9" ca="1">Sheet3!$W$2*$F9*(NETWORKDAYS(VLOOKUP(J$1,Sprints[],2,FALSE), VLOOKUP(J$1,Sprints[],3,FALSE))-SUMPRODUCT((OFFSET(INDIRECT(CELL("address",INDEX('Leave Tracker'!$A$8:$A$92,MATCH($A9,'Leave Tracker'!$A$8:$A$92,0)))),0,31*(VLOOKUP(J$1,Sprints[],5,FALSE))+DAY(VLOOKUP(J$1,Sprints[],2,FALSE)),1,VLOOKUP(J$1,Sprints[],4,FALSE))&lt;&gt;"")*(IF(OFFSET(INDIRECT(CELL("address",INDEX('Leave Tracker'!$A$8:$A$92,MATCH($A9,'Leave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9">
        <f t="array" aca="1" ref="K9" ca="1">Sheet3!$W$2*$F9*(NETWORKDAYS(VLOOKUP(K$1,Sprints[],2,FALSE), VLOOKUP(K$1,Sprints[],3,FALSE))-SUMPRODUCT((OFFSET(INDIRECT(CELL("address",INDEX('Leave Tracker'!$A$8:$A$92,MATCH($A9,'Leave Tracker'!$A$8:$A$92,0)))),0,31*(VLOOKUP(K$1,Sprints[],5,FALSE))+DAY(VLOOKUP(K$1,Sprints[],2,FALSE)),1,VLOOKUP(K$1,Sprints[],4,FALSE))&lt;&gt;"")*(IF(OFFSET(INDIRECT(CELL("address",INDEX('Leave Tracker'!$A$8:$A$92,MATCH($A9,'Leave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9">
        <f t="array" aca="1" ref="L9" ca="1">Sheet3!$W$2*$F9*(NETWORKDAYS(VLOOKUP(L$1,Sprints[],2,FALSE), VLOOKUP(L$1,Sprints[],3,FALSE))-SUMPRODUCT((OFFSET(INDIRECT(CELL("address",INDEX('Leave Tracker'!$A$8:$A$92,MATCH($A9,'Leave Tracker'!$A$8:$A$92,0)))),0,31*(VLOOKUP(L$1,Sprints[],5,FALSE))+DAY(VLOOKUP(L$1,Sprints[],2,FALSE)),1,VLOOKUP(L$1,Sprints[],4,FALSE))&lt;&gt;"")*(IF(OFFSET(INDIRECT(CELL("address",INDEX('Leave Tracker'!$A$8:$A$92,MATCH($A9,'Leave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4.2000000000000011</v>
      </c>
      <c r="M9" s="45">
        <f t="array" aca="1" ref="M9" ca="1">Sheet3!$W$2*$F9*(NETWORKDAYS(VLOOKUP(M$1,Sprints[],2,FALSE), VLOOKUP(M$1,Sprints[],3,FALSE))-SUMPRODUCT((OFFSET(INDIRECT(CELL("address",INDEX('Leave Tracker'!$A$8:$A$92,MATCH($A9,'Leave Tracker'!$A$8:$A$92,0)))),0,31*(VLOOKUP(M$1,Sprints[],5,FALSE))+DAY(VLOOKUP(M$1,Sprints[],2,FALSE)),1,VLOOKUP(M$1,Sprints[],4,FALSE))&lt;&gt;"")*(IF(OFFSET(INDIRECT(CELL("address",INDEX('Leave Tracker'!$A$8:$A$92,MATCH($A9,'Leave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6.0000000000000009</v>
      </c>
      <c r="N9">
        <f t="array" aca="1" ref="N9" ca="1">Sheet3!$W$2*$F9*(NETWORKDAYS(VLOOKUP(N$1,Sprints[],2,FALSE), VLOOKUP(N$1,Sprints[],3,FALSE))-SUMPRODUCT((OFFSET(INDIRECT(CELL("address",INDEX('Leave Tracker'!$A$8:$A$92,MATCH($A9,'Leave Tracker'!$A$8:$A$92,0)))),0,31*(VLOOKUP(N$1,Sprints[],5,FALSE))+DAY(VLOOKUP(N$1,Sprints[],2,FALSE)),1,VLOOKUP(N$1,Sprints[],4,FALSE))&lt;&gt;"")*(IF(OFFSET(INDIRECT(CELL("address",INDEX('Leave Tracker'!$A$8:$A$92,MATCH($A9,'Leave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9">
        <f t="array" aca="1" ref="O9" ca="1">Sheet3!$W$2*$F9*(NETWORKDAYS(VLOOKUP(O$1,Sprints[],2,FALSE), VLOOKUP(O$1,Sprints[],3,FALSE))-SUMPRODUCT((OFFSET(INDIRECT(CELL("address",INDEX('Leave Tracker'!$A$8:$A$92,MATCH($A9,'Leave Tracker'!$A$8:$A$92,0)))),0,31*(VLOOKUP(O$1,Sprints[],5,FALSE))+DAY(VLOOKUP(O$1,Sprints[],2,FALSE)),1,VLOOKUP(O$1,Sprints[],4,FALSE))&lt;&gt;"")*(IF(OFFSET(INDIRECT(CELL("address",INDEX('Leave Tracker'!$A$8:$A$92,MATCH($A9,'Leave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9">
        <f t="array" aca="1" ref="P9" ca="1">Sheet3!$W$2*$F9*(NETWORKDAYS(VLOOKUP(P$1,Sprints[],2,FALSE), VLOOKUP(P$1,Sprints[],3,FALSE))-SUMPRODUCT((OFFSET(INDIRECT(CELL("address",INDEX('Leave Tracker'!$A$8:$A$92,MATCH($A9,'Leave Tracker'!$A$8:$A$92,0)))),0,31*(VLOOKUP(P$1,Sprints[],5,FALSE))+DAY(VLOOKUP(P$1,Sprints[],2,FALSE)),1,VLOOKUP(P$1,Sprints[],4,FALSE))&lt;&gt;"")*(IF(OFFSET(INDIRECT(CELL("address",INDEX('Leave Tracker'!$A$8:$A$92,MATCH($A9,'Leave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5.4</v>
      </c>
      <c r="Q9">
        <f t="array" aca="1" ref="Q9" ca="1">Sheet3!$W$2*$F9*(NETWORKDAYS(VLOOKUP(Q$1,Sprints[],2,FALSE), VLOOKUP(Q$1,Sprints[],3,FALSE))-SUMPRODUCT((OFFSET(INDIRECT(CELL("address",INDEX('Leave Tracker'!$A$8:$A$92,MATCH($A9,'Leave Tracker'!$A$8:$A$92,0)))),0,31*(VLOOKUP(Q$1,Sprints[],5,FALSE))+DAY(VLOOKUP(Q$1,Sprints[],2,FALSE)),1,VLOOKUP(Q$1,Sprints[],4,FALSE))&lt;&gt;"")*(IF(OFFSET(INDIRECT(CELL("address",INDEX('Leave Tracker'!$A$8:$A$92,MATCH($A9,'Leave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9">
        <f t="array" aca="1" ref="R9" ca="1">Sheet3!$W$2*$F9*(NETWORKDAYS(VLOOKUP(R$1,Sprints[],2,FALSE), VLOOKUP(R$1,Sprints[],3,FALSE))-SUMPRODUCT((OFFSET(INDIRECT(CELL("address",INDEX('Leave Tracker'!$A$8:$A$92,MATCH($A9,'Leave Tracker'!$A$8:$A$92,0)))),0,31*(VLOOKUP(R$1,Sprints[],5,FALSE))+DAY(VLOOKUP(R$1,Sprints[],2,FALSE)),1,VLOOKUP(R$1,Sprints[],4,FALSE))&lt;&gt;"")*(IF(OFFSET(INDIRECT(CELL("address",INDEX('Leave Tracker'!$A$8:$A$92,MATCH($A9,'Leave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6.0000000000000009</v>
      </c>
      <c r="S9" s="74">
        <f t="array" aca="1" ref="S9" ca="1">Sheet3!$W$2*$F9*(NETWORKDAYS(VLOOKUP(S$1,Sprints[],2,FALSE), VLOOKUP(S$1,Sprints[],3,FALSE))-SUMPRODUCT((OFFSET(INDIRECT(CELL("address",INDEX('Leave Tracker'!$A$8:$A$92,MATCH($A9,'Leave Tracker'!$A$8:$A$92,0)))),0,31*(VLOOKUP(S$1,Sprints[],5,FALSE))+DAY(VLOOKUP(S$1,Sprints[],2,FALSE)),1,VLOOKUP(S$1,Sprints[],4,FALSE))&lt;&gt;"")*(IF(OFFSET(INDIRECT(CELL("address",INDEX('Leave Tracker'!$A$8:$A$92,MATCH($A9,'Leave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63.600000000000009</v>
      </c>
    </row>
    <row r="10" spans="1:19" x14ac:dyDescent="0.45">
      <c r="A10" t="s">
        <v>88</v>
      </c>
      <c r="B10" s="45" t="s">
        <v>103</v>
      </c>
      <c r="C10" s="45" t="s">
        <v>105</v>
      </c>
      <c r="D10" s="45" t="s">
        <v>116</v>
      </c>
      <c r="E10" s="45" t="s">
        <v>115</v>
      </c>
      <c r="F10" s="47">
        <v>0.6</v>
      </c>
      <c r="G10" s="45">
        <f t="array" aca="1" ref="G10" ca="1">Sheet3!$W$2*$F10*(NETWORKDAYS(VLOOKUP(G$1,Sprints[],2,FALSE), VLOOKUP(G$1,Sprints[],3,FALSE))-SUMPRODUCT((OFFSET(INDIRECT(CELL("address",INDEX('Leave Tracker'!$A$8:$A$92,MATCH($A10,'Leave Tracker'!$A$8:$A$92,0)))),0,31*(VLOOKUP(G$1,Sprints[],5,FALSE))+DAY(VLOOKUP(G$1,Sprints[],2,FALSE)),1,VLOOKUP(G$1,Sprints[],4,FALSE))&lt;&gt;"")*(IF(OFFSET(INDIRECT(CELL("address",INDEX('Leave Tracker'!$A$8:$A$92,MATCH($A10,'Leave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2.4</v>
      </c>
      <c r="H10">
        <f t="array" aca="1" ref="H10" ca="1">Sheet3!$W$2*$F10*(NETWORKDAYS(VLOOKUP(H$1,Sprints[],2,FALSE), VLOOKUP(H$1,Sprints[],3,FALSE))-SUMPRODUCT((OFFSET(INDIRECT(CELL("address",INDEX('Leave Tracker'!$A$8:$A$92,MATCH($A10,'Leave Tracker'!$A$8:$A$92,0)))),0,31*(VLOOKUP(H$1,Sprints[],5,FALSE))+DAY(VLOOKUP(H$1,Sprints[],2,FALSE)),1,VLOOKUP(H$1,Sprints[],4,FALSE))&lt;&gt;"")*(IF(OFFSET(INDIRECT(CELL("address",INDEX('Leave Tracker'!$A$8:$A$92,MATCH($A10,'Leave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4.8</v>
      </c>
      <c r="I10">
        <f t="array" aca="1" ref="I10" ca="1">Sheet3!$W$2*$F10*(NETWORKDAYS(VLOOKUP(I$1,Sprints[],2,FALSE), VLOOKUP(I$1,Sprints[],3,FALSE))-SUMPRODUCT((OFFSET(INDIRECT(CELL("address",INDEX('Leave Tracker'!$A$8:$A$92,MATCH($A10,'Leave Tracker'!$A$8:$A$92,0)))),0,31*(VLOOKUP(I$1,Sprints[],5,FALSE))+DAY(VLOOKUP(I$1,Sprints[],2,FALSE)),1,VLOOKUP(I$1,Sprints[],4,FALSE))&lt;&gt;"")*(IF(OFFSET(INDIRECT(CELL("address",INDEX('Leave Tracker'!$A$8:$A$92,MATCH($A10,'Leave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4.32</v>
      </c>
      <c r="J10">
        <f t="array" aca="1" ref="J10" ca="1">Sheet3!$W$2*$F10*(NETWORKDAYS(VLOOKUP(J$1,Sprints[],2,FALSE), VLOOKUP(J$1,Sprints[],3,FALSE))-SUMPRODUCT((OFFSET(INDIRECT(CELL("address",INDEX('Leave Tracker'!$A$8:$A$92,MATCH($A10,'Leave Tracker'!$A$8:$A$92,0)))),0,31*(VLOOKUP(J$1,Sprints[],5,FALSE))+DAY(VLOOKUP(J$1,Sprints[],2,FALSE)),1,VLOOKUP(J$1,Sprints[],4,FALSE))&lt;&gt;"")*(IF(OFFSET(INDIRECT(CELL("address",INDEX('Leave Tracker'!$A$8:$A$92,MATCH($A10,'Leave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4.8</v>
      </c>
      <c r="K10">
        <f t="array" aca="1" ref="K10" ca="1">Sheet3!$W$2*$F10*(NETWORKDAYS(VLOOKUP(K$1,Sprints[],2,FALSE), VLOOKUP(K$1,Sprints[],3,FALSE))-SUMPRODUCT((OFFSET(INDIRECT(CELL("address",INDEX('Leave Tracker'!$A$8:$A$92,MATCH($A10,'Leave Tracker'!$A$8:$A$92,0)))),0,31*(VLOOKUP(K$1,Sprints[],5,FALSE))+DAY(VLOOKUP(K$1,Sprints[],2,FALSE)),1,VLOOKUP(K$1,Sprints[],4,FALSE))&lt;&gt;"")*(IF(OFFSET(INDIRECT(CELL("address",INDEX('Leave Tracker'!$A$8:$A$92,MATCH($A10,'Leave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4.8</v>
      </c>
      <c r="L10">
        <f t="array" aca="1" ref="L10" ca="1">Sheet3!$W$2*$F10*(NETWORKDAYS(VLOOKUP(L$1,Sprints[],2,FALSE), VLOOKUP(L$1,Sprints[],3,FALSE))-SUMPRODUCT((OFFSET(INDIRECT(CELL("address",INDEX('Leave Tracker'!$A$8:$A$92,MATCH($A10,'Leave Tracker'!$A$8:$A$92,0)))),0,31*(VLOOKUP(L$1,Sprints[],5,FALSE))+DAY(VLOOKUP(L$1,Sprints[],2,FALSE)),1,VLOOKUP(L$1,Sprints[],4,FALSE))&lt;&gt;"")*(IF(OFFSET(INDIRECT(CELL("address",INDEX('Leave Tracker'!$A$8:$A$92,MATCH($A10,'Leave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3.84</v>
      </c>
      <c r="M10" s="45">
        <f t="array" aca="1" ref="M10" ca="1">Sheet3!$W$2*$F10*(NETWORKDAYS(VLOOKUP(M$1,Sprints[],2,FALSE), VLOOKUP(M$1,Sprints[],3,FALSE))-SUMPRODUCT((OFFSET(INDIRECT(CELL("address",INDEX('Leave Tracker'!$A$8:$A$92,MATCH($A10,'Leave Tracker'!$A$8:$A$92,0)))),0,31*(VLOOKUP(M$1,Sprints[],5,FALSE))+DAY(VLOOKUP(M$1,Sprints[],2,FALSE)),1,VLOOKUP(M$1,Sprints[],4,FALSE))&lt;&gt;"")*(IF(OFFSET(INDIRECT(CELL("address",INDEX('Leave Tracker'!$A$8:$A$92,MATCH($A10,'Leave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4.32</v>
      </c>
      <c r="N10">
        <f t="array" aca="1" ref="N10" ca="1">Sheet3!$W$2*$F10*(NETWORKDAYS(VLOOKUP(N$1,Sprints[],2,FALSE), VLOOKUP(N$1,Sprints[],3,FALSE))-SUMPRODUCT((OFFSET(INDIRECT(CELL("address",INDEX('Leave Tracker'!$A$8:$A$92,MATCH($A10,'Leave Tracker'!$A$8:$A$92,0)))),0,31*(VLOOKUP(N$1,Sprints[],5,FALSE))+DAY(VLOOKUP(N$1,Sprints[],2,FALSE)),1,VLOOKUP(N$1,Sprints[],4,FALSE))&lt;&gt;"")*(IF(OFFSET(INDIRECT(CELL("address",INDEX('Leave Tracker'!$A$8:$A$92,MATCH($A10,'Leave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2.4</v>
      </c>
      <c r="O10">
        <f t="array" aca="1" ref="O10" ca="1">Sheet3!$W$2*$F10*(NETWORKDAYS(VLOOKUP(O$1,Sprints[],2,FALSE), VLOOKUP(O$1,Sprints[],3,FALSE))-SUMPRODUCT((OFFSET(INDIRECT(CELL("address",INDEX('Leave Tracker'!$A$8:$A$92,MATCH($A10,'Leave Tracker'!$A$8:$A$92,0)))),0,31*(VLOOKUP(O$1,Sprints[],5,FALSE))+DAY(VLOOKUP(O$1,Sprints[],2,FALSE)),1,VLOOKUP(O$1,Sprints[],4,FALSE))&lt;&gt;"")*(IF(OFFSET(INDIRECT(CELL("address",INDEX('Leave Tracker'!$A$8:$A$92,MATCH($A10,'Leave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4.8</v>
      </c>
      <c r="P10">
        <f t="array" aca="1" ref="P10" ca="1">Sheet3!$W$2*$F10*(NETWORKDAYS(VLOOKUP(P$1,Sprints[],2,FALSE), VLOOKUP(P$1,Sprints[],3,FALSE))-SUMPRODUCT((OFFSET(INDIRECT(CELL("address",INDEX('Leave Tracker'!$A$8:$A$92,MATCH($A10,'Leave Tracker'!$A$8:$A$92,0)))),0,31*(VLOOKUP(P$1,Sprints[],5,FALSE))+DAY(VLOOKUP(P$1,Sprints[],2,FALSE)),1,VLOOKUP(P$1,Sprints[],4,FALSE))&lt;&gt;"")*(IF(OFFSET(INDIRECT(CELL("address",INDEX('Leave Tracker'!$A$8:$A$92,MATCH($A10,'Leave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4.8</v>
      </c>
      <c r="Q10">
        <f t="array" aca="1" ref="Q10" ca="1">Sheet3!$W$2*$F10*(NETWORKDAYS(VLOOKUP(Q$1,Sprints[],2,FALSE), VLOOKUP(Q$1,Sprints[],3,FALSE))-SUMPRODUCT((OFFSET(INDIRECT(CELL("address",INDEX('Leave Tracker'!$A$8:$A$92,MATCH($A10,'Leave Tracker'!$A$8:$A$92,0)))),0,31*(VLOOKUP(Q$1,Sprints[],5,FALSE))+DAY(VLOOKUP(Q$1,Sprints[],2,FALSE)),1,VLOOKUP(Q$1,Sprints[],4,FALSE))&lt;&gt;"")*(IF(OFFSET(INDIRECT(CELL("address",INDEX('Leave Tracker'!$A$8:$A$92,MATCH($A10,'Leave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4.8</v>
      </c>
      <c r="R10">
        <f t="array" aca="1" ref="R10" ca="1">Sheet3!$W$2*$F10*(NETWORKDAYS(VLOOKUP(R$1,Sprints[],2,FALSE), VLOOKUP(R$1,Sprints[],3,FALSE))-SUMPRODUCT((OFFSET(INDIRECT(CELL("address",INDEX('Leave Tracker'!$A$8:$A$92,MATCH($A10,'Leave Tracker'!$A$8:$A$92,0)))),0,31*(VLOOKUP(R$1,Sprints[],5,FALSE))+DAY(VLOOKUP(R$1,Sprints[],2,FALSE)),1,VLOOKUP(R$1,Sprints[],4,FALSE))&lt;&gt;"")*(IF(OFFSET(INDIRECT(CELL("address",INDEX('Leave Tracker'!$A$8:$A$92,MATCH($A10,'Leave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4.32</v>
      </c>
      <c r="S10" s="74">
        <f t="array" aca="1" ref="S10" ca="1">Sheet3!$W$2*$F10*(NETWORKDAYS(VLOOKUP(S$1,Sprints[],2,FALSE), VLOOKUP(S$1,Sprints[],3,FALSE))-SUMPRODUCT((OFFSET(INDIRECT(CELL("address",INDEX('Leave Tracker'!$A$8:$A$92,MATCH($A10,'Leave Tracker'!$A$8:$A$92,0)))),0,31*(VLOOKUP(S$1,Sprints[],5,FALSE))+DAY(VLOOKUP(S$1,Sprints[],2,FALSE)),1,VLOOKUP(S$1,Sprints[],4,FALSE))&lt;&gt;"")*(IF(OFFSET(INDIRECT(CELL("address",INDEX('Leave Tracker'!$A$8:$A$92,MATCH($A10,'Leave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50.4</v>
      </c>
    </row>
    <row r="11" spans="1:19" x14ac:dyDescent="0.45">
      <c r="A11" t="s">
        <v>65</v>
      </c>
      <c r="B11" s="45" t="s">
        <v>100</v>
      </c>
      <c r="C11" s="45" t="s">
        <v>104</v>
      </c>
      <c r="D11" s="45" t="s">
        <v>119</v>
      </c>
      <c r="E11" s="45" t="s">
        <v>113</v>
      </c>
      <c r="F11" s="47">
        <v>0.75</v>
      </c>
      <c r="G11" s="45">
        <f t="array" aca="1" ref="G11" ca="1">Sheet3!$W$2*$F11*(NETWORKDAYS(VLOOKUP(G$1,Sprints[],2,FALSE), VLOOKUP(G$1,Sprints[],3,FALSE))-SUMPRODUCT((OFFSET(INDIRECT(CELL("address",INDEX('Leave Tracker'!$A$8:$A$92,MATCH($A11,'Leave Tracker'!$A$8:$A$92,0)))),0,31*(VLOOKUP(G$1,Sprints[],5,FALSE))+DAY(VLOOKUP(G$1,Sprints[],2,FALSE)),1,VLOOKUP(G$1,Sprints[],4,FALSE))&lt;&gt;"")*(IF(OFFSET(INDIRECT(CELL("address",INDEX('Leave Tracker'!$A$8:$A$92,MATCH($A11,'Leave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11">
        <f t="array" aca="1" ref="H11" ca="1">Sheet3!$W$2*$F11*(NETWORKDAYS(VLOOKUP(H$1,Sprints[],2,FALSE), VLOOKUP(H$1,Sprints[],3,FALSE))-SUMPRODUCT((OFFSET(INDIRECT(CELL("address",INDEX('Leave Tracker'!$A$8:$A$92,MATCH($A11,'Leave Tracker'!$A$8:$A$92,0)))),0,31*(VLOOKUP(H$1,Sprints[],5,FALSE))+DAY(VLOOKUP(H$1,Sprints[],2,FALSE)),1,VLOOKUP(H$1,Sprints[],4,FALSE))&lt;&gt;"")*(IF(OFFSET(INDIRECT(CELL("address",INDEX('Leave Tracker'!$A$8:$A$92,MATCH($A11,'Leave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11">
        <f t="array" aca="1" ref="I11" ca="1">Sheet3!$W$2*$F11*(NETWORKDAYS(VLOOKUP(I$1,Sprints[],2,FALSE), VLOOKUP(I$1,Sprints[],3,FALSE))-SUMPRODUCT((OFFSET(INDIRECT(CELL("address",INDEX('Leave Tracker'!$A$8:$A$92,MATCH($A11,'Leave Tracker'!$A$8:$A$92,0)))),0,31*(VLOOKUP(I$1,Sprints[],5,FALSE))+DAY(VLOOKUP(I$1,Sprints[],2,FALSE)),1,VLOOKUP(I$1,Sprints[],4,FALSE))&lt;&gt;"")*(IF(OFFSET(INDIRECT(CELL("address",INDEX('Leave Tracker'!$A$8:$A$92,MATCH($A11,'Leave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6.0000000000000009</v>
      </c>
      <c r="J11">
        <f t="array" aca="1" ref="J11" ca="1">Sheet3!$W$2*$F11*(NETWORKDAYS(VLOOKUP(J$1,Sprints[],2,FALSE), VLOOKUP(J$1,Sprints[],3,FALSE))-SUMPRODUCT((OFFSET(INDIRECT(CELL("address",INDEX('Leave Tracker'!$A$8:$A$92,MATCH($A11,'Leave Tracker'!$A$8:$A$92,0)))),0,31*(VLOOKUP(J$1,Sprints[],5,FALSE))+DAY(VLOOKUP(J$1,Sprints[],2,FALSE)),1,VLOOKUP(J$1,Sprints[],4,FALSE))&lt;&gt;"")*(IF(OFFSET(INDIRECT(CELL("address",INDEX('Leave Tracker'!$A$8:$A$92,MATCH($A11,'Leave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11">
        <f t="array" aca="1" ref="K11" ca="1">Sheet3!$W$2*$F11*(NETWORKDAYS(VLOOKUP(K$1,Sprints[],2,FALSE), VLOOKUP(K$1,Sprints[],3,FALSE))-SUMPRODUCT((OFFSET(INDIRECT(CELL("address",INDEX('Leave Tracker'!$A$8:$A$92,MATCH($A11,'Leave Tracker'!$A$8:$A$92,0)))),0,31*(VLOOKUP(K$1,Sprints[],5,FALSE))+DAY(VLOOKUP(K$1,Sprints[],2,FALSE)),1,VLOOKUP(K$1,Sprints[],4,FALSE))&lt;&gt;"")*(IF(OFFSET(INDIRECT(CELL("address",INDEX('Leave Tracker'!$A$8:$A$92,MATCH($A11,'Leave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11">
        <f t="array" aca="1" ref="L11" ca="1">Sheet3!$W$2*$F11*(NETWORKDAYS(VLOOKUP(L$1,Sprints[],2,FALSE), VLOOKUP(L$1,Sprints[],3,FALSE))-SUMPRODUCT((OFFSET(INDIRECT(CELL("address",INDEX('Leave Tracker'!$A$8:$A$92,MATCH($A11,'Leave Tracker'!$A$8:$A$92,0)))),0,31*(VLOOKUP(L$1,Sprints[],5,FALSE))+DAY(VLOOKUP(L$1,Sprints[],2,FALSE)),1,VLOOKUP(L$1,Sprints[],4,FALSE))&lt;&gt;"")*(IF(OFFSET(INDIRECT(CELL("address",INDEX('Leave Tracker'!$A$8:$A$92,MATCH($A11,'Leave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4.2000000000000011</v>
      </c>
      <c r="M11" s="45">
        <f t="array" aca="1" ref="M11" ca="1">Sheet3!$W$2*$F11*(NETWORKDAYS(VLOOKUP(M$1,Sprints[],2,FALSE), VLOOKUP(M$1,Sprints[],3,FALSE))-SUMPRODUCT((OFFSET(INDIRECT(CELL("address",INDEX('Leave Tracker'!$A$8:$A$92,MATCH($A11,'Leave Tracker'!$A$8:$A$92,0)))),0,31*(VLOOKUP(M$1,Sprints[],5,FALSE))+DAY(VLOOKUP(M$1,Sprints[],2,FALSE)),1,VLOOKUP(M$1,Sprints[],4,FALSE))&lt;&gt;"")*(IF(OFFSET(INDIRECT(CELL("address",INDEX('Leave Tracker'!$A$8:$A$92,MATCH($A11,'Leave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6.0000000000000009</v>
      </c>
      <c r="N11">
        <f t="array" aca="1" ref="N11" ca="1">Sheet3!$W$2*$F11*(NETWORKDAYS(VLOOKUP(N$1,Sprints[],2,FALSE), VLOOKUP(N$1,Sprints[],3,FALSE))-SUMPRODUCT((OFFSET(INDIRECT(CELL("address",INDEX('Leave Tracker'!$A$8:$A$92,MATCH($A11,'Leave Tracker'!$A$8:$A$92,0)))),0,31*(VLOOKUP(N$1,Sprints[],5,FALSE))+DAY(VLOOKUP(N$1,Sprints[],2,FALSE)),1,VLOOKUP(N$1,Sprints[],4,FALSE))&lt;&gt;"")*(IF(OFFSET(INDIRECT(CELL("address",INDEX('Leave Tracker'!$A$8:$A$92,MATCH($A11,'Leave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11">
        <f t="array" aca="1" ref="O11" ca="1">Sheet3!$W$2*$F11*(NETWORKDAYS(VLOOKUP(O$1,Sprints[],2,FALSE), VLOOKUP(O$1,Sprints[],3,FALSE))-SUMPRODUCT((OFFSET(INDIRECT(CELL("address",INDEX('Leave Tracker'!$A$8:$A$92,MATCH($A11,'Leave Tracker'!$A$8:$A$92,0)))),0,31*(VLOOKUP(O$1,Sprints[],5,FALSE))+DAY(VLOOKUP(O$1,Sprints[],2,FALSE)),1,VLOOKUP(O$1,Sprints[],4,FALSE))&lt;&gt;"")*(IF(OFFSET(INDIRECT(CELL("address",INDEX('Leave Tracker'!$A$8:$A$92,MATCH($A11,'Leave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11">
        <f t="array" aca="1" ref="P11" ca="1">Sheet3!$W$2*$F11*(NETWORKDAYS(VLOOKUP(P$1,Sprints[],2,FALSE), VLOOKUP(P$1,Sprints[],3,FALSE))-SUMPRODUCT((OFFSET(INDIRECT(CELL("address",INDEX('Leave Tracker'!$A$8:$A$92,MATCH($A11,'Leave Tracker'!$A$8:$A$92,0)))),0,31*(VLOOKUP(P$1,Sprints[],5,FALSE))+DAY(VLOOKUP(P$1,Sprints[],2,FALSE)),1,VLOOKUP(P$1,Sprints[],4,FALSE))&lt;&gt;"")*(IF(OFFSET(INDIRECT(CELL("address",INDEX('Leave Tracker'!$A$8:$A$92,MATCH($A11,'Leave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5.4</v>
      </c>
      <c r="Q11">
        <f t="array" aca="1" ref="Q11" ca="1">Sheet3!$W$2*$F11*(NETWORKDAYS(VLOOKUP(Q$1,Sprints[],2,FALSE), VLOOKUP(Q$1,Sprints[],3,FALSE))-SUMPRODUCT((OFFSET(INDIRECT(CELL("address",INDEX('Leave Tracker'!$A$8:$A$92,MATCH($A11,'Leave Tracker'!$A$8:$A$92,0)))),0,31*(VLOOKUP(Q$1,Sprints[],5,FALSE))+DAY(VLOOKUP(Q$1,Sprints[],2,FALSE)),1,VLOOKUP(Q$1,Sprints[],4,FALSE))&lt;&gt;"")*(IF(OFFSET(INDIRECT(CELL("address",INDEX('Leave Tracker'!$A$8:$A$92,MATCH($A11,'Leave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11">
        <f t="array" aca="1" ref="R11" ca="1">Sheet3!$W$2*$F11*(NETWORKDAYS(VLOOKUP(R$1,Sprints[],2,FALSE), VLOOKUP(R$1,Sprints[],3,FALSE))-SUMPRODUCT((OFFSET(INDIRECT(CELL("address",INDEX('Leave Tracker'!$A$8:$A$92,MATCH($A11,'Leave Tracker'!$A$8:$A$92,0)))),0,31*(VLOOKUP(R$1,Sprints[],5,FALSE))+DAY(VLOOKUP(R$1,Sprints[],2,FALSE)),1,VLOOKUP(R$1,Sprints[],4,FALSE))&lt;&gt;"")*(IF(OFFSET(INDIRECT(CELL("address",INDEX('Leave Tracker'!$A$8:$A$92,MATCH($A11,'Leave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6.0000000000000009</v>
      </c>
      <c r="S11" s="74">
        <f t="array" aca="1" ref="S11" ca="1">Sheet3!$W$2*$F11*(NETWORKDAYS(VLOOKUP(S$1,Sprints[],2,FALSE), VLOOKUP(S$1,Sprints[],3,FALSE))-SUMPRODUCT((OFFSET(INDIRECT(CELL("address",INDEX('Leave Tracker'!$A$8:$A$92,MATCH($A11,'Leave Tracker'!$A$8:$A$92,0)))),0,31*(VLOOKUP(S$1,Sprints[],5,FALSE))+DAY(VLOOKUP(S$1,Sprints[],2,FALSE)),1,VLOOKUP(S$1,Sprints[],4,FALSE))&lt;&gt;"")*(IF(OFFSET(INDIRECT(CELL("address",INDEX('Leave Tracker'!$A$8:$A$92,MATCH($A11,'Leave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63.600000000000009</v>
      </c>
    </row>
    <row r="12" spans="1:19" x14ac:dyDescent="0.45">
      <c r="A12" t="s">
        <v>77</v>
      </c>
      <c r="B12" s="45" t="s">
        <v>100</v>
      </c>
      <c r="C12" s="45" t="s">
        <v>104</v>
      </c>
      <c r="D12" s="45" t="s">
        <v>119</v>
      </c>
      <c r="E12" s="45" t="s">
        <v>113</v>
      </c>
      <c r="F12" s="47">
        <v>0.75</v>
      </c>
      <c r="G12" s="45">
        <f t="array" aca="1" ref="G12" ca="1">Sheet3!$W$2*$F12*(NETWORKDAYS(VLOOKUP(G$1,Sprints[],2,FALSE), VLOOKUP(G$1,Sprints[],3,FALSE))-SUMPRODUCT((OFFSET(INDIRECT(CELL("address",INDEX('Leave Tracker'!$A$8:$A$92,MATCH($A12,'Leave Tracker'!$A$8:$A$92,0)))),0,31*(VLOOKUP(G$1,Sprints[],5,FALSE))+DAY(VLOOKUP(G$1,Sprints[],2,FALSE)),1,VLOOKUP(G$1,Sprints[],4,FALSE))&lt;&gt;"")*(IF(OFFSET(INDIRECT(CELL("address",INDEX('Leave Tracker'!$A$8:$A$92,MATCH($A12,'Leave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12">
        <f t="array" aca="1" ref="H12" ca="1">Sheet3!$W$2*$F12*(NETWORKDAYS(VLOOKUP(H$1,Sprints[],2,FALSE), VLOOKUP(H$1,Sprints[],3,FALSE))-SUMPRODUCT((OFFSET(INDIRECT(CELL("address",INDEX('Leave Tracker'!$A$8:$A$92,MATCH($A12,'Leave Tracker'!$A$8:$A$92,0)))),0,31*(VLOOKUP(H$1,Sprints[],5,FALSE))+DAY(VLOOKUP(H$1,Sprints[],2,FALSE)),1,VLOOKUP(H$1,Sprints[],4,FALSE))&lt;&gt;"")*(IF(OFFSET(INDIRECT(CELL("address",INDEX('Leave Tracker'!$A$8:$A$92,MATCH($A12,'Leave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12">
        <f t="array" aca="1" ref="I12" ca="1">Sheet3!$W$2*$F12*(NETWORKDAYS(VLOOKUP(I$1,Sprints[],2,FALSE), VLOOKUP(I$1,Sprints[],3,FALSE))-SUMPRODUCT((OFFSET(INDIRECT(CELL("address",INDEX('Leave Tracker'!$A$8:$A$92,MATCH($A12,'Leave Tracker'!$A$8:$A$92,0)))),0,31*(VLOOKUP(I$1,Sprints[],5,FALSE))+DAY(VLOOKUP(I$1,Sprints[],2,FALSE)),1,VLOOKUP(I$1,Sprints[],4,FALSE))&lt;&gt;"")*(IF(OFFSET(INDIRECT(CELL("address",INDEX('Leave Tracker'!$A$8:$A$92,MATCH($A12,'Leave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6.0000000000000009</v>
      </c>
      <c r="J12">
        <f t="array" aca="1" ref="J12" ca="1">Sheet3!$W$2*$F12*(NETWORKDAYS(VLOOKUP(J$1,Sprints[],2,FALSE), VLOOKUP(J$1,Sprints[],3,FALSE))-SUMPRODUCT((OFFSET(INDIRECT(CELL("address",INDEX('Leave Tracker'!$A$8:$A$92,MATCH($A12,'Leave Tracker'!$A$8:$A$92,0)))),0,31*(VLOOKUP(J$1,Sprints[],5,FALSE))+DAY(VLOOKUP(J$1,Sprints[],2,FALSE)),1,VLOOKUP(J$1,Sprints[],4,FALSE))&lt;&gt;"")*(IF(OFFSET(INDIRECT(CELL("address",INDEX('Leave Tracker'!$A$8:$A$92,MATCH($A12,'Leave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12">
        <f t="array" aca="1" ref="K12" ca="1">Sheet3!$W$2*$F12*(NETWORKDAYS(VLOOKUP(K$1,Sprints[],2,FALSE), VLOOKUP(K$1,Sprints[],3,FALSE))-SUMPRODUCT((OFFSET(INDIRECT(CELL("address",INDEX('Leave Tracker'!$A$8:$A$92,MATCH($A12,'Leave Tracker'!$A$8:$A$92,0)))),0,31*(VLOOKUP(K$1,Sprints[],5,FALSE))+DAY(VLOOKUP(K$1,Sprints[],2,FALSE)),1,VLOOKUP(K$1,Sprints[],4,FALSE))&lt;&gt;"")*(IF(OFFSET(INDIRECT(CELL("address",INDEX('Leave Tracker'!$A$8:$A$92,MATCH($A12,'Leave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12">
        <f t="array" aca="1" ref="L12" ca="1">Sheet3!$W$2*$F12*(NETWORKDAYS(VLOOKUP(L$1,Sprints[],2,FALSE), VLOOKUP(L$1,Sprints[],3,FALSE))-SUMPRODUCT((OFFSET(INDIRECT(CELL("address",INDEX('Leave Tracker'!$A$8:$A$92,MATCH($A12,'Leave Tracker'!$A$8:$A$92,0)))),0,31*(VLOOKUP(L$1,Sprints[],5,FALSE))+DAY(VLOOKUP(L$1,Sprints[],2,FALSE)),1,VLOOKUP(L$1,Sprints[],4,FALSE))&lt;&gt;"")*(IF(OFFSET(INDIRECT(CELL("address",INDEX('Leave Tracker'!$A$8:$A$92,MATCH($A12,'Leave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4.2000000000000011</v>
      </c>
      <c r="M12" s="45">
        <f t="array" aca="1" ref="M12" ca="1">Sheet3!$W$2*$F12*(NETWORKDAYS(VLOOKUP(M$1,Sprints[],2,FALSE), VLOOKUP(M$1,Sprints[],3,FALSE))-SUMPRODUCT((OFFSET(INDIRECT(CELL("address",INDEX('Leave Tracker'!$A$8:$A$92,MATCH($A12,'Leave Tracker'!$A$8:$A$92,0)))),0,31*(VLOOKUP(M$1,Sprints[],5,FALSE))+DAY(VLOOKUP(M$1,Sprints[],2,FALSE)),1,VLOOKUP(M$1,Sprints[],4,FALSE))&lt;&gt;"")*(IF(OFFSET(INDIRECT(CELL("address",INDEX('Leave Tracker'!$A$8:$A$92,MATCH($A12,'Leave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6.0000000000000009</v>
      </c>
      <c r="N12">
        <f t="array" aca="1" ref="N12" ca="1">Sheet3!$W$2*$F12*(NETWORKDAYS(VLOOKUP(N$1,Sprints[],2,FALSE), VLOOKUP(N$1,Sprints[],3,FALSE))-SUMPRODUCT((OFFSET(INDIRECT(CELL("address",INDEX('Leave Tracker'!$A$8:$A$92,MATCH($A12,'Leave Tracker'!$A$8:$A$92,0)))),0,31*(VLOOKUP(N$1,Sprints[],5,FALSE))+DAY(VLOOKUP(N$1,Sprints[],2,FALSE)),1,VLOOKUP(N$1,Sprints[],4,FALSE))&lt;&gt;"")*(IF(OFFSET(INDIRECT(CELL("address",INDEX('Leave Tracker'!$A$8:$A$92,MATCH($A12,'Leave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12">
        <f t="array" aca="1" ref="O12" ca="1">Sheet3!$W$2*$F12*(NETWORKDAYS(VLOOKUP(O$1,Sprints[],2,FALSE), VLOOKUP(O$1,Sprints[],3,FALSE))-SUMPRODUCT((OFFSET(INDIRECT(CELL("address",INDEX('Leave Tracker'!$A$8:$A$92,MATCH($A12,'Leave Tracker'!$A$8:$A$92,0)))),0,31*(VLOOKUP(O$1,Sprints[],5,FALSE))+DAY(VLOOKUP(O$1,Sprints[],2,FALSE)),1,VLOOKUP(O$1,Sprints[],4,FALSE))&lt;&gt;"")*(IF(OFFSET(INDIRECT(CELL("address",INDEX('Leave Tracker'!$A$8:$A$92,MATCH($A12,'Leave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12">
        <f t="array" aca="1" ref="P12" ca="1">Sheet3!$W$2*$F12*(NETWORKDAYS(VLOOKUP(P$1,Sprints[],2,FALSE), VLOOKUP(P$1,Sprints[],3,FALSE))-SUMPRODUCT((OFFSET(INDIRECT(CELL("address",INDEX('Leave Tracker'!$A$8:$A$92,MATCH($A12,'Leave Tracker'!$A$8:$A$92,0)))),0,31*(VLOOKUP(P$1,Sprints[],5,FALSE))+DAY(VLOOKUP(P$1,Sprints[],2,FALSE)),1,VLOOKUP(P$1,Sprints[],4,FALSE))&lt;&gt;"")*(IF(OFFSET(INDIRECT(CELL("address",INDEX('Leave Tracker'!$A$8:$A$92,MATCH($A12,'Leave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5.4</v>
      </c>
      <c r="Q12">
        <f t="array" aca="1" ref="Q12" ca="1">Sheet3!$W$2*$F12*(NETWORKDAYS(VLOOKUP(Q$1,Sprints[],2,FALSE), VLOOKUP(Q$1,Sprints[],3,FALSE))-SUMPRODUCT((OFFSET(INDIRECT(CELL("address",INDEX('Leave Tracker'!$A$8:$A$92,MATCH($A12,'Leave Tracker'!$A$8:$A$92,0)))),0,31*(VLOOKUP(Q$1,Sprints[],5,FALSE))+DAY(VLOOKUP(Q$1,Sprints[],2,FALSE)),1,VLOOKUP(Q$1,Sprints[],4,FALSE))&lt;&gt;"")*(IF(OFFSET(INDIRECT(CELL("address",INDEX('Leave Tracker'!$A$8:$A$92,MATCH($A12,'Leave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12">
        <f t="array" aca="1" ref="R12" ca="1">Sheet3!$W$2*$F12*(NETWORKDAYS(VLOOKUP(R$1,Sprints[],2,FALSE), VLOOKUP(R$1,Sprints[],3,FALSE))-SUMPRODUCT((OFFSET(INDIRECT(CELL("address",INDEX('Leave Tracker'!$A$8:$A$92,MATCH($A12,'Leave Tracker'!$A$8:$A$92,0)))),0,31*(VLOOKUP(R$1,Sprints[],5,FALSE))+DAY(VLOOKUP(R$1,Sprints[],2,FALSE)),1,VLOOKUP(R$1,Sprints[],4,FALSE))&lt;&gt;"")*(IF(OFFSET(INDIRECT(CELL("address",INDEX('Leave Tracker'!$A$8:$A$92,MATCH($A12,'Leave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6.0000000000000009</v>
      </c>
      <c r="S12" s="74">
        <f t="array" aca="1" ref="S12" ca="1">Sheet3!$W$2*$F12*(NETWORKDAYS(VLOOKUP(S$1,Sprints[],2,FALSE), VLOOKUP(S$1,Sprints[],3,FALSE))-SUMPRODUCT((OFFSET(INDIRECT(CELL("address",INDEX('Leave Tracker'!$A$8:$A$92,MATCH($A12,'Leave Tracker'!$A$8:$A$92,0)))),0,31*(VLOOKUP(S$1,Sprints[],5,FALSE))+DAY(VLOOKUP(S$1,Sprints[],2,FALSE)),1,VLOOKUP(S$1,Sprints[],4,FALSE))&lt;&gt;"")*(IF(OFFSET(INDIRECT(CELL("address",INDEX('Leave Tracker'!$A$8:$A$92,MATCH($A12,'Leave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63.600000000000009</v>
      </c>
    </row>
    <row r="13" spans="1:19" x14ac:dyDescent="0.45">
      <c r="A13" t="s">
        <v>78</v>
      </c>
      <c r="B13" s="45" t="s">
        <v>106</v>
      </c>
      <c r="C13" s="45" t="s">
        <v>104</v>
      </c>
      <c r="D13" s="45" t="s">
        <v>120</v>
      </c>
      <c r="E13" s="45" t="s">
        <v>114</v>
      </c>
      <c r="F13" s="47">
        <v>0.75</v>
      </c>
      <c r="G13" s="45">
        <f t="array" aca="1" ref="G13" ca="1">Sheet3!$W$2*$F13*(NETWORKDAYS(VLOOKUP(G$1,Sprints[],2,FALSE), VLOOKUP(G$1,Sprints[],3,FALSE))-SUMPRODUCT((OFFSET(INDIRECT(CELL("address",INDEX('Leave Tracker'!$A$8:$A$92,MATCH($A13,'Leave Tracker'!$A$8:$A$92,0)))),0,31*(VLOOKUP(G$1,Sprints[],5,FALSE))+DAY(VLOOKUP(G$1,Sprints[],2,FALSE)),1,VLOOKUP(G$1,Sprints[],4,FALSE))&lt;&gt;"")*(IF(OFFSET(INDIRECT(CELL("address",INDEX('Leave Tracker'!$A$8:$A$92,MATCH($A13,'Leave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13">
        <f t="array" aca="1" ref="H13" ca="1">Sheet3!$W$2*$F13*(NETWORKDAYS(VLOOKUP(H$1,Sprints[],2,FALSE), VLOOKUP(H$1,Sprints[],3,FALSE))-SUMPRODUCT((OFFSET(INDIRECT(CELL("address",INDEX('Leave Tracker'!$A$8:$A$92,MATCH($A13,'Leave Tracker'!$A$8:$A$92,0)))),0,31*(VLOOKUP(H$1,Sprints[],5,FALSE))+DAY(VLOOKUP(H$1,Sprints[],2,FALSE)),1,VLOOKUP(H$1,Sprints[],4,FALSE))&lt;&gt;"")*(IF(OFFSET(INDIRECT(CELL("address",INDEX('Leave Tracker'!$A$8:$A$92,MATCH($A13,'Leave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13">
        <f t="array" aca="1" ref="I13" ca="1">Sheet3!$W$2*$F13*(NETWORKDAYS(VLOOKUP(I$1,Sprints[],2,FALSE), VLOOKUP(I$1,Sprints[],3,FALSE))-SUMPRODUCT((OFFSET(INDIRECT(CELL("address",INDEX('Leave Tracker'!$A$8:$A$92,MATCH($A13,'Leave Tracker'!$A$8:$A$92,0)))),0,31*(VLOOKUP(I$1,Sprints[],5,FALSE))+DAY(VLOOKUP(I$1,Sprints[],2,FALSE)),1,VLOOKUP(I$1,Sprints[],4,FALSE))&lt;&gt;"")*(IF(OFFSET(INDIRECT(CELL("address",INDEX('Leave Tracker'!$A$8:$A$92,MATCH($A13,'Leave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6.0000000000000009</v>
      </c>
      <c r="J13">
        <f t="array" aca="1" ref="J13" ca="1">Sheet3!$W$2*$F13*(NETWORKDAYS(VLOOKUP(J$1,Sprints[],2,FALSE), VLOOKUP(J$1,Sprints[],3,FALSE))-SUMPRODUCT((OFFSET(INDIRECT(CELL("address",INDEX('Leave Tracker'!$A$8:$A$92,MATCH($A13,'Leave Tracker'!$A$8:$A$92,0)))),0,31*(VLOOKUP(J$1,Sprints[],5,FALSE))+DAY(VLOOKUP(J$1,Sprints[],2,FALSE)),1,VLOOKUP(J$1,Sprints[],4,FALSE))&lt;&gt;"")*(IF(OFFSET(INDIRECT(CELL("address",INDEX('Leave Tracker'!$A$8:$A$92,MATCH($A13,'Leave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13">
        <f t="array" aca="1" ref="K13" ca="1">Sheet3!$W$2*$F13*(NETWORKDAYS(VLOOKUP(K$1,Sprints[],2,FALSE), VLOOKUP(K$1,Sprints[],3,FALSE))-SUMPRODUCT((OFFSET(INDIRECT(CELL("address",INDEX('Leave Tracker'!$A$8:$A$92,MATCH($A13,'Leave Tracker'!$A$8:$A$92,0)))),0,31*(VLOOKUP(K$1,Sprints[],5,FALSE))+DAY(VLOOKUP(K$1,Sprints[],2,FALSE)),1,VLOOKUP(K$1,Sprints[],4,FALSE))&lt;&gt;"")*(IF(OFFSET(INDIRECT(CELL("address",INDEX('Leave Tracker'!$A$8:$A$92,MATCH($A13,'Leave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13">
        <f t="array" aca="1" ref="L13" ca="1">Sheet3!$W$2*$F13*(NETWORKDAYS(VLOOKUP(L$1,Sprints[],2,FALSE), VLOOKUP(L$1,Sprints[],3,FALSE))-SUMPRODUCT((OFFSET(INDIRECT(CELL("address",INDEX('Leave Tracker'!$A$8:$A$92,MATCH($A13,'Leave Tracker'!$A$8:$A$92,0)))),0,31*(VLOOKUP(L$1,Sprints[],5,FALSE))+DAY(VLOOKUP(L$1,Sprints[],2,FALSE)),1,VLOOKUP(L$1,Sprints[],4,FALSE))&lt;&gt;"")*(IF(OFFSET(INDIRECT(CELL("address",INDEX('Leave Tracker'!$A$8:$A$92,MATCH($A13,'Leave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4.2000000000000011</v>
      </c>
      <c r="M13" s="45">
        <f t="array" aca="1" ref="M13" ca="1">Sheet3!$W$2*$F13*(NETWORKDAYS(VLOOKUP(M$1,Sprints[],2,FALSE), VLOOKUP(M$1,Sprints[],3,FALSE))-SUMPRODUCT((OFFSET(INDIRECT(CELL("address",INDEX('Leave Tracker'!$A$8:$A$92,MATCH($A13,'Leave Tracker'!$A$8:$A$92,0)))),0,31*(VLOOKUP(M$1,Sprints[],5,FALSE))+DAY(VLOOKUP(M$1,Sprints[],2,FALSE)),1,VLOOKUP(M$1,Sprints[],4,FALSE))&lt;&gt;"")*(IF(OFFSET(INDIRECT(CELL("address",INDEX('Leave Tracker'!$A$8:$A$92,MATCH($A13,'Leave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6.0000000000000009</v>
      </c>
      <c r="N13">
        <f t="array" aca="1" ref="N13" ca="1">Sheet3!$W$2*$F13*(NETWORKDAYS(VLOOKUP(N$1,Sprints[],2,FALSE), VLOOKUP(N$1,Sprints[],3,FALSE))-SUMPRODUCT((OFFSET(INDIRECT(CELL("address",INDEX('Leave Tracker'!$A$8:$A$92,MATCH($A13,'Leave Tracker'!$A$8:$A$92,0)))),0,31*(VLOOKUP(N$1,Sprints[],5,FALSE))+DAY(VLOOKUP(N$1,Sprints[],2,FALSE)),1,VLOOKUP(N$1,Sprints[],4,FALSE))&lt;&gt;"")*(IF(OFFSET(INDIRECT(CELL("address",INDEX('Leave Tracker'!$A$8:$A$92,MATCH($A13,'Leave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13">
        <f t="array" aca="1" ref="O13" ca="1">Sheet3!$W$2*$F13*(NETWORKDAYS(VLOOKUP(O$1,Sprints[],2,FALSE), VLOOKUP(O$1,Sprints[],3,FALSE))-SUMPRODUCT((OFFSET(INDIRECT(CELL("address",INDEX('Leave Tracker'!$A$8:$A$92,MATCH($A13,'Leave Tracker'!$A$8:$A$92,0)))),0,31*(VLOOKUP(O$1,Sprints[],5,FALSE))+DAY(VLOOKUP(O$1,Sprints[],2,FALSE)),1,VLOOKUP(O$1,Sprints[],4,FALSE))&lt;&gt;"")*(IF(OFFSET(INDIRECT(CELL("address",INDEX('Leave Tracker'!$A$8:$A$92,MATCH($A13,'Leave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13">
        <f t="array" aca="1" ref="P13" ca="1">Sheet3!$W$2*$F13*(NETWORKDAYS(VLOOKUP(P$1,Sprints[],2,FALSE), VLOOKUP(P$1,Sprints[],3,FALSE))-SUMPRODUCT((OFFSET(INDIRECT(CELL("address",INDEX('Leave Tracker'!$A$8:$A$92,MATCH($A13,'Leave Tracker'!$A$8:$A$92,0)))),0,31*(VLOOKUP(P$1,Sprints[],5,FALSE))+DAY(VLOOKUP(P$1,Sprints[],2,FALSE)),1,VLOOKUP(P$1,Sprints[],4,FALSE))&lt;&gt;"")*(IF(OFFSET(INDIRECT(CELL("address",INDEX('Leave Tracker'!$A$8:$A$92,MATCH($A13,'Leave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5.4</v>
      </c>
      <c r="Q13">
        <f t="array" aca="1" ref="Q13" ca="1">Sheet3!$W$2*$F13*(NETWORKDAYS(VLOOKUP(Q$1,Sprints[],2,FALSE), VLOOKUP(Q$1,Sprints[],3,FALSE))-SUMPRODUCT((OFFSET(INDIRECT(CELL("address",INDEX('Leave Tracker'!$A$8:$A$92,MATCH($A13,'Leave Tracker'!$A$8:$A$92,0)))),0,31*(VLOOKUP(Q$1,Sprints[],5,FALSE))+DAY(VLOOKUP(Q$1,Sprints[],2,FALSE)),1,VLOOKUP(Q$1,Sprints[],4,FALSE))&lt;&gt;"")*(IF(OFFSET(INDIRECT(CELL("address",INDEX('Leave Tracker'!$A$8:$A$92,MATCH($A13,'Leave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13">
        <f t="array" aca="1" ref="R13" ca="1">Sheet3!$W$2*$F13*(NETWORKDAYS(VLOOKUP(R$1,Sprints[],2,FALSE), VLOOKUP(R$1,Sprints[],3,FALSE))-SUMPRODUCT((OFFSET(INDIRECT(CELL("address",INDEX('Leave Tracker'!$A$8:$A$92,MATCH($A13,'Leave Tracker'!$A$8:$A$92,0)))),0,31*(VLOOKUP(R$1,Sprints[],5,FALSE))+DAY(VLOOKUP(R$1,Sprints[],2,FALSE)),1,VLOOKUP(R$1,Sprints[],4,FALSE))&lt;&gt;"")*(IF(OFFSET(INDIRECT(CELL("address",INDEX('Leave Tracker'!$A$8:$A$92,MATCH($A13,'Leave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6.0000000000000009</v>
      </c>
      <c r="S13" s="74">
        <f t="array" aca="1" ref="S13" ca="1">Sheet3!$W$2*$F13*(NETWORKDAYS(VLOOKUP(S$1,Sprints[],2,FALSE), VLOOKUP(S$1,Sprints[],3,FALSE))-SUMPRODUCT((OFFSET(INDIRECT(CELL("address",INDEX('Leave Tracker'!$A$8:$A$92,MATCH($A13,'Leave Tracker'!$A$8:$A$92,0)))),0,31*(VLOOKUP(S$1,Sprints[],5,FALSE))+DAY(VLOOKUP(S$1,Sprints[],2,FALSE)),1,VLOOKUP(S$1,Sprints[],4,FALSE))&lt;&gt;"")*(IF(OFFSET(INDIRECT(CELL("address",INDEX('Leave Tracker'!$A$8:$A$92,MATCH($A13,'Leave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63.600000000000009</v>
      </c>
    </row>
    <row r="14" spans="1:19" x14ac:dyDescent="0.45">
      <c r="A14" t="s">
        <v>94</v>
      </c>
      <c r="B14" s="45" t="s">
        <v>103</v>
      </c>
      <c r="C14" s="45" t="s">
        <v>105</v>
      </c>
      <c r="D14" s="45" t="s">
        <v>119</v>
      </c>
      <c r="E14" s="45" t="s">
        <v>112</v>
      </c>
      <c r="F14" s="47">
        <v>0.75</v>
      </c>
      <c r="G14" s="45">
        <f t="array" aca="1" ref="G14" ca="1">Sheet3!$W$2*$F14*(NETWORKDAYS(VLOOKUP(G$1,Sprints[],2,FALSE), VLOOKUP(G$1,Sprints[],3,FALSE))-SUMPRODUCT((OFFSET(INDIRECT(CELL("address",INDEX('Leave Tracker'!$A$8:$A$92,MATCH($A14,'Leave Tracker'!$A$8:$A$92,0)))),0,31*(VLOOKUP(G$1,Sprints[],5,FALSE))+DAY(VLOOKUP(G$1,Sprints[],2,FALSE)),1,VLOOKUP(G$1,Sprints[],4,FALSE))&lt;&gt;"")*(IF(OFFSET(INDIRECT(CELL("address",INDEX('Leave Tracker'!$A$8:$A$92,MATCH($A14,'Leave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14">
        <f t="array" aca="1" ref="H14" ca="1">Sheet3!$W$2*$F14*(NETWORKDAYS(VLOOKUP(H$1,Sprints[],2,FALSE), VLOOKUP(H$1,Sprints[],3,FALSE))-SUMPRODUCT((OFFSET(INDIRECT(CELL("address",INDEX('Leave Tracker'!$A$8:$A$92,MATCH($A14,'Leave Tracker'!$A$8:$A$92,0)))),0,31*(VLOOKUP(H$1,Sprints[],5,FALSE))+DAY(VLOOKUP(H$1,Sprints[],2,FALSE)),1,VLOOKUP(H$1,Sprints[],4,FALSE))&lt;&gt;"")*(IF(OFFSET(INDIRECT(CELL("address",INDEX('Leave Tracker'!$A$8:$A$92,MATCH($A14,'Leave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14">
        <f t="array" aca="1" ref="I14" ca="1">Sheet3!$W$2*$F14*(NETWORKDAYS(VLOOKUP(I$1,Sprints[],2,FALSE), VLOOKUP(I$1,Sprints[],3,FALSE))-SUMPRODUCT((OFFSET(INDIRECT(CELL("address",INDEX('Leave Tracker'!$A$8:$A$92,MATCH($A14,'Leave Tracker'!$A$8:$A$92,0)))),0,31*(VLOOKUP(I$1,Sprints[],5,FALSE))+DAY(VLOOKUP(I$1,Sprints[],2,FALSE)),1,VLOOKUP(I$1,Sprints[],4,FALSE))&lt;&gt;"")*(IF(OFFSET(INDIRECT(CELL("address",INDEX('Leave Tracker'!$A$8:$A$92,MATCH($A14,'Leave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5.4</v>
      </c>
      <c r="J14">
        <f t="array" aca="1" ref="J14" ca="1">Sheet3!$W$2*$F14*(NETWORKDAYS(VLOOKUP(J$1,Sprints[],2,FALSE), VLOOKUP(J$1,Sprints[],3,FALSE))-SUMPRODUCT((OFFSET(INDIRECT(CELL("address",INDEX('Leave Tracker'!$A$8:$A$92,MATCH($A14,'Leave Tracker'!$A$8:$A$92,0)))),0,31*(VLOOKUP(J$1,Sprints[],5,FALSE))+DAY(VLOOKUP(J$1,Sprints[],2,FALSE)),1,VLOOKUP(J$1,Sprints[],4,FALSE))&lt;&gt;"")*(IF(OFFSET(INDIRECT(CELL("address",INDEX('Leave Tracker'!$A$8:$A$92,MATCH($A14,'Leave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14">
        <f t="array" aca="1" ref="K14" ca="1">Sheet3!$W$2*$F14*(NETWORKDAYS(VLOOKUP(K$1,Sprints[],2,FALSE), VLOOKUP(K$1,Sprints[],3,FALSE))-SUMPRODUCT((OFFSET(INDIRECT(CELL("address",INDEX('Leave Tracker'!$A$8:$A$92,MATCH($A14,'Leave Tracker'!$A$8:$A$92,0)))),0,31*(VLOOKUP(K$1,Sprints[],5,FALSE))+DAY(VLOOKUP(K$1,Sprints[],2,FALSE)),1,VLOOKUP(K$1,Sprints[],4,FALSE))&lt;&gt;"")*(IF(OFFSET(INDIRECT(CELL("address",INDEX('Leave Tracker'!$A$8:$A$92,MATCH($A14,'Leave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14">
        <f t="array" aca="1" ref="L14" ca="1">Sheet3!$W$2*$F14*(NETWORKDAYS(VLOOKUP(L$1,Sprints[],2,FALSE), VLOOKUP(L$1,Sprints[],3,FALSE))-SUMPRODUCT((OFFSET(INDIRECT(CELL("address",INDEX('Leave Tracker'!$A$8:$A$92,MATCH($A14,'Leave Tracker'!$A$8:$A$92,0)))),0,31*(VLOOKUP(L$1,Sprints[],5,FALSE))+DAY(VLOOKUP(L$1,Sprints[],2,FALSE)),1,VLOOKUP(L$1,Sprints[],4,FALSE))&lt;&gt;"")*(IF(OFFSET(INDIRECT(CELL("address",INDEX('Leave Tracker'!$A$8:$A$92,MATCH($A14,'Leave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4.8000000000000007</v>
      </c>
      <c r="M14" s="45">
        <f t="array" aca="1" ref="M14" ca="1">Sheet3!$W$2*$F14*(NETWORKDAYS(VLOOKUP(M$1,Sprints[],2,FALSE), VLOOKUP(M$1,Sprints[],3,FALSE))-SUMPRODUCT((OFFSET(INDIRECT(CELL("address",INDEX('Leave Tracker'!$A$8:$A$92,MATCH($A14,'Leave Tracker'!$A$8:$A$92,0)))),0,31*(VLOOKUP(M$1,Sprints[],5,FALSE))+DAY(VLOOKUP(M$1,Sprints[],2,FALSE)),1,VLOOKUP(M$1,Sprints[],4,FALSE))&lt;&gt;"")*(IF(OFFSET(INDIRECT(CELL("address",INDEX('Leave Tracker'!$A$8:$A$92,MATCH($A14,'Leave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5.4</v>
      </c>
      <c r="N14">
        <f t="array" aca="1" ref="N14" ca="1">Sheet3!$W$2*$F14*(NETWORKDAYS(VLOOKUP(N$1,Sprints[],2,FALSE), VLOOKUP(N$1,Sprints[],3,FALSE))-SUMPRODUCT((OFFSET(INDIRECT(CELL("address",INDEX('Leave Tracker'!$A$8:$A$92,MATCH($A14,'Leave Tracker'!$A$8:$A$92,0)))),0,31*(VLOOKUP(N$1,Sprints[],5,FALSE))+DAY(VLOOKUP(N$1,Sprints[],2,FALSE)),1,VLOOKUP(N$1,Sprints[],4,FALSE))&lt;&gt;"")*(IF(OFFSET(INDIRECT(CELL("address",INDEX('Leave Tracker'!$A$8:$A$92,MATCH($A14,'Leave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14">
        <f t="array" aca="1" ref="O14" ca="1">Sheet3!$W$2*$F14*(NETWORKDAYS(VLOOKUP(O$1,Sprints[],2,FALSE), VLOOKUP(O$1,Sprints[],3,FALSE))-SUMPRODUCT((OFFSET(INDIRECT(CELL("address",INDEX('Leave Tracker'!$A$8:$A$92,MATCH($A14,'Leave Tracker'!$A$8:$A$92,0)))),0,31*(VLOOKUP(O$1,Sprints[],5,FALSE))+DAY(VLOOKUP(O$1,Sprints[],2,FALSE)),1,VLOOKUP(O$1,Sprints[],4,FALSE))&lt;&gt;"")*(IF(OFFSET(INDIRECT(CELL("address",INDEX('Leave Tracker'!$A$8:$A$92,MATCH($A14,'Leave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14">
        <f t="array" aca="1" ref="P14" ca="1">Sheet3!$W$2*$F14*(NETWORKDAYS(VLOOKUP(P$1,Sprints[],2,FALSE), VLOOKUP(P$1,Sprints[],3,FALSE))-SUMPRODUCT((OFFSET(INDIRECT(CELL("address",INDEX('Leave Tracker'!$A$8:$A$92,MATCH($A14,'Leave Tracker'!$A$8:$A$92,0)))),0,31*(VLOOKUP(P$1,Sprints[],5,FALSE))+DAY(VLOOKUP(P$1,Sprints[],2,FALSE)),1,VLOOKUP(P$1,Sprints[],4,FALSE))&lt;&gt;"")*(IF(OFFSET(INDIRECT(CELL("address",INDEX('Leave Tracker'!$A$8:$A$92,MATCH($A14,'Leave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6.0000000000000009</v>
      </c>
      <c r="Q14">
        <f t="array" aca="1" ref="Q14" ca="1">Sheet3!$W$2*$F14*(NETWORKDAYS(VLOOKUP(Q$1,Sprints[],2,FALSE), VLOOKUP(Q$1,Sprints[],3,FALSE))-SUMPRODUCT((OFFSET(INDIRECT(CELL("address",INDEX('Leave Tracker'!$A$8:$A$92,MATCH($A14,'Leave Tracker'!$A$8:$A$92,0)))),0,31*(VLOOKUP(Q$1,Sprints[],5,FALSE))+DAY(VLOOKUP(Q$1,Sprints[],2,FALSE)),1,VLOOKUP(Q$1,Sprints[],4,FALSE))&lt;&gt;"")*(IF(OFFSET(INDIRECT(CELL("address",INDEX('Leave Tracker'!$A$8:$A$92,MATCH($A14,'Leave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14">
        <f t="array" aca="1" ref="R14" ca="1">Sheet3!$W$2*$F14*(NETWORKDAYS(VLOOKUP(R$1,Sprints[],2,FALSE), VLOOKUP(R$1,Sprints[],3,FALSE))-SUMPRODUCT((OFFSET(INDIRECT(CELL("address",INDEX('Leave Tracker'!$A$8:$A$92,MATCH($A14,'Leave Tracker'!$A$8:$A$92,0)))),0,31*(VLOOKUP(R$1,Sprints[],5,FALSE))+DAY(VLOOKUP(R$1,Sprints[],2,FALSE)),1,VLOOKUP(R$1,Sprints[],4,FALSE))&lt;&gt;"")*(IF(OFFSET(INDIRECT(CELL("address",INDEX('Leave Tracker'!$A$8:$A$92,MATCH($A14,'Leave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5.4</v>
      </c>
      <c r="S14" s="74">
        <f t="array" aca="1" ref="S14" ca="1">Sheet3!$W$2*$F14*(NETWORKDAYS(VLOOKUP(S$1,Sprints[],2,FALSE), VLOOKUP(S$1,Sprints[],3,FALSE))-SUMPRODUCT((OFFSET(INDIRECT(CELL("address",INDEX('Leave Tracker'!$A$8:$A$92,MATCH($A14,'Leave Tracker'!$A$8:$A$92,0)))),0,31*(VLOOKUP(S$1,Sprints[],5,FALSE))+DAY(VLOOKUP(S$1,Sprints[],2,FALSE)),1,VLOOKUP(S$1,Sprints[],4,FALSE))&lt;&gt;"")*(IF(OFFSET(INDIRECT(CELL("address",INDEX('Leave Tracker'!$A$8:$A$92,MATCH($A14,'Leave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63.000000000000007</v>
      </c>
    </row>
    <row r="15" spans="1:19" x14ac:dyDescent="0.45">
      <c r="A15" t="s">
        <v>91</v>
      </c>
      <c r="B15" s="45" t="s">
        <v>103</v>
      </c>
      <c r="C15" s="45" t="s">
        <v>105</v>
      </c>
      <c r="D15" s="45" t="s">
        <v>120</v>
      </c>
      <c r="E15" s="45" t="s">
        <v>115</v>
      </c>
      <c r="F15" s="47">
        <v>0.75</v>
      </c>
      <c r="G15" s="45">
        <f t="array" aca="1" ref="G15" ca="1">Sheet3!$W$2*$F15*(NETWORKDAYS(VLOOKUP(G$1,Sprints[],2,FALSE), VLOOKUP(G$1,Sprints[],3,FALSE))-SUMPRODUCT((OFFSET(INDIRECT(CELL("address",INDEX('Leave Tracker'!$A$8:$A$92,MATCH($A15,'Leave Tracker'!$A$8:$A$92,0)))),0,31*(VLOOKUP(G$1,Sprints[],5,FALSE))+DAY(VLOOKUP(G$1,Sprints[],2,FALSE)),1,VLOOKUP(G$1,Sprints[],4,FALSE))&lt;&gt;"")*(IF(OFFSET(INDIRECT(CELL("address",INDEX('Leave Tracker'!$A$8:$A$92,MATCH($A15,'Leave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15">
        <f t="array" aca="1" ref="H15" ca="1">Sheet3!$W$2*$F15*(NETWORKDAYS(VLOOKUP(H$1,Sprints[],2,FALSE), VLOOKUP(H$1,Sprints[],3,FALSE))-SUMPRODUCT((OFFSET(INDIRECT(CELL("address",INDEX('Leave Tracker'!$A$8:$A$92,MATCH($A15,'Leave Tracker'!$A$8:$A$92,0)))),0,31*(VLOOKUP(H$1,Sprints[],5,FALSE))+DAY(VLOOKUP(H$1,Sprints[],2,FALSE)),1,VLOOKUP(H$1,Sprints[],4,FALSE))&lt;&gt;"")*(IF(OFFSET(INDIRECT(CELL("address",INDEX('Leave Tracker'!$A$8:$A$92,MATCH($A15,'Leave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15">
        <f t="array" aca="1" ref="I15" ca="1">Sheet3!$W$2*$F15*(NETWORKDAYS(VLOOKUP(I$1,Sprints[],2,FALSE), VLOOKUP(I$1,Sprints[],3,FALSE))-SUMPRODUCT((OFFSET(INDIRECT(CELL("address",INDEX('Leave Tracker'!$A$8:$A$92,MATCH($A15,'Leave Tracker'!$A$8:$A$92,0)))),0,31*(VLOOKUP(I$1,Sprints[],5,FALSE))+DAY(VLOOKUP(I$1,Sprints[],2,FALSE)),1,VLOOKUP(I$1,Sprints[],4,FALSE))&lt;&gt;"")*(IF(OFFSET(INDIRECT(CELL("address",INDEX('Leave Tracker'!$A$8:$A$92,MATCH($A15,'Leave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5.4</v>
      </c>
      <c r="J15">
        <f t="array" aca="1" ref="J15" ca="1">Sheet3!$W$2*$F15*(NETWORKDAYS(VLOOKUP(J$1,Sprints[],2,FALSE), VLOOKUP(J$1,Sprints[],3,FALSE))-SUMPRODUCT((OFFSET(INDIRECT(CELL("address",INDEX('Leave Tracker'!$A$8:$A$92,MATCH($A15,'Leave Tracker'!$A$8:$A$92,0)))),0,31*(VLOOKUP(J$1,Sprints[],5,FALSE))+DAY(VLOOKUP(J$1,Sprints[],2,FALSE)),1,VLOOKUP(J$1,Sprints[],4,FALSE))&lt;&gt;"")*(IF(OFFSET(INDIRECT(CELL("address",INDEX('Leave Tracker'!$A$8:$A$92,MATCH($A15,'Leave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15">
        <f t="array" aca="1" ref="K15" ca="1">Sheet3!$W$2*$F15*(NETWORKDAYS(VLOOKUP(K$1,Sprints[],2,FALSE), VLOOKUP(K$1,Sprints[],3,FALSE))-SUMPRODUCT((OFFSET(INDIRECT(CELL("address",INDEX('Leave Tracker'!$A$8:$A$92,MATCH($A15,'Leave Tracker'!$A$8:$A$92,0)))),0,31*(VLOOKUP(K$1,Sprints[],5,FALSE))+DAY(VLOOKUP(K$1,Sprints[],2,FALSE)),1,VLOOKUP(K$1,Sprints[],4,FALSE))&lt;&gt;"")*(IF(OFFSET(INDIRECT(CELL("address",INDEX('Leave Tracker'!$A$8:$A$92,MATCH($A15,'Leave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15">
        <f t="array" aca="1" ref="L15" ca="1">Sheet3!$W$2*$F15*(NETWORKDAYS(VLOOKUP(L$1,Sprints[],2,FALSE), VLOOKUP(L$1,Sprints[],3,FALSE))-SUMPRODUCT((OFFSET(INDIRECT(CELL("address",INDEX('Leave Tracker'!$A$8:$A$92,MATCH($A15,'Leave Tracker'!$A$8:$A$92,0)))),0,31*(VLOOKUP(L$1,Sprints[],5,FALSE))+DAY(VLOOKUP(L$1,Sprints[],2,FALSE)),1,VLOOKUP(L$1,Sprints[],4,FALSE))&lt;&gt;"")*(IF(OFFSET(INDIRECT(CELL("address",INDEX('Leave Tracker'!$A$8:$A$92,MATCH($A15,'Leave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4.8000000000000007</v>
      </c>
      <c r="M15" s="45">
        <f t="array" aca="1" ref="M15" ca="1">Sheet3!$W$2*$F15*(NETWORKDAYS(VLOOKUP(M$1,Sprints[],2,FALSE), VLOOKUP(M$1,Sprints[],3,FALSE))-SUMPRODUCT((OFFSET(INDIRECT(CELL("address",INDEX('Leave Tracker'!$A$8:$A$92,MATCH($A15,'Leave Tracker'!$A$8:$A$92,0)))),0,31*(VLOOKUP(M$1,Sprints[],5,FALSE))+DAY(VLOOKUP(M$1,Sprints[],2,FALSE)),1,VLOOKUP(M$1,Sprints[],4,FALSE))&lt;&gt;"")*(IF(OFFSET(INDIRECT(CELL("address",INDEX('Leave Tracker'!$A$8:$A$92,MATCH($A15,'Leave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5.4</v>
      </c>
      <c r="N15">
        <f t="array" aca="1" ref="N15" ca="1">Sheet3!$W$2*$F15*(NETWORKDAYS(VLOOKUP(N$1,Sprints[],2,FALSE), VLOOKUP(N$1,Sprints[],3,FALSE))-SUMPRODUCT((OFFSET(INDIRECT(CELL("address",INDEX('Leave Tracker'!$A$8:$A$92,MATCH($A15,'Leave Tracker'!$A$8:$A$92,0)))),0,31*(VLOOKUP(N$1,Sprints[],5,FALSE))+DAY(VLOOKUP(N$1,Sprints[],2,FALSE)),1,VLOOKUP(N$1,Sprints[],4,FALSE))&lt;&gt;"")*(IF(OFFSET(INDIRECT(CELL("address",INDEX('Leave Tracker'!$A$8:$A$92,MATCH($A15,'Leave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15">
        <f t="array" aca="1" ref="O15" ca="1">Sheet3!$W$2*$F15*(NETWORKDAYS(VLOOKUP(O$1,Sprints[],2,FALSE), VLOOKUP(O$1,Sprints[],3,FALSE))-SUMPRODUCT((OFFSET(INDIRECT(CELL("address",INDEX('Leave Tracker'!$A$8:$A$92,MATCH($A15,'Leave Tracker'!$A$8:$A$92,0)))),0,31*(VLOOKUP(O$1,Sprints[],5,FALSE))+DAY(VLOOKUP(O$1,Sprints[],2,FALSE)),1,VLOOKUP(O$1,Sprints[],4,FALSE))&lt;&gt;"")*(IF(OFFSET(INDIRECT(CELL("address",INDEX('Leave Tracker'!$A$8:$A$92,MATCH($A15,'Leave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15">
        <f t="array" aca="1" ref="P15" ca="1">Sheet3!$W$2*$F15*(NETWORKDAYS(VLOOKUP(P$1,Sprints[],2,FALSE), VLOOKUP(P$1,Sprints[],3,FALSE))-SUMPRODUCT((OFFSET(INDIRECT(CELL("address",INDEX('Leave Tracker'!$A$8:$A$92,MATCH($A15,'Leave Tracker'!$A$8:$A$92,0)))),0,31*(VLOOKUP(P$1,Sprints[],5,FALSE))+DAY(VLOOKUP(P$1,Sprints[],2,FALSE)),1,VLOOKUP(P$1,Sprints[],4,FALSE))&lt;&gt;"")*(IF(OFFSET(INDIRECT(CELL("address",INDEX('Leave Tracker'!$A$8:$A$92,MATCH($A15,'Leave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6.0000000000000009</v>
      </c>
      <c r="Q15">
        <f t="array" aca="1" ref="Q15" ca="1">Sheet3!$W$2*$F15*(NETWORKDAYS(VLOOKUP(Q$1,Sprints[],2,FALSE), VLOOKUP(Q$1,Sprints[],3,FALSE))-SUMPRODUCT((OFFSET(INDIRECT(CELL("address",INDEX('Leave Tracker'!$A$8:$A$92,MATCH($A15,'Leave Tracker'!$A$8:$A$92,0)))),0,31*(VLOOKUP(Q$1,Sprints[],5,FALSE))+DAY(VLOOKUP(Q$1,Sprints[],2,FALSE)),1,VLOOKUP(Q$1,Sprints[],4,FALSE))&lt;&gt;"")*(IF(OFFSET(INDIRECT(CELL("address",INDEX('Leave Tracker'!$A$8:$A$92,MATCH($A15,'Leave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15">
        <f t="array" aca="1" ref="R15" ca="1">Sheet3!$W$2*$F15*(NETWORKDAYS(VLOOKUP(R$1,Sprints[],2,FALSE), VLOOKUP(R$1,Sprints[],3,FALSE))-SUMPRODUCT((OFFSET(INDIRECT(CELL("address",INDEX('Leave Tracker'!$A$8:$A$92,MATCH($A15,'Leave Tracker'!$A$8:$A$92,0)))),0,31*(VLOOKUP(R$1,Sprints[],5,FALSE))+DAY(VLOOKUP(R$1,Sprints[],2,FALSE)),1,VLOOKUP(R$1,Sprints[],4,FALSE))&lt;&gt;"")*(IF(OFFSET(INDIRECT(CELL("address",INDEX('Leave Tracker'!$A$8:$A$92,MATCH($A15,'Leave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5.4</v>
      </c>
      <c r="S15" s="74">
        <f t="array" aca="1" ref="S15" ca="1">Sheet3!$W$2*$F15*(NETWORKDAYS(VLOOKUP(S$1,Sprints[],2,FALSE), VLOOKUP(S$1,Sprints[],3,FALSE))-SUMPRODUCT((OFFSET(INDIRECT(CELL("address",INDEX('Leave Tracker'!$A$8:$A$92,MATCH($A15,'Leave Tracker'!$A$8:$A$92,0)))),0,31*(VLOOKUP(S$1,Sprints[],5,FALSE))+DAY(VLOOKUP(S$1,Sprints[],2,FALSE)),1,VLOOKUP(S$1,Sprints[],4,FALSE))&lt;&gt;"")*(IF(OFFSET(INDIRECT(CELL("address",INDEX('Leave Tracker'!$A$8:$A$92,MATCH($A15,'Leave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63.000000000000007</v>
      </c>
    </row>
    <row r="16" spans="1:19" x14ac:dyDescent="0.45">
      <c r="A16" t="s">
        <v>80</v>
      </c>
      <c r="B16" s="45" t="s">
        <v>106</v>
      </c>
      <c r="C16" s="45" t="s">
        <v>104</v>
      </c>
      <c r="D16" s="45" t="s">
        <v>120</v>
      </c>
      <c r="E16" s="45" t="s">
        <v>115</v>
      </c>
      <c r="F16" s="47">
        <v>0.75</v>
      </c>
      <c r="G16" s="45">
        <f t="array" aca="1" ref="G16" ca="1">Sheet3!$W$2*$F16*(NETWORKDAYS(VLOOKUP(G$1,Sprints[],2,FALSE), VLOOKUP(G$1,Sprints[],3,FALSE))-SUMPRODUCT((OFFSET(INDIRECT(CELL("address",INDEX('Leave Tracker'!$A$8:$A$92,MATCH($A16,'Leave Tracker'!$A$8:$A$92,0)))),0,31*(VLOOKUP(G$1,Sprints[],5,FALSE))+DAY(VLOOKUP(G$1,Sprints[],2,FALSE)),1,VLOOKUP(G$1,Sprints[],4,FALSE))&lt;&gt;"")*(IF(OFFSET(INDIRECT(CELL("address",INDEX('Leave Tracker'!$A$8:$A$92,MATCH($A16,'Leave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16">
        <f t="array" aca="1" ref="H16" ca="1">Sheet3!$W$2*$F16*(NETWORKDAYS(VLOOKUP(H$1,Sprints[],2,FALSE), VLOOKUP(H$1,Sprints[],3,FALSE))-SUMPRODUCT((OFFSET(INDIRECT(CELL("address",INDEX('Leave Tracker'!$A$8:$A$92,MATCH($A16,'Leave Tracker'!$A$8:$A$92,0)))),0,31*(VLOOKUP(H$1,Sprints[],5,FALSE))+DAY(VLOOKUP(H$1,Sprints[],2,FALSE)),1,VLOOKUP(H$1,Sprints[],4,FALSE))&lt;&gt;"")*(IF(OFFSET(INDIRECT(CELL("address",INDEX('Leave Tracker'!$A$8:$A$92,MATCH($A16,'Leave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16">
        <f t="array" aca="1" ref="I16" ca="1">Sheet3!$W$2*$F16*(NETWORKDAYS(VLOOKUP(I$1,Sprints[],2,FALSE), VLOOKUP(I$1,Sprints[],3,FALSE))-SUMPRODUCT((OFFSET(INDIRECT(CELL("address",INDEX('Leave Tracker'!$A$8:$A$92,MATCH($A16,'Leave Tracker'!$A$8:$A$92,0)))),0,31*(VLOOKUP(I$1,Sprints[],5,FALSE))+DAY(VLOOKUP(I$1,Sprints[],2,FALSE)),1,VLOOKUP(I$1,Sprints[],4,FALSE))&lt;&gt;"")*(IF(OFFSET(INDIRECT(CELL("address",INDEX('Leave Tracker'!$A$8:$A$92,MATCH($A16,'Leave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6.0000000000000009</v>
      </c>
      <c r="J16">
        <f t="array" aca="1" ref="J16" ca="1">Sheet3!$W$2*$F16*(NETWORKDAYS(VLOOKUP(J$1,Sprints[],2,FALSE), VLOOKUP(J$1,Sprints[],3,FALSE))-SUMPRODUCT((OFFSET(INDIRECT(CELL("address",INDEX('Leave Tracker'!$A$8:$A$92,MATCH($A16,'Leave Tracker'!$A$8:$A$92,0)))),0,31*(VLOOKUP(J$1,Sprints[],5,FALSE))+DAY(VLOOKUP(J$1,Sprints[],2,FALSE)),1,VLOOKUP(J$1,Sprints[],4,FALSE))&lt;&gt;"")*(IF(OFFSET(INDIRECT(CELL("address",INDEX('Leave Tracker'!$A$8:$A$92,MATCH($A16,'Leave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16">
        <f t="array" aca="1" ref="K16" ca="1">Sheet3!$W$2*$F16*(NETWORKDAYS(VLOOKUP(K$1,Sprints[],2,FALSE), VLOOKUP(K$1,Sprints[],3,FALSE))-SUMPRODUCT((OFFSET(INDIRECT(CELL("address",INDEX('Leave Tracker'!$A$8:$A$92,MATCH($A16,'Leave Tracker'!$A$8:$A$92,0)))),0,31*(VLOOKUP(K$1,Sprints[],5,FALSE))+DAY(VLOOKUP(K$1,Sprints[],2,FALSE)),1,VLOOKUP(K$1,Sprints[],4,FALSE))&lt;&gt;"")*(IF(OFFSET(INDIRECT(CELL("address",INDEX('Leave Tracker'!$A$8:$A$92,MATCH($A16,'Leave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16">
        <f t="array" aca="1" ref="L16" ca="1">Sheet3!$W$2*$F16*(NETWORKDAYS(VLOOKUP(L$1,Sprints[],2,FALSE), VLOOKUP(L$1,Sprints[],3,FALSE))-SUMPRODUCT((OFFSET(INDIRECT(CELL("address",INDEX('Leave Tracker'!$A$8:$A$92,MATCH($A16,'Leave Tracker'!$A$8:$A$92,0)))),0,31*(VLOOKUP(L$1,Sprints[],5,FALSE))+DAY(VLOOKUP(L$1,Sprints[],2,FALSE)),1,VLOOKUP(L$1,Sprints[],4,FALSE))&lt;&gt;"")*(IF(OFFSET(INDIRECT(CELL("address",INDEX('Leave Tracker'!$A$8:$A$92,MATCH($A16,'Leave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4.2000000000000011</v>
      </c>
      <c r="M16" s="45">
        <f t="array" aca="1" ref="M16" ca="1">Sheet3!$W$2*$F16*(NETWORKDAYS(VLOOKUP(M$1,Sprints[],2,FALSE), VLOOKUP(M$1,Sprints[],3,FALSE))-SUMPRODUCT((OFFSET(INDIRECT(CELL("address",INDEX('Leave Tracker'!$A$8:$A$92,MATCH($A16,'Leave Tracker'!$A$8:$A$92,0)))),0,31*(VLOOKUP(M$1,Sprints[],5,FALSE))+DAY(VLOOKUP(M$1,Sprints[],2,FALSE)),1,VLOOKUP(M$1,Sprints[],4,FALSE))&lt;&gt;"")*(IF(OFFSET(INDIRECT(CELL("address",INDEX('Leave Tracker'!$A$8:$A$92,MATCH($A16,'Leave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6.0000000000000009</v>
      </c>
      <c r="N16">
        <f t="array" aca="1" ref="N16" ca="1">Sheet3!$W$2*$F16*(NETWORKDAYS(VLOOKUP(N$1,Sprints[],2,FALSE), VLOOKUP(N$1,Sprints[],3,FALSE))-SUMPRODUCT((OFFSET(INDIRECT(CELL("address",INDEX('Leave Tracker'!$A$8:$A$92,MATCH($A16,'Leave Tracker'!$A$8:$A$92,0)))),0,31*(VLOOKUP(N$1,Sprints[],5,FALSE))+DAY(VLOOKUP(N$1,Sprints[],2,FALSE)),1,VLOOKUP(N$1,Sprints[],4,FALSE))&lt;&gt;"")*(IF(OFFSET(INDIRECT(CELL("address",INDEX('Leave Tracker'!$A$8:$A$92,MATCH($A16,'Leave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16">
        <f t="array" aca="1" ref="O16" ca="1">Sheet3!$W$2*$F16*(NETWORKDAYS(VLOOKUP(O$1,Sprints[],2,FALSE), VLOOKUP(O$1,Sprints[],3,FALSE))-SUMPRODUCT((OFFSET(INDIRECT(CELL("address",INDEX('Leave Tracker'!$A$8:$A$92,MATCH($A16,'Leave Tracker'!$A$8:$A$92,0)))),0,31*(VLOOKUP(O$1,Sprints[],5,FALSE))+DAY(VLOOKUP(O$1,Sprints[],2,FALSE)),1,VLOOKUP(O$1,Sprints[],4,FALSE))&lt;&gt;"")*(IF(OFFSET(INDIRECT(CELL("address",INDEX('Leave Tracker'!$A$8:$A$92,MATCH($A16,'Leave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16">
        <f t="array" aca="1" ref="P16" ca="1">Sheet3!$W$2*$F16*(NETWORKDAYS(VLOOKUP(P$1,Sprints[],2,FALSE), VLOOKUP(P$1,Sprints[],3,FALSE))-SUMPRODUCT((OFFSET(INDIRECT(CELL("address",INDEX('Leave Tracker'!$A$8:$A$92,MATCH($A16,'Leave Tracker'!$A$8:$A$92,0)))),0,31*(VLOOKUP(P$1,Sprints[],5,FALSE))+DAY(VLOOKUP(P$1,Sprints[],2,FALSE)),1,VLOOKUP(P$1,Sprints[],4,FALSE))&lt;&gt;"")*(IF(OFFSET(INDIRECT(CELL("address",INDEX('Leave Tracker'!$A$8:$A$92,MATCH($A16,'Leave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5.4</v>
      </c>
      <c r="Q16">
        <f t="array" aca="1" ref="Q16" ca="1">Sheet3!$W$2*$F16*(NETWORKDAYS(VLOOKUP(Q$1,Sprints[],2,FALSE), VLOOKUP(Q$1,Sprints[],3,FALSE))-SUMPRODUCT((OFFSET(INDIRECT(CELL("address",INDEX('Leave Tracker'!$A$8:$A$92,MATCH($A16,'Leave Tracker'!$A$8:$A$92,0)))),0,31*(VLOOKUP(Q$1,Sprints[],5,FALSE))+DAY(VLOOKUP(Q$1,Sprints[],2,FALSE)),1,VLOOKUP(Q$1,Sprints[],4,FALSE))&lt;&gt;"")*(IF(OFFSET(INDIRECT(CELL("address",INDEX('Leave Tracker'!$A$8:$A$92,MATCH($A16,'Leave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16">
        <f t="array" aca="1" ref="R16" ca="1">Sheet3!$W$2*$F16*(NETWORKDAYS(VLOOKUP(R$1,Sprints[],2,FALSE), VLOOKUP(R$1,Sprints[],3,FALSE))-SUMPRODUCT((OFFSET(INDIRECT(CELL("address",INDEX('Leave Tracker'!$A$8:$A$92,MATCH($A16,'Leave Tracker'!$A$8:$A$92,0)))),0,31*(VLOOKUP(R$1,Sprints[],5,FALSE))+DAY(VLOOKUP(R$1,Sprints[],2,FALSE)),1,VLOOKUP(R$1,Sprints[],4,FALSE))&lt;&gt;"")*(IF(OFFSET(INDIRECT(CELL("address",INDEX('Leave Tracker'!$A$8:$A$92,MATCH($A16,'Leave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6.0000000000000009</v>
      </c>
      <c r="S16" s="74">
        <f t="array" aca="1" ref="S16" ca="1">Sheet3!$W$2*$F16*(NETWORKDAYS(VLOOKUP(S$1,Sprints[],2,FALSE), VLOOKUP(S$1,Sprints[],3,FALSE))-SUMPRODUCT((OFFSET(INDIRECT(CELL("address",INDEX('Leave Tracker'!$A$8:$A$92,MATCH($A16,'Leave Tracker'!$A$8:$A$92,0)))),0,31*(VLOOKUP(S$1,Sprints[],5,FALSE))+DAY(VLOOKUP(S$1,Sprints[],2,FALSE)),1,VLOOKUP(S$1,Sprints[],4,FALSE))&lt;&gt;"")*(IF(OFFSET(INDIRECT(CELL("address",INDEX('Leave Tracker'!$A$8:$A$92,MATCH($A16,'Leave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63.600000000000009</v>
      </c>
    </row>
    <row r="17" spans="1:19" x14ac:dyDescent="0.45">
      <c r="A17" t="s">
        <v>41</v>
      </c>
      <c r="B17" s="45" t="s">
        <v>99</v>
      </c>
      <c r="C17" s="45" t="s">
        <v>104</v>
      </c>
      <c r="D17" s="45" t="s">
        <v>132</v>
      </c>
      <c r="E17" s="45" t="s">
        <v>113</v>
      </c>
      <c r="F17" s="47">
        <v>0.2</v>
      </c>
      <c r="G17" s="45">
        <f t="array" aca="1" ref="G17" ca="1">Sheet3!$W$2*$F17*(NETWORKDAYS(VLOOKUP(G$1,Sprints[],2,FALSE), VLOOKUP(G$1,Sprints[],3,FALSE))-SUMPRODUCT((OFFSET(INDIRECT(CELL("address",INDEX('Leave Tracker'!$A$8:$A$92,MATCH($A17,'Leave Tracker'!$A$8:$A$92,0)))),0,31*(VLOOKUP(G$1,Sprints[],5,FALSE))+DAY(VLOOKUP(G$1,Sprints[],2,FALSE)),1,VLOOKUP(G$1,Sprints[],4,FALSE))&lt;&gt;"")*(IF(OFFSET(INDIRECT(CELL("address",INDEX('Leave Tracker'!$A$8:$A$92,MATCH($A17,'Leave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0.80000000000000016</v>
      </c>
      <c r="H17">
        <f t="array" aca="1" ref="H17" ca="1">Sheet3!$W$2*$F17*(NETWORKDAYS(VLOOKUP(H$1,Sprints[],2,FALSE), VLOOKUP(H$1,Sprints[],3,FALSE))-SUMPRODUCT((OFFSET(INDIRECT(CELL("address",INDEX('Leave Tracker'!$A$8:$A$92,MATCH($A17,'Leave Tracker'!$A$8:$A$92,0)))),0,31*(VLOOKUP(H$1,Sprints[],5,FALSE))+DAY(VLOOKUP(H$1,Sprints[],2,FALSE)),1,VLOOKUP(H$1,Sprints[],4,FALSE))&lt;&gt;"")*(IF(OFFSET(INDIRECT(CELL("address",INDEX('Leave Tracker'!$A$8:$A$92,MATCH($A17,'Leave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1.6000000000000003</v>
      </c>
      <c r="I17">
        <f t="array" aca="1" ref="I17" ca="1">Sheet3!$W$2*$F17*(NETWORKDAYS(VLOOKUP(I$1,Sprints[],2,FALSE), VLOOKUP(I$1,Sprints[],3,FALSE))-SUMPRODUCT((OFFSET(INDIRECT(CELL("address",INDEX('Leave Tracker'!$A$8:$A$92,MATCH($A17,'Leave Tracker'!$A$8:$A$92,0)))),0,31*(VLOOKUP(I$1,Sprints[],5,FALSE))+DAY(VLOOKUP(I$1,Sprints[],2,FALSE)),1,VLOOKUP(I$1,Sprints[],4,FALSE))&lt;&gt;"")*(IF(OFFSET(INDIRECT(CELL("address",INDEX('Leave Tracker'!$A$8:$A$92,MATCH($A17,'Leave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1.6000000000000003</v>
      </c>
      <c r="J17">
        <f t="array" aca="1" ref="J17" ca="1">Sheet3!$W$2*$F17*(NETWORKDAYS(VLOOKUP(J$1,Sprints[],2,FALSE), VLOOKUP(J$1,Sprints[],3,FALSE))-SUMPRODUCT((OFFSET(INDIRECT(CELL("address",INDEX('Leave Tracker'!$A$8:$A$92,MATCH($A17,'Leave Tracker'!$A$8:$A$92,0)))),0,31*(VLOOKUP(J$1,Sprints[],5,FALSE))+DAY(VLOOKUP(J$1,Sprints[],2,FALSE)),1,VLOOKUP(J$1,Sprints[],4,FALSE))&lt;&gt;"")*(IF(OFFSET(INDIRECT(CELL("address",INDEX('Leave Tracker'!$A$8:$A$92,MATCH($A17,'Leave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1.6000000000000003</v>
      </c>
      <c r="K17">
        <f t="array" aca="1" ref="K17" ca="1">Sheet3!$W$2*$F17*(NETWORKDAYS(VLOOKUP(K$1,Sprints[],2,FALSE), VLOOKUP(K$1,Sprints[],3,FALSE))-SUMPRODUCT((OFFSET(INDIRECT(CELL("address",INDEX('Leave Tracker'!$A$8:$A$92,MATCH($A17,'Leave Tracker'!$A$8:$A$92,0)))),0,31*(VLOOKUP(K$1,Sprints[],5,FALSE))+DAY(VLOOKUP(K$1,Sprints[],2,FALSE)),1,VLOOKUP(K$1,Sprints[],4,FALSE))&lt;&gt;"")*(IF(OFFSET(INDIRECT(CELL("address",INDEX('Leave Tracker'!$A$8:$A$92,MATCH($A17,'Leave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1.6000000000000003</v>
      </c>
      <c r="L17">
        <f t="array" aca="1" ref="L17" ca="1">Sheet3!$W$2*$F17*(NETWORKDAYS(VLOOKUP(L$1,Sprints[],2,FALSE), VLOOKUP(L$1,Sprints[],3,FALSE))-SUMPRODUCT((OFFSET(INDIRECT(CELL("address",INDEX('Leave Tracker'!$A$8:$A$92,MATCH($A17,'Leave Tracker'!$A$8:$A$92,0)))),0,31*(VLOOKUP(L$1,Sprints[],5,FALSE))+DAY(VLOOKUP(L$1,Sprints[],2,FALSE)),1,VLOOKUP(L$1,Sprints[],4,FALSE))&lt;&gt;"")*(IF(OFFSET(INDIRECT(CELL("address",INDEX('Leave Tracker'!$A$8:$A$92,MATCH($A17,'Leave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1.1200000000000001</v>
      </c>
      <c r="M17" s="45">
        <f t="array" aca="1" ref="M17" ca="1">Sheet3!$W$2*$F17*(NETWORKDAYS(VLOOKUP(M$1,Sprints[],2,FALSE), VLOOKUP(M$1,Sprints[],3,FALSE))-SUMPRODUCT((OFFSET(INDIRECT(CELL("address",INDEX('Leave Tracker'!$A$8:$A$92,MATCH($A17,'Leave Tracker'!$A$8:$A$92,0)))),0,31*(VLOOKUP(M$1,Sprints[],5,FALSE))+DAY(VLOOKUP(M$1,Sprints[],2,FALSE)),1,VLOOKUP(M$1,Sprints[],4,FALSE))&lt;&gt;"")*(IF(OFFSET(INDIRECT(CELL("address",INDEX('Leave Tracker'!$A$8:$A$92,MATCH($A17,'Leave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1.6000000000000003</v>
      </c>
      <c r="N17">
        <f t="array" aca="1" ref="N17" ca="1">Sheet3!$W$2*$F17*(NETWORKDAYS(VLOOKUP(N$1,Sprints[],2,FALSE), VLOOKUP(N$1,Sprints[],3,FALSE))-SUMPRODUCT((OFFSET(INDIRECT(CELL("address",INDEX('Leave Tracker'!$A$8:$A$92,MATCH($A17,'Leave Tracker'!$A$8:$A$92,0)))),0,31*(VLOOKUP(N$1,Sprints[],5,FALSE))+DAY(VLOOKUP(N$1,Sprints[],2,FALSE)),1,VLOOKUP(N$1,Sprints[],4,FALSE))&lt;&gt;"")*(IF(OFFSET(INDIRECT(CELL("address",INDEX('Leave Tracker'!$A$8:$A$92,MATCH($A17,'Leave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0.80000000000000016</v>
      </c>
      <c r="O17">
        <f t="array" aca="1" ref="O17" ca="1">Sheet3!$W$2*$F17*(NETWORKDAYS(VLOOKUP(O$1,Sprints[],2,FALSE), VLOOKUP(O$1,Sprints[],3,FALSE))-SUMPRODUCT((OFFSET(INDIRECT(CELL("address",INDEX('Leave Tracker'!$A$8:$A$92,MATCH($A17,'Leave Tracker'!$A$8:$A$92,0)))),0,31*(VLOOKUP(O$1,Sprints[],5,FALSE))+DAY(VLOOKUP(O$1,Sprints[],2,FALSE)),1,VLOOKUP(O$1,Sprints[],4,FALSE))&lt;&gt;"")*(IF(OFFSET(INDIRECT(CELL("address",INDEX('Leave Tracker'!$A$8:$A$92,MATCH($A17,'Leave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1.6000000000000003</v>
      </c>
      <c r="P17">
        <f t="array" aca="1" ref="P17" ca="1">Sheet3!$W$2*$F17*(NETWORKDAYS(VLOOKUP(P$1,Sprints[],2,FALSE), VLOOKUP(P$1,Sprints[],3,FALSE))-SUMPRODUCT((OFFSET(INDIRECT(CELL("address",INDEX('Leave Tracker'!$A$8:$A$92,MATCH($A17,'Leave Tracker'!$A$8:$A$92,0)))),0,31*(VLOOKUP(P$1,Sprints[],5,FALSE))+DAY(VLOOKUP(P$1,Sprints[],2,FALSE)),1,VLOOKUP(P$1,Sprints[],4,FALSE))&lt;&gt;"")*(IF(OFFSET(INDIRECT(CELL("address",INDEX('Leave Tracker'!$A$8:$A$92,MATCH($A17,'Leave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1.4400000000000004</v>
      </c>
      <c r="Q17">
        <f t="array" aca="1" ref="Q17" ca="1">Sheet3!$W$2*$F17*(NETWORKDAYS(VLOOKUP(Q$1,Sprints[],2,FALSE), VLOOKUP(Q$1,Sprints[],3,FALSE))-SUMPRODUCT((OFFSET(INDIRECT(CELL("address",INDEX('Leave Tracker'!$A$8:$A$92,MATCH($A17,'Leave Tracker'!$A$8:$A$92,0)))),0,31*(VLOOKUP(Q$1,Sprints[],5,FALSE))+DAY(VLOOKUP(Q$1,Sprints[],2,FALSE)),1,VLOOKUP(Q$1,Sprints[],4,FALSE))&lt;&gt;"")*(IF(OFFSET(INDIRECT(CELL("address",INDEX('Leave Tracker'!$A$8:$A$92,MATCH($A17,'Leave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1.6000000000000003</v>
      </c>
      <c r="R17">
        <f t="array" aca="1" ref="R17" ca="1">Sheet3!$W$2*$F17*(NETWORKDAYS(VLOOKUP(R$1,Sprints[],2,FALSE), VLOOKUP(R$1,Sprints[],3,FALSE))-SUMPRODUCT((OFFSET(INDIRECT(CELL("address",INDEX('Leave Tracker'!$A$8:$A$92,MATCH($A17,'Leave Tracker'!$A$8:$A$92,0)))),0,31*(VLOOKUP(R$1,Sprints[],5,FALSE))+DAY(VLOOKUP(R$1,Sprints[],2,FALSE)),1,VLOOKUP(R$1,Sprints[],4,FALSE))&lt;&gt;"")*(IF(OFFSET(INDIRECT(CELL("address",INDEX('Leave Tracker'!$A$8:$A$92,MATCH($A17,'Leave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1.6000000000000003</v>
      </c>
      <c r="S17" s="74">
        <f t="array" aca="1" ref="S17" ca="1">Sheet3!$W$2*$F17*(NETWORKDAYS(VLOOKUP(S$1,Sprints[],2,FALSE), VLOOKUP(S$1,Sprints[],3,FALSE))-SUMPRODUCT((OFFSET(INDIRECT(CELL("address",INDEX('Leave Tracker'!$A$8:$A$92,MATCH($A17,'Leave Tracker'!$A$8:$A$92,0)))),0,31*(VLOOKUP(S$1,Sprints[],5,FALSE))+DAY(VLOOKUP(S$1,Sprints[],2,FALSE)),1,VLOOKUP(S$1,Sprints[],4,FALSE))&lt;&gt;"")*(IF(OFFSET(INDIRECT(CELL("address",INDEX('Leave Tracker'!$A$8:$A$92,MATCH($A17,'Leave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16.960000000000004</v>
      </c>
    </row>
    <row r="18" spans="1:19" x14ac:dyDescent="0.45">
      <c r="A18" t="s">
        <v>75</v>
      </c>
      <c r="B18" s="45" t="s">
        <v>100</v>
      </c>
      <c r="C18" s="45" t="s">
        <v>104</v>
      </c>
      <c r="D18" s="45" t="s">
        <v>108</v>
      </c>
      <c r="E18" s="45" t="s">
        <v>113</v>
      </c>
      <c r="F18" s="47">
        <v>0.5</v>
      </c>
      <c r="G18" s="45">
        <f t="array" aca="1" ref="G18" ca="1">Sheet3!$W$2*$F18*(NETWORKDAYS(VLOOKUP(G$1,Sprints[],2,FALSE), VLOOKUP(G$1,Sprints[],3,FALSE))-SUMPRODUCT((OFFSET(INDIRECT(CELL("address",INDEX('Leave Tracker'!$A$8:$A$92,MATCH($A18,'Leave Tracker'!$A$8:$A$92,0)))),0,31*(VLOOKUP(G$1,Sprints[],5,FALSE))+DAY(VLOOKUP(G$1,Sprints[],2,FALSE)),1,VLOOKUP(G$1,Sprints[],4,FALSE))&lt;&gt;"")*(IF(OFFSET(INDIRECT(CELL("address",INDEX('Leave Tracker'!$A$8:$A$92,MATCH($A18,'Leave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2</v>
      </c>
      <c r="H18">
        <f t="array" aca="1" ref="H18" ca="1">Sheet3!$W$2*$F18*(NETWORKDAYS(VLOOKUP(H$1,Sprints[],2,FALSE), VLOOKUP(H$1,Sprints[],3,FALSE))-SUMPRODUCT((OFFSET(INDIRECT(CELL("address",INDEX('Leave Tracker'!$A$8:$A$92,MATCH($A18,'Leave Tracker'!$A$8:$A$92,0)))),0,31*(VLOOKUP(H$1,Sprints[],5,FALSE))+DAY(VLOOKUP(H$1,Sprints[],2,FALSE)),1,VLOOKUP(H$1,Sprints[],4,FALSE))&lt;&gt;"")*(IF(OFFSET(INDIRECT(CELL("address",INDEX('Leave Tracker'!$A$8:$A$92,MATCH($A18,'Leave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4</v>
      </c>
      <c r="I18">
        <f t="array" aca="1" ref="I18" ca="1">Sheet3!$W$2*$F18*(NETWORKDAYS(VLOOKUP(I$1,Sprints[],2,FALSE), VLOOKUP(I$1,Sprints[],3,FALSE))-SUMPRODUCT((OFFSET(INDIRECT(CELL("address",INDEX('Leave Tracker'!$A$8:$A$92,MATCH($A18,'Leave Tracker'!$A$8:$A$92,0)))),0,31*(VLOOKUP(I$1,Sprints[],5,FALSE))+DAY(VLOOKUP(I$1,Sprints[],2,FALSE)),1,VLOOKUP(I$1,Sprints[],4,FALSE))&lt;&gt;"")*(IF(OFFSET(INDIRECT(CELL("address",INDEX('Leave Tracker'!$A$8:$A$92,MATCH($A18,'Leave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4</v>
      </c>
      <c r="J18">
        <f t="array" aca="1" ref="J18" ca="1">Sheet3!$W$2*$F18*(NETWORKDAYS(VLOOKUP(J$1,Sprints[],2,FALSE), VLOOKUP(J$1,Sprints[],3,FALSE))-SUMPRODUCT((OFFSET(INDIRECT(CELL("address",INDEX('Leave Tracker'!$A$8:$A$92,MATCH($A18,'Leave Tracker'!$A$8:$A$92,0)))),0,31*(VLOOKUP(J$1,Sprints[],5,FALSE))+DAY(VLOOKUP(J$1,Sprints[],2,FALSE)),1,VLOOKUP(J$1,Sprints[],4,FALSE))&lt;&gt;"")*(IF(OFFSET(INDIRECT(CELL("address",INDEX('Leave Tracker'!$A$8:$A$92,MATCH($A18,'Leave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4</v>
      </c>
      <c r="K18">
        <f t="array" aca="1" ref="K18" ca="1">Sheet3!$W$2*$F18*(NETWORKDAYS(VLOOKUP(K$1,Sprints[],2,FALSE), VLOOKUP(K$1,Sprints[],3,FALSE))-SUMPRODUCT((OFFSET(INDIRECT(CELL("address",INDEX('Leave Tracker'!$A$8:$A$92,MATCH($A18,'Leave Tracker'!$A$8:$A$92,0)))),0,31*(VLOOKUP(K$1,Sprints[],5,FALSE))+DAY(VLOOKUP(K$1,Sprints[],2,FALSE)),1,VLOOKUP(K$1,Sprints[],4,FALSE))&lt;&gt;"")*(IF(OFFSET(INDIRECT(CELL("address",INDEX('Leave Tracker'!$A$8:$A$92,MATCH($A18,'Leave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4</v>
      </c>
      <c r="L18">
        <f t="array" aca="1" ref="L18" ca="1">Sheet3!$W$2*$F18*(NETWORKDAYS(VLOOKUP(L$1,Sprints[],2,FALSE), VLOOKUP(L$1,Sprints[],3,FALSE))-SUMPRODUCT((OFFSET(INDIRECT(CELL("address",INDEX('Leave Tracker'!$A$8:$A$92,MATCH($A18,'Leave Tracker'!$A$8:$A$92,0)))),0,31*(VLOOKUP(L$1,Sprints[],5,FALSE))+DAY(VLOOKUP(L$1,Sprints[],2,FALSE)),1,VLOOKUP(L$1,Sprints[],4,FALSE))&lt;&gt;"")*(IF(OFFSET(INDIRECT(CELL("address",INDEX('Leave Tracker'!$A$8:$A$92,MATCH($A18,'Leave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2.8000000000000003</v>
      </c>
      <c r="M18" s="45">
        <f t="array" aca="1" ref="M18" ca="1">Sheet3!$W$2*$F18*(NETWORKDAYS(VLOOKUP(M$1,Sprints[],2,FALSE), VLOOKUP(M$1,Sprints[],3,FALSE))-SUMPRODUCT((OFFSET(INDIRECT(CELL("address",INDEX('Leave Tracker'!$A$8:$A$92,MATCH($A18,'Leave Tracker'!$A$8:$A$92,0)))),0,31*(VLOOKUP(M$1,Sprints[],5,FALSE))+DAY(VLOOKUP(M$1,Sprints[],2,FALSE)),1,VLOOKUP(M$1,Sprints[],4,FALSE))&lt;&gt;"")*(IF(OFFSET(INDIRECT(CELL("address",INDEX('Leave Tracker'!$A$8:$A$92,MATCH($A18,'Leave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4</v>
      </c>
      <c r="N18">
        <f t="array" aca="1" ref="N18" ca="1">Sheet3!$W$2*$F18*(NETWORKDAYS(VLOOKUP(N$1,Sprints[],2,FALSE), VLOOKUP(N$1,Sprints[],3,FALSE))-SUMPRODUCT((OFFSET(INDIRECT(CELL("address",INDEX('Leave Tracker'!$A$8:$A$92,MATCH($A18,'Leave Tracker'!$A$8:$A$92,0)))),0,31*(VLOOKUP(N$1,Sprints[],5,FALSE))+DAY(VLOOKUP(N$1,Sprints[],2,FALSE)),1,VLOOKUP(N$1,Sprints[],4,FALSE))&lt;&gt;"")*(IF(OFFSET(INDIRECT(CELL("address",INDEX('Leave Tracker'!$A$8:$A$92,MATCH($A18,'Leave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2</v>
      </c>
      <c r="O18">
        <f t="array" aca="1" ref="O18" ca="1">Sheet3!$W$2*$F18*(NETWORKDAYS(VLOOKUP(O$1,Sprints[],2,FALSE), VLOOKUP(O$1,Sprints[],3,FALSE))-SUMPRODUCT((OFFSET(INDIRECT(CELL("address",INDEX('Leave Tracker'!$A$8:$A$92,MATCH($A18,'Leave Tracker'!$A$8:$A$92,0)))),0,31*(VLOOKUP(O$1,Sprints[],5,FALSE))+DAY(VLOOKUP(O$1,Sprints[],2,FALSE)),1,VLOOKUP(O$1,Sprints[],4,FALSE))&lt;&gt;"")*(IF(OFFSET(INDIRECT(CELL("address",INDEX('Leave Tracker'!$A$8:$A$92,MATCH($A18,'Leave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4</v>
      </c>
      <c r="P18">
        <f t="array" aca="1" ref="P18" ca="1">Sheet3!$W$2*$F18*(NETWORKDAYS(VLOOKUP(P$1,Sprints[],2,FALSE), VLOOKUP(P$1,Sprints[],3,FALSE))-SUMPRODUCT((OFFSET(INDIRECT(CELL("address",INDEX('Leave Tracker'!$A$8:$A$92,MATCH($A18,'Leave Tracker'!$A$8:$A$92,0)))),0,31*(VLOOKUP(P$1,Sprints[],5,FALSE))+DAY(VLOOKUP(P$1,Sprints[],2,FALSE)),1,VLOOKUP(P$1,Sprints[],4,FALSE))&lt;&gt;"")*(IF(OFFSET(INDIRECT(CELL("address",INDEX('Leave Tracker'!$A$8:$A$92,MATCH($A18,'Leave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3.6</v>
      </c>
      <c r="Q18">
        <f t="array" aca="1" ref="Q18" ca="1">Sheet3!$W$2*$F18*(NETWORKDAYS(VLOOKUP(Q$1,Sprints[],2,FALSE), VLOOKUP(Q$1,Sprints[],3,FALSE))-SUMPRODUCT((OFFSET(INDIRECT(CELL("address",INDEX('Leave Tracker'!$A$8:$A$92,MATCH($A18,'Leave Tracker'!$A$8:$A$92,0)))),0,31*(VLOOKUP(Q$1,Sprints[],5,FALSE))+DAY(VLOOKUP(Q$1,Sprints[],2,FALSE)),1,VLOOKUP(Q$1,Sprints[],4,FALSE))&lt;&gt;"")*(IF(OFFSET(INDIRECT(CELL("address",INDEX('Leave Tracker'!$A$8:$A$92,MATCH($A18,'Leave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4</v>
      </c>
      <c r="R18">
        <f t="array" aca="1" ref="R18" ca="1">Sheet3!$W$2*$F18*(NETWORKDAYS(VLOOKUP(R$1,Sprints[],2,FALSE), VLOOKUP(R$1,Sprints[],3,FALSE))-SUMPRODUCT((OFFSET(INDIRECT(CELL("address",INDEX('Leave Tracker'!$A$8:$A$92,MATCH($A18,'Leave Tracker'!$A$8:$A$92,0)))),0,31*(VLOOKUP(R$1,Sprints[],5,FALSE))+DAY(VLOOKUP(R$1,Sprints[],2,FALSE)),1,VLOOKUP(R$1,Sprints[],4,FALSE))&lt;&gt;"")*(IF(OFFSET(INDIRECT(CELL("address",INDEX('Leave Tracker'!$A$8:$A$92,MATCH($A18,'Leave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4</v>
      </c>
      <c r="S18" s="74">
        <f t="array" aca="1" ref="S18" ca="1">Sheet3!$W$2*$F18*(NETWORKDAYS(VLOOKUP(S$1,Sprints[],2,FALSE), VLOOKUP(S$1,Sprints[],3,FALSE))-SUMPRODUCT((OFFSET(INDIRECT(CELL("address",INDEX('Leave Tracker'!$A$8:$A$92,MATCH($A18,'Leave Tracker'!$A$8:$A$92,0)))),0,31*(VLOOKUP(S$1,Sprints[],5,FALSE))+DAY(VLOOKUP(S$1,Sprints[],2,FALSE)),1,VLOOKUP(S$1,Sprints[],4,FALSE))&lt;&gt;"")*(IF(OFFSET(INDIRECT(CELL("address",INDEX('Leave Tracker'!$A$8:$A$92,MATCH($A18,'Leave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42.400000000000006</v>
      </c>
    </row>
    <row r="19" spans="1:19" x14ac:dyDescent="0.45">
      <c r="A19" s="80" t="s">
        <v>140</v>
      </c>
      <c r="B19" s="80" t="s">
        <v>100</v>
      </c>
      <c r="C19" s="80" t="s">
        <v>105</v>
      </c>
      <c r="D19" s="80" t="s">
        <v>120</v>
      </c>
      <c r="E19" s="80" t="s">
        <v>115</v>
      </c>
      <c r="F19" s="81">
        <v>0.75</v>
      </c>
      <c r="G19" s="79">
        <f t="array" aca="1" ref="G19" ca="1">Sheet3!$W$2*$F19*(NETWORKDAYS(VLOOKUP(G$1,Sprints[],2,FALSE), VLOOKUP(G$1,Sprints[],3,FALSE))-SUMPRODUCT((OFFSET(INDIRECT(CELL("address",INDEX('Leave Tracker'!$A$8:$A$92,MATCH($A19,'Leave Tracker'!$A$8:$A$92,0)))),0,31*(VLOOKUP(G$1,Sprints[],5,FALSE))+DAY(VLOOKUP(G$1,Sprints[],2,FALSE)),1,VLOOKUP(G$1,Sprints[],4,FALSE))&lt;&gt;"")*(IF(OFFSET(INDIRECT(CELL("address",INDEX('Leave Tracker'!$A$8:$A$92,MATCH($A19,'Leave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19" s="79">
        <f t="array" aca="1" ref="H19" ca="1">Sheet3!$W$2*$F19*(NETWORKDAYS(VLOOKUP(H$1,Sprints[],2,FALSE), VLOOKUP(H$1,Sprints[],3,FALSE))-SUMPRODUCT((OFFSET(INDIRECT(CELL("address",INDEX('Leave Tracker'!$A$8:$A$92,MATCH($A19,'Leave Tracker'!$A$8:$A$92,0)))),0,31*(VLOOKUP(H$1,Sprints[],5,FALSE))+DAY(VLOOKUP(H$1,Sprints[],2,FALSE)),1,VLOOKUP(H$1,Sprints[],4,FALSE))&lt;&gt;"")*(IF(OFFSET(INDIRECT(CELL("address",INDEX('Leave Tracker'!$A$8:$A$92,MATCH($A19,'Leave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19" s="79">
        <f t="array" aca="1" ref="I19" ca="1">Sheet3!$W$2*$F19*(NETWORKDAYS(VLOOKUP(I$1,Sprints[],2,FALSE), VLOOKUP(I$1,Sprints[],3,FALSE))-SUMPRODUCT((OFFSET(INDIRECT(CELL("address",INDEX('Leave Tracker'!$A$8:$A$92,MATCH($A19,'Leave Tracker'!$A$8:$A$92,0)))),0,31*(VLOOKUP(I$1,Sprints[],5,FALSE))+DAY(VLOOKUP(I$1,Sprints[],2,FALSE)),1,VLOOKUP(I$1,Sprints[],4,FALSE))&lt;&gt;"")*(IF(OFFSET(INDIRECT(CELL("address",INDEX('Leave Tracker'!$A$8:$A$92,MATCH($A19,'Leave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5.4</v>
      </c>
      <c r="J19" s="79">
        <f t="array" aca="1" ref="J19" ca="1">Sheet3!$W$2*$F19*(NETWORKDAYS(VLOOKUP(J$1,Sprints[],2,FALSE), VLOOKUP(J$1,Sprints[],3,FALSE))-SUMPRODUCT((OFFSET(INDIRECT(CELL("address",INDEX('Leave Tracker'!$A$8:$A$92,MATCH($A19,'Leave Tracker'!$A$8:$A$92,0)))),0,31*(VLOOKUP(J$1,Sprints[],5,FALSE))+DAY(VLOOKUP(J$1,Sprints[],2,FALSE)),1,VLOOKUP(J$1,Sprints[],4,FALSE))&lt;&gt;"")*(IF(OFFSET(INDIRECT(CELL("address",INDEX('Leave Tracker'!$A$8:$A$92,MATCH($A19,'Leave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19" s="79">
        <f t="array" aca="1" ref="K19" ca="1">Sheet3!$W$2*$F19*(NETWORKDAYS(VLOOKUP(K$1,Sprints[],2,FALSE), VLOOKUP(K$1,Sprints[],3,FALSE))-SUMPRODUCT((OFFSET(INDIRECT(CELL("address",INDEX('Leave Tracker'!$A$8:$A$92,MATCH($A19,'Leave Tracker'!$A$8:$A$92,0)))),0,31*(VLOOKUP(K$1,Sprints[],5,FALSE))+DAY(VLOOKUP(K$1,Sprints[],2,FALSE)),1,VLOOKUP(K$1,Sprints[],4,FALSE))&lt;&gt;"")*(IF(OFFSET(INDIRECT(CELL("address",INDEX('Leave Tracker'!$A$8:$A$92,MATCH($A19,'Leave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19" s="79">
        <f t="array" aca="1" ref="L19" ca="1">Sheet3!$W$2*$F19*(NETWORKDAYS(VLOOKUP(L$1,Sprints[],2,FALSE), VLOOKUP(L$1,Sprints[],3,FALSE))-SUMPRODUCT((OFFSET(INDIRECT(CELL("address",INDEX('Leave Tracker'!$A$8:$A$92,MATCH($A19,'Leave Tracker'!$A$8:$A$92,0)))),0,31*(VLOOKUP(L$1,Sprints[],5,FALSE))+DAY(VLOOKUP(L$1,Sprints[],2,FALSE)),1,VLOOKUP(L$1,Sprints[],4,FALSE))&lt;&gt;"")*(IF(OFFSET(INDIRECT(CELL("address",INDEX('Leave Tracker'!$A$8:$A$92,MATCH($A19,'Leave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4.8000000000000007</v>
      </c>
      <c r="M19" s="79">
        <f t="array" aca="1" ref="M19" ca="1">Sheet3!$W$2*$F19*(NETWORKDAYS(VLOOKUP(M$1,Sprints[],2,FALSE), VLOOKUP(M$1,Sprints[],3,FALSE))-SUMPRODUCT((OFFSET(INDIRECT(CELL("address",INDEX('Leave Tracker'!$A$8:$A$92,MATCH($A19,'Leave Tracker'!$A$8:$A$92,0)))),0,31*(VLOOKUP(M$1,Sprints[],5,FALSE))+DAY(VLOOKUP(M$1,Sprints[],2,FALSE)),1,VLOOKUP(M$1,Sprints[],4,FALSE))&lt;&gt;"")*(IF(OFFSET(INDIRECT(CELL("address",INDEX('Leave Tracker'!$A$8:$A$92,MATCH($A19,'Leave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5.4</v>
      </c>
      <c r="N19" s="79">
        <f t="array" aca="1" ref="N19" ca="1">Sheet3!$W$2*$F19*(NETWORKDAYS(VLOOKUP(N$1,Sprints[],2,FALSE), VLOOKUP(N$1,Sprints[],3,FALSE))-SUMPRODUCT((OFFSET(INDIRECT(CELL("address",INDEX('Leave Tracker'!$A$8:$A$92,MATCH($A19,'Leave Tracker'!$A$8:$A$92,0)))),0,31*(VLOOKUP(N$1,Sprints[],5,FALSE))+DAY(VLOOKUP(N$1,Sprints[],2,FALSE)),1,VLOOKUP(N$1,Sprints[],4,FALSE))&lt;&gt;"")*(IF(OFFSET(INDIRECT(CELL("address",INDEX('Leave Tracker'!$A$8:$A$92,MATCH($A19,'Leave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19" s="79">
        <f t="array" aca="1" ref="O19" ca="1">Sheet3!$W$2*$F19*(NETWORKDAYS(VLOOKUP(O$1,Sprints[],2,FALSE), VLOOKUP(O$1,Sprints[],3,FALSE))-SUMPRODUCT((OFFSET(INDIRECT(CELL("address",INDEX('Leave Tracker'!$A$8:$A$92,MATCH($A19,'Leave Tracker'!$A$8:$A$92,0)))),0,31*(VLOOKUP(O$1,Sprints[],5,FALSE))+DAY(VLOOKUP(O$1,Sprints[],2,FALSE)),1,VLOOKUP(O$1,Sprints[],4,FALSE))&lt;&gt;"")*(IF(OFFSET(INDIRECT(CELL("address",INDEX('Leave Tracker'!$A$8:$A$92,MATCH($A19,'Leave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19" s="79">
        <f t="array" aca="1" ref="P19" ca="1">Sheet3!$W$2*$F19*(NETWORKDAYS(VLOOKUP(P$1,Sprints[],2,FALSE), VLOOKUP(P$1,Sprints[],3,FALSE))-SUMPRODUCT((OFFSET(INDIRECT(CELL("address",INDEX('Leave Tracker'!$A$8:$A$92,MATCH($A19,'Leave Tracker'!$A$8:$A$92,0)))),0,31*(VLOOKUP(P$1,Sprints[],5,FALSE))+DAY(VLOOKUP(P$1,Sprints[],2,FALSE)),1,VLOOKUP(P$1,Sprints[],4,FALSE))&lt;&gt;"")*(IF(OFFSET(INDIRECT(CELL("address",INDEX('Leave Tracker'!$A$8:$A$92,MATCH($A19,'Leave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6.0000000000000009</v>
      </c>
      <c r="Q19" s="79">
        <f t="array" aca="1" ref="Q19" ca="1">Sheet3!$W$2*$F19*(NETWORKDAYS(VLOOKUP(Q$1,Sprints[],2,FALSE), VLOOKUP(Q$1,Sprints[],3,FALSE))-SUMPRODUCT((OFFSET(INDIRECT(CELL("address",INDEX('Leave Tracker'!$A$8:$A$92,MATCH($A19,'Leave Tracker'!$A$8:$A$92,0)))),0,31*(VLOOKUP(Q$1,Sprints[],5,FALSE))+DAY(VLOOKUP(Q$1,Sprints[],2,FALSE)),1,VLOOKUP(Q$1,Sprints[],4,FALSE))&lt;&gt;"")*(IF(OFFSET(INDIRECT(CELL("address",INDEX('Leave Tracker'!$A$8:$A$92,MATCH($A19,'Leave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19" s="79">
        <f t="array" aca="1" ref="R19" ca="1">Sheet3!$W$2*$F19*(NETWORKDAYS(VLOOKUP(R$1,Sprints[],2,FALSE), VLOOKUP(R$1,Sprints[],3,FALSE))-SUMPRODUCT((OFFSET(INDIRECT(CELL("address",INDEX('Leave Tracker'!$A$8:$A$92,MATCH($A19,'Leave Tracker'!$A$8:$A$92,0)))),0,31*(VLOOKUP(R$1,Sprints[],5,FALSE))+DAY(VLOOKUP(R$1,Sprints[],2,FALSE)),1,VLOOKUP(R$1,Sprints[],4,FALSE))&lt;&gt;"")*(IF(OFFSET(INDIRECT(CELL("address",INDEX('Leave Tracker'!$A$8:$A$92,MATCH($A19,'Leave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5.4</v>
      </c>
      <c r="S19" s="74">
        <f t="array" aca="1" ref="S19" ca="1">Sheet3!$W$2*$F19*(NETWORKDAYS(VLOOKUP(S$1,Sprints[],2,FALSE), VLOOKUP(S$1,Sprints[],3,FALSE))-SUMPRODUCT((OFFSET(INDIRECT(CELL("address",INDEX('Leave Tracker'!$A$8:$A$92,MATCH($A19,'Leave Tracker'!$A$8:$A$92,0)))),0,31*(VLOOKUP(S$1,Sprints[],5,FALSE))+DAY(VLOOKUP(S$1,Sprints[],2,FALSE)),1,VLOOKUP(S$1,Sprints[],4,FALSE))&lt;&gt;"")*(IF(OFFSET(INDIRECT(CELL("address",INDEX('Leave Tracker'!$A$8:$A$92,MATCH($A19,'Leave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63.000000000000007</v>
      </c>
    </row>
    <row r="20" spans="1:19" x14ac:dyDescent="0.45">
      <c r="A20" t="s">
        <v>85</v>
      </c>
      <c r="B20" s="45" t="s">
        <v>103</v>
      </c>
      <c r="C20" s="45" t="s">
        <v>105</v>
      </c>
      <c r="D20" s="45" t="s">
        <v>109</v>
      </c>
      <c r="E20" s="45" t="s">
        <v>111</v>
      </c>
      <c r="F20" s="47">
        <v>0.6</v>
      </c>
      <c r="G20" s="45">
        <f t="array" aca="1" ref="G20" ca="1">Sheet3!$W$2*$F20*(NETWORKDAYS(VLOOKUP(G$1,Sprints[],2,FALSE), VLOOKUP(G$1,Sprints[],3,FALSE))-SUMPRODUCT((OFFSET(INDIRECT(CELL("address",INDEX('Leave Tracker'!$A$8:$A$92,MATCH($A20,'Leave Tracker'!$A$8:$A$92,0)))),0,31*(VLOOKUP(G$1,Sprints[],5,FALSE))+DAY(VLOOKUP(G$1,Sprints[],2,FALSE)),1,VLOOKUP(G$1,Sprints[],4,FALSE))&lt;&gt;"")*(IF(OFFSET(INDIRECT(CELL("address",INDEX('Leave Tracker'!$A$8:$A$92,MATCH($A20,'Leave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2.4</v>
      </c>
      <c r="H20">
        <f t="array" aca="1" ref="H20" ca="1">Sheet3!$W$2*$F20*(NETWORKDAYS(VLOOKUP(H$1,Sprints[],2,FALSE), VLOOKUP(H$1,Sprints[],3,FALSE))-SUMPRODUCT((OFFSET(INDIRECT(CELL("address",INDEX('Leave Tracker'!$A$8:$A$92,MATCH($A20,'Leave Tracker'!$A$8:$A$92,0)))),0,31*(VLOOKUP(H$1,Sprints[],5,FALSE))+DAY(VLOOKUP(H$1,Sprints[],2,FALSE)),1,VLOOKUP(H$1,Sprints[],4,FALSE))&lt;&gt;"")*(IF(OFFSET(INDIRECT(CELL("address",INDEX('Leave Tracker'!$A$8:$A$92,MATCH($A20,'Leave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4.8</v>
      </c>
      <c r="I20">
        <f t="array" aca="1" ref="I20" ca="1">Sheet3!$W$2*$F20*(NETWORKDAYS(VLOOKUP(I$1,Sprints[],2,FALSE), VLOOKUP(I$1,Sprints[],3,FALSE))-SUMPRODUCT((OFFSET(INDIRECT(CELL("address",INDEX('Leave Tracker'!$A$8:$A$92,MATCH($A20,'Leave Tracker'!$A$8:$A$92,0)))),0,31*(VLOOKUP(I$1,Sprints[],5,FALSE))+DAY(VLOOKUP(I$1,Sprints[],2,FALSE)),1,VLOOKUP(I$1,Sprints[],4,FALSE))&lt;&gt;"")*(IF(OFFSET(INDIRECT(CELL("address",INDEX('Leave Tracker'!$A$8:$A$92,MATCH($A20,'Leave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4.32</v>
      </c>
      <c r="J20">
        <f t="array" aca="1" ref="J20" ca="1">Sheet3!$W$2*$F20*(NETWORKDAYS(VLOOKUP(J$1,Sprints[],2,FALSE), VLOOKUP(J$1,Sprints[],3,FALSE))-SUMPRODUCT((OFFSET(INDIRECT(CELL("address",INDEX('Leave Tracker'!$A$8:$A$92,MATCH($A20,'Leave Tracker'!$A$8:$A$92,0)))),0,31*(VLOOKUP(J$1,Sprints[],5,FALSE))+DAY(VLOOKUP(J$1,Sprints[],2,FALSE)),1,VLOOKUP(J$1,Sprints[],4,FALSE))&lt;&gt;"")*(IF(OFFSET(INDIRECT(CELL("address",INDEX('Leave Tracker'!$A$8:$A$92,MATCH($A20,'Leave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4.8</v>
      </c>
      <c r="K20">
        <f t="array" aca="1" ref="K20" ca="1">Sheet3!$W$2*$F20*(NETWORKDAYS(VLOOKUP(K$1,Sprints[],2,FALSE), VLOOKUP(K$1,Sprints[],3,FALSE))-SUMPRODUCT((OFFSET(INDIRECT(CELL("address",INDEX('Leave Tracker'!$A$8:$A$92,MATCH($A20,'Leave Tracker'!$A$8:$A$92,0)))),0,31*(VLOOKUP(K$1,Sprints[],5,FALSE))+DAY(VLOOKUP(K$1,Sprints[],2,FALSE)),1,VLOOKUP(K$1,Sprints[],4,FALSE))&lt;&gt;"")*(IF(OFFSET(INDIRECT(CELL("address",INDEX('Leave Tracker'!$A$8:$A$92,MATCH($A20,'Leave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4.8</v>
      </c>
      <c r="L20">
        <f t="array" aca="1" ref="L20" ca="1">Sheet3!$W$2*$F20*(NETWORKDAYS(VLOOKUP(L$1,Sprints[],2,FALSE), VLOOKUP(L$1,Sprints[],3,FALSE))-SUMPRODUCT((OFFSET(INDIRECT(CELL("address",INDEX('Leave Tracker'!$A$8:$A$92,MATCH($A20,'Leave Tracker'!$A$8:$A$92,0)))),0,31*(VLOOKUP(L$1,Sprints[],5,FALSE))+DAY(VLOOKUP(L$1,Sprints[],2,FALSE)),1,VLOOKUP(L$1,Sprints[],4,FALSE))&lt;&gt;"")*(IF(OFFSET(INDIRECT(CELL("address",INDEX('Leave Tracker'!$A$8:$A$92,MATCH($A20,'Leave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3.84</v>
      </c>
      <c r="M20" s="45">
        <f t="array" aca="1" ref="M20" ca="1">Sheet3!$W$2*$F20*(NETWORKDAYS(VLOOKUP(M$1,Sprints[],2,FALSE), VLOOKUP(M$1,Sprints[],3,FALSE))-SUMPRODUCT((OFFSET(INDIRECT(CELL("address",INDEX('Leave Tracker'!$A$8:$A$92,MATCH($A20,'Leave Tracker'!$A$8:$A$92,0)))),0,31*(VLOOKUP(M$1,Sprints[],5,FALSE))+DAY(VLOOKUP(M$1,Sprints[],2,FALSE)),1,VLOOKUP(M$1,Sprints[],4,FALSE))&lt;&gt;"")*(IF(OFFSET(INDIRECT(CELL("address",INDEX('Leave Tracker'!$A$8:$A$92,MATCH($A20,'Leave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4.32</v>
      </c>
      <c r="N20">
        <f t="array" aca="1" ref="N20" ca="1">Sheet3!$W$2*$F20*(NETWORKDAYS(VLOOKUP(N$1,Sprints[],2,FALSE), VLOOKUP(N$1,Sprints[],3,FALSE))-SUMPRODUCT((OFFSET(INDIRECT(CELL("address",INDEX('Leave Tracker'!$A$8:$A$92,MATCH($A20,'Leave Tracker'!$A$8:$A$92,0)))),0,31*(VLOOKUP(N$1,Sprints[],5,FALSE))+DAY(VLOOKUP(N$1,Sprints[],2,FALSE)),1,VLOOKUP(N$1,Sprints[],4,FALSE))&lt;&gt;"")*(IF(OFFSET(INDIRECT(CELL("address",INDEX('Leave Tracker'!$A$8:$A$92,MATCH($A20,'Leave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2.4</v>
      </c>
      <c r="O20">
        <f t="array" aca="1" ref="O20" ca="1">Sheet3!$W$2*$F20*(NETWORKDAYS(VLOOKUP(O$1,Sprints[],2,FALSE), VLOOKUP(O$1,Sprints[],3,FALSE))-SUMPRODUCT((OFFSET(INDIRECT(CELL("address",INDEX('Leave Tracker'!$A$8:$A$92,MATCH($A20,'Leave Tracker'!$A$8:$A$92,0)))),0,31*(VLOOKUP(O$1,Sprints[],5,FALSE))+DAY(VLOOKUP(O$1,Sprints[],2,FALSE)),1,VLOOKUP(O$1,Sprints[],4,FALSE))&lt;&gt;"")*(IF(OFFSET(INDIRECT(CELL("address",INDEX('Leave Tracker'!$A$8:$A$92,MATCH($A20,'Leave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4.8</v>
      </c>
      <c r="P20">
        <f t="array" aca="1" ref="P20" ca="1">Sheet3!$W$2*$F20*(NETWORKDAYS(VLOOKUP(P$1,Sprints[],2,FALSE), VLOOKUP(P$1,Sprints[],3,FALSE))-SUMPRODUCT((OFFSET(INDIRECT(CELL("address",INDEX('Leave Tracker'!$A$8:$A$92,MATCH($A20,'Leave Tracker'!$A$8:$A$92,0)))),0,31*(VLOOKUP(P$1,Sprints[],5,FALSE))+DAY(VLOOKUP(P$1,Sprints[],2,FALSE)),1,VLOOKUP(P$1,Sprints[],4,FALSE))&lt;&gt;"")*(IF(OFFSET(INDIRECT(CELL("address",INDEX('Leave Tracker'!$A$8:$A$92,MATCH($A20,'Leave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4.8</v>
      </c>
      <c r="Q20">
        <f t="array" aca="1" ref="Q20" ca="1">Sheet3!$W$2*$F20*(NETWORKDAYS(VLOOKUP(Q$1,Sprints[],2,FALSE), VLOOKUP(Q$1,Sprints[],3,FALSE))-SUMPRODUCT((OFFSET(INDIRECT(CELL("address",INDEX('Leave Tracker'!$A$8:$A$92,MATCH($A20,'Leave Tracker'!$A$8:$A$92,0)))),0,31*(VLOOKUP(Q$1,Sprints[],5,FALSE))+DAY(VLOOKUP(Q$1,Sprints[],2,FALSE)),1,VLOOKUP(Q$1,Sprints[],4,FALSE))&lt;&gt;"")*(IF(OFFSET(INDIRECT(CELL("address",INDEX('Leave Tracker'!$A$8:$A$92,MATCH($A20,'Leave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4.8</v>
      </c>
      <c r="R20">
        <f t="array" aca="1" ref="R20" ca="1">Sheet3!$W$2*$F20*(NETWORKDAYS(VLOOKUP(R$1,Sprints[],2,FALSE), VLOOKUP(R$1,Sprints[],3,FALSE))-SUMPRODUCT((OFFSET(INDIRECT(CELL("address",INDEX('Leave Tracker'!$A$8:$A$92,MATCH($A20,'Leave Tracker'!$A$8:$A$92,0)))),0,31*(VLOOKUP(R$1,Sprints[],5,FALSE))+DAY(VLOOKUP(R$1,Sprints[],2,FALSE)),1,VLOOKUP(R$1,Sprints[],4,FALSE))&lt;&gt;"")*(IF(OFFSET(INDIRECT(CELL("address",INDEX('Leave Tracker'!$A$8:$A$92,MATCH($A20,'Leave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4.32</v>
      </c>
      <c r="S20" s="74">
        <f t="array" aca="1" ref="S20" ca="1">Sheet3!$W$2*$F20*(NETWORKDAYS(VLOOKUP(S$1,Sprints[],2,FALSE), VLOOKUP(S$1,Sprints[],3,FALSE))-SUMPRODUCT((OFFSET(INDIRECT(CELL("address",INDEX('Leave Tracker'!$A$8:$A$92,MATCH($A20,'Leave Tracker'!$A$8:$A$92,0)))),0,31*(VLOOKUP(S$1,Sprints[],5,FALSE))+DAY(VLOOKUP(S$1,Sprints[],2,FALSE)),1,VLOOKUP(S$1,Sprints[],4,FALSE))&lt;&gt;"")*(IF(OFFSET(INDIRECT(CELL("address",INDEX('Leave Tracker'!$A$8:$A$92,MATCH($A20,'Leave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50.4</v>
      </c>
    </row>
    <row r="21" spans="1:19" x14ac:dyDescent="0.45">
      <c r="A21" t="s">
        <v>126</v>
      </c>
      <c r="B21" s="45" t="s">
        <v>99</v>
      </c>
      <c r="C21" s="45" t="s">
        <v>104</v>
      </c>
      <c r="D21" s="45" t="s">
        <v>119</v>
      </c>
      <c r="E21" s="45" t="s">
        <v>112</v>
      </c>
      <c r="F21" s="47">
        <v>0.5</v>
      </c>
      <c r="G21" s="31">
        <f t="array" aca="1" ref="G21" ca="1">Sheet3!$W$2*$F21*(NETWORKDAYS(VLOOKUP(G$1,Sprints[],2,FALSE), VLOOKUP(G$1,Sprints[],3,FALSE))-SUMPRODUCT((OFFSET(INDIRECT(CELL("address",INDEX('Leave Tracker'!$A$8:$A$92,MATCH($A21,'Leave Tracker'!$A$8:$A$92,0)))),0,31*(VLOOKUP(G$1,Sprints[],5,FALSE))+DAY(VLOOKUP(G$1,Sprints[],2,FALSE)),1,VLOOKUP(G$1,Sprints[],4,FALSE))&lt;&gt;"")*(IF(OFFSET(INDIRECT(CELL("address",INDEX('Leave Tracker'!$A$8:$A$92,MATCH($A21,'Leave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2</v>
      </c>
      <c r="H21" s="31">
        <f t="array" aca="1" ref="H21" ca="1">Sheet3!$W$2*$F21*(NETWORKDAYS(VLOOKUP(H$1,Sprints[],2,FALSE), VLOOKUP(H$1,Sprints[],3,FALSE))-SUMPRODUCT((OFFSET(INDIRECT(CELL("address",INDEX('Leave Tracker'!$A$8:$A$92,MATCH($A21,'Leave Tracker'!$A$8:$A$92,0)))),0,31*(VLOOKUP(H$1,Sprints[],5,FALSE))+DAY(VLOOKUP(H$1,Sprints[],2,FALSE)),1,VLOOKUP(H$1,Sprints[],4,FALSE))&lt;&gt;"")*(IF(OFFSET(INDIRECT(CELL("address",INDEX('Leave Tracker'!$A$8:$A$92,MATCH($A21,'Leave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4</v>
      </c>
      <c r="I21" s="31">
        <f t="array" aca="1" ref="I21" ca="1">Sheet3!$W$2*$F21*(NETWORKDAYS(VLOOKUP(I$1,Sprints[],2,FALSE), VLOOKUP(I$1,Sprints[],3,FALSE))-SUMPRODUCT((OFFSET(INDIRECT(CELL("address",INDEX('Leave Tracker'!$A$8:$A$92,MATCH($A21,'Leave Tracker'!$A$8:$A$92,0)))),0,31*(VLOOKUP(I$1,Sprints[],5,FALSE))+DAY(VLOOKUP(I$1,Sprints[],2,FALSE)),1,VLOOKUP(I$1,Sprints[],4,FALSE))&lt;&gt;"")*(IF(OFFSET(INDIRECT(CELL("address",INDEX('Leave Tracker'!$A$8:$A$92,MATCH($A21,'Leave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4</v>
      </c>
      <c r="J21" s="31">
        <f t="array" aca="1" ref="J21" ca="1">Sheet3!$W$2*$F21*(NETWORKDAYS(VLOOKUP(J$1,Sprints[],2,FALSE), VLOOKUP(J$1,Sprints[],3,FALSE))-SUMPRODUCT((OFFSET(INDIRECT(CELL("address",INDEX('Leave Tracker'!$A$8:$A$92,MATCH($A21,'Leave Tracker'!$A$8:$A$92,0)))),0,31*(VLOOKUP(J$1,Sprints[],5,FALSE))+DAY(VLOOKUP(J$1,Sprints[],2,FALSE)),1,VLOOKUP(J$1,Sprints[],4,FALSE))&lt;&gt;"")*(IF(OFFSET(INDIRECT(CELL("address",INDEX('Leave Tracker'!$A$8:$A$92,MATCH($A21,'Leave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4</v>
      </c>
      <c r="K21" s="31">
        <f t="array" aca="1" ref="K21" ca="1">Sheet3!$W$2*$F21*(NETWORKDAYS(VLOOKUP(K$1,Sprints[],2,FALSE), VLOOKUP(K$1,Sprints[],3,FALSE))-SUMPRODUCT((OFFSET(INDIRECT(CELL("address",INDEX('Leave Tracker'!$A$8:$A$92,MATCH($A21,'Leave Tracker'!$A$8:$A$92,0)))),0,31*(VLOOKUP(K$1,Sprints[],5,FALSE))+DAY(VLOOKUP(K$1,Sprints[],2,FALSE)),1,VLOOKUP(K$1,Sprints[],4,FALSE))&lt;&gt;"")*(IF(OFFSET(INDIRECT(CELL("address",INDEX('Leave Tracker'!$A$8:$A$92,MATCH($A21,'Leave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4</v>
      </c>
      <c r="L21" s="31">
        <f t="array" aca="1" ref="L21" ca="1">Sheet3!$W$2*$F21*(NETWORKDAYS(VLOOKUP(L$1,Sprints[],2,FALSE), VLOOKUP(L$1,Sprints[],3,FALSE))-SUMPRODUCT((OFFSET(INDIRECT(CELL("address",INDEX('Leave Tracker'!$A$8:$A$92,MATCH($A21,'Leave Tracker'!$A$8:$A$92,0)))),0,31*(VLOOKUP(L$1,Sprints[],5,FALSE))+DAY(VLOOKUP(L$1,Sprints[],2,FALSE)),1,VLOOKUP(L$1,Sprints[],4,FALSE))&lt;&gt;"")*(IF(OFFSET(INDIRECT(CELL("address",INDEX('Leave Tracker'!$A$8:$A$92,MATCH($A21,'Leave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2.8000000000000003</v>
      </c>
      <c r="M21" s="31">
        <f t="array" aca="1" ref="M21" ca="1">Sheet3!$W$2*$F21*(NETWORKDAYS(VLOOKUP(M$1,Sprints[],2,FALSE), VLOOKUP(M$1,Sprints[],3,FALSE))-SUMPRODUCT((OFFSET(INDIRECT(CELL("address",INDEX('Leave Tracker'!$A$8:$A$92,MATCH($A21,'Leave Tracker'!$A$8:$A$92,0)))),0,31*(VLOOKUP(M$1,Sprints[],5,FALSE))+DAY(VLOOKUP(M$1,Sprints[],2,FALSE)),1,VLOOKUP(M$1,Sprints[],4,FALSE))&lt;&gt;"")*(IF(OFFSET(INDIRECT(CELL("address",INDEX('Leave Tracker'!$A$8:$A$92,MATCH($A21,'Leave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4</v>
      </c>
      <c r="N21" s="31">
        <f t="array" aca="1" ref="N21" ca="1">Sheet3!$W$2*$F21*(NETWORKDAYS(VLOOKUP(N$1,Sprints[],2,FALSE), VLOOKUP(N$1,Sprints[],3,FALSE))-SUMPRODUCT((OFFSET(INDIRECT(CELL("address",INDEX('Leave Tracker'!$A$8:$A$92,MATCH($A21,'Leave Tracker'!$A$8:$A$92,0)))),0,31*(VLOOKUP(N$1,Sprints[],5,FALSE))+DAY(VLOOKUP(N$1,Sprints[],2,FALSE)),1,VLOOKUP(N$1,Sprints[],4,FALSE))&lt;&gt;"")*(IF(OFFSET(INDIRECT(CELL("address",INDEX('Leave Tracker'!$A$8:$A$92,MATCH($A21,'Leave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2</v>
      </c>
      <c r="O21" s="31">
        <f t="array" aca="1" ref="O21" ca="1">Sheet3!$W$2*$F21*(NETWORKDAYS(VLOOKUP(O$1,Sprints[],2,FALSE), VLOOKUP(O$1,Sprints[],3,FALSE))-SUMPRODUCT((OFFSET(INDIRECT(CELL("address",INDEX('Leave Tracker'!$A$8:$A$92,MATCH($A21,'Leave Tracker'!$A$8:$A$92,0)))),0,31*(VLOOKUP(O$1,Sprints[],5,FALSE))+DAY(VLOOKUP(O$1,Sprints[],2,FALSE)),1,VLOOKUP(O$1,Sprints[],4,FALSE))&lt;&gt;"")*(IF(OFFSET(INDIRECT(CELL("address",INDEX('Leave Tracker'!$A$8:$A$92,MATCH($A21,'Leave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4</v>
      </c>
      <c r="P21" s="31">
        <f t="array" aca="1" ref="P21" ca="1">Sheet3!$W$2*$F21*(NETWORKDAYS(VLOOKUP(P$1,Sprints[],2,FALSE), VLOOKUP(P$1,Sprints[],3,FALSE))-SUMPRODUCT((OFFSET(INDIRECT(CELL("address",INDEX('Leave Tracker'!$A$8:$A$92,MATCH($A21,'Leave Tracker'!$A$8:$A$92,0)))),0,31*(VLOOKUP(P$1,Sprints[],5,FALSE))+DAY(VLOOKUP(P$1,Sprints[],2,FALSE)),1,VLOOKUP(P$1,Sprints[],4,FALSE))&lt;&gt;"")*(IF(OFFSET(INDIRECT(CELL("address",INDEX('Leave Tracker'!$A$8:$A$92,MATCH($A21,'Leave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3.6</v>
      </c>
      <c r="Q21" s="31">
        <f t="array" aca="1" ref="Q21" ca="1">Sheet3!$W$2*$F21*(NETWORKDAYS(VLOOKUP(Q$1,Sprints[],2,FALSE), VLOOKUP(Q$1,Sprints[],3,FALSE))-SUMPRODUCT((OFFSET(INDIRECT(CELL("address",INDEX('Leave Tracker'!$A$8:$A$92,MATCH($A21,'Leave Tracker'!$A$8:$A$92,0)))),0,31*(VLOOKUP(Q$1,Sprints[],5,FALSE))+DAY(VLOOKUP(Q$1,Sprints[],2,FALSE)),1,VLOOKUP(Q$1,Sprints[],4,FALSE))&lt;&gt;"")*(IF(OFFSET(INDIRECT(CELL("address",INDEX('Leave Tracker'!$A$8:$A$92,MATCH($A21,'Leave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4</v>
      </c>
      <c r="R21" s="31">
        <f t="array" aca="1" ref="R21" ca="1">Sheet3!$W$2*$F21*(NETWORKDAYS(VLOOKUP(R$1,Sprints[],2,FALSE), VLOOKUP(R$1,Sprints[],3,FALSE))-SUMPRODUCT((OFFSET(INDIRECT(CELL("address",INDEX('Leave Tracker'!$A$8:$A$92,MATCH($A21,'Leave Tracker'!$A$8:$A$92,0)))),0,31*(VLOOKUP(R$1,Sprints[],5,FALSE))+DAY(VLOOKUP(R$1,Sprints[],2,FALSE)),1,VLOOKUP(R$1,Sprints[],4,FALSE))&lt;&gt;"")*(IF(OFFSET(INDIRECT(CELL("address",INDEX('Leave Tracker'!$A$8:$A$92,MATCH($A21,'Leave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4</v>
      </c>
      <c r="S21" s="74">
        <f t="array" aca="1" ref="S21" ca="1">Sheet3!$W$2*$F21*(NETWORKDAYS(VLOOKUP(S$1,Sprints[],2,FALSE), VLOOKUP(S$1,Sprints[],3,FALSE))-SUMPRODUCT((OFFSET(INDIRECT(CELL("address",INDEX('Leave Tracker'!$A$8:$A$92,MATCH($A21,'Leave Tracker'!$A$8:$A$92,0)))),0,31*(VLOOKUP(S$1,Sprints[],5,FALSE))+DAY(VLOOKUP(S$1,Sprints[],2,FALSE)),1,VLOOKUP(S$1,Sprints[],4,FALSE))&lt;&gt;"")*(IF(OFFSET(INDIRECT(CELL("address",INDEX('Leave Tracker'!$A$8:$A$92,MATCH($A21,'Leave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42.400000000000006</v>
      </c>
    </row>
    <row r="22" spans="1:19" s="45" customFormat="1" x14ac:dyDescent="0.45">
      <c r="A22" s="45" t="s">
        <v>43</v>
      </c>
      <c r="B22" s="45" t="s">
        <v>99</v>
      </c>
      <c r="C22" s="45" t="s">
        <v>104</v>
      </c>
      <c r="D22" s="45" t="s">
        <v>119</v>
      </c>
      <c r="E22" s="45" t="s">
        <v>113</v>
      </c>
      <c r="F22" s="47">
        <v>0.75</v>
      </c>
      <c r="G22" s="45">
        <f t="array" aca="1" ref="G22" ca="1">Sheet3!$W$2*$F22*(NETWORKDAYS(VLOOKUP(G$1,Sprints[],2,FALSE), VLOOKUP(G$1,Sprints[],3,FALSE))-SUMPRODUCT((OFFSET(INDIRECT(CELL("address",INDEX('Leave Tracker'!$A$8:$A$92,MATCH($A22,'Leave Tracker'!$A$8:$A$92,0)))),0,31*(VLOOKUP(G$1,Sprints[],5,FALSE))+DAY(VLOOKUP(G$1,Sprints[],2,FALSE)),1,VLOOKUP(G$1,Sprints[],4,FALSE))&lt;&gt;"")*(IF(OFFSET(INDIRECT(CELL("address",INDEX('Leave Tracker'!$A$8:$A$92,MATCH($A22,'Leave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22" s="45">
        <f t="array" aca="1" ref="H22" ca="1">Sheet3!$W$2*$F22*(NETWORKDAYS(VLOOKUP(H$1,Sprints[],2,FALSE), VLOOKUP(H$1,Sprints[],3,FALSE))-SUMPRODUCT((OFFSET(INDIRECT(CELL("address",INDEX('Leave Tracker'!$A$8:$A$92,MATCH($A22,'Leave Tracker'!$A$8:$A$92,0)))),0,31*(VLOOKUP(H$1,Sprints[],5,FALSE))+DAY(VLOOKUP(H$1,Sprints[],2,FALSE)),1,VLOOKUP(H$1,Sprints[],4,FALSE))&lt;&gt;"")*(IF(OFFSET(INDIRECT(CELL("address",INDEX('Leave Tracker'!$A$8:$A$92,MATCH($A22,'Leave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22" s="45">
        <f t="array" aca="1" ref="I22" ca="1">Sheet3!$W$2*$F22*(NETWORKDAYS(VLOOKUP(I$1,Sprints[],2,FALSE), VLOOKUP(I$1,Sprints[],3,FALSE))-SUMPRODUCT((OFFSET(INDIRECT(CELL("address",INDEX('Leave Tracker'!$A$8:$A$92,MATCH($A22,'Leave Tracker'!$A$8:$A$92,0)))),0,31*(VLOOKUP(I$1,Sprints[],5,FALSE))+DAY(VLOOKUP(I$1,Sprints[],2,FALSE)),1,VLOOKUP(I$1,Sprints[],4,FALSE))&lt;&gt;"")*(IF(OFFSET(INDIRECT(CELL("address",INDEX('Leave Tracker'!$A$8:$A$92,MATCH($A22,'Leave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6.0000000000000009</v>
      </c>
      <c r="J22" s="45">
        <f t="array" aca="1" ref="J22" ca="1">Sheet3!$W$2*$F22*(NETWORKDAYS(VLOOKUP(J$1,Sprints[],2,FALSE), VLOOKUP(J$1,Sprints[],3,FALSE))-SUMPRODUCT((OFFSET(INDIRECT(CELL("address",INDEX('Leave Tracker'!$A$8:$A$92,MATCH($A22,'Leave Tracker'!$A$8:$A$92,0)))),0,31*(VLOOKUP(J$1,Sprints[],5,FALSE))+DAY(VLOOKUP(J$1,Sprints[],2,FALSE)),1,VLOOKUP(J$1,Sprints[],4,FALSE))&lt;&gt;"")*(IF(OFFSET(INDIRECT(CELL("address",INDEX('Leave Tracker'!$A$8:$A$92,MATCH($A22,'Leave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22" s="45">
        <f t="array" aca="1" ref="K22" ca="1">Sheet3!$W$2*$F22*(NETWORKDAYS(VLOOKUP(K$1,Sprints[],2,FALSE), VLOOKUP(K$1,Sprints[],3,FALSE))-SUMPRODUCT((OFFSET(INDIRECT(CELL("address",INDEX('Leave Tracker'!$A$8:$A$92,MATCH($A22,'Leave Tracker'!$A$8:$A$92,0)))),0,31*(VLOOKUP(K$1,Sprints[],5,FALSE))+DAY(VLOOKUP(K$1,Sprints[],2,FALSE)),1,VLOOKUP(K$1,Sprints[],4,FALSE))&lt;&gt;"")*(IF(OFFSET(INDIRECT(CELL("address",INDEX('Leave Tracker'!$A$8:$A$92,MATCH($A22,'Leave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22" s="45">
        <f t="array" aca="1" ref="L22" ca="1">Sheet3!$W$2*$F22*(NETWORKDAYS(VLOOKUP(L$1,Sprints[],2,FALSE), VLOOKUP(L$1,Sprints[],3,FALSE))-SUMPRODUCT((OFFSET(INDIRECT(CELL("address",INDEX('Leave Tracker'!$A$8:$A$92,MATCH($A22,'Leave Tracker'!$A$8:$A$92,0)))),0,31*(VLOOKUP(L$1,Sprints[],5,FALSE))+DAY(VLOOKUP(L$1,Sprints[],2,FALSE)),1,VLOOKUP(L$1,Sprints[],4,FALSE))&lt;&gt;"")*(IF(OFFSET(INDIRECT(CELL("address",INDEX('Leave Tracker'!$A$8:$A$92,MATCH($A22,'Leave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4.2000000000000011</v>
      </c>
      <c r="M22" s="45">
        <f t="array" aca="1" ref="M22" ca="1">Sheet3!$W$2*$F22*(NETWORKDAYS(VLOOKUP(M$1,Sprints[],2,FALSE), VLOOKUP(M$1,Sprints[],3,FALSE))-SUMPRODUCT((OFFSET(INDIRECT(CELL("address",INDEX('Leave Tracker'!$A$8:$A$92,MATCH($A22,'Leave Tracker'!$A$8:$A$92,0)))),0,31*(VLOOKUP(M$1,Sprints[],5,FALSE))+DAY(VLOOKUP(M$1,Sprints[],2,FALSE)),1,VLOOKUP(M$1,Sprints[],4,FALSE))&lt;&gt;"")*(IF(OFFSET(INDIRECT(CELL("address",INDEX('Leave Tracker'!$A$8:$A$92,MATCH($A22,'Leave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6.0000000000000009</v>
      </c>
      <c r="N22" s="45">
        <f t="array" aca="1" ref="N22" ca="1">Sheet3!$W$2*$F22*(NETWORKDAYS(VLOOKUP(N$1,Sprints[],2,FALSE), VLOOKUP(N$1,Sprints[],3,FALSE))-SUMPRODUCT((OFFSET(INDIRECT(CELL("address",INDEX('Leave Tracker'!$A$8:$A$92,MATCH($A22,'Leave Tracker'!$A$8:$A$92,0)))),0,31*(VLOOKUP(N$1,Sprints[],5,FALSE))+DAY(VLOOKUP(N$1,Sprints[],2,FALSE)),1,VLOOKUP(N$1,Sprints[],4,FALSE))&lt;&gt;"")*(IF(OFFSET(INDIRECT(CELL("address",INDEX('Leave Tracker'!$A$8:$A$92,MATCH($A22,'Leave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22" s="45">
        <f t="array" aca="1" ref="O22" ca="1">Sheet3!$W$2*$F22*(NETWORKDAYS(VLOOKUP(O$1,Sprints[],2,FALSE), VLOOKUP(O$1,Sprints[],3,FALSE))-SUMPRODUCT((OFFSET(INDIRECT(CELL("address",INDEX('Leave Tracker'!$A$8:$A$92,MATCH($A22,'Leave Tracker'!$A$8:$A$92,0)))),0,31*(VLOOKUP(O$1,Sprints[],5,FALSE))+DAY(VLOOKUP(O$1,Sprints[],2,FALSE)),1,VLOOKUP(O$1,Sprints[],4,FALSE))&lt;&gt;"")*(IF(OFFSET(INDIRECT(CELL("address",INDEX('Leave Tracker'!$A$8:$A$92,MATCH($A22,'Leave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22" s="45">
        <f t="array" aca="1" ref="P22" ca="1">Sheet3!$W$2*$F22*(NETWORKDAYS(VLOOKUP(P$1,Sprints[],2,FALSE), VLOOKUP(P$1,Sprints[],3,FALSE))-SUMPRODUCT((OFFSET(INDIRECT(CELL("address",INDEX('Leave Tracker'!$A$8:$A$92,MATCH($A22,'Leave Tracker'!$A$8:$A$92,0)))),0,31*(VLOOKUP(P$1,Sprints[],5,FALSE))+DAY(VLOOKUP(P$1,Sprints[],2,FALSE)),1,VLOOKUP(P$1,Sprints[],4,FALSE))&lt;&gt;"")*(IF(OFFSET(INDIRECT(CELL("address",INDEX('Leave Tracker'!$A$8:$A$92,MATCH($A22,'Leave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5.4</v>
      </c>
      <c r="Q22" s="45">
        <f t="array" aca="1" ref="Q22" ca="1">Sheet3!$W$2*$F22*(NETWORKDAYS(VLOOKUP(Q$1,Sprints[],2,FALSE), VLOOKUP(Q$1,Sprints[],3,FALSE))-SUMPRODUCT((OFFSET(INDIRECT(CELL("address",INDEX('Leave Tracker'!$A$8:$A$92,MATCH($A22,'Leave Tracker'!$A$8:$A$92,0)))),0,31*(VLOOKUP(Q$1,Sprints[],5,FALSE))+DAY(VLOOKUP(Q$1,Sprints[],2,FALSE)),1,VLOOKUP(Q$1,Sprints[],4,FALSE))&lt;&gt;"")*(IF(OFFSET(INDIRECT(CELL("address",INDEX('Leave Tracker'!$A$8:$A$92,MATCH($A22,'Leave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22" s="45">
        <f t="array" aca="1" ref="R22" ca="1">Sheet3!$W$2*$F22*(NETWORKDAYS(VLOOKUP(R$1,Sprints[],2,FALSE), VLOOKUP(R$1,Sprints[],3,FALSE))-SUMPRODUCT((OFFSET(INDIRECT(CELL("address",INDEX('Leave Tracker'!$A$8:$A$92,MATCH($A22,'Leave Tracker'!$A$8:$A$92,0)))),0,31*(VLOOKUP(R$1,Sprints[],5,FALSE))+DAY(VLOOKUP(R$1,Sprints[],2,FALSE)),1,VLOOKUP(R$1,Sprints[],4,FALSE))&lt;&gt;"")*(IF(OFFSET(INDIRECT(CELL("address",INDEX('Leave Tracker'!$A$8:$A$92,MATCH($A22,'Leave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6.0000000000000009</v>
      </c>
      <c r="S22" s="74">
        <f t="array" aca="1" ref="S22" ca="1">Sheet3!$W$2*$F22*(NETWORKDAYS(VLOOKUP(S$1,Sprints[],2,FALSE), VLOOKUP(S$1,Sprints[],3,FALSE))-SUMPRODUCT((OFFSET(INDIRECT(CELL("address",INDEX('Leave Tracker'!$A$8:$A$92,MATCH($A22,'Leave Tracker'!$A$8:$A$92,0)))),0,31*(VLOOKUP(S$1,Sprints[],5,FALSE))+DAY(VLOOKUP(S$1,Sprints[],2,FALSE)),1,VLOOKUP(S$1,Sprints[],4,FALSE))&lt;&gt;"")*(IF(OFFSET(INDIRECT(CELL("address",INDEX('Leave Tracker'!$A$8:$A$92,MATCH($A22,'Leave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63.600000000000009</v>
      </c>
    </row>
    <row r="23" spans="1:19" x14ac:dyDescent="0.45">
      <c r="A23" s="45" t="s">
        <v>66</v>
      </c>
      <c r="B23" s="45" t="s">
        <v>100</v>
      </c>
      <c r="C23" s="45" t="s">
        <v>104</v>
      </c>
      <c r="D23" s="45" t="s">
        <v>119</v>
      </c>
      <c r="E23" s="45" t="s">
        <v>113</v>
      </c>
      <c r="F23" s="47">
        <v>0.75</v>
      </c>
      <c r="G23" s="45">
        <f t="array" aca="1" ref="G23" ca="1">Sheet3!$W$2*$F23*(NETWORKDAYS(VLOOKUP(G$1,Sprints[],2,FALSE), VLOOKUP(G$1,Sprints[],3,FALSE))-SUMPRODUCT((OFFSET(INDIRECT(CELL("address",INDEX('Leave Tracker'!$A$8:$A$92,MATCH($A23,'Leave Tracker'!$A$8:$A$92,0)))),0,31*(VLOOKUP(G$1,Sprints[],5,FALSE))+DAY(VLOOKUP(G$1,Sprints[],2,FALSE)),1,VLOOKUP(G$1,Sprints[],4,FALSE))&lt;&gt;"")*(IF(OFFSET(INDIRECT(CELL("address",INDEX('Leave Tracker'!$A$8:$A$92,MATCH($A23,'Leave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23">
        <f t="array" aca="1" ref="H23" ca="1">Sheet3!$W$2*$F23*(NETWORKDAYS(VLOOKUP(H$1,Sprints[],2,FALSE), VLOOKUP(H$1,Sprints[],3,FALSE))-SUMPRODUCT((OFFSET(INDIRECT(CELL("address",INDEX('Leave Tracker'!$A$8:$A$92,MATCH($A23,'Leave Tracker'!$A$8:$A$92,0)))),0,31*(VLOOKUP(H$1,Sprints[],5,FALSE))+DAY(VLOOKUP(H$1,Sprints[],2,FALSE)),1,VLOOKUP(H$1,Sprints[],4,FALSE))&lt;&gt;"")*(IF(OFFSET(INDIRECT(CELL("address",INDEX('Leave Tracker'!$A$8:$A$92,MATCH($A23,'Leave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23">
        <f t="array" aca="1" ref="I23" ca="1">Sheet3!$W$2*$F23*(NETWORKDAYS(VLOOKUP(I$1,Sprints[],2,FALSE), VLOOKUP(I$1,Sprints[],3,FALSE))-SUMPRODUCT((OFFSET(INDIRECT(CELL("address",INDEX('Leave Tracker'!$A$8:$A$92,MATCH($A23,'Leave Tracker'!$A$8:$A$92,0)))),0,31*(VLOOKUP(I$1,Sprints[],5,FALSE))+DAY(VLOOKUP(I$1,Sprints[],2,FALSE)),1,VLOOKUP(I$1,Sprints[],4,FALSE))&lt;&gt;"")*(IF(OFFSET(INDIRECT(CELL("address",INDEX('Leave Tracker'!$A$8:$A$92,MATCH($A23,'Leave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6.0000000000000009</v>
      </c>
      <c r="J23">
        <f t="array" aca="1" ref="J23" ca="1">Sheet3!$W$2*$F23*(NETWORKDAYS(VLOOKUP(J$1,Sprints[],2,FALSE), VLOOKUP(J$1,Sprints[],3,FALSE))-SUMPRODUCT((OFFSET(INDIRECT(CELL("address",INDEX('Leave Tracker'!$A$8:$A$92,MATCH($A23,'Leave Tracker'!$A$8:$A$92,0)))),0,31*(VLOOKUP(J$1,Sprints[],5,FALSE))+DAY(VLOOKUP(J$1,Sprints[],2,FALSE)),1,VLOOKUP(J$1,Sprints[],4,FALSE))&lt;&gt;"")*(IF(OFFSET(INDIRECT(CELL("address",INDEX('Leave Tracker'!$A$8:$A$92,MATCH($A23,'Leave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23">
        <f t="array" aca="1" ref="K23" ca="1">Sheet3!$W$2*$F23*(NETWORKDAYS(VLOOKUP(K$1,Sprints[],2,FALSE), VLOOKUP(K$1,Sprints[],3,FALSE))-SUMPRODUCT((OFFSET(INDIRECT(CELL("address",INDEX('Leave Tracker'!$A$8:$A$92,MATCH($A23,'Leave Tracker'!$A$8:$A$92,0)))),0,31*(VLOOKUP(K$1,Sprints[],5,FALSE))+DAY(VLOOKUP(K$1,Sprints[],2,FALSE)),1,VLOOKUP(K$1,Sprints[],4,FALSE))&lt;&gt;"")*(IF(OFFSET(INDIRECT(CELL("address",INDEX('Leave Tracker'!$A$8:$A$92,MATCH($A23,'Leave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23">
        <f t="array" aca="1" ref="L23" ca="1">Sheet3!$W$2*$F23*(NETWORKDAYS(VLOOKUP(L$1,Sprints[],2,FALSE), VLOOKUP(L$1,Sprints[],3,FALSE))-SUMPRODUCT((OFFSET(INDIRECT(CELL("address",INDEX('Leave Tracker'!$A$8:$A$92,MATCH($A23,'Leave Tracker'!$A$8:$A$92,0)))),0,31*(VLOOKUP(L$1,Sprints[],5,FALSE))+DAY(VLOOKUP(L$1,Sprints[],2,FALSE)),1,VLOOKUP(L$1,Sprints[],4,FALSE))&lt;&gt;"")*(IF(OFFSET(INDIRECT(CELL("address",INDEX('Leave Tracker'!$A$8:$A$92,MATCH($A23,'Leave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4.2000000000000011</v>
      </c>
      <c r="M23" s="45">
        <f t="array" aca="1" ref="M23" ca="1">Sheet3!$W$2*$F23*(NETWORKDAYS(VLOOKUP(M$1,Sprints[],2,FALSE), VLOOKUP(M$1,Sprints[],3,FALSE))-SUMPRODUCT((OFFSET(INDIRECT(CELL("address",INDEX('Leave Tracker'!$A$8:$A$92,MATCH($A23,'Leave Tracker'!$A$8:$A$92,0)))),0,31*(VLOOKUP(M$1,Sprints[],5,FALSE))+DAY(VLOOKUP(M$1,Sprints[],2,FALSE)),1,VLOOKUP(M$1,Sprints[],4,FALSE))&lt;&gt;"")*(IF(OFFSET(INDIRECT(CELL("address",INDEX('Leave Tracker'!$A$8:$A$92,MATCH($A23,'Leave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6.0000000000000009</v>
      </c>
      <c r="N23">
        <f t="array" aca="1" ref="N23" ca="1">Sheet3!$W$2*$F23*(NETWORKDAYS(VLOOKUP(N$1,Sprints[],2,FALSE), VLOOKUP(N$1,Sprints[],3,FALSE))-SUMPRODUCT((OFFSET(INDIRECT(CELL("address",INDEX('Leave Tracker'!$A$8:$A$92,MATCH($A23,'Leave Tracker'!$A$8:$A$92,0)))),0,31*(VLOOKUP(N$1,Sprints[],5,FALSE))+DAY(VLOOKUP(N$1,Sprints[],2,FALSE)),1,VLOOKUP(N$1,Sprints[],4,FALSE))&lt;&gt;"")*(IF(OFFSET(INDIRECT(CELL("address",INDEX('Leave Tracker'!$A$8:$A$92,MATCH($A23,'Leave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23">
        <f t="array" aca="1" ref="O23" ca="1">Sheet3!$W$2*$F23*(NETWORKDAYS(VLOOKUP(O$1,Sprints[],2,FALSE), VLOOKUP(O$1,Sprints[],3,FALSE))-SUMPRODUCT((OFFSET(INDIRECT(CELL("address",INDEX('Leave Tracker'!$A$8:$A$92,MATCH($A23,'Leave Tracker'!$A$8:$A$92,0)))),0,31*(VLOOKUP(O$1,Sprints[],5,FALSE))+DAY(VLOOKUP(O$1,Sprints[],2,FALSE)),1,VLOOKUP(O$1,Sprints[],4,FALSE))&lt;&gt;"")*(IF(OFFSET(INDIRECT(CELL("address",INDEX('Leave Tracker'!$A$8:$A$92,MATCH($A23,'Leave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23">
        <f t="array" aca="1" ref="P23" ca="1">Sheet3!$W$2*$F23*(NETWORKDAYS(VLOOKUP(P$1,Sprints[],2,FALSE), VLOOKUP(P$1,Sprints[],3,FALSE))-SUMPRODUCT((OFFSET(INDIRECT(CELL("address",INDEX('Leave Tracker'!$A$8:$A$92,MATCH($A23,'Leave Tracker'!$A$8:$A$92,0)))),0,31*(VLOOKUP(P$1,Sprints[],5,FALSE))+DAY(VLOOKUP(P$1,Sprints[],2,FALSE)),1,VLOOKUP(P$1,Sprints[],4,FALSE))&lt;&gt;"")*(IF(OFFSET(INDIRECT(CELL("address",INDEX('Leave Tracker'!$A$8:$A$92,MATCH($A23,'Leave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5.4</v>
      </c>
      <c r="Q23">
        <f t="array" aca="1" ref="Q23" ca="1">Sheet3!$W$2*$F23*(NETWORKDAYS(VLOOKUP(Q$1,Sprints[],2,FALSE), VLOOKUP(Q$1,Sprints[],3,FALSE))-SUMPRODUCT((OFFSET(INDIRECT(CELL("address",INDEX('Leave Tracker'!$A$8:$A$92,MATCH($A23,'Leave Tracker'!$A$8:$A$92,0)))),0,31*(VLOOKUP(Q$1,Sprints[],5,FALSE))+DAY(VLOOKUP(Q$1,Sprints[],2,FALSE)),1,VLOOKUP(Q$1,Sprints[],4,FALSE))&lt;&gt;"")*(IF(OFFSET(INDIRECT(CELL("address",INDEX('Leave Tracker'!$A$8:$A$92,MATCH($A23,'Leave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23">
        <f t="array" aca="1" ref="R23" ca="1">Sheet3!$W$2*$F23*(NETWORKDAYS(VLOOKUP(R$1,Sprints[],2,FALSE), VLOOKUP(R$1,Sprints[],3,FALSE))-SUMPRODUCT((OFFSET(INDIRECT(CELL("address",INDEX('Leave Tracker'!$A$8:$A$92,MATCH($A23,'Leave Tracker'!$A$8:$A$92,0)))),0,31*(VLOOKUP(R$1,Sprints[],5,FALSE))+DAY(VLOOKUP(R$1,Sprints[],2,FALSE)),1,VLOOKUP(R$1,Sprints[],4,FALSE))&lt;&gt;"")*(IF(OFFSET(INDIRECT(CELL("address",INDEX('Leave Tracker'!$A$8:$A$92,MATCH($A23,'Leave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6.0000000000000009</v>
      </c>
      <c r="S23" s="74">
        <f t="array" aca="1" ref="S23" ca="1">Sheet3!$W$2*$F23*(NETWORKDAYS(VLOOKUP(S$1,Sprints[],2,FALSE), VLOOKUP(S$1,Sprints[],3,FALSE))-SUMPRODUCT((OFFSET(INDIRECT(CELL("address",INDEX('Leave Tracker'!$A$8:$A$92,MATCH($A23,'Leave Tracker'!$A$8:$A$92,0)))),0,31*(VLOOKUP(S$1,Sprints[],5,FALSE))+DAY(VLOOKUP(S$1,Sprints[],2,FALSE)),1,VLOOKUP(S$1,Sprints[],4,FALSE))&lt;&gt;"")*(IF(OFFSET(INDIRECT(CELL("address",INDEX('Leave Tracker'!$A$8:$A$92,MATCH($A23,'Leave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63.600000000000009</v>
      </c>
    </row>
    <row r="24" spans="1:19" x14ac:dyDescent="0.45">
      <c r="A24" t="s">
        <v>87</v>
      </c>
      <c r="B24" s="45" t="s">
        <v>103</v>
      </c>
      <c r="C24" s="45" t="s">
        <v>105</v>
      </c>
      <c r="D24" s="45" t="s">
        <v>116</v>
      </c>
      <c r="E24" s="45" t="s">
        <v>115</v>
      </c>
      <c r="F24" s="47">
        <v>0.6</v>
      </c>
      <c r="G24" s="45">
        <f t="array" aca="1" ref="G24" ca="1">Sheet3!$W$2*$F24*(NETWORKDAYS(VLOOKUP(G$1,Sprints[],2,FALSE), VLOOKUP(G$1,Sprints[],3,FALSE))-SUMPRODUCT((OFFSET(INDIRECT(CELL("address",INDEX('Leave Tracker'!$A$8:$A$92,MATCH($A24,'Leave Tracker'!$A$8:$A$92,0)))),0,31*(VLOOKUP(G$1,Sprints[],5,FALSE))+DAY(VLOOKUP(G$1,Sprints[],2,FALSE)),1,VLOOKUP(G$1,Sprints[],4,FALSE))&lt;&gt;"")*(IF(OFFSET(INDIRECT(CELL("address",INDEX('Leave Tracker'!$A$8:$A$92,MATCH($A24,'Leave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2.4</v>
      </c>
      <c r="H24">
        <f t="array" aca="1" ref="H24" ca="1">Sheet3!$W$2*$F24*(NETWORKDAYS(VLOOKUP(H$1,Sprints[],2,FALSE), VLOOKUP(H$1,Sprints[],3,FALSE))-SUMPRODUCT((OFFSET(INDIRECT(CELL("address",INDEX('Leave Tracker'!$A$8:$A$92,MATCH($A24,'Leave Tracker'!$A$8:$A$92,0)))),0,31*(VLOOKUP(H$1,Sprints[],5,FALSE))+DAY(VLOOKUP(H$1,Sprints[],2,FALSE)),1,VLOOKUP(H$1,Sprints[],4,FALSE))&lt;&gt;"")*(IF(OFFSET(INDIRECT(CELL("address",INDEX('Leave Tracker'!$A$8:$A$92,MATCH($A24,'Leave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4.8</v>
      </c>
      <c r="I24">
        <f t="array" aca="1" ref="I24" ca="1">Sheet3!$W$2*$F24*(NETWORKDAYS(VLOOKUP(I$1,Sprints[],2,FALSE), VLOOKUP(I$1,Sprints[],3,FALSE))-SUMPRODUCT((OFFSET(INDIRECT(CELL("address",INDEX('Leave Tracker'!$A$8:$A$92,MATCH($A24,'Leave Tracker'!$A$8:$A$92,0)))),0,31*(VLOOKUP(I$1,Sprints[],5,FALSE))+DAY(VLOOKUP(I$1,Sprints[],2,FALSE)),1,VLOOKUP(I$1,Sprints[],4,FALSE))&lt;&gt;"")*(IF(OFFSET(INDIRECT(CELL("address",INDEX('Leave Tracker'!$A$8:$A$92,MATCH($A24,'Leave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4.32</v>
      </c>
      <c r="J24">
        <f t="array" aca="1" ref="J24" ca="1">Sheet3!$W$2*$F24*(NETWORKDAYS(VLOOKUP(J$1,Sprints[],2,FALSE), VLOOKUP(J$1,Sprints[],3,FALSE))-SUMPRODUCT((OFFSET(INDIRECT(CELL("address",INDEX('Leave Tracker'!$A$8:$A$92,MATCH($A24,'Leave Tracker'!$A$8:$A$92,0)))),0,31*(VLOOKUP(J$1,Sprints[],5,FALSE))+DAY(VLOOKUP(J$1,Sprints[],2,FALSE)),1,VLOOKUP(J$1,Sprints[],4,FALSE))&lt;&gt;"")*(IF(OFFSET(INDIRECT(CELL("address",INDEX('Leave Tracker'!$A$8:$A$92,MATCH($A24,'Leave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4.8</v>
      </c>
      <c r="K24">
        <f t="array" aca="1" ref="K24" ca="1">Sheet3!$W$2*$F24*(NETWORKDAYS(VLOOKUP(K$1,Sprints[],2,FALSE), VLOOKUP(K$1,Sprints[],3,FALSE))-SUMPRODUCT((OFFSET(INDIRECT(CELL("address",INDEX('Leave Tracker'!$A$8:$A$92,MATCH($A24,'Leave Tracker'!$A$8:$A$92,0)))),0,31*(VLOOKUP(K$1,Sprints[],5,FALSE))+DAY(VLOOKUP(K$1,Sprints[],2,FALSE)),1,VLOOKUP(K$1,Sprints[],4,FALSE))&lt;&gt;"")*(IF(OFFSET(INDIRECT(CELL("address",INDEX('Leave Tracker'!$A$8:$A$92,MATCH($A24,'Leave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4.8</v>
      </c>
      <c r="L24">
        <f t="array" aca="1" ref="L24" ca="1">Sheet3!$W$2*$F24*(NETWORKDAYS(VLOOKUP(L$1,Sprints[],2,FALSE), VLOOKUP(L$1,Sprints[],3,FALSE))-SUMPRODUCT((OFFSET(INDIRECT(CELL("address",INDEX('Leave Tracker'!$A$8:$A$92,MATCH($A24,'Leave Tracker'!$A$8:$A$92,0)))),0,31*(VLOOKUP(L$1,Sprints[],5,FALSE))+DAY(VLOOKUP(L$1,Sprints[],2,FALSE)),1,VLOOKUP(L$1,Sprints[],4,FALSE))&lt;&gt;"")*(IF(OFFSET(INDIRECT(CELL("address",INDEX('Leave Tracker'!$A$8:$A$92,MATCH($A24,'Leave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3.84</v>
      </c>
      <c r="M24" s="45">
        <f t="array" aca="1" ref="M24" ca="1">Sheet3!$W$2*$F24*(NETWORKDAYS(VLOOKUP(M$1,Sprints[],2,FALSE), VLOOKUP(M$1,Sprints[],3,FALSE))-SUMPRODUCT((OFFSET(INDIRECT(CELL("address",INDEX('Leave Tracker'!$A$8:$A$92,MATCH($A24,'Leave Tracker'!$A$8:$A$92,0)))),0,31*(VLOOKUP(M$1,Sprints[],5,FALSE))+DAY(VLOOKUP(M$1,Sprints[],2,FALSE)),1,VLOOKUP(M$1,Sprints[],4,FALSE))&lt;&gt;"")*(IF(OFFSET(INDIRECT(CELL("address",INDEX('Leave Tracker'!$A$8:$A$92,MATCH($A24,'Leave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4.32</v>
      </c>
      <c r="N24">
        <f t="array" aca="1" ref="N24" ca="1">Sheet3!$W$2*$F24*(NETWORKDAYS(VLOOKUP(N$1,Sprints[],2,FALSE), VLOOKUP(N$1,Sprints[],3,FALSE))-SUMPRODUCT((OFFSET(INDIRECT(CELL("address",INDEX('Leave Tracker'!$A$8:$A$92,MATCH($A24,'Leave Tracker'!$A$8:$A$92,0)))),0,31*(VLOOKUP(N$1,Sprints[],5,FALSE))+DAY(VLOOKUP(N$1,Sprints[],2,FALSE)),1,VLOOKUP(N$1,Sprints[],4,FALSE))&lt;&gt;"")*(IF(OFFSET(INDIRECT(CELL("address",INDEX('Leave Tracker'!$A$8:$A$92,MATCH($A24,'Leave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2.4</v>
      </c>
      <c r="O24">
        <f t="array" aca="1" ref="O24" ca="1">Sheet3!$W$2*$F24*(NETWORKDAYS(VLOOKUP(O$1,Sprints[],2,FALSE), VLOOKUP(O$1,Sprints[],3,FALSE))-SUMPRODUCT((OFFSET(INDIRECT(CELL("address",INDEX('Leave Tracker'!$A$8:$A$92,MATCH($A24,'Leave Tracker'!$A$8:$A$92,0)))),0,31*(VLOOKUP(O$1,Sprints[],5,FALSE))+DAY(VLOOKUP(O$1,Sprints[],2,FALSE)),1,VLOOKUP(O$1,Sprints[],4,FALSE))&lt;&gt;"")*(IF(OFFSET(INDIRECT(CELL("address",INDEX('Leave Tracker'!$A$8:$A$92,MATCH($A24,'Leave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4.8</v>
      </c>
      <c r="P24">
        <f t="array" aca="1" ref="P24" ca="1">Sheet3!$W$2*$F24*(NETWORKDAYS(VLOOKUP(P$1,Sprints[],2,FALSE), VLOOKUP(P$1,Sprints[],3,FALSE))-SUMPRODUCT((OFFSET(INDIRECT(CELL("address",INDEX('Leave Tracker'!$A$8:$A$92,MATCH($A24,'Leave Tracker'!$A$8:$A$92,0)))),0,31*(VLOOKUP(P$1,Sprints[],5,FALSE))+DAY(VLOOKUP(P$1,Sprints[],2,FALSE)),1,VLOOKUP(P$1,Sprints[],4,FALSE))&lt;&gt;"")*(IF(OFFSET(INDIRECT(CELL("address",INDEX('Leave Tracker'!$A$8:$A$92,MATCH($A24,'Leave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4.8</v>
      </c>
      <c r="Q24">
        <f t="array" aca="1" ref="Q24" ca="1">Sheet3!$W$2*$F24*(NETWORKDAYS(VLOOKUP(Q$1,Sprints[],2,FALSE), VLOOKUP(Q$1,Sprints[],3,FALSE))-SUMPRODUCT((OFFSET(INDIRECT(CELL("address",INDEX('Leave Tracker'!$A$8:$A$92,MATCH($A24,'Leave Tracker'!$A$8:$A$92,0)))),0,31*(VLOOKUP(Q$1,Sprints[],5,FALSE))+DAY(VLOOKUP(Q$1,Sprints[],2,FALSE)),1,VLOOKUP(Q$1,Sprints[],4,FALSE))&lt;&gt;"")*(IF(OFFSET(INDIRECT(CELL("address",INDEX('Leave Tracker'!$A$8:$A$92,MATCH($A24,'Leave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4.8</v>
      </c>
      <c r="R24">
        <f t="array" aca="1" ref="R24" ca="1">Sheet3!$W$2*$F24*(NETWORKDAYS(VLOOKUP(R$1,Sprints[],2,FALSE), VLOOKUP(R$1,Sprints[],3,FALSE))-SUMPRODUCT((OFFSET(INDIRECT(CELL("address",INDEX('Leave Tracker'!$A$8:$A$92,MATCH($A24,'Leave Tracker'!$A$8:$A$92,0)))),0,31*(VLOOKUP(R$1,Sprints[],5,FALSE))+DAY(VLOOKUP(R$1,Sprints[],2,FALSE)),1,VLOOKUP(R$1,Sprints[],4,FALSE))&lt;&gt;"")*(IF(OFFSET(INDIRECT(CELL("address",INDEX('Leave Tracker'!$A$8:$A$92,MATCH($A24,'Leave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4.32</v>
      </c>
      <c r="S24" s="74">
        <f t="array" aca="1" ref="S24" ca="1">Sheet3!$W$2*$F24*(NETWORKDAYS(VLOOKUP(S$1,Sprints[],2,FALSE), VLOOKUP(S$1,Sprints[],3,FALSE))-SUMPRODUCT((OFFSET(INDIRECT(CELL("address",INDEX('Leave Tracker'!$A$8:$A$92,MATCH($A24,'Leave Tracker'!$A$8:$A$92,0)))),0,31*(VLOOKUP(S$1,Sprints[],5,FALSE))+DAY(VLOOKUP(S$1,Sprints[],2,FALSE)),1,VLOOKUP(S$1,Sprints[],4,FALSE))&lt;&gt;"")*(IF(OFFSET(INDIRECT(CELL("address",INDEX('Leave Tracker'!$A$8:$A$92,MATCH($A24,'Leave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50.4</v>
      </c>
    </row>
    <row r="25" spans="1:19" x14ac:dyDescent="0.45">
      <c r="A25" t="s">
        <v>68</v>
      </c>
      <c r="B25" s="45" t="s">
        <v>100</v>
      </c>
      <c r="C25" s="45" t="s">
        <v>104</v>
      </c>
      <c r="D25" s="45" t="s">
        <v>119</v>
      </c>
      <c r="E25" s="45" t="s">
        <v>112</v>
      </c>
      <c r="F25" s="47">
        <v>0.75</v>
      </c>
      <c r="G25" s="45">
        <f t="array" aca="1" ref="G25" ca="1">Sheet3!$W$2*$F25*(NETWORKDAYS(VLOOKUP(G$1,Sprints[],2,FALSE), VLOOKUP(G$1,Sprints[],3,FALSE))-SUMPRODUCT((OFFSET(INDIRECT(CELL("address",INDEX('Leave Tracker'!$A$8:$A$92,MATCH($A25,'Leave Tracker'!$A$8:$A$92,0)))),0,31*(VLOOKUP(G$1,Sprints[],5,FALSE))+DAY(VLOOKUP(G$1,Sprints[],2,FALSE)),1,VLOOKUP(G$1,Sprints[],4,FALSE))&lt;&gt;"")*(IF(OFFSET(INDIRECT(CELL("address",INDEX('Leave Tracker'!$A$8:$A$92,MATCH($A25,'Leave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25">
        <f t="array" aca="1" ref="H25" ca="1">Sheet3!$W$2*$F25*(NETWORKDAYS(VLOOKUP(H$1,Sprints[],2,FALSE), VLOOKUP(H$1,Sprints[],3,FALSE))-SUMPRODUCT((OFFSET(INDIRECT(CELL("address",INDEX('Leave Tracker'!$A$8:$A$92,MATCH($A25,'Leave Tracker'!$A$8:$A$92,0)))),0,31*(VLOOKUP(H$1,Sprints[],5,FALSE))+DAY(VLOOKUP(H$1,Sprints[],2,FALSE)),1,VLOOKUP(H$1,Sprints[],4,FALSE))&lt;&gt;"")*(IF(OFFSET(INDIRECT(CELL("address",INDEX('Leave Tracker'!$A$8:$A$92,MATCH($A25,'Leave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25">
        <f t="array" aca="1" ref="I25" ca="1">Sheet3!$W$2*$F25*(NETWORKDAYS(VLOOKUP(I$1,Sprints[],2,FALSE), VLOOKUP(I$1,Sprints[],3,FALSE))-SUMPRODUCT((OFFSET(INDIRECT(CELL("address",INDEX('Leave Tracker'!$A$8:$A$92,MATCH($A25,'Leave Tracker'!$A$8:$A$92,0)))),0,31*(VLOOKUP(I$1,Sprints[],5,FALSE))+DAY(VLOOKUP(I$1,Sprints[],2,FALSE)),1,VLOOKUP(I$1,Sprints[],4,FALSE))&lt;&gt;"")*(IF(OFFSET(INDIRECT(CELL("address",INDEX('Leave Tracker'!$A$8:$A$92,MATCH($A25,'Leave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6.0000000000000009</v>
      </c>
      <c r="J25">
        <f t="array" aca="1" ref="J25" ca="1">Sheet3!$W$2*$F25*(NETWORKDAYS(VLOOKUP(J$1,Sprints[],2,FALSE), VLOOKUP(J$1,Sprints[],3,FALSE))-SUMPRODUCT((OFFSET(INDIRECT(CELL("address",INDEX('Leave Tracker'!$A$8:$A$92,MATCH($A25,'Leave Tracker'!$A$8:$A$92,0)))),0,31*(VLOOKUP(J$1,Sprints[],5,FALSE))+DAY(VLOOKUP(J$1,Sprints[],2,FALSE)),1,VLOOKUP(J$1,Sprints[],4,FALSE))&lt;&gt;"")*(IF(OFFSET(INDIRECT(CELL("address",INDEX('Leave Tracker'!$A$8:$A$92,MATCH($A25,'Leave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25">
        <f t="array" aca="1" ref="K25" ca="1">Sheet3!$W$2*$F25*(NETWORKDAYS(VLOOKUP(K$1,Sprints[],2,FALSE), VLOOKUP(K$1,Sprints[],3,FALSE))-SUMPRODUCT((OFFSET(INDIRECT(CELL("address",INDEX('Leave Tracker'!$A$8:$A$92,MATCH($A25,'Leave Tracker'!$A$8:$A$92,0)))),0,31*(VLOOKUP(K$1,Sprints[],5,FALSE))+DAY(VLOOKUP(K$1,Sprints[],2,FALSE)),1,VLOOKUP(K$1,Sprints[],4,FALSE))&lt;&gt;"")*(IF(OFFSET(INDIRECT(CELL("address",INDEX('Leave Tracker'!$A$8:$A$92,MATCH($A25,'Leave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25">
        <f t="array" aca="1" ref="L25" ca="1">Sheet3!$W$2*$F25*(NETWORKDAYS(VLOOKUP(L$1,Sprints[],2,FALSE), VLOOKUP(L$1,Sprints[],3,FALSE))-SUMPRODUCT((OFFSET(INDIRECT(CELL("address",INDEX('Leave Tracker'!$A$8:$A$92,MATCH($A25,'Leave Tracker'!$A$8:$A$92,0)))),0,31*(VLOOKUP(L$1,Sprints[],5,FALSE))+DAY(VLOOKUP(L$1,Sprints[],2,FALSE)),1,VLOOKUP(L$1,Sprints[],4,FALSE))&lt;&gt;"")*(IF(OFFSET(INDIRECT(CELL("address",INDEX('Leave Tracker'!$A$8:$A$92,MATCH($A25,'Leave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4.2000000000000011</v>
      </c>
      <c r="M25" s="45">
        <f t="array" aca="1" ref="M25" ca="1">Sheet3!$W$2*$F25*(NETWORKDAYS(VLOOKUP(M$1,Sprints[],2,FALSE), VLOOKUP(M$1,Sprints[],3,FALSE))-SUMPRODUCT((OFFSET(INDIRECT(CELL("address",INDEX('Leave Tracker'!$A$8:$A$92,MATCH($A25,'Leave Tracker'!$A$8:$A$92,0)))),0,31*(VLOOKUP(M$1,Sprints[],5,FALSE))+DAY(VLOOKUP(M$1,Sprints[],2,FALSE)),1,VLOOKUP(M$1,Sprints[],4,FALSE))&lt;&gt;"")*(IF(OFFSET(INDIRECT(CELL("address",INDEX('Leave Tracker'!$A$8:$A$92,MATCH($A25,'Leave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6.0000000000000009</v>
      </c>
      <c r="N25">
        <f t="array" aca="1" ref="N25" ca="1">Sheet3!$W$2*$F25*(NETWORKDAYS(VLOOKUP(N$1,Sprints[],2,FALSE), VLOOKUP(N$1,Sprints[],3,FALSE))-SUMPRODUCT((OFFSET(INDIRECT(CELL("address",INDEX('Leave Tracker'!$A$8:$A$92,MATCH($A25,'Leave Tracker'!$A$8:$A$92,0)))),0,31*(VLOOKUP(N$1,Sprints[],5,FALSE))+DAY(VLOOKUP(N$1,Sprints[],2,FALSE)),1,VLOOKUP(N$1,Sprints[],4,FALSE))&lt;&gt;"")*(IF(OFFSET(INDIRECT(CELL("address",INDEX('Leave Tracker'!$A$8:$A$92,MATCH($A25,'Leave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25">
        <f t="array" aca="1" ref="O25" ca="1">Sheet3!$W$2*$F25*(NETWORKDAYS(VLOOKUP(O$1,Sprints[],2,FALSE), VLOOKUP(O$1,Sprints[],3,FALSE))-SUMPRODUCT((OFFSET(INDIRECT(CELL("address",INDEX('Leave Tracker'!$A$8:$A$92,MATCH($A25,'Leave Tracker'!$A$8:$A$92,0)))),0,31*(VLOOKUP(O$1,Sprints[],5,FALSE))+DAY(VLOOKUP(O$1,Sprints[],2,FALSE)),1,VLOOKUP(O$1,Sprints[],4,FALSE))&lt;&gt;"")*(IF(OFFSET(INDIRECT(CELL("address",INDEX('Leave Tracker'!$A$8:$A$92,MATCH($A25,'Leave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25">
        <f t="array" aca="1" ref="P25" ca="1">Sheet3!$W$2*$F25*(NETWORKDAYS(VLOOKUP(P$1,Sprints[],2,FALSE), VLOOKUP(P$1,Sprints[],3,FALSE))-SUMPRODUCT((OFFSET(INDIRECT(CELL("address",INDEX('Leave Tracker'!$A$8:$A$92,MATCH($A25,'Leave Tracker'!$A$8:$A$92,0)))),0,31*(VLOOKUP(P$1,Sprints[],5,FALSE))+DAY(VLOOKUP(P$1,Sprints[],2,FALSE)),1,VLOOKUP(P$1,Sprints[],4,FALSE))&lt;&gt;"")*(IF(OFFSET(INDIRECT(CELL("address",INDEX('Leave Tracker'!$A$8:$A$92,MATCH($A25,'Leave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5.4</v>
      </c>
      <c r="Q25">
        <f t="array" aca="1" ref="Q25" ca="1">Sheet3!$W$2*$F25*(NETWORKDAYS(VLOOKUP(Q$1,Sprints[],2,FALSE), VLOOKUP(Q$1,Sprints[],3,FALSE))-SUMPRODUCT((OFFSET(INDIRECT(CELL("address",INDEX('Leave Tracker'!$A$8:$A$92,MATCH($A25,'Leave Tracker'!$A$8:$A$92,0)))),0,31*(VLOOKUP(Q$1,Sprints[],5,FALSE))+DAY(VLOOKUP(Q$1,Sprints[],2,FALSE)),1,VLOOKUP(Q$1,Sprints[],4,FALSE))&lt;&gt;"")*(IF(OFFSET(INDIRECT(CELL("address",INDEX('Leave Tracker'!$A$8:$A$92,MATCH($A25,'Leave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25">
        <f t="array" aca="1" ref="R25" ca="1">Sheet3!$W$2*$F25*(NETWORKDAYS(VLOOKUP(R$1,Sprints[],2,FALSE), VLOOKUP(R$1,Sprints[],3,FALSE))-SUMPRODUCT((OFFSET(INDIRECT(CELL("address",INDEX('Leave Tracker'!$A$8:$A$92,MATCH($A25,'Leave Tracker'!$A$8:$A$92,0)))),0,31*(VLOOKUP(R$1,Sprints[],5,FALSE))+DAY(VLOOKUP(R$1,Sprints[],2,FALSE)),1,VLOOKUP(R$1,Sprints[],4,FALSE))&lt;&gt;"")*(IF(OFFSET(INDIRECT(CELL("address",INDEX('Leave Tracker'!$A$8:$A$92,MATCH($A25,'Leave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6.0000000000000009</v>
      </c>
      <c r="S25" s="74">
        <f t="array" aca="1" ref="S25" ca="1">Sheet3!$W$2*$F25*(NETWORKDAYS(VLOOKUP(S$1,Sprints[],2,FALSE), VLOOKUP(S$1,Sprints[],3,FALSE))-SUMPRODUCT((OFFSET(INDIRECT(CELL("address",INDEX('Leave Tracker'!$A$8:$A$92,MATCH($A25,'Leave Tracker'!$A$8:$A$92,0)))),0,31*(VLOOKUP(S$1,Sprints[],5,FALSE))+DAY(VLOOKUP(S$1,Sprints[],2,FALSE)),1,VLOOKUP(S$1,Sprints[],4,FALSE))&lt;&gt;"")*(IF(OFFSET(INDIRECT(CELL("address",INDEX('Leave Tracker'!$A$8:$A$92,MATCH($A25,'Leave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63.600000000000009</v>
      </c>
    </row>
    <row r="26" spans="1:19" s="45" customFormat="1" x14ac:dyDescent="0.45">
      <c r="A26" s="45" t="s">
        <v>67</v>
      </c>
      <c r="B26" s="45" t="s">
        <v>100</v>
      </c>
      <c r="C26" s="45" t="s">
        <v>104</v>
      </c>
      <c r="D26" s="45" t="s">
        <v>119</v>
      </c>
      <c r="E26" s="45" t="s">
        <v>113</v>
      </c>
      <c r="F26" s="47">
        <v>0.75</v>
      </c>
      <c r="G26" s="45">
        <f t="array" aca="1" ref="G26" ca="1">Sheet3!$W$2*$F26*(NETWORKDAYS(VLOOKUP(G$1,Sprints[],2,FALSE), VLOOKUP(G$1,Sprints[],3,FALSE))-SUMPRODUCT((OFFSET(INDIRECT(CELL("address",INDEX('Leave Tracker'!$A$8:$A$92,MATCH($A26,'Leave Tracker'!$A$8:$A$92,0)))),0,31*(VLOOKUP(G$1,Sprints[],5,FALSE))+DAY(VLOOKUP(G$1,Sprints[],2,FALSE)),1,VLOOKUP(G$1,Sprints[],4,FALSE))&lt;&gt;"")*(IF(OFFSET(INDIRECT(CELL("address",INDEX('Leave Tracker'!$A$8:$A$92,MATCH($A26,'Leave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26" s="45">
        <f t="array" aca="1" ref="H26" ca="1">Sheet3!$W$2*$F26*(NETWORKDAYS(VLOOKUP(H$1,Sprints[],2,FALSE), VLOOKUP(H$1,Sprints[],3,FALSE))-SUMPRODUCT((OFFSET(INDIRECT(CELL("address",INDEX('Leave Tracker'!$A$8:$A$92,MATCH($A26,'Leave Tracker'!$A$8:$A$92,0)))),0,31*(VLOOKUP(H$1,Sprints[],5,FALSE))+DAY(VLOOKUP(H$1,Sprints[],2,FALSE)),1,VLOOKUP(H$1,Sprints[],4,FALSE))&lt;&gt;"")*(IF(OFFSET(INDIRECT(CELL("address",INDEX('Leave Tracker'!$A$8:$A$92,MATCH($A26,'Leave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26" s="45">
        <f t="array" aca="1" ref="I26" ca="1">Sheet3!$W$2*$F26*(NETWORKDAYS(VLOOKUP(I$1,Sprints[],2,FALSE), VLOOKUP(I$1,Sprints[],3,FALSE))-SUMPRODUCT((OFFSET(INDIRECT(CELL("address",INDEX('Leave Tracker'!$A$8:$A$92,MATCH($A26,'Leave Tracker'!$A$8:$A$92,0)))),0,31*(VLOOKUP(I$1,Sprints[],5,FALSE))+DAY(VLOOKUP(I$1,Sprints[],2,FALSE)),1,VLOOKUP(I$1,Sprints[],4,FALSE))&lt;&gt;"")*(IF(OFFSET(INDIRECT(CELL("address",INDEX('Leave Tracker'!$A$8:$A$92,MATCH($A26,'Leave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6.0000000000000009</v>
      </c>
      <c r="J26" s="45">
        <f t="array" aca="1" ref="J26" ca="1">Sheet3!$W$2*$F26*(NETWORKDAYS(VLOOKUP(J$1,Sprints[],2,FALSE), VLOOKUP(J$1,Sprints[],3,FALSE))-SUMPRODUCT((OFFSET(INDIRECT(CELL("address",INDEX('Leave Tracker'!$A$8:$A$92,MATCH($A26,'Leave Tracker'!$A$8:$A$92,0)))),0,31*(VLOOKUP(J$1,Sprints[],5,FALSE))+DAY(VLOOKUP(J$1,Sprints[],2,FALSE)),1,VLOOKUP(J$1,Sprints[],4,FALSE))&lt;&gt;"")*(IF(OFFSET(INDIRECT(CELL("address",INDEX('Leave Tracker'!$A$8:$A$92,MATCH($A26,'Leave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26" s="45">
        <f t="array" aca="1" ref="K26" ca="1">Sheet3!$W$2*$F26*(NETWORKDAYS(VLOOKUP(K$1,Sprints[],2,FALSE), VLOOKUP(K$1,Sprints[],3,FALSE))-SUMPRODUCT((OFFSET(INDIRECT(CELL("address",INDEX('Leave Tracker'!$A$8:$A$92,MATCH($A26,'Leave Tracker'!$A$8:$A$92,0)))),0,31*(VLOOKUP(K$1,Sprints[],5,FALSE))+DAY(VLOOKUP(K$1,Sprints[],2,FALSE)),1,VLOOKUP(K$1,Sprints[],4,FALSE))&lt;&gt;"")*(IF(OFFSET(INDIRECT(CELL("address",INDEX('Leave Tracker'!$A$8:$A$92,MATCH($A26,'Leave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26" s="45">
        <f t="array" aca="1" ref="L26" ca="1">Sheet3!$W$2*$F26*(NETWORKDAYS(VLOOKUP(L$1,Sprints[],2,FALSE), VLOOKUP(L$1,Sprints[],3,FALSE))-SUMPRODUCT((OFFSET(INDIRECT(CELL("address",INDEX('Leave Tracker'!$A$8:$A$92,MATCH($A26,'Leave Tracker'!$A$8:$A$92,0)))),0,31*(VLOOKUP(L$1,Sprints[],5,FALSE))+DAY(VLOOKUP(L$1,Sprints[],2,FALSE)),1,VLOOKUP(L$1,Sprints[],4,FALSE))&lt;&gt;"")*(IF(OFFSET(INDIRECT(CELL("address",INDEX('Leave Tracker'!$A$8:$A$92,MATCH($A26,'Leave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4.2000000000000011</v>
      </c>
      <c r="M26" s="45">
        <f t="array" aca="1" ref="M26" ca="1">Sheet3!$W$2*$F26*(NETWORKDAYS(VLOOKUP(M$1,Sprints[],2,FALSE), VLOOKUP(M$1,Sprints[],3,FALSE))-SUMPRODUCT((OFFSET(INDIRECT(CELL("address",INDEX('Leave Tracker'!$A$8:$A$92,MATCH($A26,'Leave Tracker'!$A$8:$A$92,0)))),0,31*(VLOOKUP(M$1,Sprints[],5,FALSE))+DAY(VLOOKUP(M$1,Sprints[],2,FALSE)),1,VLOOKUP(M$1,Sprints[],4,FALSE))&lt;&gt;"")*(IF(OFFSET(INDIRECT(CELL("address",INDEX('Leave Tracker'!$A$8:$A$92,MATCH($A26,'Leave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6.0000000000000009</v>
      </c>
      <c r="N26" s="45">
        <f t="array" aca="1" ref="N26" ca="1">Sheet3!$W$2*$F26*(NETWORKDAYS(VLOOKUP(N$1,Sprints[],2,FALSE), VLOOKUP(N$1,Sprints[],3,FALSE))-SUMPRODUCT((OFFSET(INDIRECT(CELL("address",INDEX('Leave Tracker'!$A$8:$A$92,MATCH($A26,'Leave Tracker'!$A$8:$A$92,0)))),0,31*(VLOOKUP(N$1,Sprints[],5,FALSE))+DAY(VLOOKUP(N$1,Sprints[],2,FALSE)),1,VLOOKUP(N$1,Sprints[],4,FALSE))&lt;&gt;"")*(IF(OFFSET(INDIRECT(CELL("address",INDEX('Leave Tracker'!$A$8:$A$92,MATCH($A26,'Leave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26" s="45">
        <f t="array" aca="1" ref="O26" ca="1">Sheet3!$W$2*$F26*(NETWORKDAYS(VLOOKUP(O$1,Sprints[],2,FALSE), VLOOKUP(O$1,Sprints[],3,FALSE))-SUMPRODUCT((OFFSET(INDIRECT(CELL("address",INDEX('Leave Tracker'!$A$8:$A$92,MATCH($A26,'Leave Tracker'!$A$8:$A$92,0)))),0,31*(VLOOKUP(O$1,Sprints[],5,FALSE))+DAY(VLOOKUP(O$1,Sprints[],2,FALSE)),1,VLOOKUP(O$1,Sprints[],4,FALSE))&lt;&gt;"")*(IF(OFFSET(INDIRECT(CELL("address",INDEX('Leave Tracker'!$A$8:$A$92,MATCH($A26,'Leave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26" s="45">
        <f t="array" aca="1" ref="P26" ca="1">Sheet3!$W$2*$F26*(NETWORKDAYS(VLOOKUP(P$1,Sprints[],2,FALSE), VLOOKUP(P$1,Sprints[],3,FALSE))-SUMPRODUCT((OFFSET(INDIRECT(CELL("address",INDEX('Leave Tracker'!$A$8:$A$92,MATCH($A26,'Leave Tracker'!$A$8:$A$92,0)))),0,31*(VLOOKUP(P$1,Sprints[],5,FALSE))+DAY(VLOOKUP(P$1,Sprints[],2,FALSE)),1,VLOOKUP(P$1,Sprints[],4,FALSE))&lt;&gt;"")*(IF(OFFSET(INDIRECT(CELL("address",INDEX('Leave Tracker'!$A$8:$A$92,MATCH($A26,'Leave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5.4</v>
      </c>
      <c r="Q26" s="45">
        <f t="array" aca="1" ref="Q26" ca="1">Sheet3!$W$2*$F26*(NETWORKDAYS(VLOOKUP(Q$1,Sprints[],2,FALSE), VLOOKUP(Q$1,Sprints[],3,FALSE))-SUMPRODUCT((OFFSET(INDIRECT(CELL("address",INDEX('Leave Tracker'!$A$8:$A$92,MATCH($A26,'Leave Tracker'!$A$8:$A$92,0)))),0,31*(VLOOKUP(Q$1,Sprints[],5,FALSE))+DAY(VLOOKUP(Q$1,Sprints[],2,FALSE)),1,VLOOKUP(Q$1,Sprints[],4,FALSE))&lt;&gt;"")*(IF(OFFSET(INDIRECT(CELL("address",INDEX('Leave Tracker'!$A$8:$A$92,MATCH($A26,'Leave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26" s="45">
        <f t="array" aca="1" ref="R26" ca="1">Sheet3!$W$2*$F26*(NETWORKDAYS(VLOOKUP(R$1,Sprints[],2,FALSE), VLOOKUP(R$1,Sprints[],3,FALSE))-SUMPRODUCT((OFFSET(INDIRECT(CELL("address",INDEX('Leave Tracker'!$A$8:$A$92,MATCH($A26,'Leave Tracker'!$A$8:$A$92,0)))),0,31*(VLOOKUP(R$1,Sprints[],5,FALSE))+DAY(VLOOKUP(R$1,Sprints[],2,FALSE)),1,VLOOKUP(R$1,Sprints[],4,FALSE))&lt;&gt;"")*(IF(OFFSET(INDIRECT(CELL("address",INDEX('Leave Tracker'!$A$8:$A$92,MATCH($A26,'Leave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6.0000000000000009</v>
      </c>
      <c r="S26" s="74">
        <f t="array" aca="1" ref="S26" ca="1">Sheet3!$W$2*$F26*(NETWORKDAYS(VLOOKUP(S$1,Sprints[],2,FALSE), VLOOKUP(S$1,Sprints[],3,FALSE))-SUMPRODUCT((OFFSET(INDIRECT(CELL("address",INDEX('Leave Tracker'!$A$8:$A$92,MATCH($A26,'Leave Tracker'!$A$8:$A$92,0)))),0,31*(VLOOKUP(S$1,Sprints[],5,FALSE))+DAY(VLOOKUP(S$1,Sprints[],2,FALSE)),1,VLOOKUP(S$1,Sprints[],4,FALSE))&lt;&gt;"")*(IF(OFFSET(INDIRECT(CELL("address",INDEX('Leave Tracker'!$A$8:$A$92,MATCH($A26,'Leave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63.600000000000009</v>
      </c>
    </row>
    <row r="27" spans="1:19" s="45" customFormat="1" x14ac:dyDescent="0.45">
      <c r="A27" s="45" t="s">
        <v>90</v>
      </c>
      <c r="B27" s="45" t="s">
        <v>103</v>
      </c>
      <c r="C27" s="45" t="s">
        <v>105</v>
      </c>
      <c r="D27" s="45" t="s">
        <v>119</v>
      </c>
      <c r="E27" s="45" t="s">
        <v>111</v>
      </c>
      <c r="F27" s="47">
        <v>0.75</v>
      </c>
      <c r="G27" s="45">
        <f t="array" aca="1" ref="G27" ca="1">Sheet3!$W$2*$F27*(NETWORKDAYS(VLOOKUP(G$1,Sprints[],2,FALSE), VLOOKUP(G$1,Sprints[],3,FALSE))-SUMPRODUCT((OFFSET(INDIRECT(CELL("address",INDEX('Leave Tracker'!$A$8:$A$92,MATCH($A27,'Leave Tracker'!$A$8:$A$92,0)))),0,31*(VLOOKUP(G$1,Sprints[],5,FALSE))+DAY(VLOOKUP(G$1,Sprints[],2,FALSE)),1,VLOOKUP(G$1,Sprints[],4,FALSE))&lt;&gt;"")*(IF(OFFSET(INDIRECT(CELL("address",INDEX('Leave Tracker'!$A$8:$A$92,MATCH($A27,'Leave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27" s="45">
        <f t="array" aca="1" ref="H27" ca="1">Sheet3!$W$2*$F27*(NETWORKDAYS(VLOOKUP(H$1,Sprints[],2,FALSE), VLOOKUP(H$1,Sprints[],3,FALSE))-SUMPRODUCT((OFFSET(INDIRECT(CELL("address",INDEX('Leave Tracker'!$A$8:$A$92,MATCH($A27,'Leave Tracker'!$A$8:$A$92,0)))),0,31*(VLOOKUP(H$1,Sprints[],5,FALSE))+DAY(VLOOKUP(H$1,Sprints[],2,FALSE)),1,VLOOKUP(H$1,Sprints[],4,FALSE))&lt;&gt;"")*(IF(OFFSET(INDIRECT(CELL("address",INDEX('Leave Tracker'!$A$8:$A$92,MATCH($A27,'Leave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27" s="45">
        <f t="array" aca="1" ref="I27" ca="1">Sheet3!$W$2*$F27*(NETWORKDAYS(VLOOKUP(I$1,Sprints[],2,FALSE), VLOOKUP(I$1,Sprints[],3,FALSE))-SUMPRODUCT((OFFSET(INDIRECT(CELL("address",INDEX('Leave Tracker'!$A$8:$A$92,MATCH($A27,'Leave Tracker'!$A$8:$A$92,0)))),0,31*(VLOOKUP(I$1,Sprints[],5,FALSE))+DAY(VLOOKUP(I$1,Sprints[],2,FALSE)),1,VLOOKUP(I$1,Sprints[],4,FALSE))&lt;&gt;"")*(IF(OFFSET(INDIRECT(CELL("address",INDEX('Leave Tracker'!$A$8:$A$92,MATCH($A27,'Leave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5.4</v>
      </c>
      <c r="J27" s="45">
        <f t="array" aca="1" ref="J27" ca="1">Sheet3!$W$2*$F27*(NETWORKDAYS(VLOOKUP(J$1,Sprints[],2,FALSE), VLOOKUP(J$1,Sprints[],3,FALSE))-SUMPRODUCT((OFFSET(INDIRECT(CELL("address",INDEX('Leave Tracker'!$A$8:$A$92,MATCH($A27,'Leave Tracker'!$A$8:$A$92,0)))),0,31*(VLOOKUP(J$1,Sprints[],5,FALSE))+DAY(VLOOKUP(J$1,Sprints[],2,FALSE)),1,VLOOKUP(J$1,Sprints[],4,FALSE))&lt;&gt;"")*(IF(OFFSET(INDIRECT(CELL("address",INDEX('Leave Tracker'!$A$8:$A$92,MATCH($A27,'Leave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27" s="45">
        <f t="array" aca="1" ref="K27" ca="1">Sheet3!$W$2*$F27*(NETWORKDAYS(VLOOKUP(K$1,Sprints[],2,FALSE), VLOOKUP(K$1,Sprints[],3,FALSE))-SUMPRODUCT((OFFSET(INDIRECT(CELL("address",INDEX('Leave Tracker'!$A$8:$A$92,MATCH($A27,'Leave Tracker'!$A$8:$A$92,0)))),0,31*(VLOOKUP(K$1,Sprints[],5,FALSE))+DAY(VLOOKUP(K$1,Sprints[],2,FALSE)),1,VLOOKUP(K$1,Sprints[],4,FALSE))&lt;&gt;"")*(IF(OFFSET(INDIRECT(CELL("address",INDEX('Leave Tracker'!$A$8:$A$92,MATCH($A27,'Leave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27" s="45">
        <f t="array" aca="1" ref="L27" ca="1">Sheet3!$W$2*$F27*(NETWORKDAYS(VLOOKUP(L$1,Sprints[],2,FALSE), VLOOKUP(L$1,Sprints[],3,FALSE))-SUMPRODUCT((OFFSET(INDIRECT(CELL("address",INDEX('Leave Tracker'!$A$8:$A$92,MATCH($A27,'Leave Tracker'!$A$8:$A$92,0)))),0,31*(VLOOKUP(L$1,Sprints[],5,FALSE))+DAY(VLOOKUP(L$1,Sprints[],2,FALSE)),1,VLOOKUP(L$1,Sprints[],4,FALSE))&lt;&gt;"")*(IF(OFFSET(INDIRECT(CELL("address",INDEX('Leave Tracker'!$A$8:$A$92,MATCH($A27,'Leave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4.8000000000000007</v>
      </c>
      <c r="M27" s="45">
        <f t="array" aca="1" ref="M27" ca="1">Sheet3!$W$2*$F27*(NETWORKDAYS(VLOOKUP(M$1,Sprints[],2,FALSE), VLOOKUP(M$1,Sprints[],3,FALSE))-SUMPRODUCT((OFFSET(INDIRECT(CELL("address",INDEX('Leave Tracker'!$A$8:$A$92,MATCH($A27,'Leave Tracker'!$A$8:$A$92,0)))),0,31*(VLOOKUP(M$1,Sprints[],5,FALSE))+DAY(VLOOKUP(M$1,Sprints[],2,FALSE)),1,VLOOKUP(M$1,Sprints[],4,FALSE))&lt;&gt;"")*(IF(OFFSET(INDIRECT(CELL("address",INDEX('Leave Tracker'!$A$8:$A$92,MATCH($A27,'Leave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5.4</v>
      </c>
      <c r="N27" s="45">
        <f t="array" aca="1" ref="N27" ca="1">Sheet3!$W$2*$F27*(NETWORKDAYS(VLOOKUP(N$1,Sprints[],2,FALSE), VLOOKUP(N$1,Sprints[],3,FALSE))-SUMPRODUCT((OFFSET(INDIRECT(CELL("address",INDEX('Leave Tracker'!$A$8:$A$92,MATCH($A27,'Leave Tracker'!$A$8:$A$92,0)))),0,31*(VLOOKUP(N$1,Sprints[],5,FALSE))+DAY(VLOOKUP(N$1,Sprints[],2,FALSE)),1,VLOOKUP(N$1,Sprints[],4,FALSE))&lt;&gt;"")*(IF(OFFSET(INDIRECT(CELL("address",INDEX('Leave Tracker'!$A$8:$A$92,MATCH($A27,'Leave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27" s="45">
        <f t="array" aca="1" ref="O27" ca="1">Sheet3!$W$2*$F27*(NETWORKDAYS(VLOOKUP(O$1,Sprints[],2,FALSE), VLOOKUP(O$1,Sprints[],3,FALSE))-SUMPRODUCT((OFFSET(INDIRECT(CELL("address",INDEX('Leave Tracker'!$A$8:$A$92,MATCH($A27,'Leave Tracker'!$A$8:$A$92,0)))),0,31*(VLOOKUP(O$1,Sprints[],5,FALSE))+DAY(VLOOKUP(O$1,Sprints[],2,FALSE)),1,VLOOKUP(O$1,Sprints[],4,FALSE))&lt;&gt;"")*(IF(OFFSET(INDIRECT(CELL("address",INDEX('Leave Tracker'!$A$8:$A$92,MATCH($A27,'Leave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27" s="45">
        <f t="array" aca="1" ref="P27" ca="1">Sheet3!$W$2*$F27*(NETWORKDAYS(VLOOKUP(P$1,Sprints[],2,FALSE), VLOOKUP(P$1,Sprints[],3,FALSE))-SUMPRODUCT((OFFSET(INDIRECT(CELL("address",INDEX('Leave Tracker'!$A$8:$A$92,MATCH($A27,'Leave Tracker'!$A$8:$A$92,0)))),0,31*(VLOOKUP(P$1,Sprints[],5,FALSE))+DAY(VLOOKUP(P$1,Sprints[],2,FALSE)),1,VLOOKUP(P$1,Sprints[],4,FALSE))&lt;&gt;"")*(IF(OFFSET(INDIRECT(CELL("address",INDEX('Leave Tracker'!$A$8:$A$92,MATCH($A27,'Leave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6.0000000000000009</v>
      </c>
      <c r="Q27" s="45">
        <f t="array" aca="1" ref="Q27" ca="1">Sheet3!$W$2*$F27*(NETWORKDAYS(VLOOKUP(Q$1,Sprints[],2,FALSE), VLOOKUP(Q$1,Sprints[],3,FALSE))-SUMPRODUCT((OFFSET(INDIRECT(CELL("address",INDEX('Leave Tracker'!$A$8:$A$92,MATCH($A27,'Leave Tracker'!$A$8:$A$92,0)))),0,31*(VLOOKUP(Q$1,Sprints[],5,FALSE))+DAY(VLOOKUP(Q$1,Sprints[],2,FALSE)),1,VLOOKUP(Q$1,Sprints[],4,FALSE))&lt;&gt;"")*(IF(OFFSET(INDIRECT(CELL("address",INDEX('Leave Tracker'!$A$8:$A$92,MATCH($A27,'Leave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27" s="45">
        <f t="array" aca="1" ref="R27" ca="1">Sheet3!$W$2*$F27*(NETWORKDAYS(VLOOKUP(R$1,Sprints[],2,FALSE), VLOOKUP(R$1,Sprints[],3,FALSE))-SUMPRODUCT((OFFSET(INDIRECT(CELL("address",INDEX('Leave Tracker'!$A$8:$A$92,MATCH($A27,'Leave Tracker'!$A$8:$A$92,0)))),0,31*(VLOOKUP(R$1,Sprints[],5,FALSE))+DAY(VLOOKUP(R$1,Sprints[],2,FALSE)),1,VLOOKUP(R$1,Sprints[],4,FALSE))&lt;&gt;"")*(IF(OFFSET(INDIRECT(CELL("address",INDEX('Leave Tracker'!$A$8:$A$92,MATCH($A27,'Leave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5.4</v>
      </c>
      <c r="S27" s="74">
        <f t="array" aca="1" ref="S27" ca="1">Sheet3!$W$2*$F27*(NETWORKDAYS(VLOOKUP(S$1,Sprints[],2,FALSE), VLOOKUP(S$1,Sprints[],3,FALSE))-SUMPRODUCT((OFFSET(INDIRECT(CELL("address",INDEX('Leave Tracker'!$A$8:$A$92,MATCH($A27,'Leave Tracker'!$A$8:$A$92,0)))),0,31*(VLOOKUP(S$1,Sprints[],5,FALSE))+DAY(VLOOKUP(S$1,Sprints[],2,FALSE)),1,VLOOKUP(S$1,Sprints[],4,FALSE))&lt;&gt;"")*(IF(OFFSET(INDIRECT(CELL("address",INDEX('Leave Tracker'!$A$8:$A$92,MATCH($A27,'Leave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63.000000000000007</v>
      </c>
    </row>
    <row r="28" spans="1:19" x14ac:dyDescent="0.45">
      <c r="A28" t="s">
        <v>69</v>
      </c>
      <c r="B28" s="45" t="s">
        <v>100</v>
      </c>
      <c r="C28" s="45" t="s">
        <v>104</v>
      </c>
      <c r="D28" s="45" t="s">
        <v>120</v>
      </c>
      <c r="E28" s="45" t="s">
        <v>115</v>
      </c>
      <c r="F28" s="47">
        <v>0.75</v>
      </c>
      <c r="G28" s="45">
        <f t="array" aca="1" ref="G28" ca="1">Sheet3!$W$2*$F28*(NETWORKDAYS(VLOOKUP(G$1,Sprints[],2,FALSE), VLOOKUP(G$1,Sprints[],3,FALSE))-SUMPRODUCT((OFFSET(INDIRECT(CELL("address",INDEX('Leave Tracker'!$A$8:$A$92,MATCH($A28,'Leave Tracker'!$A$8:$A$92,0)))),0,31*(VLOOKUP(G$1,Sprints[],5,FALSE))+DAY(VLOOKUP(G$1,Sprints[],2,FALSE)),1,VLOOKUP(G$1,Sprints[],4,FALSE))&lt;&gt;"")*(IF(OFFSET(INDIRECT(CELL("address",INDEX('Leave Tracker'!$A$8:$A$92,MATCH($A28,'Leave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28">
        <f t="array" aca="1" ref="H28" ca="1">Sheet3!$W$2*$F28*(NETWORKDAYS(VLOOKUP(H$1,Sprints[],2,FALSE), VLOOKUP(H$1,Sprints[],3,FALSE))-SUMPRODUCT((OFFSET(INDIRECT(CELL("address",INDEX('Leave Tracker'!$A$8:$A$92,MATCH($A28,'Leave Tracker'!$A$8:$A$92,0)))),0,31*(VLOOKUP(H$1,Sprints[],5,FALSE))+DAY(VLOOKUP(H$1,Sprints[],2,FALSE)),1,VLOOKUP(H$1,Sprints[],4,FALSE))&lt;&gt;"")*(IF(OFFSET(INDIRECT(CELL("address",INDEX('Leave Tracker'!$A$8:$A$92,MATCH($A28,'Leave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28">
        <f t="array" aca="1" ref="I28" ca="1">Sheet3!$W$2*$F28*(NETWORKDAYS(VLOOKUP(I$1,Sprints[],2,FALSE), VLOOKUP(I$1,Sprints[],3,FALSE))-SUMPRODUCT((OFFSET(INDIRECT(CELL("address",INDEX('Leave Tracker'!$A$8:$A$92,MATCH($A28,'Leave Tracker'!$A$8:$A$92,0)))),0,31*(VLOOKUP(I$1,Sprints[],5,FALSE))+DAY(VLOOKUP(I$1,Sprints[],2,FALSE)),1,VLOOKUP(I$1,Sprints[],4,FALSE))&lt;&gt;"")*(IF(OFFSET(INDIRECT(CELL("address",INDEX('Leave Tracker'!$A$8:$A$92,MATCH($A28,'Leave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6.0000000000000009</v>
      </c>
      <c r="J28">
        <f t="array" aca="1" ref="J28" ca="1">Sheet3!$W$2*$F28*(NETWORKDAYS(VLOOKUP(J$1,Sprints[],2,FALSE), VLOOKUP(J$1,Sprints[],3,FALSE))-SUMPRODUCT((OFFSET(INDIRECT(CELL("address",INDEX('Leave Tracker'!$A$8:$A$92,MATCH($A28,'Leave Tracker'!$A$8:$A$92,0)))),0,31*(VLOOKUP(J$1,Sprints[],5,FALSE))+DAY(VLOOKUP(J$1,Sprints[],2,FALSE)),1,VLOOKUP(J$1,Sprints[],4,FALSE))&lt;&gt;"")*(IF(OFFSET(INDIRECT(CELL("address",INDEX('Leave Tracker'!$A$8:$A$92,MATCH($A28,'Leave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28">
        <f t="array" aca="1" ref="K28" ca="1">Sheet3!$W$2*$F28*(NETWORKDAYS(VLOOKUP(K$1,Sprints[],2,FALSE), VLOOKUP(K$1,Sprints[],3,FALSE))-SUMPRODUCT((OFFSET(INDIRECT(CELL("address",INDEX('Leave Tracker'!$A$8:$A$92,MATCH($A28,'Leave Tracker'!$A$8:$A$92,0)))),0,31*(VLOOKUP(K$1,Sprints[],5,FALSE))+DAY(VLOOKUP(K$1,Sprints[],2,FALSE)),1,VLOOKUP(K$1,Sprints[],4,FALSE))&lt;&gt;"")*(IF(OFFSET(INDIRECT(CELL("address",INDEX('Leave Tracker'!$A$8:$A$92,MATCH($A28,'Leave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28">
        <f t="array" aca="1" ref="L28" ca="1">Sheet3!$W$2*$F28*(NETWORKDAYS(VLOOKUP(L$1,Sprints[],2,FALSE), VLOOKUP(L$1,Sprints[],3,FALSE))-SUMPRODUCT((OFFSET(INDIRECT(CELL("address",INDEX('Leave Tracker'!$A$8:$A$92,MATCH($A28,'Leave Tracker'!$A$8:$A$92,0)))),0,31*(VLOOKUP(L$1,Sprints[],5,FALSE))+DAY(VLOOKUP(L$1,Sprints[],2,FALSE)),1,VLOOKUP(L$1,Sprints[],4,FALSE))&lt;&gt;"")*(IF(OFFSET(INDIRECT(CELL("address",INDEX('Leave Tracker'!$A$8:$A$92,MATCH($A28,'Leave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4.2000000000000011</v>
      </c>
      <c r="M28" s="45">
        <f t="array" aca="1" ref="M28" ca="1">Sheet3!$W$2*$F28*(NETWORKDAYS(VLOOKUP(M$1,Sprints[],2,FALSE), VLOOKUP(M$1,Sprints[],3,FALSE))-SUMPRODUCT((OFFSET(INDIRECT(CELL("address",INDEX('Leave Tracker'!$A$8:$A$92,MATCH($A28,'Leave Tracker'!$A$8:$A$92,0)))),0,31*(VLOOKUP(M$1,Sprints[],5,FALSE))+DAY(VLOOKUP(M$1,Sprints[],2,FALSE)),1,VLOOKUP(M$1,Sprints[],4,FALSE))&lt;&gt;"")*(IF(OFFSET(INDIRECT(CELL("address",INDEX('Leave Tracker'!$A$8:$A$92,MATCH($A28,'Leave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6.0000000000000009</v>
      </c>
      <c r="N28">
        <f t="array" aca="1" ref="N28" ca="1">Sheet3!$W$2*$F28*(NETWORKDAYS(VLOOKUP(N$1,Sprints[],2,FALSE), VLOOKUP(N$1,Sprints[],3,FALSE))-SUMPRODUCT((OFFSET(INDIRECT(CELL("address",INDEX('Leave Tracker'!$A$8:$A$92,MATCH($A28,'Leave Tracker'!$A$8:$A$92,0)))),0,31*(VLOOKUP(N$1,Sprints[],5,FALSE))+DAY(VLOOKUP(N$1,Sprints[],2,FALSE)),1,VLOOKUP(N$1,Sprints[],4,FALSE))&lt;&gt;"")*(IF(OFFSET(INDIRECT(CELL("address",INDEX('Leave Tracker'!$A$8:$A$92,MATCH($A28,'Leave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28">
        <f t="array" aca="1" ref="O28" ca="1">Sheet3!$W$2*$F28*(NETWORKDAYS(VLOOKUP(O$1,Sprints[],2,FALSE), VLOOKUP(O$1,Sprints[],3,FALSE))-SUMPRODUCT((OFFSET(INDIRECT(CELL("address",INDEX('Leave Tracker'!$A$8:$A$92,MATCH($A28,'Leave Tracker'!$A$8:$A$92,0)))),0,31*(VLOOKUP(O$1,Sprints[],5,FALSE))+DAY(VLOOKUP(O$1,Sprints[],2,FALSE)),1,VLOOKUP(O$1,Sprints[],4,FALSE))&lt;&gt;"")*(IF(OFFSET(INDIRECT(CELL("address",INDEX('Leave Tracker'!$A$8:$A$92,MATCH($A28,'Leave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28">
        <f t="array" aca="1" ref="P28" ca="1">Sheet3!$W$2*$F28*(NETWORKDAYS(VLOOKUP(P$1,Sprints[],2,FALSE), VLOOKUP(P$1,Sprints[],3,FALSE))-SUMPRODUCT((OFFSET(INDIRECT(CELL("address",INDEX('Leave Tracker'!$A$8:$A$92,MATCH($A28,'Leave Tracker'!$A$8:$A$92,0)))),0,31*(VLOOKUP(P$1,Sprints[],5,FALSE))+DAY(VLOOKUP(P$1,Sprints[],2,FALSE)),1,VLOOKUP(P$1,Sprints[],4,FALSE))&lt;&gt;"")*(IF(OFFSET(INDIRECT(CELL("address",INDEX('Leave Tracker'!$A$8:$A$92,MATCH($A28,'Leave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5.4</v>
      </c>
      <c r="Q28">
        <f t="array" aca="1" ref="Q28" ca="1">Sheet3!$W$2*$F28*(NETWORKDAYS(VLOOKUP(Q$1,Sprints[],2,FALSE), VLOOKUP(Q$1,Sprints[],3,FALSE))-SUMPRODUCT((OFFSET(INDIRECT(CELL("address",INDEX('Leave Tracker'!$A$8:$A$92,MATCH($A28,'Leave Tracker'!$A$8:$A$92,0)))),0,31*(VLOOKUP(Q$1,Sprints[],5,FALSE))+DAY(VLOOKUP(Q$1,Sprints[],2,FALSE)),1,VLOOKUP(Q$1,Sprints[],4,FALSE))&lt;&gt;"")*(IF(OFFSET(INDIRECT(CELL("address",INDEX('Leave Tracker'!$A$8:$A$92,MATCH($A28,'Leave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28">
        <f t="array" aca="1" ref="R28" ca="1">Sheet3!$W$2*$F28*(NETWORKDAYS(VLOOKUP(R$1,Sprints[],2,FALSE), VLOOKUP(R$1,Sprints[],3,FALSE))-SUMPRODUCT((OFFSET(INDIRECT(CELL("address",INDEX('Leave Tracker'!$A$8:$A$92,MATCH($A28,'Leave Tracker'!$A$8:$A$92,0)))),0,31*(VLOOKUP(R$1,Sprints[],5,FALSE))+DAY(VLOOKUP(R$1,Sprints[],2,FALSE)),1,VLOOKUP(R$1,Sprints[],4,FALSE))&lt;&gt;"")*(IF(OFFSET(INDIRECT(CELL("address",INDEX('Leave Tracker'!$A$8:$A$92,MATCH($A28,'Leave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6.0000000000000009</v>
      </c>
      <c r="S28" s="74">
        <f t="array" aca="1" ref="S28" ca="1">Sheet3!$W$2*$F28*(NETWORKDAYS(VLOOKUP(S$1,Sprints[],2,FALSE), VLOOKUP(S$1,Sprints[],3,FALSE))-SUMPRODUCT((OFFSET(INDIRECT(CELL("address",INDEX('Leave Tracker'!$A$8:$A$92,MATCH($A28,'Leave Tracker'!$A$8:$A$92,0)))),0,31*(VLOOKUP(S$1,Sprints[],5,FALSE))+DAY(VLOOKUP(S$1,Sprints[],2,FALSE)),1,VLOOKUP(S$1,Sprints[],4,FALSE))&lt;&gt;"")*(IF(OFFSET(INDIRECT(CELL("address",INDEX('Leave Tracker'!$A$8:$A$92,MATCH($A28,'Leave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63.600000000000009</v>
      </c>
    </row>
    <row r="29" spans="1:19" x14ac:dyDescent="0.45">
      <c r="A29" t="s">
        <v>73</v>
      </c>
      <c r="B29" s="45" t="s">
        <v>106</v>
      </c>
      <c r="C29" s="45" t="s">
        <v>104</v>
      </c>
      <c r="D29" s="45" t="s">
        <v>119</v>
      </c>
      <c r="E29" s="45" t="s">
        <v>113</v>
      </c>
      <c r="F29" s="47">
        <v>0.75</v>
      </c>
      <c r="G29" s="45">
        <f t="array" aca="1" ref="G29" ca="1">Sheet3!$W$2*$F29*(NETWORKDAYS(VLOOKUP(G$1,Sprints[],2,FALSE), VLOOKUP(G$1,Sprints[],3,FALSE))-SUMPRODUCT((OFFSET(INDIRECT(CELL("address",INDEX('Leave Tracker'!$A$8:$A$92,MATCH($A29,'Leave Tracker'!$A$8:$A$92,0)))),0,31*(VLOOKUP(G$1,Sprints[],5,FALSE))+DAY(VLOOKUP(G$1,Sprints[],2,FALSE)),1,VLOOKUP(G$1,Sprints[],4,FALSE))&lt;&gt;"")*(IF(OFFSET(INDIRECT(CELL("address",INDEX('Leave Tracker'!$A$8:$A$92,MATCH($A29,'Leave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29">
        <f t="array" aca="1" ref="H29" ca="1">Sheet3!$W$2*$F29*(NETWORKDAYS(VLOOKUP(H$1,Sprints[],2,FALSE), VLOOKUP(H$1,Sprints[],3,FALSE))-SUMPRODUCT((OFFSET(INDIRECT(CELL("address",INDEX('Leave Tracker'!$A$8:$A$92,MATCH($A29,'Leave Tracker'!$A$8:$A$92,0)))),0,31*(VLOOKUP(H$1,Sprints[],5,FALSE))+DAY(VLOOKUP(H$1,Sprints[],2,FALSE)),1,VLOOKUP(H$1,Sprints[],4,FALSE))&lt;&gt;"")*(IF(OFFSET(INDIRECT(CELL("address",INDEX('Leave Tracker'!$A$8:$A$92,MATCH($A29,'Leave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29">
        <f t="array" aca="1" ref="I29" ca="1">Sheet3!$W$2*$F29*(NETWORKDAYS(VLOOKUP(I$1,Sprints[],2,FALSE), VLOOKUP(I$1,Sprints[],3,FALSE))-SUMPRODUCT((OFFSET(INDIRECT(CELL("address",INDEX('Leave Tracker'!$A$8:$A$92,MATCH($A29,'Leave Tracker'!$A$8:$A$92,0)))),0,31*(VLOOKUP(I$1,Sprints[],5,FALSE))+DAY(VLOOKUP(I$1,Sprints[],2,FALSE)),1,VLOOKUP(I$1,Sprints[],4,FALSE))&lt;&gt;"")*(IF(OFFSET(INDIRECT(CELL("address",INDEX('Leave Tracker'!$A$8:$A$92,MATCH($A29,'Leave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6.0000000000000009</v>
      </c>
      <c r="J29">
        <f t="array" aca="1" ref="J29" ca="1">Sheet3!$W$2*$F29*(NETWORKDAYS(VLOOKUP(J$1,Sprints[],2,FALSE), VLOOKUP(J$1,Sprints[],3,FALSE))-SUMPRODUCT((OFFSET(INDIRECT(CELL("address",INDEX('Leave Tracker'!$A$8:$A$92,MATCH($A29,'Leave Tracker'!$A$8:$A$92,0)))),0,31*(VLOOKUP(J$1,Sprints[],5,FALSE))+DAY(VLOOKUP(J$1,Sprints[],2,FALSE)),1,VLOOKUP(J$1,Sprints[],4,FALSE))&lt;&gt;"")*(IF(OFFSET(INDIRECT(CELL("address",INDEX('Leave Tracker'!$A$8:$A$92,MATCH($A29,'Leave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29">
        <f t="array" aca="1" ref="K29" ca="1">Sheet3!$W$2*$F29*(NETWORKDAYS(VLOOKUP(K$1,Sprints[],2,FALSE), VLOOKUP(K$1,Sprints[],3,FALSE))-SUMPRODUCT((OFFSET(INDIRECT(CELL("address",INDEX('Leave Tracker'!$A$8:$A$92,MATCH($A29,'Leave Tracker'!$A$8:$A$92,0)))),0,31*(VLOOKUP(K$1,Sprints[],5,FALSE))+DAY(VLOOKUP(K$1,Sprints[],2,FALSE)),1,VLOOKUP(K$1,Sprints[],4,FALSE))&lt;&gt;"")*(IF(OFFSET(INDIRECT(CELL("address",INDEX('Leave Tracker'!$A$8:$A$92,MATCH($A29,'Leave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29">
        <f t="array" aca="1" ref="L29" ca="1">Sheet3!$W$2*$F29*(NETWORKDAYS(VLOOKUP(L$1,Sprints[],2,FALSE), VLOOKUP(L$1,Sprints[],3,FALSE))-SUMPRODUCT((OFFSET(INDIRECT(CELL("address",INDEX('Leave Tracker'!$A$8:$A$92,MATCH($A29,'Leave Tracker'!$A$8:$A$92,0)))),0,31*(VLOOKUP(L$1,Sprints[],5,FALSE))+DAY(VLOOKUP(L$1,Sprints[],2,FALSE)),1,VLOOKUP(L$1,Sprints[],4,FALSE))&lt;&gt;"")*(IF(OFFSET(INDIRECT(CELL("address",INDEX('Leave Tracker'!$A$8:$A$92,MATCH($A29,'Leave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4.2000000000000011</v>
      </c>
      <c r="M29" s="45">
        <f t="array" aca="1" ref="M29" ca="1">Sheet3!$W$2*$F29*(NETWORKDAYS(VLOOKUP(M$1,Sprints[],2,FALSE), VLOOKUP(M$1,Sprints[],3,FALSE))-SUMPRODUCT((OFFSET(INDIRECT(CELL("address",INDEX('Leave Tracker'!$A$8:$A$92,MATCH($A29,'Leave Tracker'!$A$8:$A$92,0)))),0,31*(VLOOKUP(M$1,Sprints[],5,FALSE))+DAY(VLOOKUP(M$1,Sprints[],2,FALSE)),1,VLOOKUP(M$1,Sprints[],4,FALSE))&lt;&gt;"")*(IF(OFFSET(INDIRECT(CELL("address",INDEX('Leave Tracker'!$A$8:$A$92,MATCH($A29,'Leave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6.0000000000000009</v>
      </c>
      <c r="N29">
        <f t="array" aca="1" ref="N29" ca="1">Sheet3!$W$2*$F29*(NETWORKDAYS(VLOOKUP(N$1,Sprints[],2,FALSE), VLOOKUP(N$1,Sprints[],3,FALSE))-SUMPRODUCT((OFFSET(INDIRECT(CELL("address",INDEX('Leave Tracker'!$A$8:$A$92,MATCH($A29,'Leave Tracker'!$A$8:$A$92,0)))),0,31*(VLOOKUP(N$1,Sprints[],5,FALSE))+DAY(VLOOKUP(N$1,Sprints[],2,FALSE)),1,VLOOKUP(N$1,Sprints[],4,FALSE))&lt;&gt;"")*(IF(OFFSET(INDIRECT(CELL("address",INDEX('Leave Tracker'!$A$8:$A$92,MATCH($A29,'Leave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29">
        <f t="array" aca="1" ref="O29" ca="1">Sheet3!$W$2*$F29*(NETWORKDAYS(VLOOKUP(O$1,Sprints[],2,FALSE), VLOOKUP(O$1,Sprints[],3,FALSE))-SUMPRODUCT((OFFSET(INDIRECT(CELL("address",INDEX('Leave Tracker'!$A$8:$A$92,MATCH($A29,'Leave Tracker'!$A$8:$A$92,0)))),0,31*(VLOOKUP(O$1,Sprints[],5,FALSE))+DAY(VLOOKUP(O$1,Sprints[],2,FALSE)),1,VLOOKUP(O$1,Sprints[],4,FALSE))&lt;&gt;"")*(IF(OFFSET(INDIRECT(CELL("address",INDEX('Leave Tracker'!$A$8:$A$92,MATCH($A29,'Leave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29">
        <f t="array" aca="1" ref="P29" ca="1">Sheet3!$W$2*$F29*(NETWORKDAYS(VLOOKUP(P$1,Sprints[],2,FALSE), VLOOKUP(P$1,Sprints[],3,FALSE))-SUMPRODUCT((OFFSET(INDIRECT(CELL("address",INDEX('Leave Tracker'!$A$8:$A$92,MATCH($A29,'Leave Tracker'!$A$8:$A$92,0)))),0,31*(VLOOKUP(P$1,Sprints[],5,FALSE))+DAY(VLOOKUP(P$1,Sprints[],2,FALSE)),1,VLOOKUP(P$1,Sprints[],4,FALSE))&lt;&gt;"")*(IF(OFFSET(INDIRECT(CELL("address",INDEX('Leave Tracker'!$A$8:$A$92,MATCH($A29,'Leave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5.4</v>
      </c>
      <c r="Q29">
        <f t="array" aca="1" ref="Q29" ca="1">Sheet3!$W$2*$F29*(NETWORKDAYS(VLOOKUP(Q$1,Sprints[],2,FALSE), VLOOKUP(Q$1,Sprints[],3,FALSE))-SUMPRODUCT((OFFSET(INDIRECT(CELL("address",INDEX('Leave Tracker'!$A$8:$A$92,MATCH($A29,'Leave Tracker'!$A$8:$A$92,0)))),0,31*(VLOOKUP(Q$1,Sprints[],5,FALSE))+DAY(VLOOKUP(Q$1,Sprints[],2,FALSE)),1,VLOOKUP(Q$1,Sprints[],4,FALSE))&lt;&gt;"")*(IF(OFFSET(INDIRECT(CELL("address",INDEX('Leave Tracker'!$A$8:$A$92,MATCH($A29,'Leave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29">
        <f t="array" aca="1" ref="R29" ca="1">Sheet3!$W$2*$F29*(NETWORKDAYS(VLOOKUP(R$1,Sprints[],2,FALSE), VLOOKUP(R$1,Sprints[],3,FALSE))-SUMPRODUCT((OFFSET(INDIRECT(CELL("address",INDEX('Leave Tracker'!$A$8:$A$92,MATCH($A29,'Leave Tracker'!$A$8:$A$92,0)))),0,31*(VLOOKUP(R$1,Sprints[],5,FALSE))+DAY(VLOOKUP(R$1,Sprints[],2,FALSE)),1,VLOOKUP(R$1,Sprints[],4,FALSE))&lt;&gt;"")*(IF(OFFSET(INDIRECT(CELL("address",INDEX('Leave Tracker'!$A$8:$A$92,MATCH($A29,'Leave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6.0000000000000009</v>
      </c>
      <c r="S29" s="74">
        <f t="array" aca="1" ref="S29" ca="1">Sheet3!$W$2*$F29*(NETWORKDAYS(VLOOKUP(S$1,Sprints[],2,FALSE), VLOOKUP(S$1,Sprints[],3,FALSE))-SUMPRODUCT((OFFSET(INDIRECT(CELL("address",INDEX('Leave Tracker'!$A$8:$A$92,MATCH($A29,'Leave Tracker'!$A$8:$A$92,0)))),0,31*(VLOOKUP(S$1,Sprints[],5,FALSE))+DAY(VLOOKUP(S$1,Sprints[],2,FALSE)),1,VLOOKUP(S$1,Sprints[],4,FALSE))&lt;&gt;"")*(IF(OFFSET(INDIRECT(CELL("address",INDEX('Leave Tracker'!$A$8:$A$92,MATCH($A29,'Leave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63.600000000000009</v>
      </c>
    </row>
    <row r="30" spans="1:19" x14ac:dyDescent="0.45">
      <c r="A30" t="s">
        <v>93</v>
      </c>
      <c r="B30" s="45" t="s">
        <v>103</v>
      </c>
      <c r="C30" s="45" t="s">
        <v>105</v>
      </c>
      <c r="D30" s="45" t="s">
        <v>119</v>
      </c>
      <c r="E30" s="45" t="s">
        <v>112</v>
      </c>
      <c r="F30" s="47">
        <v>0.75</v>
      </c>
      <c r="G30" s="45">
        <f t="array" aca="1" ref="G30" ca="1">Sheet3!$W$2*$F30*(NETWORKDAYS(VLOOKUP(G$1,Sprints[],2,FALSE), VLOOKUP(G$1,Sprints[],3,FALSE))-SUMPRODUCT((OFFSET(INDIRECT(CELL("address",INDEX('Leave Tracker'!$A$8:$A$92,MATCH($A30,'Leave Tracker'!$A$8:$A$92,0)))),0,31*(VLOOKUP(G$1,Sprints[],5,FALSE))+DAY(VLOOKUP(G$1,Sprints[],2,FALSE)),1,VLOOKUP(G$1,Sprints[],4,FALSE))&lt;&gt;"")*(IF(OFFSET(INDIRECT(CELL("address",INDEX('Leave Tracker'!$A$8:$A$92,MATCH($A30,'Leave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30">
        <f t="array" aca="1" ref="H30" ca="1">Sheet3!$W$2*$F30*(NETWORKDAYS(VLOOKUP(H$1,Sprints[],2,FALSE), VLOOKUP(H$1,Sprints[],3,FALSE))-SUMPRODUCT((OFFSET(INDIRECT(CELL("address",INDEX('Leave Tracker'!$A$8:$A$92,MATCH($A30,'Leave Tracker'!$A$8:$A$92,0)))),0,31*(VLOOKUP(H$1,Sprints[],5,FALSE))+DAY(VLOOKUP(H$1,Sprints[],2,FALSE)),1,VLOOKUP(H$1,Sprints[],4,FALSE))&lt;&gt;"")*(IF(OFFSET(INDIRECT(CELL("address",INDEX('Leave Tracker'!$A$8:$A$92,MATCH($A30,'Leave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30">
        <f t="array" aca="1" ref="I30" ca="1">Sheet3!$W$2*$F30*(NETWORKDAYS(VLOOKUP(I$1,Sprints[],2,FALSE), VLOOKUP(I$1,Sprints[],3,FALSE))-SUMPRODUCT((OFFSET(INDIRECT(CELL("address",INDEX('Leave Tracker'!$A$8:$A$92,MATCH($A30,'Leave Tracker'!$A$8:$A$92,0)))),0,31*(VLOOKUP(I$1,Sprints[],5,FALSE))+DAY(VLOOKUP(I$1,Sprints[],2,FALSE)),1,VLOOKUP(I$1,Sprints[],4,FALSE))&lt;&gt;"")*(IF(OFFSET(INDIRECT(CELL("address",INDEX('Leave Tracker'!$A$8:$A$92,MATCH($A30,'Leave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5.4</v>
      </c>
      <c r="J30">
        <f t="array" aca="1" ref="J30" ca="1">Sheet3!$W$2*$F30*(NETWORKDAYS(VLOOKUP(J$1,Sprints[],2,FALSE), VLOOKUP(J$1,Sprints[],3,FALSE))-SUMPRODUCT((OFFSET(INDIRECT(CELL("address",INDEX('Leave Tracker'!$A$8:$A$92,MATCH($A30,'Leave Tracker'!$A$8:$A$92,0)))),0,31*(VLOOKUP(J$1,Sprints[],5,FALSE))+DAY(VLOOKUP(J$1,Sprints[],2,FALSE)),1,VLOOKUP(J$1,Sprints[],4,FALSE))&lt;&gt;"")*(IF(OFFSET(INDIRECT(CELL("address",INDEX('Leave Tracker'!$A$8:$A$92,MATCH($A30,'Leave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30">
        <f t="array" aca="1" ref="K30" ca="1">Sheet3!$W$2*$F30*(NETWORKDAYS(VLOOKUP(K$1,Sprints[],2,FALSE), VLOOKUP(K$1,Sprints[],3,FALSE))-SUMPRODUCT((OFFSET(INDIRECT(CELL("address",INDEX('Leave Tracker'!$A$8:$A$92,MATCH($A30,'Leave Tracker'!$A$8:$A$92,0)))),0,31*(VLOOKUP(K$1,Sprints[],5,FALSE))+DAY(VLOOKUP(K$1,Sprints[],2,FALSE)),1,VLOOKUP(K$1,Sprints[],4,FALSE))&lt;&gt;"")*(IF(OFFSET(INDIRECT(CELL("address",INDEX('Leave Tracker'!$A$8:$A$92,MATCH($A30,'Leave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30">
        <f t="array" aca="1" ref="L30" ca="1">Sheet3!$W$2*$F30*(NETWORKDAYS(VLOOKUP(L$1,Sprints[],2,FALSE), VLOOKUP(L$1,Sprints[],3,FALSE))-SUMPRODUCT((OFFSET(INDIRECT(CELL("address",INDEX('Leave Tracker'!$A$8:$A$92,MATCH($A30,'Leave Tracker'!$A$8:$A$92,0)))),0,31*(VLOOKUP(L$1,Sprints[],5,FALSE))+DAY(VLOOKUP(L$1,Sprints[],2,FALSE)),1,VLOOKUP(L$1,Sprints[],4,FALSE))&lt;&gt;"")*(IF(OFFSET(INDIRECT(CELL("address",INDEX('Leave Tracker'!$A$8:$A$92,MATCH($A30,'Leave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4.8000000000000007</v>
      </c>
      <c r="M30" s="45">
        <f t="array" aca="1" ref="M30" ca="1">Sheet3!$W$2*$F30*(NETWORKDAYS(VLOOKUP(M$1,Sprints[],2,FALSE), VLOOKUP(M$1,Sprints[],3,FALSE))-SUMPRODUCT((OFFSET(INDIRECT(CELL("address",INDEX('Leave Tracker'!$A$8:$A$92,MATCH($A30,'Leave Tracker'!$A$8:$A$92,0)))),0,31*(VLOOKUP(M$1,Sprints[],5,FALSE))+DAY(VLOOKUP(M$1,Sprints[],2,FALSE)),1,VLOOKUP(M$1,Sprints[],4,FALSE))&lt;&gt;"")*(IF(OFFSET(INDIRECT(CELL("address",INDEX('Leave Tracker'!$A$8:$A$92,MATCH($A30,'Leave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5.4</v>
      </c>
      <c r="N30">
        <f t="array" aca="1" ref="N30" ca="1">Sheet3!$W$2*$F30*(NETWORKDAYS(VLOOKUP(N$1,Sprints[],2,FALSE), VLOOKUP(N$1,Sprints[],3,FALSE))-SUMPRODUCT((OFFSET(INDIRECT(CELL("address",INDEX('Leave Tracker'!$A$8:$A$92,MATCH($A30,'Leave Tracker'!$A$8:$A$92,0)))),0,31*(VLOOKUP(N$1,Sprints[],5,FALSE))+DAY(VLOOKUP(N$1,Sprints[],2,FALSE)),1,VLOOKUP(N$1,Sprints[],4,FALSE))&lt;&gt;"")*(IF(OFFSET(INDIRECT(CELL("address",INDEX('Leave Tracker'!$A$8:$A$92,MATCH($A30,'Leave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30">
        <f t="array" aca="1" ref="O30" ca="1">Sheet3!$W$2*$F30*(NETWORKDAYS(VLOOKUP(O$1,Sprints[],2,FALSE), VLOOKUP(O$1,Sprints[],3,FALSE))-SUMPRODUCT((OFFSET(INDIRECT(CELL("address",INDEX('Leave Tracker'!$A$8:$A$92,MATCH($A30,'Leave Tracker'!$A$8:$A$92,0)))),0,31*(VLOOKUP(O$1,Sprints[],5,FALSE))+DAY(VLOOKUP(O$1,Sprints[],2,FALSE)),1,VLOOKUP(O$1,Sprints[],4,FALSE))&lt;&gt;"")*(IF(OFFSET(INDIRECT(CELL("address",INDEX('Leave Tracker'!$A$8:$A$92,MATCH($A30,'Leave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30">
        <f t="array" aca="1" ref="P30" ca="1">Sheet3!$W$2*$F30*(NETWORKDAYS(VLOOKUP(P$1,Sprints[],2,FALSE), VLOOKUP(P$1,Sprints[],3,FALSE))-SUMPRODUCT((OFFSET(INDIRECT(CELL("address",INDEX('Leave Tracker'!$A$8:$A$92,MATCH($A30,'Leave Tracker'!$A$8:$A$92,0)))),0,31*(VLOOKUP(P$1,Sprints[],5,FALSE))+DAY(VLOOKUP(P$1,Sprints[],2,FALSE)),1,VLOOKUP(P$1,Sprints[],4,FALSE))&lt;&gt;"")*(IF(OFFSET(INDIRECT(CELL("address",INDEX('Leave Tracker'!$A$8:$A$92,MATCH($A30,'Leave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6.0000000000000009</v>
      </c>
      <c r="Q30">
        <f t="array" aca="1" ref="Q30" ca="1">Sheet3!$W$2*$F30*(NETWORKDAYS(VLOOKUP(Q$1,Sprints[],2,FALSE), VLOOKUP(Q$1,Sprints[],3,FALSE))-SUMPRODUCT((OFFSET(INDIRECT(CELL("address",INDEX('Leave Tracker'!$A$8:$A$92,MATCH($A30,'Leave Tracker'!$A$8:$A$92,0)))),0,31*(VLOOKUP(Q$1,Sprints[],5,FALSE))+DAY(VLOOKUP(Q$1,Sprints[],2,FALSE)),1,VLOOKUP(Q$1,Sprints[],4,FALSE))&lt;&gt;"")*(IF(OFFSET(INDIRECT(CELL("address",INDEX('Leave Tracker'!$A$8:$A$92,MATCH($A30,'Leave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30">
        <f t="array" aca="1" ref="R30" ca="1">Sheet3!$W$2*$F30*(NETWORKDAYS(VLOOKUP(R$1,Sprints[],2,FALSE), VLOOKUP(R$1,Sprints[],3,FALSE))-SUMPRODUCT((OFFSET(INDIRECT(CELL("address",INDEX('Leave Tracker'!$A$8:$A$92,MATCH($A30,'Leave Tracker'!$A$8:$A$92,0)))),0,31*(VLOOKUP(R$1,Sprints[],5,FALSE))+DAY(VLOOKUP(R$1,Sprints[],2,FALSE)),1,VLOOKUP(R$1,Sprints[],4,FALSE))&lt;&gt;"")*(IF(OFFSET(INDIRECT(CELL("address",INDEX('Leave Tracker'!$A$8:$A$92,MATCH($A30,'Leave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5.4</v>
      </c>
      <c r="S30" s="74">
        <f t="array" aca="1" ref="S30" ca="1">Sheet3!$W$2*$F30*(NETWORKDAYS(VLOOKUP(S$1,Sprints[],2,FALSE), VLOOKUP(S$1,Sprints[],3,FALSE))-SUMPRODUCT((OFFSET(INDIRECT(CELL("address",INDEX('Leave Tracker'!$A$8:$A$92,MATCH($A30,'Leave Tracker'!$A$8:$A$92,0)))),0,31*(VLOOKUP(S$1,Sprints[],5,FALSE))+DAY(VLOOKUP(S$1,Sprints[],2,FALSE)),1,VLOOKUP(S$1,Sprints[],4,FALSE))&lt;&gt;"")*(IF(OFFSET(INDIRECT(CELL("address",INDEX('Leave Tracker'!$A$8:$A$92,MATCH($A30,'Leave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63.000000000000007</v>
      </c>
    </row>
    <row r="31" spans="1:19" x14ac:dyDescent="0.45">
      <c r="A31" t="s">
        <v>70</v>
      </c>
      <c r="B31" s="45" t="s">
        <v>106</v>
      </c>
      <c r="C31" s="45" t="s">
        <v>104</v>
      </c>
      <c r="D31" s="45" t="s">
        <v>108</v>
      </c>
      <c r="E31" s="45" t="s">
        <v>113</v>
      </c>
      <c r="F31" s="47">
        <v>0.15</v>
      </c>
      <c r="G31" s="45">
        <f t="array" aca="1" ref="G31" ca="1">Sheet3!$W$2*$F31*(NETWORKDAYS(VLOOKUP(G$1,Sprints[],2,FALSE), VLOOKUP(G$1,Sprints[],3,FALSE))-SUMPRODUCT((OFFSET(INDIRECT(CELL("address",INDEX('Leave Tracker'!$A$8:$A$92,MATCH($A31,'Leave Tracker'!$A$8:$A$92,0)))),0,31*(VLOOKUP(G$1,Sprints[],5,FALSE))+DAY(VLOOKUP(G$1,Sprints[],2,FALSE)),1,VLOOKUP(G$1,Sprints[],4,FALSE))&lt;&gt;"")*(IF(OFFSET(INDIRECT(CELL("address",INDEX('Leave Tracker'!$A$8:$A$92,MATCH($A31,'Leave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0.6</v>
      </c>
      <c r="H31">
        <f t="array" aca="1" ref="H31" ca="1">Sheet3!$W$2*$F31*(NETWORKDAYS(VLOOKUP(H$1,Sprints[],2,FALSE), VLOOKUP(H$1,Sprints[],3,FALSE))-SUMPRODUCT((OFFSET(INDIRECT(CELL("address",INDEX('Leave Tracker'!$A$8:$A$92,MATCH($A31,'Leave Tracker'!$A$8:$A$92,0)))),0,31*(VLOOKUP(H$1,Sprints[],5,FALSE))+DAY(VLOOKUP(H$1,Sprints[],2,FALSE)),1,VLOOKUP(H$1,Sprints[],4,FALSE))&lt;&gt;"")*(IF(OFFSET(INDIRECT(CELL("address",INDEX('Leave Tracker'!$A$8:$A$92,MATCH($A31,'Leave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1.2</v>
      </c>
      <c r="I31">
        <f t="array" aca="1" ref="I31" ca="1">Sheet3!$W$2*$F31*(NETWORKDAYS(VLOOKUP(I$1,Sprints[],2,FALSE), VLOOKUP(I$1,Sprints[],3,FALSE))-SUMPRODUCT((OFFSET(INDIRECT(CELL("address",INDEX('Leave Tracker'!$A$8:$A$92,MATCH($A31,'Leave Tracker'!$A$8:$A$92,0)))),0,31*(VLOOKUP(I$1,Sprints[],5,FALSE))+DAY(VLOOKUP(I$1,Sprints[],2,FALSE)),1,VLOOKUP(I$1,Sprints[],4,FALSE))&lt;&gt;"")*(IF(OFFSET(INDIRECT(CELL("address",INDEX('Leave Tracker'!$A$8:$A$92,MATCH($A31,'Leave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1.2</v>
      </c>
      <c r="J31">
        <f t="array" aca="1" ref="J31" ca="1">Sheet3!$W$2*$F31*(NETWORKDAYS(VLOOKUP(J$1,Sprints[],2,FALSE), VLOOKUP(J$1,Sprints[],3,FALSE))-SUMPRODUCT((OFFSET(INDIRECT(CELL("address",INDEX('Leave Tracker'!$A$8:$A$92,MATCH($A31,'Leave Tracker'!$A$8:$A$92,0)))),0,31*(VLOOKUP(J$1,Sprints[],5,FALSE))+DAY(VLOOKUP(J$1,Sprints[],2,FALSE)),1,VLOOKUP(J$1,Sprints[],4,FALSE))&lt;&gt;"")*(IF(OFFSET(INDIRECT(CELL("address",INDEX('Leave Tracker'!$A$8:$A$92,MATCH($A31,'Leave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1.2</v>
      </c>
      <c r="K31">
        <f t="array" aca="1" ref="K31" ca="1">Sheet3!$W$2*$F31*(NETWORKDAYS(VLOOKUP(K$1,Sprints[],2,FALSE), VLOOKUP(K$1,Sprints[],3,FALSE))-SUMPRODUCT((OFFSET(INDIRECT(CELL("address",INDEX('Leave Tracker'!$A$8:$A$92,MATCH($A31,'Leave Tracker'!$A$8:$A$92,0)))),0,31*(VLOOKUP(K$1,Sprints[],5,FALSE))+DAY(VLOOKUP(K$1,Sprints[],2,FALSE)),1,VLOOKUP(K$1,Sprints[],4,FALSE))&lt;&gt;"")*(IF(OFFSET(INDIRECT(CELL("address",INDEX('Leave Tracker'!$A$8:$A$92,MATCH($A31,'Leave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1.2</v>
      </c>
      <c r="L31">
        <f t="array" aca="1" ref="L31" ca="1">Sheet3!$W$2*$F31*(NETWORKDAYS(VLOOKUP(L$1,Sprints[],2,FALSE), VLOOKUP(L$1,Sprints[],3,FALSE))-SUMPRODUCT((OFFSET(INDIRECT(CELL("address",INDEX('Leave Tracker'!$A$8:$A$92,MATCH($A31,'Leave Tracker'!$A$8:$A$92,0)))),0,31*(VLOOKUP(L$1,Sprints[],5,FALSE))+DAY(VLOOKUP(L$1,Sprints[],2,FALSE)),1,VLOOKUP(L$1,Sprints[],4,FALSE))&lt;&gt;"")*(IF(OFFSET(INDIRECT(CELL("address",INDEX('Leave Tracker'!$A$8:$A$92,MATCH($A31,'Leave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0.84</v>
      </c>
      <c r="M31" s="45">
        <f t="array" aca="1" ref="M31" ca="1">Sheet3!$W$2*$F31*(NETWORKDAYS(VLOOKUP(M$1,Sprints[],2,FALSE), VLOOKUP(M$1,Sprints[],3,FALSE))-SUMPRODUCT((OFFSET(INDIRECT(CELL("address",INDEX('Leave Tracker'!$A$8:$A$92,MATCH($A31,'Leave Tracker'!$A$8:$A$92,0)))),0,31*(VLOOKUP(M$1,Sprints[],5,FALSE))+DAY(VLOOKUP(M$1,Sprints[],2,FALSE)),1,VLOOKUP(M$1,Sprints[],4,FALSE))&lt;&gt;"")*(IF(OFFSET(INDIRECT(CELL("address",INDEX('Leave Tracker'!$A$8:$A$92,MATCH($A31,'Leave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1.2</v>
      </c>
      <c r="N31">
        <f t="array" aca="1" ref="N31" ca="1">Sheet3!$W$2*$F31*(NETWORKDAYS(VLOOKUP(N$1,Sprints[],2,FALSE), VLOOKUP(N$1,Sprints[],3,FALSE))-SUMPRODUCT((OFFSET(INDIRECT(CELL("address",INDEX('Leave Tracker'!$A$8:$A$92,MATCH($A31,'Leave Tracker'!$A$8:$A$92,0)))),0,31*(VLOOKUP(N$1,Sprints[],5,FALSE))+DAY(VLOOKUP(N$1,Sprints[],2,FALSE)),1,VLOOKUP(N$1,Sprints[],4,FALSE))&lt;&gt;"")*(IF(OFFSET(INDIRECT(CELL("address",INDEX('Leave Tracker'!$A$8:$A$92,MATCH($A31,'Leave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0.6</v>
      </c>
      <c r="O31">
        <f t="array" aca="1" ref="O31" ca="1">Sheet3!$W$2*$F31*(NETWORKDAYS(VLOOKUP(O$1,Sprints[],2,FALSE), VLOOKUP(O$1,Sprints[],3,FALSE))-SUMPRODUCT((OFFSET(INDIRECT(CELL("address",INDEX('Leave Tracker'!$A$8:$A$92,MATCH($A31,'Leave Tracker'!$A$8:$A$92,0)))),0,31*(VLOOKUP(O$1,Sprints[],5,FALSE))+DAY(VLOOKUP(O$1,Sprints[],2,FALSE)),1,VLOOKUP(O$1,Sprints[],4,FALSE))&lt;&gt;"")*(IF(OFFSET(INDIRECT(CELL("address",INDEX('Leave Tracker'!$A$8:$A$92,MATCH($A31,'Leave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1.2</v>
      </c>
      <c r="P31">
        <f t="array" aca="1" ref="P31" ca="1">Sheet3!$W$2*$F31*(NETWORKDAYS(VLOOKUP(P$1,Sprints[],2,FALSE), VLOOKUP(P$1,Sprints[],3,FALSE))-SUMPRODUCT((OFFSET(INDIRECT(CELL("address",INDEX('Leave Tracker'!$A$8:$A$92,MATCH($A31,'Leave Tracker'!$A$8:$A$92,0)))),0,31*(VLOOKUP(P$1,Sprints[],5,FALSE))+DAY(VLOOKUP(P$1,Sprints[],2,FALSE)),1,VLOOKUP(P$1,Sprints[],4,FALSE))&lt;&gt;"")*(IF(OFFSET(INDIRECT(CELL("address",INDEX('Leave Tracker'!$A$8:$A$92,MATCH($A31,'Leave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1.08</v>
      </c>
      <c r="Q31">
        <f t="array" aca="1" ref="Q31" ca="1">Sheet3!$W$2*$F31*(NETWORKDAYS(VLOOKUP(Q$1,Sprints[],2,FALSE), VLOOKUP(Q$1,Sprints[],3,FALSE))-SUMPRODUCT((OFFSET(INDIRECT(CELL("address",INDEX('Leave Tracker'!$A$8:$A$92,MATCH($A31,'Leave Tracker'!$A$8:$A$92,0)))),0,31*(VLOOKUP(Q$1,Sprints[],5,FALSE))+DAY(VLOOKUP(Q$1,Sprints[],2,FALSE)),1,VLOOKUP(Q$1,Sprints[],4,FALSE))&lt;&gt;"")*(IF(OFFSET(INDIRECT(CELL("address",INDEX('Leave Tracker'!$A$8:$A$92,MATCH($A31,'Leave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1.2</v>
      </c>
      <c r="R31">
        <f t="array" aca="1" ref="R31" ca="1">Sheet3!$W$2*$F31*(NETWORKDAYS(VLOOKUP(R$1,Sprints[],2,FALSE), VLOOKUP(R$1,Sprints[],3,FALSE))-SUMPRODUCT((OFFSET(INDIRECT(CELL("address",INDEX('Leave Tracker'!$A$8:$A$92,MATCH($A31,'Leave Tracker'!$A$8:$A$92,0)))),0,31*(VLOOKUP(R$1,Sprints[],5,FALSE))+DAY(VLOOKUP(R$1,Sprints[],2,FALSE)),1,VLOOKUP(R$1,Sprints[],4,FALSE))&lt;&gt;"")*(IF(OFFSET(INDIRECT(CELL("address",INDEX('Leave Tracker'!$A$8:$A$92,MATCH($A31,'Leave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1.2</v>
      </c>
      <c r="S31" s="74">
        <f t="array" aca="1" ref="S31" ca="1">Sheet3!$W$2*$F31*(NETWORKDAYS(VLOOKUP(S$1,Sprints[],2,FALSE), VLOOKUP(S$1,Sprints[],3,FALSE))-SUMPRODUCT((OFFSET(INDIRECT(CELL("address",INDEX('Leave Tracker'!$A$8:$A$92,MATCH($A31,'Leave Tracker'!$A$8:$A$92,0)))),0,31*(VLOOKUP(S$1,Sprints[],5,FALSE))+DAY(VLOOKUP(S$1,Sprints[],2,FALSE)),1,VLOOKUP(S$1,Sprints[],4,FALSE))&lt;&gt;"")*(IF(OFFSET(INDIRECT(CELL("address",INDEX('Leave Tracker'!$A$8:$A$92,MATCH($A31,'Leave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12.719999999999999</v>
      </c>
    </row>
    <row r="32" spans="1:19" x14ac:dyDescent="0.45">
      <c r="A32" t="s">
        <v>76</v>
      </c>
      <c r="B32" s="45" t="s">
        <v>106</v>
      </c>
      <c r="C32" s="45" t="s">
        <v>104</v>
      </c>
      <c r="D32" s="45" t="s">
        <v>119</v>
      </c>
      <c r="E32" s="45" t="s">
        <v>113</v>
      </c>
      <c r="F32" s="47">
        <v>0.75</v>
      </c>
      <c r="G32" s="45">
        <f t="array" aca="1" ref="G32" ca="1">Sheet3!$W$2*$F32*(NETWORKDAYS(VLOOKUP(G$1,Sprints[],2,FALSE), VLOOKUP(G$1,Sprints[],3,FALSE))-SUMPRODUCT((OFFSET(INDIRECT(CELL("address",INDEX('Leave Tracker'!$A$8:$A$92,MATCH($A32,'Leave Tracker'!$A$8:$A$92,0)))),0,31*(VLOOKUP(G$1,Sprints[],5,FALSE))+DAY(VLOOKUP(G$1,Sprints[],2,FALSE)),1,VLOOKUP(G$1,Sprints[],4,FALSE))&lt;&gt;"")*(IF(OFFSET(INDIRECT(CELL("address",INDEX('Leave Tracker'!$A$8:$A$92,MATCH($A32,'Leave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32">
        <f t="array" aca="1" ref="H32" ca="1">Sheet3!$W$2*$F32*(NETWORKDAYS(VLOOKUP(H$1,Sprints[],2,FALSE), VLOOKUP(H$1,Sprints[],3,FALSE))-SUMPRODUCT((OFFSET(INDIRECT(CELL("address",INDEX('Leave Tracker'!$A$8:$A$92,MATCH($A32,'Leave Tracker'!$A$8:$A$92,0)))),0,31*(VLOOKUP(H$1,Sprints[],5,FALSE))+DAY(VLOOKUP(H$1,Sprints[],2,FALSE)),1,VLOOKUP(H$1,Sprints[],4,FALSE))&lt;&gt;"")*(IF(OFFSET(INDIRECT(CELL("address",INDEX('Leave Tracker'!$A$8:$A$92,MATCH($A32,'Leave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32">
        <f t="array" aca="1" ref="I32" ca="1">Sheet3!$W$2*$F32*(NETWORKDAYS(VLOOKUP(I$1,Sprints[],2,FALSE), VLOOKUP(I$1,Sprints[],3,FALSE))-SUMPRODUCT((OFFSET(INDIRECT(CELL("address",INDEX('Leave Tracker'!$A$8:$A$92,MATCH($A32,'Leave Tracker'!$A$8:$A$92,0)))),0,31*(VLOOKUP(I$1,Sprints[],5,FALSE))+DAY(VLOOKUP(I$1,Sprints[],2,FALSE)),1,VLOOKUP(I$1,Sprints[],4,FALSE))&lt;&gt;"")*(IF(OFFSET(INDIRECT(CELL("address",INDEX('Leave Tracker'!$A$8:$A$92,MATCH($A32,'Leave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6.0000000000000009</v>
      </c>
      <c r="J32">
        <f t="array" aca="1" ref="J32" ca="1">Sheet3!$W$2*$F32*(NETWORKDAYS(VLOOKUP(J$1,Sprints[],2,FALSE), VLOOKUP(J$1,Sprints[],3,FALSE))-SUMPRODUCT((OFFSET(INDIRECT(CELL("address",INDEX('Leave Tracker'!$A$8:$A$92,MATCH($A32,'Leave Tracker'!$A$8:$A$92,0)))),0,31*(VLOOKUP(J$1,Sprints[],5,FALSE))+DAY(VLOOKUP(J$1,Sprints[],2,FALSE)),1,VLOOKUP(J$1,Sprints[],4,FALSE))&lt;&gt;"")*(IF(OFFSET(INDIRECT(CELL("address",INDEX('Leave Tracker'!$A$8:$A$92,MATCH($A32,'Leave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32">
        <f t="array" aca="1" ref="K32" ca="1">Sheet3!$W$2*$F32*(NETWORKDAYS(VLOOKUP(K$1,Sprints[],2,FALSE), VLOOKUP(K$1,Sprints[],3,FALSE))-SUMPRODUCT((OFFSET(INDIRECT(CELL("address",INDEX('Leave Tracker'!$A$8:$A$92,MATCH($A32,'Leave Tracker'!$A$8:$A$92,0)))),0,31*(VLOOKUP(K$1,Sprints[],5,FALSE))+DAY(VLOOKUP(K$1,Sprints[],2,FALSE)),1,VLOOKUP(K$1,Sprints[],4,FALSE))&lt;&gt;"")*(IF(OFFSET(INDIRECT(CELL("address",INDEX('Leave Tracker'!$A$8:$A$92,MATCH($A32,'Leave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32">
        <f t="array" aca="1" ref="L32" ca="1">Sheet3!$W$2*$F32*(NETWORKDAYS(VLOOKUP(L$1,Sprints[],2,FALSE), VLOOKUP(L$1,Sprints[],3,FALSE))-SUMPRODUCT((OFFSET(INDIRECT(CELL("address",INDEX('Leave Tracker'!$A$8:$A$92,MATCH($A32,'Leave Tracker'!$A$8:$A$92,0)))),0,31*(VLOOKUP(L$1,Sprints[],5,FALSE))+DAY(VLOOKUP(L$1,Sprints[],2,FALSE)),1,VLOOKUP(L$1,Sprints[],4,FALSE))&lt;&gt;"")*(IF(OFFSET(INDIRECT(CELL("address",INDEX('Leave Tracker'!$A$8:$A$92,MATCH($A32,'Leave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4.2000000000000011</v>
      </c>
      <c r="M32" s="45">
        <f t="array" aca="1" ref="M32" ca="1">Sheet3!$W$2*$F32*(NETWORKDAYS(VLOOKUP(M$1,Sprints[],2,FALSE), VLOOKUP(M$1,Sprints[],3,FALSE))-SUMPRODUCT((OFFSET(INDIRECT(CELL("address",INDEX('Leave Tracker'!$A$8:$A$92,MATCH($A32,'Leave Tracker'!$A$8:$A$92,0)))),0,31*(VLOOKUP(M$1,Sprints[],5,FALSE))+DAY(VLOOKUP(M$1,Sprints[],2,FALSE)),1,VLOOKUP(M$1,Sprints[],4,FALSE))&lt;&gt;"")*(IF(OFFSET(INDIRECT(CELL("address",INDEX('Leave Tracker'!$A$8:$A$92,MATCH($A32,'Leave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6.0000000000000009</v>
      </c>
      <c r="N32">
        <f t="array" aca="1" ref="N32" ca="1">Sheet3!$W$2*$F32*(NETWORKDAYS(VLOOKUP(N$1,Sprints[],2,FALSE), VLOOKUP(N$1,Sprints[],3,FALSE))-SUMPRODUCT((OFFSET(INDIRECT(CELL("address",INDEX('Leave Tracker'!$A$8:$A$92,MATCH($A32,'Leave Tracker'!$A$8:$A$92,0)))),0,31*(VLOOKUP(N$1,Sprints[],5,FALSE))+DAY(VLOOKUP(N$1,Sprints[],2,FALSE)),1,VLOOKUP(N$1,Sprints[],4,FALSE))&lt;&gt;"")*(IF(OFFSET(INDIRECT(CELL("address",INDEX('Leave Tracker'!$A$8:$A$92,MATCH($A32,'Leave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32">
        <f t="array" aca="1" ref="O32" ca="1">Sheet3!$W$2*$F32*(NETWORKDAYS(VLOOKUP(O$1,Sprints[],2,FALSE), VLOOKUP(O$1,Sprints[],3,FALSE))-SUMPRODUCT((OFFSET(INDIRECT(CELL("address",INDEX('Leave Tracker'!$A$8:$A$92,MATCH($A32,'Leave Tracker'!$A$8:$A$92,0)))),0,31*(VLOOKUP(O$1,Sprints[],5,FALSE))+DAY(VLOOKUP(O$1,Sprints[],2,FALSE)),1,VLOOKUP(O$1,Sprints[],4,FALSE))&lt;&gt;"")*(IF(OFFSET(INDIRECT(CELL("address",INDEX('Leave Tracker'!$A$8:$A$92,MATCH($A32,'Leave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32">
        <f t="array" aca="1" ref="P32" ca="1">Sheet3!$W$2*$F32*(NETWORKDAYS(VLOOKUP(P$1,Sprints[],2,FALSE), VLOOKUP(P$1,Sprints[],3,FALSE))-SUMPRODUCT((OFFSET(INDIRECT(CELL("address",INDEX('Leave Tracker'!$A$8:$A$92,MATCH($A32,'Leave Tracker'!$A$8:$A$92,0)))),0,31*(VLOOKUP(P$1,Sprints[],5,FALSE))+DAY(VLOOKUP(P$1,Sprints[],2,FALSE)),1,VLOOKUP(P$1,Sprints[],4,FALSE))&lt;&gt;"")*(IF(OFFSET(INDIRECT(CELL("address",INDEX('Leave Tracker'!$A$8:$A$92,MATCH($A32,'Leave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5.4</v>
      </c>
      <c r="Q32">
        <f t="array" aca="1" ref="Q32" ca="1">Sheet3!$W$2*$F32*(NETWORKDAYS(VLOOKUP(Q$1,Sprints[],2,FALSE), VLOOKUP(Q$1,Sprints[],3,FALSE))-SUMPRODUCT((OFFSET(INDIRECT(CELL("address",INDEX('Leave Tracker'!$A$8:$A$92,MATCH($A32,'Leave Tracker'!$A$8:$A$92,0)))),0,31*(VLOOKUP(Q$1,Sprints[],5,FALSE))+DAY(VLOOKUP(Q$1,Sprints[],2,FALSE)),1,VLOOKUP(Q$1,Sprints[],4,FALSE))&lt;&gt;"")*(IF(OFFSET(INDIRECT(CELL("address",INDEX('Leave Tracker'!$A$8:$A$92,MATCH($A32,'Leave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32">
        <f t="array" aca="1" ref="R32" ca="1">Sheet3!$W$2*$F32*(NETWORKDAYS(VLOOKUP(R$1,Sprints[],2,FALSE), VLOOKUP(R$1,Sprints[],3,FALSE))-SUMPRODUCT((OFFSET(INDIRECT(CELL("address",INDEX('Leave Tracker'!$A$8:$A$92,MATCH($A32,'Leave Tracker'!$A$8:$A$92,0)))),0,31*(VLOOKUP(R$1,Sprints[],5,FALSE))+DAY(VLOOKUP(R$1,Sprints[],2,FALSE)),1,VLOOKUP(R$1,Sprints[],4,FALSE))&lt;&gt;"")*(IF(OFFSET(INDIRECT(CELL("address",INDEX('Leave Tracker'!$A$8:$A$92,MATCH($A32,'Leave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6.0000000000000009</v>
      </c>
      <c r="S32" s="74">
        <f t="array" aca="1" ref="S32" ca="1">Sheet3!$W$2*$F32*(NETWORKDAYS(VLOOKUP(S$1,Sprints[],2,FALSE), VLOOKUP(S$1,Sprints[],3,FALSE))-SUMPRODUCT((OFFSET(INDIRECT(CELL("address",INDEX('Leave Tracker'!$A$8:$A$92,MATCH($A32,'Leave Tracker'!$A$8:$A$92,0)))),0,31*(VLOOKUP(S$1,Sprints[],5,FALSE))+DAY(VLOOKUP(S$1,Sprints[],2,FALSE)),1,VLOOKUP(S$1,Sprints[],4,FALSE))&lt;&gt;"")*(IF(OFFSET(INDIRECT(CELL("address",INDEX('Leave Tracker'!$A$8:$A$92,MATCH($A32,'Leave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63.600000000000009</v>
      </c>
    </row>
    <row r="33" spans="1:19" x14ac:dyDescent="0.45">
      <c r="A33" t="s">
        <v>96</v>
      </c>
      <c r="B33" s="45" t="s">
        <v>103</v>
      </c>
      <c r="C33" s="45" t="s">
        <v>105</v>
      </c>
      <c r="D33" s="45" t="s">
        <v>119</v>
      </c>
      <c r="E33" s="45" t="s">
        <v>112</v>
      </c>
      <c r="F33" s="47">
        <v>0.75</v>
      </c>
      <c r="G33" s="45">
        <f t="array" aca="1" ref="G33" ca="1">Sheet3!$W$2*$F33*(NETWORKDAYS(VLOOKUP(G$1,Sprints[],2,FALSE), VLOOKUP(G$1,Sprints[],3,FALSE))-SUMPRODUCT((OFFSET(INDIRECT(CELL("address",INDEX('Leave Tracker'!$A$8:$A$92,MATCH($A33,'Leave Tracker'!$A$8:$A$92,0)))),0,31*(VLOOKUP(G$1,Sprints[],5,FALSE))+DAY(VLOOKUP(G$1,Sprints[],2,FALSE)),1,VLOOKUP(G$1,Sprints[],4,FALSE))&lt;&gt;"")*(IF(OFFSET(INDIRECT(CELL("address",INDEX('Leave Tracker'!$A$8:$A$92,MATCH($A33,'Leave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33">
        <f t="array" aca="1" ref="H33" ca="1">Sheet3!$W$2*$F33*(NETWORKDAYS(VLOOKUP(H$1,Sprints[],2,FALSE), VLOOKUP(H$1,Sprints[],3,FALSE))-SUMPRODUCT((OFFSET(INDIRECT(CELL("address",INDEX('Leave Tracker'!$A$8:$A$92,MATCH($A33,'Leave Tracker'!$A$8:$A$92,0)))),0,31*(VLOOKUP(H$1,Sprints[],5,FALSE))+DAY(VLOOKUP(H$1,Sprints[],2,FALSE)),1,VLOOKUP(H$1,Sprints[],4,FALSE))&lt;&gt;"")*(IF(OFFSET(INDIRECT(CELL("address",INDEX('Leave Tracker'!$A$8:$A$92,MATCH($A33,'Leave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33">
        <f t="array" aca="1" ref="I33" ca="1">Sheet3!$W$2*$F33*(NETWORKDAYS(VLOOKUP(I$1,Sprints[],2,FALSE), VLOOKUP(I$1,Sprints[],3,FALSE))-SUMPRODUCT((OFFSET(INDIRECT(CELL("address",INDEX('Leave Tracker'!$A$8:$A$92,MATCH($A33,'Leave Tracker'!$A$8:$A$92,0)))),0,31*(VLOOKUP(I$1,Sprints[],5,FALSE))+DAY(VLOOKUP(I$1,Sprints[],2,FALSE)),1,VLOOKUP(I$1,Sprints[],4,FALSE))&lt;&gt;"")*(IF(OFFSET(INDIRECT(CELL("address",INDEX('Leave Tracker'!$A$8:$A$92,MATCH($A33,'Leave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5.4</v>
      </c>
      <c r="J33">
        <f t="array" aca="1" ref="J33" ca="1">Sheet3!$W$2*$F33*(NETWORKDAYS(VLOOKUP(J$1,Sprints[],2,FALSE), VLOOKUP(J$1,Sprints[],3,FALSE))-SUMPRODUCT((OFFSET(INDIRECT(CELL("address",INDEX('Leave Tracker'!$A$8:$A$92,MATCH($A33,'Leave Tracker'!$A$8:$A$92,0)))),0,31*(VLOOKUP(J$1,Sprints[],5,FALSE))+DAY(VLOOKUP(J$1,Sprints[],2,FALSE)),1,VLOOKUP(J$1,Sprints[],4,FALSE))&lt;&gt;"")*(IF(OFFSET(INDIRECT(CELL("address",INDEX('Leave Tracker'!$A$8:$A$92,MATCH($A33,'Leave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33">
        <f t="array" aca="1" ref="K33" ca="1">Sheet3!$W$2*$F33*(NETWORKDAYS(VLOOKUP(K$1,Sprints[],2,FALSE), VLOOKUP(K$1,Sprints[],3,FALSE))-SUMPRODUCT((OFFSET(INDIRECT(CELL("address",INDEX('Leave Tracker'!$A$8:$A$92,MATCH($A33,'Leave Tracker'!$A$8:$A$92,0)))),0,31*(VLOOKUP(K$1,Sprints[],5,FALSE))+DAY(VLOOKUP(K$1,Sprints[],2,FALSE)),1,VLOOKUP(K$1,Sprints[],4,FALSE))&lt;&gt;"")*(IF(OFFSET(INDIRECT(CELL("address",INDEX('Leave Tracker'!$A$8:$A$92,MATCH($A33,'Leave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33">
        <f t="array" aca="1" ref="L33" ca="1">Sheet3!$W$2*$F33*(NETWORKDAYS(VLOOKUP(L$1,Sprints[],2,FALSE), VLOOKUP(L$1,Sprints[],3,FALSE))-SUMPRODUCT((OFFSET(INDIRECT(CELL("address",INDEX('Leave Tracker'!$A$8:$A$92,MATCH($A33,'Leave Tracker'!$A$8:$A$92,0)))),0,31*(VLOOKUP(L$1,Sprints[],5,FALSE))+DAY(VLOOKUP(L$1,Sprints[],2,FALSE)),1,VLOOKUP(L$1,Sprints[],4,FALSE))&lt;&gt;"")*(IF(OFFSET(INDIRECT(CELL("address",INDEX('Leave Tracker'!$A$8:$A$92,MATCH($A33,'Leave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4.8000000000000007</v>
      </c>
      <c r="M33" s="45">
        <f t="array" aca="1" ref="M33" ca="1">Sheet3!$W$2*$F33*(NETWORKDAYS(VLOOKUP(M$1,Sprints[],2,FALSE), VLOOKUP(M$1,Sprints[],3,FALSE))-SUMPRODUCT((OFFSET(INDIRECT(CELL("address",INDEX('Leave Tracker'!$A$8:$A$92,MATCH($A33,'Leave Tracker'!$A$8:$A$92,0)))),0,31*(VLOOKUP(M$1,Sprints[],5,FALSE))+DAY(VLOOKUP(M$1,Sprints[],2,FALSE)),1,VLOOKUP(M$1,Sprints[],4,FALSE))&lt;&gt;"")*(IF(OFFSET(INDIRECT(CELL("address",INDEX('Leave Tracker'!$A$8:$A$92,MATCH($A33,'Leave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5.4</v>
      </c>
      <c r="N33">
        <f t="array" aca="1" ref="N33" ca="1">Sheet3!$W$2*$F33*(NETWORKDAYS(VLOOKUP(N$1,Sprints[],2,FALSE), VLOOKUP(N$1,Sprints[],3,FALSE))-SUMPRODUCT((OFFSET(INDIRECT(CELL("address",INDEX('Leave Tracker'!$A$8:$A$92,MATCH($A33,'Leave Tracker'!$A$8:$A$92,0)))),0,31*(VLOOKUP(N$1,Sprints[],5,FALSE))+DAY(VLOOKUP(N$1,Sprints[],2,FALSE)),1,VLOOKUP(N$1,Sprints[],4,FALSE))&lt;&gt;"")*(IF(OFFSET(INDIRECT(CELL("address",INDEX('Leave Tracker'!$A$8:$A$92,MATCH($A33,'Leave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33">
        <f t="array" aca="1" ref="O33" ca="1">Sheet3!$W$2*$F33*(NETWORKDAYS(VLOOKUP(O$1,Sprints[],2,FALSE), VLOOKUP(O$1,Sprints[],3,FALSE))-SUMPRODUCT((OFFSET(INDIRECT(CELL("address",INDEX('Leave Tracker'!$A$8:$A$92,MATCH($A33,'Leave Tracker'!$A$8:$A$92,0)))),0,31*(VLOOKUP(O$1,Sprints[],5,FALSE))+DAY(VLOOKUP(O$1,Sprints[],2,FALSE)),1,VLOOKUP(O$1,Sprints[],4,FALSE))&lt;&gt;"")*(IF(OFFSET(INDIRECT(CELL("address",INDEX('Leave Tracker'!$A$8:$A$92,MATCH($A33,'Leave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33">
        <f t="array" aca="1" ref="P33" ca="1">Sheet3!$W$2*$F33*(NETWORKDAYS(VLOOKUP(P$1,Sprints[],2,FALSE), VLOOKUP(P$1,Sprints[],3,FALSE))-SUMPRODUCT((OFFSET(INDIRECT(CELL("address",INDEX('Leave Tracker'!$A$8:$A$92,MATCH($A33,'Leave Tracker'!$A$8:$A$92,0)))),0,31*(VLOOKUP(P$1,Sprints[],5,FALSE))+DAY(VLOOKUP(P$1,Sprints[],2,FALSE)),1,VLOOKUP(P$1,Sprints[],4,FALSE))&lt;&gt;"")*(IF(OFFSET(INDIRECT(CELL("address",INDEX('Leave Tracker'!$A$8:$A$92,MATCH($A33,'Leave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6.0000000000000009</v>
      </c>
      <c r="Q33">
        <f t="array" aca="1" ref="Q33" ca="1">Sheet3!$W$2*$F33*(NETWORKDAYS(VLOOKUP(Q$1,Sprints[],2,FALSE), VLOOKUP(Q$1,Sprints[],3,FALSE))-SUMPRODUCT((OFFSET(INDIRECT(CELL("address",INDEX('Leave Tracker'!$A$8:$A$92,MATCH($A33,'Leave Tracker'!$A$8:$A$92,0)))),0,31*(VLOOKUP(Q$1,Sprints[],5,FALSE))+DAY(VLOOKUP(Q$1,Sprints[],2,FALSE)),1,VLOOKUP(Q$1,Sprints[],4,FALSE))&lt;&gt;"")*(IF(OFFSET(INDIRECT(CELL("address",INDEX('Leave Tracker'!$A$8:$A$92,MATCH($A33,'Leave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33">
        <f t="array" aca="1" ref="R33" ca="1">Sheet3!$W$2*$F33*(NETWORKDAYS(VLOOKUP(R$1,Sprints[],2,FALSE), VLOOKUP(R$1,Sprints[],3,FALSE))-SUMPRODUCT((OFFSET(INDIRECT(CELL("address",INDEX('Leave Tracker'!$A$8:$A$92,MATCH($A33,'Leave Tracker'!$A$8:$A$92,0)))),0,31*(VLOOKUP(R$1,Sprints[],5,FALSE))+DAY(VLOOKUP(R$1,Sprints[],2,FALSE)),1,VLOOKUP(R$1,Sprints[],4,FALSE))&lt;&gt;"")*(IF(OFFSET(INDIRECT(CELL("address",INDEX('Leave Tracker'!$A$8:$A$92,MATCH($A33,'Leave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5.4</v>
      </c>
      <c r="S33" s="74">
        <f t="array" aca="1" ref="S33" ca="1">Sheet3!$W$2*$F33*(NETWORKDAYS(VLOOKUP(S$1,Sprints[],2,FALSE), VLOOKUP(S$1,Sprints[],3,FALSE))-SUMPRODUCT((OFFSET(INDIRECT(CELL("address",INDEX('Leave Tracker'!$A$8:$A$92,MATCH($A33,'Leave Tracker'!$A$8:$A$92,0)))),0,31*(VLOOKUP(S$1,Sprints[],5,FALSE))+DAY(VLOOKUP(S$1,Sprints[],2,FALSE)),1,VLOOKUP(S$1,Sprints[],4,FALSE))&lt;&gt;"")*(IF(OFFSET(INDIRECT(CELL("address",INDEX('Leave Tracker'!$A$8:$A$92,MATCH($A33,'Leave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63.000000000000007</v>
      </c>
    </row>
    <row r="34" spans="1:19" x14ac:dyDescent="0.45">
      <c r="A34" t="s">
        <v>138</v>
      </c>
      <c r="B34" s="45" t="s">
        <v>106</v>
      </c>
      <c r="C34" s="45" t="s">
        <v>105</v>
      </c>
      <c r="D34" s="45" t="s">
        <v>120</v>
      </c>
      <c r="E34" s="45" t="s">
        <v>115</v>
      </c>
      <c r="F34" s="47">
        <v>0.15</v>
      </c>
      <c r="G34" s="31">
        <f t="array" aca="1" ref="G34" ca="1">Sheet3!$W$2*$F34*(NETWORKDAYS(VLOOKUP(G$1,Sprints[],2,FALSE), VLOOKUP(G$1,Sprints[],3,FALSE))-SUMPRODUCT((OFFSET(INDIRECT(CELL("address",INDEX('Leave Tracker'!$A$8:$A$92,MATCH($A34,'Leave Tracker'!$A$8:$A$92,0)))),0,31*(VLOOKUP(G$1,Sprints[],5,FALSE))+DAY(VLOOKUP(G$1,Sprints[],2,FALSE)),1,VLOOKUP(G$1,Sprints[],4,FALSE))&lt;&gt;"")*(IF(OFFSET(INDIRECT(CELL("address",INDEX('Leave Tracker'!$A$8:$A$92,MATCH($A34,'Leave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0.6</v>
      </c>
      <c r="H34" s="31">
        <f t="array" aca="1" ref="H34" ca="1">Sheet3!$W$2*$F34*(NETWORKDAYS(VLOOKUP(H$1,Sprints[],2,FALSE), VLOOKUP(H$1,Sprints[],3,FALSE))-SUMPRODUCT((OFFSET(INDIRECT(CELL("address",INDEX('Leave Tracker'!$A$8:$A$92,MATCH($A34,'Leave Tracker'!$A$8:$A$92,0)))),0,31*(VLOOKUP(H$1,Sprints[],5,FALSE))+DAY(VLOOKUP(H$1,Sprints[],2,FALSE)),1,VLOOKUP(H$1,Sprints[],4,FALSE))&lt;&gt;"")*(IF(OFFSET(INDIRECT(CELL("address",INDEX('Leave Tracker'!$A$8:$A$92,MATCH($A34,'Leave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1.2</v>
      </c>
      <c r="I34" s="31">
        <f t="array" aca="1" ref="I34" ca="1">Sheet3!$W$2*$F34*(NETWORKDAYS(VLOOKUP(I$1,Sprints[],2,FALSE), VLOOKUP(I$1,Sprints[],3,FALSE))-SUMPRODUCT((OFFSET(INDIRECT(CELL("address",INDEX('Leave Tracker'!$A$8:$A$92,MATCH($A34,'Leave Tracker'!$A$8:$A$92,0)))),0,31*(VLOOKUP(I$1,Sprints[],5,FALSE))+DAY(VLOOKUP(I$1,Sprints[],2,FALSE)),1,VLOOKUP(I$1,Sprints[],4,FALSE))&lt;&gt;"")*(IF(OFFSET(INDIRECT(CELL("address",INDEX('Leave Tracker'!$A$8:$A$92,MATCH($A34,'Leave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1.08</v>
      </c>
      <c r="J34" s="31">
        <f t="array" aca="1" ref="J34" ca="1">Sheet3!$W$2*$F34*(NETWORKDAYS(VLOOKUP(J$1,Sprints[],2,FALSE), VLOOKUP(J$1,Sprints[],3,FALSE))-SUMPRODUCT((OFFSET(INDIRECT(CELL("address",INDEX('Leave Tracker'!$A$8:$A$92,MATCH($A34,'Leave Tracker'!$A$8:$A$92,0)))),0,31*(VLOOKUP(J$1,Sprints[],5,FALSE))+DAY(VLOOKUP(J$1,Sprints[],2,FALSE)),1,VLOOKUP(J$1,Sprints[],4,FALSE))&lt;&gt;"")*(IF(OFFSET(INDIRECT(CELL("address",INDEX('Leave Tracker'!$A$8:$A$92,MATCH($A34,'Leave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1.2</v>
      </c>
      <c r="K34" s="31">
        <f t="array" aca="1" ref="K34" ca="1">Sheet3!$W$2*$F34*(NETWORKDAYS(VLOOKUP(K$1,Sprints[],2,FALSE), VLOOKUP(K$1,Sprints[],3,FALSE))-SUMPRODUCT((OFFSET(INDIRECT(CELL("address",INDEX('Leave Tracker'!$A$8:$A$92,MATCH($A34,'Leave Tracker'!$A$8:$A$92,0)))),0,31*(VLOOKUP(K$1,Sprints[],5,FALSE))+DAY(VLOOKUP(K$1,Sprints[],2,FALSE)),1,VLOOKUP(K$1,Sprints[],4,FALSE))&lt;&gt;"")*(IF(OFFSET(INDIRECT(CELL("address",INDEX('Leave Tracker'!$A$8:$A$92,MATCH($A34,'Leave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1.2</v>
      </c>
      <c r="L34" s="31">
        <f t="array" aca="1" ref="L34" ca="1">Sheet3!$W$2*$F34*(NETWORKDAYS(VLOOKUP(L$1,Sprints[],2,FALSE), VLOOKUP(L$1,Sprints[],3,FALSE))-SUMPRODUCT((OFFSET(INDIRECT(CELL("address",INDEX('Leave Tracker'!$A$8:$A$92,MATCH($A34,'Leave Tracker'!$A$8:$A$92,0)))),0,31*(VLOOKUP(L$1,Sprints[],5,FALSE))+DAY(VLOOKUP(L$1,Sprints[],2,FALSE)),1,VLOOKUP(L$1,Sprints[],4,FALSE))&lt;&gt;"")*(IF(OFFSET(INDIRECT(CELL("address",INDEX('Leave Tracker'!$A$8:$A$92,MATCH($A34,'Leave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0.96</v>
      </c>
      <c r="M34" s="31">
        <f t="array" aca="1" ref="M34" ca="1">Sheet3!$W$2*$F34*(NETWORKDAYS(VLOOKUP(M$1,Sprints[],2,FALSE), VLOOKUP(M$1,Sprints[],3,FALSE))-SUMPRODUCT((OFFSET(INDIRECT(CELL("address",INDEX('Leave Tracker'!$A$8:$A$92,MATCH($A34,'Leave Tracker'!$A$8:$A$92,0)))),0,31*(VLOOKUP(M$1,Sprints[],5,FALSE))+DAY(VLOOKUP(M$1,Sprints[],2,FALSE)),1,VLOOKUP(M$1,Sprints[],4,FALSE))&lt;&gt;"")*(IF(OFFSET(INDIRECT(CELL("address",INDEX('Leave Tracker'!$A$8:$A$92,MATCH($A34,'Leave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1.08</v>
      </c>
      <c r="N34" s="31">
        <f t="array" aca="1" ref="N34" ca="1">Sheet3!$W$2*$F34*(NETWORKDAYS(VLOOKUP(N$1,Sprints[],2,FALSE), VLOOKUP(N$1,Sprints[],3,FALSE))-SUMPRODUCT((OFFSET(INDIRECT(CELL("address",INDEX('Leave Tracker'!$A$8:$A$92,MATCH($A34,'Leave Tracker'!$A$8:$A$92,0)))),0,31*(VLOOKUP(N$1,Sprints[],5,FALSE))+DAY(VLOOKUP(N$1,Sprints[],2,FALSE)),1,VLOOKUP(N$1,Sprints[],4,FALSE))&lt;&gt;"")*(IF(OFFSET(INDIRECT(CELL("address",INDEX('Leave Tracker'!$A$8:$A$92,MATCH($A34,'Leave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0.6</v>
      </c>
      <c r="O34" s="31">
        <f t="array" aca="1" ref="O34" ca="1">Sheet3!$W$2*$F34*(NETWORKDAYS(VLOOKUP(O$1,Sprints[],2,FALSE), VLOOKUP(O$1,Sprints[],3,FALSE))-SUMPRODUCT((OFFSET(INDIRECT(CELL("address",INDEX('Leave Tracker'!$A$8:$A$92,MATCH($A34,'Leave Tracker'!$A$8:$A$92,0)))),0,31*(VLOOKUP(O$1,Sprints[],5,FALSE))+DAY(VLOOKUP(O$1,Sprints[],2,FALSE)),1,VLOOKUP(O$1,Sprints[],4,FALSE))&lt;&gt;"")*(IF(OFFSET(INDIRECT(CELL("address",INDEX('Leave Tracker'!$A$8:$A$92,MATCH($A34,'Leave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1.2</v>
      </c>
      <c r="P34" s="31">
        <f t="array" aca="1" ref="P34" ca="1">Sheet3!$W$2*$F34*(NETWORKDAYS(VLOOKUP(P$1,Sprints[],2,FALSE), VLOOKUP(P$1,Sprints[],3,FALSE))-SUMPRODUCT((OFFSET(INDIRECT(CELL("address",INDEX('Leave Tracker'!$A$8:$A$92,MATCH($A34,'Leave Tracker'!$A$8:$A$92,0)))),0,31*(VLOOKUP(P$1,Sprints[],5,FALSE))+DAY(VLOOKUP(P$1,Sprints[],2,FALSE)),1,VLOOKUP(P$1,Sprints[],4,FALSE))&lt;&gt;"")*(IF(OFFSET(INDIRECT(CELL("address",INDEX('Leave Tracker'!$A$8:$A$92,MATCH($A34,'Leave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1.2</v>
      </c>
      <c r="Q34" s="31">
        <f t="array" aca="1" ref="Q34" ca="1">Sheet3!$W$2*$F34*(NETWORKDAYS(VLOOKUP(Q$1,Sprints[],2,FALSE), VLOOKUP(Q$1,Sprints[],3,FALSE))-SUMPRODUCT((OFFSET(INDIRECT(CELL("address",INDEX('Leave Tracker'!$A$8:$A$92,MATCH($A34,'Leave Tracker'!$A$8:$A$92,0)))),0,31*(VLOOKUP(Q$1,Sprints[],5,FALSE))+DAY(VLOOKUP(Q$1,Sprints[],2,FALSE)),1,VLOOKUP(Q$1,Sprints[],4,FALSE))&lt;&gt;"")*(IF(OFFSET(INDIRECT(CELL("address",INDEX('Leave Tracker'!$A$8:$A$92,MATCH($A34,'Leave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1.2</v>
      </c>
      <c r="R34" s="31">
        <f t="array" aca="1" ref="R34" ca="1">Sheet3!$W$2*$F34*(NETWORKDAYS(VLOOKUP(R$1,Sprints[],2,FALSE), VLOOKUP(R$1,Sprints[],3,FALSE))-SUMPRODUCT((OFFSET(INDIRECT(CELL("address",INDEX('Leave Tracker'!$A$8:$A$92,MATCH($A34,'Leave Tracker'!$A$8:$A$92,0)))),0,31*(VLOOKUP(R$1,Sprints[],5,FALSE))+DAY(VLOOKUP(R$1,Sprints[],2,FALSE)),1,VLOOKUP(R$1,Sprints[],4,FALSE))&lt;&gt;"")*(IF(OFFSET(INDIRECT(CELL("address",INDEX('Leave Tracker'!$A$8:$A$92,MATCH($A34,'Leave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1.08</v>
      </c>
      <c r="S34" s="74">
        <f t="array" aca="1" ref="S34" ca="1">Sheet3!$W$2*$F34*(NETWORKDAYS(VLOOKUP(S$1,Sprints[],2,FALSE), VLOOKUP(S$1,Sprints[],3,FALSE))-SUMPRODUCT((OFFSET(INDIRECT(CELL("address",INDEX('Leave Tracker'!$A$8:$A$92,MATCH($A34,'Leave Tracker'!$A$8:$A$92,0)))),0,31*(VLOOKUP(S$1,Sprints[],5,FALSE))+DAY(VLOOKUP(S$1,Sprints[],2,FALSE)),1,VLOOKUP(S$1,Sprints[],4,FALSE))&lt;&gt;"")*(IF(OFFSET(INDIRECT(CELL("address",INDEX('Leave Tracker'!$A$8:$A$92,MATCH($A34,'Leave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12.6</v>
      </c>
    </row>
    <row r="35" spans="1:19" x14ac:dyDescent="0.45">
      <c r="A35" t="s">
        <v>133</v>
      </c>
      <c r="B35" s="45" t="s">
        <v>100</v>
      </c>
      <c r="C35" s="45" t="s">
        <v>104</v>
      </c>
      <c r="D35" s="45" t="s">
        <v>120</v>
      </c>
      <c r="E35" s="45" t="s">
        <v>115</v>
      </c>
      <c r="F35" s="47">
        <v>0.4</v>
      </c>
      <c r="G35" s="31">
        <f t="array" aca="1" ref="G35" ca="1">Sheet3!$W$2*$F35*(NETWORKDAYS(VLOOKUP(G$1,Sprints[],2,FALSE), VLOOKUP(G$1,Sprints[],3,FALSE))-SUMPRODUCT((OFFSET(INDIRECT(CELL("address",INDEX('Leave Tracker'!$A$8:$A$92,MATCH($A35,'Leave Tracker'!$A$8:$A$92,0)))),0,31*(VLOOKUP(G$1,Sprints[],5,FALSE))+DAY(VLOOKUP(G$1,Sprints[],2,FALSE)),1,VLOOKUP(G$1,Sprints[],4,FALSE))&lt;&gt;"")*(IF(OFFSET(INDIRECT(CELL("address",INDEX('Leave Tracker'!$A$8:$A$92,MATCH($A35,'Leave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1.6000000000000003</v>
      </c>
      <c r="H35">
        <f t="array" aca="1" ref="H35" ca="1">Sheet3!$W$2*$F35*(NETWORKDAYS(VLOOKUP(H$1,Sprints[],2,FALSE), VLOOKUP(H$1,Sprints[],3,FALSE))-SUMPRODUCT((OFFSET(INDIRECT(CELL("address",INDEX('Leave Tracker'!$A$8:$A$92,MATCH($A35,'Leave Tracker'!$A$8:$A$92,0)))),0,31*(VLOOKUP(H$1,Sprints[],5,FALSE))+DAY(VLOOKUP(H$1,Sprints[],2,FALSE)),1,VLOOKUP(H$1,Sprints[],4,FALSE))&lt;&gt;"")*(IF(OFFSET(INDIRECT(CELL("address",INDEX('Leave Tracker'!$A$8:$A$92,MATCH($A35,'Leave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3.2000000000000006</v>
      </c>
      <c r="I35" s="31">
        <f t="array" aca="1" ref="I35" ca="1">Sheet3!$W$2*$F35*(NETWORKDAYS(VLOOKUP(I$1,Sprints[],2,FALSE), VLOOKUP(I$1,Sprints[],3,FALSE))-SUMPRODUCT((OFFSET(INDIRECT(CELL("address",INDEX('Leave Tracker'!$A$8:$A$92,MATCH($A35,'Leave Tracker'!$A$8:$A$92,0)))),0,31*(VLOOKUP(I$1,Sprints[],5,FALSE))+DAY(VLOOKUP(I$1,Sprints[],2,FALSE)),1,VLOOKUP(I$1,Sprints[],4,FALSE))&lt;&gt;"")*(IF(OFFSET(INDIRECT(CELL("address",INDEX('Leave Tracker'!$A$8:$A$92,MATCH($A35,'Leave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3.2000000000000006</v>
      </c>
      <c r="J35" s="31">
        <f t="array" aca="1" ref="J35" ca="1">Sheet3!$W$2*$F35*(NETWORKDAYS(VLOOKUP(J$1,Sprints[],2,FALSE), VLOOKUP(J$1,Sprints[],3,FALSE))-SUMPRODUCT((OFFSET(INDIRECT(CELL("address",INDEX('Leave Tracker'!$A$8:$A$92,MATCH($A35,'Leave Tracker'!$A$8:$A$92,0)))),0,31*(VLOOKUP(J$1,Sprints[],5,FALSE))+DAY(VLOOKUP(J$1,Sprints[],2,FALSE)),1,VLOOKUP(J$1,Sprints[],4,FALSE))&lt;&gt;"")*(IF(OFFSET(INDIRECT(CELL("address",INDEX('Leave Tracker'!$A$8:$A$92,MATCH($A35,'Leave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3.2000000000000006</v>
      </c>
      <c r="K35" s="31">
        <f t="array" aca="1" ref="K35" ca="1">Sheet3!$W$2*$F35*(NETWORKDAYS(VLOOKUP(K$1,Sprints[],2,FALSE), VLOOKUP(K$1,Sprints[],3,FALSE))-SUMPRODUCT((OFFSET(INDIRECT(CELL("address",INDEX('Leave Tracker'!$A$8:$A$92,MATCH($A35,'Leave Tracker'!$A$8:$A$92,0)))),0,31*(VLOOKUP(K$1,Sprints[],5,FALSE))+DAY(VLOOKUP(K$1,Sprints[],2,FALSE)),1,VLOOKUP(K$1,Sprints[],4,FALSE))&lt;&gt;"")*(IF(OFFSET(INDIRECT(CELL("address",INDEX('Leave Tracker'!$A$8:$A$92,MATCH($A35,'Leave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3.2000000000000006</v>
      </c>
      <c r="L35" s="31">
        <f t="array" aca="1" ref="L35" ca="1">Sheet3!$W$2*$F35*(NETWORKDAYS(VLOOKUP(L$1,Sprints[],2,FALSE), VLOOKUP(L$1,Sprints[],3,FALSE))-SUMPRODUCT((OFFSET(INDIRECT(CELL("address",INDEX('Leave Tracker'!$A$8:$A$92,MATCH($A35,'Leave Tracker'!$A$8:$A$92,0)))),0,31*(VLOOKUP(L$1,Sprints[],5,FALSE))+DAY(VLOOKUP(L$1,Sprints[],2,FALSE)),1,VLOOKUP(L$1,Sprints[],4,FALSE))&lt;&gt;"")*(IF(OFFSET(INDIRECT(CELL("address",INDEX('Leave Tracker'!$A$8:$A$92,MATCH($A35,'Leave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2.2400000000000002</v>
      </c>
      <c r="M35" s="31">
        <f t="array" aca="1" ref="M35" ca="1">Sheet3!$W$2*$F35*(NETWORKDAYS(VLOOKUP(M$1,Sprints[],2,FALSE), VLOOKUP(M$1,Sprints[],3,FALSE))-SUMPRODUCT((OFFSET(INDIRECT(CELL("address",INDEX('Leave Tracker'!$A$8:$A$92,MATCH($A35,'Leave Tracker'!$A$8:$A$92,0)))),0,31*(VLOOKUP(M$1,Sprints[],5,FALSE))+DAY(VLOOKUP(M$1,Sprints[],2,FALSE)),1,VLOOKUP(M$1,Sprints[],4,FALSE))&lt;&gt;"")*(IF(OFFSET(INDIRECT(CELL("address",INDEX('Leave Tracker'!$A$8:$A$92,MATCH($A35,'Leave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3.2000000000000006</v>
      </c>
      <c r="N35" s="31">
        <f t="array" aca="1" ref="N35" ca="1">Sheet3!$W$2*$F35*(NETWORKDAYS(VLOOKUP(N$1,Sprints[],2,FALSE), VLOOKUP(N$1,Sprints[],3,FALSE))-SUMPRODUCT((OFFSET(INDIRECT(CELL("address",INDEX('Leave Tracker'!$A$8:$A$92,MATCH($A35,'Leave Tracker'!$A$8:$A$92,0)))),0,31*(VLOOKUP(N$1,Sprints[],5,FALSE))+DAY(VLOOKUP(N$1,Sprints[],2,FALSE)),1,VLOOKUP(N$1,Sprints[],4,FALSE))&lt;&gt;"")*(IF(OFFSET(INDIRECT(CELL("address",INDEX('Leave Tracker'!$A$8:$A$92,MATCH($A35,'Leave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1.6000000000000003</v>
      </c>
      <c r="O35" s="31">
        <f t="array" aca="1" ref="O35" ca="1">Sheet3!$W$2*$F35*(NETWORKDAYS(VLOOKUP(O$1,Sprints[],2,FALSE), VLOOKUP(O$1,Sprints[],3,FALSE))-SUMPRODUCT((OFFSET(INDIRECT(CELL("address",INDEX('Leave Tracker'!$A$8:$A$92,MATCH($A35,'Leave Tracker'!$A$8:$A$92,0)))),0,31*(VLOOKUP(O$1,Sprints[],5,FALSE))+DAY(VLOOKUP(O$1,Sprints[],2,FALSE)),1,VLOOKUP(O$1,Sprints[],4,FALSE))&lt;&gt;"")*(IF(OFFSET(INDIRECT(CELL("address",INDEX('Leave Tracker'!$A$8:$A$92,MATCH($A35,'Leave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3.2000000000000006</v>
      </c>
      <c r="P35" s="31">
        <f t="array" aca="1" ref="P35" ca="1">Sheet3!$W$2*$F35*(NETWORKDAYS(VLOOKUP(P$1,Sprints[],2,FALSE), VLOOKUP(P$1,Sprints[],3,FALSE))-SUMPRODUCT((OFFSET(INDIRECT(CELL("address",INDEX('Leave Tracker'!$A$8:$A$92,MATCH($A35,'Leave Tracker'!$A$8:$A$92,0)))),0,31*(VLOOKUP(P$1,Sprints[],5,FALSE))+DAY(VLOOKUP(P$1,Sprints[],2,FALSE)),1,VLOOKUP(P$1,Sprints[],4,FALSE))&lt;&gt;"")*(IF(OFFSET(INDIRECT(CELL("address",INDEX('Leave Tracker'!$A$8:$A$92,MATCH($A35,'Leave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2.8800000000000008</v>
      </c>
      <c r="Q35" s="31">
        <f t="array" aca="1" ref="Q35" ca="1">Sheet3!$W$2*$F35*(NETWORKDAYS(VLOOKUP(Q$1,Sprints[],2,FALSE), VLOOKUP(Q$1,Sprints[],3,FALSE))-SUMPRODUCT((OFFSET(INDIRECT(CELL("address",INDEX('Leave Tracker'!$A$8:$A$92,MATCH($A35,'Leave Tracker'!$A$8:$A$92,0)))),0,31*(VLOOKUP(Q$1,Sprints[],5,FALSE))+DAY(VLOOKUP(Q$1,Sprints[],2,FALSE)),1,VLOOKUP(Q$1,Sprints[],4,FALSE))&lt;&gt;"")*(IF(OFFSET(INDIRECT(CELL("address",INDEX('Leave Tracker'!$A$8:$A$92,MATCH($A35,'Leave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3.2000000000000006</v>
      </c>
      <c r="R35" s="31">
        <f t="array" aca="1" ref="R35" ca="1">Sheet3!$W$2*$F35*(NETWORKDAYS(VLOOKUP(R$1,Sprints[],2,FALSE), VLOOKUP(R$1,Sprints[],3,FALSE))-SUMPRODUCT((OFFSET(INDIRECT(CELL("address",INDEX('Leave Tracker'!$A$8:$A$92,MATCH($A35,'Leave Tracker'!$A$8:$A$92,0)))),0,31*(VLOOKUP(R$1,Sprints[],5,FALSE))+DAY(VLOOKUP(R$1,Sprints[],2,FALSE)),1,VLOOKUP(R$1,Sprints[],4,FALSE))&lt;&gt;"")*(IF(OFFSET(INDIRECT(CELL("address",INDEX('Leave Tracker'!$A$8:$A$92,MATCH($A35,'Leave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3.2000000000000006</v>
      </c>
      <c r="S35" s="74">
        <f t="array" aca="1" ref="S35" ca="1">Sheet3!$W$2*$F35*(NETWORKDAYS(VLOOKUP(S$1,Sprints[],2,FALSE), VLOOKUP(S$1,Sprints[],3,FALSE))-SUMPRODUCT((OFFSET(INDIRECT(CELL("address",INDEX('Leave Tracker'!$A$8:$A$92,MATCH($A35,'Leave Tracker'!$A$8:$A$92,0)))),0,31*(VLOOKUP(S$1,Sprints[],5,FALSE))+DAY(VLOOKUP(S$1,Sprints[],2,FALSE)),1,VLOOKUP(S$1,Sprints[],4,FALSE))&lt;&gt;"")*(IF(OFFSET(INDIRECT(CELL("address",INDEX('Leave Tracker'!$A$8:$A$92,MATCH($A35,'Leave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33.920000000000009</v>
      </c>
    </row>
    <row r="36" spans="1:19" x14ac:dyDescent="0.45">
      <c r="A36" t="s">
        <v>82</v>
      </c>
      <c r="B36" s="45" t="s">
        <v>103</v>
      </c>
      <c r="C36" s="45" t="s">
        <v>104</v>
      </c>
      <c r="D36" s="45" t="s">
        <v>108</v>
      </c>
      <c r="E36" s="45" t="s">
        <v>113</v>
      </c>
      <c r="F36" s="47">
        <v>0.2</v>
      </c>
      <c r="G36" s="45">
        <f t="array" aca="1" ref="G36" ca="1">Sheet3!$W$2*$F36*(NETWORKDAYS(VLOOKUP(G$1,Sprints[],2,FALSE), VLOOKUP(G$1,Sprints[],3,FALSE))-SUMPRODUCT((OFFSET(INDIRECT(CELL("address",INDEX('Leave Tracker'!$A$8:$A$92,MATCH($A36,'Leave Tracker'!$A$8:$A$92,0)))),0,31*(VLOOKUP(G$1,Sprints[],5,FALSE))+DAY(VLOOKUP(G$1,Sprints[],2,FALSE)),1,VLOOKUP(G$1,Sprints[],4,FALSE))&lt;&gt;"")*(IF(OFFSET(INDIRECT(CELL("address",INDEX('Leave Tracker'!$A$8:$A$92,MATCH($A36,'Leave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0.80000000000000016</v>
      </c>
      <c r="H36">
        <f t="array" aca="1" ref="H36" ca="1">Sheet3!$W$2*$F36*(NETWORKDAYS(VLOOKUP(H$1,Sprints[],2,FALSE), VLOOKUP(H$1,Sprints[],3,FALSE))-SUMPRODUCT((OFFSET(INDIRECT(CELL("address",INDEX('Leave Tracker'!$A$8:$A$92,MATCH($A36,'Leave Tracker'!$A$8:$A$92,0)))),0,31*(VLOOKUP(H$1,Sprints[],5,FALSE))+DAY(VLOOKUP(H$1,Sprints[],2,FALSE)),1,VLOOKUP(H$1,Sprints[],4,FALSE))&lt;&gt;"")*(IF(OFFSET(INDIRECT(CELL("address",INDEX('Leave Tracker'!$A$8:$A$92,MATCH($A36,'Leave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1.6000000000000003</v>
      </c>
      <c r="I36">
        <f t="array" aca="1" ref="I36" ca="1">Sheet3!$W$2*$F36*(NETWORKDAYS(VLOOKUP(I$1,Sprints[],2,FALSE), VLOOKUP(I$1,Sprints[],3,FALSE))-SUMPRODUCT((OFFSET(INDIRECT(CELL("address",INDEX('Leave Tracker'!$A$8:$A$92,MATCH($A36,'Leave Tracker'!$A$8:$A$92,0)))),0,31*(VLOOKUP(I$1,Sprints[],5,FALSE))+DAY(VLOOKUP(I$1,Sprints[],2,FALSE)),1,VLOOKUP(I$1,Sprints[],4,FALSE))&lt;&gt;"")*(IF(OFFSET(INDIRECT(CELL("address",INDEX('Leave Tracker'!$A$8:$A$92,MATCH($A36,'Leave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1.6000000000000003</v>
      </c>
      <c r="J36">
        <f t="array" aca="1" ref="J36" ca="1">Sheet3!$W$2*$F36*(NETWORKDAYS(VLOOKUP(J$1,Sprints[],2,FALSE), VLOOKUP(J$1,Sprints[],3,FALSE))-SUMPRODUCT((OFFSET(INDIRECT(CELL("address",INDEX('Leave Tracker'!$A$8:$A$92,MATCH($A36,'Leave Tracker'!$A$8:$A$92,0)))),0,31*(VLOOKUP(J$1,Sprints[],5,FALSE))+DAY(VLOOKUP(J$1,Sprints[],2,FALSE)),1,VLOOKUP(J$1,Sprints[],4,FALSE))&lt;&gt;"")*(IF(OFFSET(INDIRECT(CELL("address",INDEX('Leave Tracker'!$A$8:$A$92,MATCH($A36,'Leave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1.6000000000000003</v>
      </c>
      <c r="K36">
        <f t="array" aca="1" ref="K36" ca="1">Sheet3!$W$2*$F36*(NETWORKDAYS(VLOOKUP(K$1,Sprints[],2,FALSE), VLOOKUP(K$1,Sprints[],3,FALSE))-SUMPRODUCT((OFFSET(INDIRECT(CELL("address",INDEX('Leave Tracker'!$A$8:$A$92,MATCH($A36,'Leave Tracker'!$A$8:$A$92,0)))),0,31*(VLOOKUP(K$1,Sprints[],5,FALSE))+DAY(VLOOKUP(K$1,Sprints[],2,FALSE)),1,VLOOKUP(K$1,Sprints[],4,FALSE))&lt;&gt;"")*(IF(OFFSET(INDIRECT(CELL("address",INDEX('Leave Tracker'!$A$8:$A$92,MATCH($A36,'Leave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1.6000000000000003</v>
      </c>
      <c r="L36">
        <f t="array" aca="1" ref="L36" ca="1">Sheet3!$W$2*$F36*(NETWORKDAYS(VLOOKUP(L$1,Sprints[],2,FALSE), VLOOKUP(L$1,Sprints[],3,FALSE))-SUMPRODUCT((OFFSET(INDIRECT(CELL("address",INDEX('Leave Tracker'!$A$8:$A$92,MATCH($A36,'Leave Tracker'!$A$8:$A$92,0)))),0,31*(VLOOKUP(L$1,Sprints[],5,FALSE))+DAY(VLOOKUP(L$1,Sprints[],2,FALSE)),1,VLOOKUP(L$1,Sprints[],4,FALSE))&lt;&gt;"")*(IF(OFFSET(INDIRECT(CELL("address",INDEX('Leave Tracker'!$A$8:$A$92,MATCH($A36,'Leave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1.1200000000000001</v>
      </c>
      <c r="M36" s="45">
        <f t="array" aca="1" ref="M36" ca="1">Sheet3!$W$2*$F36*(NETWORKDAYS(VLOOKUP(M$1,Sprints[],2,FALSE), VLOOKUP(M$1,Sprints[],3,FALSE))-SUMPRODUCT((OFFSET(INDIRECT(CELL("address",INDEX('Leave Tracker'!$A$8:$A$92,MATCH($A36,'Leave Tracker'!$A$8:$A$92,0)))),0,31*(VLOOKUP(M$1,Sprints[],5,FALSE))+DAY(VLOOKUP(M$1,Sprints[],2,FALSE)),1,VLOOKUP(M$1,Sprints[],4,FALSE))&lt;&gt;"")*(IF(OFFSET(INDIRECT(CELL("address",INDEX('Leave Tracker'!$A$8:$A$92,MATCH($A36,'Leave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1.6000000000000003</v>
      </c>
      <c r="N36">
        <f t="array" aca="1" ref="N36" ca="1">Sheet3!$W$2*$F36*(NETWORKDAYS(VLOOKUP(N$1,Sprints[],2,FALSE), VLOOKUP(N$1,Sprints[],3,FALSE))-SUMPRODUCT((OFFSET(INDIRECT(CELL("address",INDEX('Leave Tracker'!$A$8:$A$92,MATCH($A36,'Leave Tracker'!$A$8:$A$92,0)))),0,31*(VLOOKUP(N$1,Sprints[],5,FALSE))+DAY(VLOOKUP(N$1,Sprints[],2,FALSE)),1,VLOOKUP(N$1,Sprints[],4,FALSE))&lt;&gt;"")*(IF(OFFSET(INDIRECT(CELL("address",INDEX('Leave Tracker'!$A$8:$A$92,MATCH($A36,'Leave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0.80000000000000016</v>
      </c>
      <c r="O36">
        <f t="array" aca="1" ref="O36" ca="1">Sheet3!$W$2*$F36*(NETWORKDAYS(VLOOKUP(O$1,Sprints[],2,FALSE), VLOOKUP(O$1,Sprints[],3,FALSE))-SUMPRODUCT((OFFSET(INDIRECT(CELL("address",INDEX('Leave Tracker'!$A$8:$A$92,MATCH($A36,'Leave Tracker'!$A$8:$A$92,0)))),0,31*(VLOOKUP(O$1,Sprints[],5,FALSE))+DAY(VLOOKUP(O$1,Sprints[],2,FALSE)),1,VLOOKUP(O$1,Sprints[],4,FALSE))&lt;&gt;"")*(IF(OFFSET(INDIRECT(CELL("address",INDEX('Leave Tracker'!$A$8:$A$92,MATCH($A36,'Leave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1.6000000000000003</v>
      </c>
      <c r="P36">
        <f t="array" aca="1" ref="P36" ca="1">Sheet3!$W$2*$F36*(NETWORKDAYS(VLOOKUP(P$1,Sprints[],2,FALSE), VLOOKUP(P$1,Sprints[],3,FALSE))-SUMPRODUCT((OFFSET(INDIRECT(CELL("address",INDEX('Leave Tracker'!$A$8:$A$92,MATCH($A36,'Leave Tracker'!$A$8:$A$92,0)))),0,31*(VLOOKUP(P$1,Sprints[],5,FALSE))+DAY(VLOOKUP(P$1,Sprints[],2,FALSE)),1,VLOOKUP(P$1,Sprints[],4,FALSE))&lt;&gt;"")*(IF(OFFSET(INDIRECT(CELL("address",INDEX('Leave Tracker'!$A$8:$A$92,MATCH($A36,'Leave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1.4400000000000004</v>
      </c>
      <c r="Q36">
        <f t="array" aca="1" ref="Q36" ca="1">Sheet3!$W$2*$F36*(NETWORKDAYS(VLOOKUP(Q$1,Sprints[],2,FALSE), VLOOKUP(Q$1,Sprints[],3,FALSE))-SUMPRODUCT((OFFSET(INDIRECT(CELL("address",INDEX('Leave Tracker'!$A$8:$A$92,MATCH($A36,'Leave Tracker'!$A$8:$A$92,0)))),0,31*(VLOOKUP(Q$1,Sprints[],5,FALSE))+DAY(VLOOKUP(Q$1,Sprints[],2,FALSE)),1,VLOOKUP(Q$1,Sprints[],4,FALSE))&lt;&gt;"")*(IF(OFFSET(INDIRECT(CELL("address",INDEX('Leave Tracker'!$A$8:$A$92,MATCH($A36,'Leave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1.6000000000000003</v>
      </c>
      <c r="R36">
        <f t="array" aca="1" ref="R36" ca="1">Sheet3!$W$2*$F36*(NETWORKDAYS(VLOOKUP(R$1,Sprints[],2,FALSE), VLOOKUP(R$1,Sprints[],3,FALSE))-SUMPRODUCT((OFFSET(INDIRECT(CELL("address",INDEX('Leave Tracker'!$A$8:$A$92,MATCH($A36,'Leave Tracker'!$A$8:$A$92,0)))),0,31*(VLOOKUP(R$1,Sprints[],5,FALSE))+DAY(VLOOKUP(R$1,Sprints[],2,FALSE)),1,VLOOKUP(R$1,Sprints[],4,FALSE))&lt;&gt;"")*(IF(OFFSET(INDIRECT(CELL("address",INDEX('Leave Tracker'!$A$8:$A$92,MATCH($A36,'Leave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1.6000000000000003</v>
      </c>
      <c r="S36" s="74">
        <f t="array" aca="1" ref="S36" ca="1">Sheet3!$W$2*$F36*(NETWORKDAYS(VLOOKUP(S$1,Sprints[],2,FALSE), VLOOKUP(S$1,Sprints[],3,FALSE))-SUMPRODUCT((OFFSET(INDIRECT(CELL("address",INDEX('Leave Tracker'!$A$8:$A$92,MATCH($A36,'Leave Tracker'!$A$8:$A$92,0)))),0,31*(VLOOKUP(S$1,Sprints[],5,FALSE))+DAY(VLOOKUP(S$1,Sprints[],2,FALSE)),1,VLOOKUP(S$1,Sprints[],4,FALSE))&lt;&gt;"")*(IF(OFFSET(INDIRECT(CELL("address",INDEX('Leave Tracker'!$A$8:$A$92,MATCH($A36,'Leave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16.960000000000004</v>
      </c>
    </row>
    <row r="37" spans="1:19" x14ac:dyDescent="0.45">
      <c r="A37" t="s">
        <v>95</v>
      </c>
      <c r="B37" s="45" t="s">
        <v>103</v>
      </c>
      <c r="C37" s="45" t="s">
        <v>105</v>
      </c>
      <c r="D37" s="45" t="s">
        <v>119</v>
      </c>
      <c r="E37" s="45" t="s">
        <v>111</v>
      </c>
      <c r="F37" s="47">
        <v>0.75</v>
      </c>
      <c r="G37" s="45">
        <f t="array" aca="1" ref="G37" ca="1">Sheet3!$W$2*$F37*(NETWORKDAYS(VLOOKUP(G$1,Sprints[],2,FALSE), VLOOKUP(G$1,Sprints[],3,FALSE))-SUMPRODUCT((OFFSET(INDIRECT(CELL("address",INDEX('Leave Tracker'!$A$8:$A$92,MATCH($A37,'Leave Tracker'!$A$8:$A$92,0)))),0,31*(VLOOKUP(G$1,Sprints[],5,FALSE))+DAY(VLOOKUP(G$1,Sprints[],2,FALSE)),1,VLOOKUP(G$1,Sprints[],4,FALSE))&lt;&gt;"")*(IF(OFFSET(INDIRECT(CELL("address",INDEX('Leave Tracker'!$A$8:$A$92,MATCH($A37,'Leave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37">
        <f t="array" aca="1" ref="H37" ca="1">Sheet3!$W$2*$F37*(NETWORKDAYS(VLOOKUP(H$1,Sprints[],2,FALSE), VLOOKUP(H$1,Sprints[],3,FALSE))-SUMPRODUCT((OFFSET(INDIRECT(CELL("address",INDEX('Leave Tracker'!$A$8:$A$92,MATCH($A37,'Leave Tracker'!$A$8:$A$92,0)))),0,31*(VLOOKUP(H$1,Sprints[],5,FALSE))+DAY(VLOOKUP(H$1,Sprints[],2,FALSE)),1,VLOOKUP(H$1,Sprints[],4,FALSE))&lt;&gt;"")*(IF(OFFSET(INDIRECT(CELL("address",INDEX('Leave Tracker'!$A$8:$A$92,MATCH($A37,'Leave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37">
        <f t="array" aca="1" ref="I37" ca="1">Sheet3!$W$2*$F37*(NETWORKDAYS(VLOOKUP(I$1,Sprints[],2,FALSE), VLOOKUP(I$1,Sprints[],3,FALSE))-SUMPRODUCT((OFFSET(INDIRECT(CELL("address",INDEX('Leave Tracker'!$A$8:$A$92,MATCH($A37,'Leave Tracker'!$A$8:$A$92,0)))),0,31*(VLOOKUP(I$1,Sprints[],5,FALSE))+DAY(VLOOKUP(I$1,Sprints[],2,FALSE)),1,VLOOKUP(I$1,Sprints[],4,FALSE))&lt;&gt;"")*(IF(OFFSET(INDIRECT(CELL("address",INDEX('Leave Tracker'!$A$8:$A$92,MATCH($A37,'Leave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5.4</v>
      </c>
      <c r="J37">
        <f t="array" aca="1" ref="J37" ca="1">Sheet3!$W$2*$F37*(NETWORKDAYS(VLOOKUP(J$1,Sprints[],2,FALSE), VLOOKUP(J$1,Sprints[],3,FALSE))-SUMPRODUCT((OFFSET(INDIRECT(CELL("address",INDEX('Leave Tracker'!$A$8:$A$92,MATCH($A37,'Leave Tracker'!$A$8:$A$92,0)))),0,31*(VLOOKUP(J$1,Sprints[],5,FALSE))+DAY(VLOOKUP(J$1,Sprints[],2,FALSE)),1,VLOOKUP(J$1,Sprints[],4,FALSE))&lt;&gt;"")*(IF(OFFSET(INDIRECT(CELL("address",INDEX('Leave Tracker'!$A$8:$A$92,MATCH($A37,'Leave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37">
        <f t="array" aca="1" ref="K37" ca="1">Sheet3!$W$2*$F37*(NETWORKDAYS(VLOOKUP(K$1,Sprints[],2,FALSE), VLOOKUP(K$1,Sprints[],3,FALSE))-SUMPRODUCT((OFFSET(INDIRECT(CELL("address",INDEX('Leave Tracker'!$A$8:$A$92,MATCH($A37,'Leave Tracker'!$A$8:$A$92,0)))),0,31*(VLOOKUP(K$1,Sprints[],5,FALSE))+DAY(VLOOKUP(K$1,Sprints[],2,FALSE)),1,VLOOKUP(K$1,Sprints[],4,FALSE))&lt;&gt;"")*(IF(OFFSET(INDIRECT(CELL("address",INDEX('Leave Tracker'!$A$8:$A$92,MATCH($A37,'Leave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37">
        <f t="array" aca="1" ref="L37" ca="1">Sheet3!$W$2*$F37*(NETWORKDAYS(VLOOKUP(L$1,Sprints[],2,FALSE), VLOOKUP(L$1,Sprints[],3,FALSE))-SUMPRODUCT((OFFSET(INDIRECT(CELL("address",INDEX('Leave Tracker'!$A$8:$A$92,MATCH($A37,'Leave Tracker'!$A$8:$A$92,0)))),0,31*(VLOOKUP(L$1,Sprints[],5,FALSE))+DAY(VLOOKUP(L$1,Sprints[],2,FALSE)),1,VLOOKUP(L$1,Sprints[],4,FALSE))&lt;&gt;"")*(IF(OFFSET(INDIRECT(CELL("address",INDEX('Leave Tracker'!$A$8:$A$92,MATCH($A37,'Leave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4.8000000000000007</v>
      </c>
      <c r="M37" s="45">
        <f t="array" aca="1" ref="M37" ca="1">Sheet3!$W$2*$F37*(NETWORKDAYS(VLOOKUP(M$1,Sprints[],2,FALSE), VLOOKUP(M$1,Sprints[],3,FALSE))-SUMPRODUCT((OFFSET(INDIRECT(CELL("address",INDEX('Leave Tracker'!$A$8:$A$92,MATCH($A37,'Leave Tracker'!$A$8:$A$92,0)))),0,31*(VLOOKUP(M$1,Sprints[],5,FALSE))+DAY(VLOOKUP(M$1,Sprints[],2,FALSE)),1,VLOOKUP(M$1,Sprints[],4,FALSE))&lt;&gt;"")*(IF(OFFSET(INDIRECT(CELL("address",INDEX('Leave Tracker'!$A$8:$A$92,MATCH($A37,'Leave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5.4</v>
      </c>
      <c r="N37">
        <f t="array" aca="1" ref="N37" ca="1">Sheet3!$W$2*$F37*(NETWORKDAYS(VLOOKUP(N$1,Sprints[],2,FALSE), VLOOKUP(N$1,Sprints[],3,FALSE))-SUMPRODUCT((OFFSET(INDIRECT(CELL("address",INDEX('Leave Tracker'!$A$8:$A$92,MATCH($A37,'Leave Tracker'!$A$8:$A$92,0)))),0,31*(VLOOKUP(N$1,Sprints[],5,FALSE))+DAY(VLOOKUP(N$1,Sprints[],2,FALSE)),1,VLOOKUP(N$1,Sprints[],4,FALSE))&lt;&gt;"")*(IF(OFFSET(INDIRECT(CELL("address",INDEX('Leave Tracker'!$A$8:$A$92,MATCH($A37,'Leave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37">
        <f t="array" aca="1" ref="O37" ca="1">Sheet3!$W$2*$F37*(NETWORKDAYS(VLOOKUP(O$1,Sprints[],2,FALSE), VLOOKUP(O$1,Sprints[],3,FALSE))-SUMPRODUCT((OFFSET(INDIRECT(CELL("address",INDEX('Leave Tracker'!$A$8:$A$92,MATCH($A37,'Leave Tracker'!$A$8:$A$92,0)))),0,31*(VLOOKUP(O$1,Sprints[],5,FALSE))+DAY(VLOOKUP(O$1,Sprints[],2,FALSE)),1,VLOOKUP(O$1,Sprints[],4,FALSE))&lt;&gt;"")*(IF(OFFSET(INDIRECT(CELL("address",INDEX('Leave Tracker'!$A$8:$A$92,MATCH($A37,'Leave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37">
        <f t="array" aca="1" ref="P37" ca="1">Sheet3!$W$2*$F37*(NETWORKDAYS(VLOOKUP(P$1,Sprints[],2,FALSE), VLOOKUP(P$1,Sprints[],3,FALSE))-SUMPRODUCT((OFFSET(INDIRECT(CELL("address",INDEX('Leave Tracker'!$A$8:$A$92,MATCH($A37,'Leave Tracker'!$A$8:$A$92,0)))),0,31*(VLOOKUP(P$1,Sprints[],5,FALSE))+DAY(VLOOKUP(P$1,Sprints[],2,FALSE)),1,VLOOKUP(P$1,Sprints[],4,FALSE))&lt;&gt;"")*(IF(OFFSET(INDIRECT(CELL("address",INDEX('Leave Tracker'!$A$8:$A$92,MATCH($A37,'Leave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6.0000000000000009</v>
      </c>
      <c r="Q37">
        <f t="array" aca="1" ref="Q37" ca="1">Sheet3!$W$2*$F37*(NETWORKDAYS(VLOOKUP(Q$1,Sprints[],2,FALSE), VLOOKUP(Q$1,Sprints[],3,FALSE))-SUMPRODUCT((OFFSET(INDIRECT(CELL("address",INDEX('Leave Tracker'!$A$8:$A$92,MATCH($A37,'Leave Tracker'!$A$8:$A$92,0)))),0,31*(VLOOKUP(Q$1,Sprints[],5,FALSE))+DAY(VLOOKUP(Q$1,Sprints[],2,FALSE)),1,VLOOKUP(Q$1,Sprints[],4,FALSE))&lt;&gt;"")*(IF(OFFSET(INDIRECT(CELL("address",INDEX('Leave Tracker'!$A$8:$A$92,MATCH($A37,'Leave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37">
        <f t="array" aca="1" ref="R37" ca="1">Sheet3!$W$2*$F37*(NETWORKDAYS(VLOOKUP(R$1,Sprints[],2,FALSE), VLOOKUP(R$1,Sprints[],3,FALSE))-SUMPRODUCT((OFFSET(INDIRECT(CELL("address",INDEX('Leave Tracker'!$A$8:$A$92,MATCH($A37,'Leave Tracker'!$A$8:$A$92,0)))),0,31*(VLOOKUP(R$1,Sprints[],5,FALSE))+DAY(VLOOKUP(R$1,Sprints[],2,FALSE)),1,VLOOKUP(R$1,Sprints[],4,FALSE))&lt;&gt;"")*(IF(OFFSET(INDIRECT(CELL("address",INDEX('Leave Tracker'!$A$8:$A$92,MATCH($A37,'Leave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5.4</v>
      </c>
      <c r="S37" s="74">
        <f t="array" aca="1" ref="S37" ca="1">Sheet3!$W$2*$F37*(NETWORKDAYS(VLOOKUP(S$1,Sprints[],2,FALSE), VLOOKUP(S$1,Sprints[],3,FALSE))-SUMPRODUCT((OFFSET(INDIRECT(CELL("address",INDEX('Leave Tracker'!$A$8:$A$92,MATCH($A37,'Leave Tracker'!$A$8:$A$92,0)))),0,31*(VLOOKUP(S$1,Sprints[],5,FALSE))+DAY(VLOOKUP(S$1,Sprints[],2,FALSE)),1,VLOOKUP(S$1,Sprints[],4,FALSE))&lt;&gt;"")*(IF(OFFSET(INDIRECT(CELL("address",INDEX('Leave Tracker'!$A$8:$A$92,MATCH($A37,'Leave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63.000000000000007</v>
      </c>
    </row>
    <row r="38" spans="1:19" x14ac:dyDescent="0.45">
      <c r="A38" t="s">
        <v>74</v>
      </c>
      <c r="B38" s="45" t="s">
        <v>106</v>
      </c>
      <c r="C38" s="45" t="s">
        <v>104</v>
      </c>
      <c r="D38" s="45" t="s">
        <v>119</v>
      </c>
      <c r="E38" s="45" t="s">
        <v>113</v>
      </c>
      <c r="F38" s="47">
        <v>0.75</v>
      </c>
      <c r="G38" s="45">
        <f t="array" aca="1" ref="G38" ca="1">Sheet3!$W$2*$F38*(NETWORKDAYS(VLOOKUP(G$1,Sprints[],2,FALSE), VLOOKUP(G$1,Sprints[],3,FALSE))-SUMPRODUCT((OFFSET(INDIRECT(CELL("address",INDEX('Leave Tracker'!$A$8:$A$92,MATCH($A38,'Leave Tracker'!$A$8:$A$92,0)))),0,31*(VLOOKUP(G$1,Sprints[],5,FALSE))+DAY(VLOOKUP(G$1,Sprints[],2,FALSE)),1,VLOOKUP(G$1,Sprints[],4,FALSE))&lt;&gt;"")*(IF(OFFSET(INDIRECT(CELL("address",INDEX('Leave Tracker'!$A$8:$A$92,MATCH($A38,'Leave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38">
        <f t="array" aca="1" ref="H38" ca="1">Sheet3!$W$2*$F38*(NETWORKDAYS(VLOOKUP(H$1,Sprints[],2,FALSE), VLOOKUP(H$1,Sprints[],3,FALSE))-SUMPRODUCT((OFFSET(INDIRECT(CELL("address",INDEX('Leave Tracker'!$A$8:$A$92,MATCH($A38,'Leave Tracker'!$A$8:$A$92,0)))),0,31*(VLOOKUP(H$1,Sprints[],5,FALSE))+DAY(VLOOKUP(H$1,Sprints[],2,FALSE)),1,VLOOKUP(H$1,Sprints[],4,FALSE))&lt;&gt;"")*(IF(OFFSET(INDIRECT(CELL("address",INDEX('Leave Tracker'!$A$8:$A$92,MATCH($A38,'Leave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38">
        <f t="array" aca="1" ref="I38" ca="1">Sheet3!$W$2*$F38*(NETWORKDAYS(VLOOKUP(I$1,Sprints[],2,FALSE), VLOOKUP(I$1,Sprints[],3,FALSE))-SUMPRODUCT((OFFSET(INDIRECT(CELL("address",INDEX('Leave Tracker'!$A$8:$A$92,MATCH($A38,'Leave Tracker'!$A$8:$A$92,0)))),0,31*(VLOOKUP(I$1,Sprints[],5,FALSE))+DAY(VLOOKUP(I$1,Sprints[],2,FALSE)),1,VLOOKUP(I$1,Sprints[],4,FALSE))&lt;&gt;"")*(IF(OFFSET(INDIRECT(CELL("address",INDEX('Leave Tracker'!$A$8:$A$92,MATCH($A38,'Leave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6.0000000000000009</v>
      </c>
      <c r="J38">
        <f t="array" aca="1" ref="J38" ca="1">Sheet3!$W$2*$F38*(NETWORKDAYS(VLOOKUP(J$1,Sprints[],2,FALSE), VLOOKUP(J$1,Sprints[],3,FALSE))-SUMPRODUCT((OFFSET(INDIRECT(CELL("address",INDEX('Leave Tracker'!$A$8:$A$92,MATCH($A38,'Leave Tracker'!$A$8:$A$92,0)))),0,31*(VLOOKUP(J$1,Sprints[],5,FALSE))+DAY(VLOOKUP(J$1,Sprints[],2,FALSE)),1,VLOOKUP(J$1,Sprints[],4,FALSE))&lt;&gt;"")*(IF(OFFSET(INDIRECT(CELL("address",INDEX('Leave Tracker'!$A$8:$A$92,MATCH($A38,'Leave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38">
        <f t="array" aca="1" ref="K38" ca="1">Sheet3!$W$2*$F38*(NETWORKDAYS(VLOOKUP(K$1,Sprints[],2,FALSE), VLOOKUP(K$1,Sprints[],3,FALSE))-SUMPRODUCT((OFFSET(INDIRECT(CELL("address",INDEX('Leave Tracker'!$A$8:$A$92,MATCH($A38,'Leave Tracker'!$A$8:$A$92,0)))),0,31*(VLOOKUP(K$1,Sprints[],5,FALSE))+DAY(VLOOKUP(K$1,Sprints[],2,FALSE)),1,VLOOKUP(K$1,Sprints[],4,FALSE))&lt;&gt;"")*(IF(OFFSET(INDIRECT(CELL("address",INDEX('Leave Tracker'!$A$8:$A$92,MATCH($A38,'Leave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38">
        <f t="array" aca="1" ref="L38" ca="1">Sheet3!$W$2*$F38*(NETWORKDAYS(VLOOKUP(L$1,Sprints[],2,FALSE), VLOOKUP(L$1,Sprints[],3,FALSE))-SUMPRODUCT((OFFSET(INDIRECT(CELL("address",INDEX('Leave Tracker'!$A$8:$A$92,MATCH($A38,'Leave Tracker'!$A$8:$A$92,0)))),0,31*(VLOOKUP(L$1,Sprints[],5,FALSE))+DAY(VLOOKUP(L$1,Sprints[],2,FALSE)),1,VLOOKUP(L$1,Sprints[],4,FALSE))&lt;&gt;"")*(IF(OFFSET(INDIRECT(CELL("address",INDEX('Leave Tracker'!$A$8:$A$92,MATCH($A38,'Leave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4.2000000000000011</v>
      </c>
      <c r="M38" s="45">
        <f t="array" aca="1" ref="M38" ca="1">Sheet3!$W$2*$F38*(NETWORKDAYS(VLOOKUP(M$1,Sprints[],2,FALSE), VLOOKUP(M$1,Sprints[],3,FALSE))-SUMPRODUCT((OFFSET(INDIRECT(CELL("address",INDEX('Leave Tracker'!$A$8:$A$92,MATCH($A38,'Leave Tracker'!$A$8:$A$92,0)))),0,31*(VLOOKUP(M$1,Sprints[],5,FALSE))+DAY(VLOOKUP(M$1,Sprints[],2,FALSE)),1,VLOOKUP(M$1,Sprints[],4,FALSE))&lt;&gt;"")*(IF(OFFSET(INDIRECT(CELL("address",INDEX('Leave Tracker'!$A$8:$A$92,MATCH($A38,'Leave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6.0000000000000009</v>
      </c>
      <c r="N38">
        <f t="array" aca="1" ref="N38" ca="1">Sheet3!$W$2*$F38*(NETWORKDAYS(VLOOKUP(N$1,Sprints[],2,FALSE), VLOOKUP(N$1,Sprints[],3,FALSE))-SUMPRODUCT((OFFSET(INDIRECT(CELL("address",INDEX('Leave Tracker'!$A$8:$A$92,MATCH($A38,'Leave Tracker'!$A$8:$A$92,0)))),0,31*(VLOOKUP(N$1,Sprints[],5,FALSE))+DAY(VLOOKUP(N$1,Sprints[],2,FALSE)),1,VLOOKUP(N$1,Sprints[],4,FALSE))&lt;&gt;"")*(IF(OFFSET(INDIRECT(CELL("address",INDEX('Leave Tracker'!$A$8:$A$92,MATCH($A38,'Leave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38">
        <f t="array" aca="1" ref="O38" ca="1">Sheet3!$W$2*$F38*(NETWORKDAYS(VLOOKUP(O$1,Sprints[],2,FALSE), VLOOKUP(O$1,Sprints[],3,FALSE))-SUMPRODUCT((OFFSET(INDIRECT(CELL("address",INDEX('Leave Tracker'!$A$8:$A$92,MATCH($A38,'Leave Tracker'!$A$8:$A$92,0)))),0,31*(VLOOKUP(O$1,Sprints[],5,FALSE))+DAY(VLOOKUP(O$1,Sprints[],2,FALSE)),1,VLOOKUP(O$1,Sprints[],4,FALSE))&lt;&gt;"")*(IF(OFFSET(INDIRECT(CELL("address",INDEX('Leave Tracker'!$A$8:$A$92,MATCH($A38,'Leave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38">
        <f t="array" aca="1" ref="P38" ca="1">Sheet3!$W$2*$F38*(NETWORKDAYS(VLOOKUP(P$1,Sprints[],2,FALSE), VLOOKUP(P$1,Sprints[],3,FALSE))-SUMPRODUCT((OFFSET(INDIRECT(CELL("address",INDEX('Leave Tracker'!$A$8:$A$92,MATCH($A38,'Leave Tracker'!$A$8:$A$92,0)))),0,31*(VLOOKUP(P$1,Sprints[],5,FALSE))+DAY(VLOOKUP(P$1,Sprints[],2,FALSE)),1,VLOOKUP(P$1,Sprints[],4,FALSE))&lt;&gt;"")*(IF(OFFSET(INDIRECT(CELL("address",INDEX('Leave Tracker'!$A$8:$A$92,MATCH($A38,'Leave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5.4</v>
      </c>
      <c r="Q38">
        <f t="array" aca="1" ref="Q38" ca="1">Sheet3!$W$2*$F38*(NETWORKDAYS(VLOOKUP(Q$1,Sprints[],2,FALSE), VLOOKUP(Q$1,Sprints[],3,FALSE))-SUMPRODUCT((OFFSET(INDIRECT(CELL("address",INDEX('Leave Tracker'!$A$8:$A$92,MATCH($A38,'Leave Tracker'!$A$8:$A$92,0)))),0,31*(VLOOKUP(Q$1,Sprints[],5,FALSE))+DAY(VLOOKUP(Q$1,Sprints[],2,FALSE)),1,VLOOKUP(Q$1,Sprints[],4,FALSE))&lt;&gt;"")*(IF(OFFSET(INDIRECT(CELL("address",INDEX('Leave Tracker'!$A$8:$A$92,MATCH($A38,'Leave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38">
        <f t="array" aca="1" ref="R38" ca="1">Sheet3!$W$2*$F38*(NETWORKDAYS(VLOOKUP(R$1,Sprints[],2,FALSE), VLOOKUP(R$1,Sprints[],3,FALSE))-SUMPRODUCT((OFFSET(INDIRECT(CELL("address",INDEX('Leave Tracker'!$A$8:$A$92,MATCH($A38,'Leave Tracker'!$A$8:$A$92,0)))),0,31*(VLOOKUP(R$1,Sprints[],5,FALSE))+DAY(VLOOKUP(R$1,Sprints[],2,FALSE)),1,VLOOKUP(R$1,Sprints[],4,FALSE))&lt;&gt;"")*(IF(OFFSET(INDIRECT(CELL("address",INDEX('Leave Tracker'!$A$8:$A$92,MATCH($A38,'Leave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6.0000000000000009</v>
      </c>
      <c r="S38" s="74">
        <f t="array" aca="1" ref="S38" ca="1">Sheet3!$W$2*$F38*(NETWORKDAYS(VLOOKUP(S$1,Sprints[],2,FALSE), VLOOKUP(S$1,Sprints[],3,FALSE))-SUMPRODUCT((OFFSET(INDIRECT(CELL("address",INDEX('Leave Tracker'!$A$8:$A$92,MATCH($A38,'Leave Tracker'!$A$8:$A$92,0)))),0,31*(VLOOKUP(S$1,Sprints[],5,FALSE))+DAY(VLOOKUP(S$1,Sprints[],2,FALSE)),1,VLOOKUP(S$1,Sprints[],4,FALSE))&lt;&gt;"")*(IF(OFFSET(INDIRECT(CELL("address",INDEX('Leave Tracker'!$A$8:$A$92,MATCH($A38,'Leave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63.600000000000009</v>
      </c>
    </row>
    <row r="39" spans="1:19" x14ac:dyDescent="0.45">
      <c r="A39" t="s">
        <v>44</v>
      </c>
      <c r="B39" s="45" t="s">
        <v>99</v>
      </c>
      <c r="C39" s="45" t="s">
        <v>104</v>
      </c>
      <c r="D39" s="45" t="s">
        <v>120</v>
      </c>
      <c r="E39" s="45" t="s">
        <v>115</v>
      </c>
      <c r="F39" s="47">
        <v>0.75</v>
      </c>
      <c r="G39" s="45">
        <f t="array" aca="1" ref="G39" ca="1">Sheet3!$W$2*$F39*(NETWORKDAYS(VLOOKUP(G$1,Sprints[],2,FALSE), VLOOKUP(G$1,Sprints[],3,FALSE))-SUMPRODUCT((OFFSET(INDIRECT(CELL("address",INDEX('Leave Tracker'!$A$8:$A$92,MATCH($A39,'Leave Tracker'!$A$8:$A$92,0)))),0,31*(VLOOKUP(G$1,Sprints[],5,FALSE))+DAY(VLOOKUP(G$1,Sprints[],2,FALSE)),1,VLOOKUP(G$1,Sprints[],4,FALSE))&lt;&gt;"")*(IF(OFFSET(INDIRECT(CELL("address",INDEX('Leave Tracker'!$A$8:$A$92,MATCH($A39,'Leave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39">
        <f t="array" aca="1" ref="H39" ca="1">Sheet3!$W$2*$F39*(NETWORKDAYS(VLOOKUP(H$1,Sprints[],2,FALSE), VLOOKUP(H$1,Sprints[],3,FALSE))-SUMPRODUCT((OFFSET(INDIRECT(CELL("address",INDEX('Leave Tracker'!$A$8:$A$92,MATCH($A39,'Leave Tracker'!$A$8:$A$92,0)))),0,31*(VLOOKUP(H$1,Sprints[],5,FALSE))+DAY(VLOOKUP(H$1,Sprints[],2,FALSE)),1,VLOOKUP(H$1,Sprints[],4,FALSE))&lt;&gt;"")*(IF(OFFSET(INDIRECT(CELL("address",INDEX('Leave Tracker'!$A$8:$A$92,MATCH($A39,'Leave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39">
        <f t="array" aca="1" ref="I39" ca="1">Sheet3!$W$2*$F39*(NETWORKDAYS(VLOOKUP(I$1,Sprints[],2,FALSE), VLOOKUP(I$1,Sprints[],3,FALSE))-SUMPRODUCT((OFFSET(INDIRECT(CELL("address",INDEX('Leave Tracker'!$A$8:$A$92,MATCH($A39,'Leave Tracker'!$A$8:$A$92,0)))),0,31*(VLOOKUP(I$1,Sprints[],5,FALSE))+DAY(VLOOKUP(I$1,Sprints[],2,FALSE)),1,VLOOKUP(I$1,Sprints[],4,FALSE))&lt;&gt;"")*(IF(OFFSET(INDIRECT(CELL("address",INDEX('Leave Tracker'!$A$8:$A$92,MATCH($A39,'Leave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6.0000000000000009</v>
      </c>
      <c r="J39">
        <f t="array" aca="1" ref="J39" ca="1">Sheet3!$W$2*$F39*(NETWORKDAYS(VLOOKUP(J$1,Sprints[],2,FALSE), VLOOKUP(J$1,Sprints[],3,FALSE))-SUMPRODUCT((OFFSET(INDIRECT(CELL("address",INDEX('Leave Tracker'!$A$8:$A$92,MATCH($A39,'Leave Tracker'!$A$8:$A$92,0)))),0,31*(VLOOKUP(J$1,Sprints[],5,FALSE))+DAY(VLOOKUP(J$1,Sprints[],2,FALSE)),1,VLOOKUP(J$1,Sprints[],4,FALSE))&lt;&gt;"")*(IF(OFFSET(INDIRECT(CELL("address",INDEX('Leave Tracker'!$A$8:$A$92,MATCH($A39,'Leave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39">
        <f t="array" aca="1" ref="K39" ca="1">Sheet3!$W$2*$F39*(NETWORKDAYS(VLOOKUP(K$1,Sprints[],2,FALSE), VLOOKUP(K$1,Sprints[],3,FALSE))-SUMPRODUCT((OFFSET(INDIRECT(CELL("address",INDEX('Leave Tracker'!$A$8:$A$92,MATCH($A39,'Leave Tracker'!$A$8:$A$92,0)))),0,31*(VLOOKUP(K$1,Sprints[],5,FALSE))+DAY(VLOOKUP(K$1,Sprints[],2,FALSE)),1,VLOOKUP(K$1,Sprints[],4,FALSE))&lt;&gt;"")*(IF(OFFSET(INDIRECT(CELL("address",INDEX('Leave Tracker'!$A$8:$A$92,MATCH($A39,'Leave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39">
        <f t="array" aca="1" ref="L39" ca="1">Sheet3!$W$2*$F39*(NETWORKDAYS(VLOOKUP(L$1,Sprints[],2,FALSE), VLOOKUP(L$1,Sprints[],3,FALSE))-SUMPRODUCT((OFFSET(INDIRECT(CELL("address",INDEX('Leave Tracker'!$A$8:$A$92,MATCH($A39,'Leave Tracker'!$A$8:$A$92,0)))),0,31*(VLOOKUP(L$1,Sprints[],5,FALSE))+DAY(VLOOKUP(L$1,Sprints[],2,FALSE)),1,VLOOKUP(L$1,Sprints[],4,FALSE))&lt;&gt;"")*(IF(OFFSET(INDIRECT(CELL("address",INDEX('Leave Tracker'!$A$8:$A$92,MATCH($A39,'Leave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4.2000000000000011</v>
      </c>
      <c r="M39" s="45">
        <f t="array" aca="1" ref="M39" ca="1">Sheet3!$W$2*$F39*(NETWORKDAYS(VLOOKUP(M$1,Sprints[],2,FALSE), VLOOKUP(M$1,Sprints[],3,FALSE))-SUMPRODUCT((OFFSET(INDIRECT(CELL("address",INDEX('Leave Tracker'!$A$8:$A$92,MATCH($A39,'Leave Tracker'!$A$8:$A$92,0)))),0,31*(VLOOKUP(M$1,Sprints[],5,FALSE))+DAY(VLOOKUP(M$1,Sprints[],2,FALSE)),1,VLOOKUP(M$1,Sprints[],4,FALSE))&lt;&gt;"")*(IF(OFFSET(INDIRECT(CELL("address",INDEX('Leave Tracker'!$A$8:$A$92,MATCH($A39,'Leave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6.0000000000000009</v>
      </c>
      <c r="N39">
        <f t="array" aca="1" ref="N39" ca="1">Sheet3!$W$2*$F39*(NETWORKDAYS(VLOOKUP(N$1,Sprints[],2,FALSE), VLOOKUP(N$1,Sprints[],3,FALSE))-SUMPRODUCT((OFFSET(INDIRECT(CELL("address",INDEX('Leave Tracker'!$A$8:$A$92,MATCH($A39,'Leave Tracker'!$A$8:$A$92,0)))),0,31*(VLOOKUP(N$1,Sprints[],5,FALSE))+DAY(VLOOKUP(N$1,Sprints[],2,FALSE)),1,VLOOKUP(N$1,Sprints[],4,FALSE))&lt;&gt;"")*(IF(OFFSET(INDIRECT(CELL("address",INDEX('Leave Tracker'!$A$8:$A$92,MATCH($A39,'Leave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39">
        <f t="array" aca="1" ref="O39" ca="1">Sheet3!$W$2*$F39*(NETWORKDAYS(VLOOKUP(O$1,Sprints[],2,FALSE), VLOOKUP(O$1,Sprints[],3,FALSE))-SUMPRODUCT((OFFSET(INDIRECT(CELL("address",INDEX('Leave Tracker'!$A$8:$A$92,MATCH($A39,'Leave Tracker'!$A$8:$A$92,0)))),0,31*(VLOOKUP(O$1,Sprints[],5,FALSE))+DAY(VLOOKUP(O$1,Sprints[],2,FALSE)),1,VLOOKUP(O$1,Sprints[],4,FALSE))&lt;&gt;"")*(IF(OFFSET(INDIRECT(CELL("address",INDEX('Leave Tracker'!$A$8:$A$92,MATCH($A39,'Leave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39">
        <f t="array" aca="1" ref="P39" ca="1">Sheet3!$W$2*$F39*(NETWORKDAYS(VLOOKUP(P$1,Sprints[],2,FALSE), VLOOKUP(P$1,Sprints[],3,FALSE))-SUMPRODUCT((OFFSET(INDIRECT(CELL("address",INDEX('Leave Tracker'!$A$8:$A$92,MATCH($A39,'Leave Tracker'!$A$8:$A$92,0)))),0,31*(VLOOKUP(P$1,Sprints[],5,FALSE))+DAY(VLOOKUP(P$1,Sprints[],2,FALSE)),1,VLOOKUP(P$1,Sprints[],4,FALSE))&lt;&gt;"")*(IF(OFFSET(INDIRECT(CELL("address",INDEX('Leave Tracker'!$A$8:$A$92,MATCH($A39,'Leave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5.4</v>
      </c>
      <c r="Q39">
        <f t="array" aca="1" ref="Q39" ca="1">Sheet3!$W$2*$F39*(NETWORKDAYS(VLOOKUP(Q$1,Sprints[],2,FALSE), VLOOKUP(Q$1,Sprints[],3,FALSE))-SUMPRODUCT((OFFSET(INDIRECT(CELL("address",INDEX('Leave Tracker'!$A$8:$A$92,MATCH($A39,'Leave Tracker'!$A$8:$A$92,0)))),0,31*(VLOOKUP(Q$1,Sprints[],5,FALSE))+DAY(VLOOKUP(Q$1,Sprints[],2,FALSE)),1,VLOOKUP(Q$1,Sprints[],4,FALSE))&lt;&gt;"")*(IF(OFFSET(INDIRECT(CELL("address",INDEX('Leave Tracker'!$A$8:$A$92,MATCH($A39,'Leave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39">
        <f t="array" aca="1" ref="R39" ca="1">Sheet3!$W$2*$F39*(NETWORKDAYS(VLOOKUP(R$1,Sprints[],2,FALSE), VLOOKUP(R$1,Sprints[],3,FALSE))-SUMPRODUCT((OFFSET(INDIRECT(CELL("address",INDEX('Leave Tracker'!$A$8:$A$92,MATCH($A39,'Leave Tracker'!$A$8:$A$92,0)))),0,31*(VLOOKUP(R$1,Sprints[],5,FALSE))+DAY(VLOOKUP(R$1,Sprints[],2,FALSE)),1,VLOOKUP(R$1,Sprints[],4,FALSE))&lt;&gt;"")*(IF(OFFSET(INDIRECT(CELL("address",INDEX('Leave Tracker'!$A$8:$A$92,MATCH($A39,'Leave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6.0000000000000009</v>
      </c>
      <c r="S39" s="74">
        <f t="array" aca="1" ref="S39" ca="1">Sheet3!$W$2*$F39*(NETWORKDAYS(VLOOKUP(S$1,Sprints[],2,FALSE), VLOOKUP(S$1,Sprints[],3,FALSE))-SUMPRODUCT((OFFSET(INDIRECT(CELL("address",INDEX('Leave Tracker'!$A$8:$A$92,MATCH($A39,'Leave Tracker'!$A$8:$A$92,0)))),0,31*(VLOOKUP(S$1,Sprints[],5,FALSE))+DAY(VLOOKUP(S$1,Sprints[],2,FALSE)),1,VLOOKUP(S$1,Sprints[],4,FALSE))&lt;&gt;"")*(IF(OFFSET(INDIRECT(CELL("address",INDEX('Leave Tracker'!$A$8:$A$92,MATCH($A39,'Leave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63.600000000000009</v>
      </c>
    </row>
    <row r="40" spans="1:19" x14ac:dyDescent="0.45">
      <c r="A40" t="s">
        <v>134</v>
      </c>
      <c r="B40" s="45" t="s">
        <v>106</v>
      </c>
      <c r="C40" s="45" t="s">
        <v>104</v>
      </c>
      <c r="D40" s="45" t="s">
        <v>119</v>
      </c>
      <c r="E40" s="45" t="s">
        <v>111</v>
      </c>
      <c r="F40" s="47">
        <v>0.4</v>
      </c>
      <c r="G40" s="31">
        <f t="array" aca="1" ref="G40" ca="1">Sheet3!$W$2*$F40*(NETWORKDAYS(VLOOKUP(G$1,Sprints[],2,FALSE), VLOOKUP(G$1,Sprints[],3,FALSE))-SUMPRODUCT((OFFSET(INDIRECT(CELL("address",INDEX('Leave Tracker'!$A$8:$A$92,MATCH($A40,'Leave Tracker'!$A$8:$A$92,0)))),0,31*(VLOOKUP(G$1,Sprints[],5,FALSE))+DAY(VLOOKUP(G$1,Sprints[],2,FALSE)),1,VLOOKUP(G$1,Sprints[],4,FALSE))&lt;&gt;"")*(IF(OFFSET(INDIRECT(CELL("address",INDEX('Leave Tracker'!$A$8:$A$92,MATCH($A40,'Leave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1.6000000000000003</v>
      </c>
      <c r="H40">
        <f t="array" aca="1" ref="H40" ca="1">Sheet3!$W$2*$F40*(NETWORKDAYS(VLOOKUP(H$1,Sprints[],2,FALSE), VLOOKUP(H$1,Sprints[],3,FALSE))-SUMPRODUCT((OFFSET(INDIRECT(CELL("address",INDEX('Leave Tracker'!$A$8:$A$92,MATCH($A40,'Leave Tracker'!$A$8:$A$92,0)))),0,31*(VLOOKUP(H$1,Sprints[],5,FALSE))+DAY(VLOOKUP(H$1,Sprints[],2,FALSE)),1,VLOOKUP(H$1,Sprints[],4,FALSE))&lt;&gt;"")*(IF(OFFSET(INDIRECT(CELL("address",INDEX('Leave Tracker'!$A$8:$A$92,MATCH($A40,'Leave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3.2000000000000006</v>
      </c>
      <c r="I40" s="31">
        <f t="array" aca="1" ref="I40" ca="1">Sheet3!$W$2*$F40*(NETWORKDAYS(VLOOKUP(I$1,Sprints[],2,FALSE), VLOOKUP(I$1,Sprints[],3,FALSE))-SUMPRODUCT((OFFSET(INDIRECT(CELL("address",INDEX('Leave Tracker'!$A$8:$A$92,MATCH($A40,'Leave Tracker'!$A$8:$A$92,0)))),0,31*(VLOOKUP(I$1,Sprints[],5,FALSE))+DAY(VLOOKUP(I$1,Sprints[],2,FALSE)),1,VLOOKUP(I$1,Sprints[],4,FALSE))&lt;&gt;"")*(IF(OFFSET(INDIRECT(CELL("address",INDEX('Leave Tracker'!$A$8:$A$92,MATCH($A40,'Leave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3.2000000000000006</v>
      </c>
      <c r="J40" s="31">
        <f t="array" aca="1" ref="J40" ca="1">Sheet3!$W$2*$F40*(NETWORKDAYS(VLOOKUP(J$1,Sprints[],2,FALSE), VLOOKUP(J$1,Sprints[],3,FALSE))-SUMPRODUCT((OFFSET(INDIRECT(CELL("address",INDEX('Leave Tracker'!$A$8:$A$92,MATCH($A40,'Leave Tracker'!$A$8:$A$92,0)))),0,31*(VLOOKUP(J$1,Sprints[],5,FALSE))+DAY(VLOOKUP(J$1,Sprints[],2,FALSE)),1,VLOOKUP(J$1,Sprints[],4,FALSE))&lt;&gt;"")*(IF(OFFSET(INDIRECT(CELL("address",INDEX('Leave Tracker'!$A$8:$A$92,MATCH($A40,'Leave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3.2000000000000006</v>
      </c>
      <c r="K40" s="31">
        <f t="array" aca="1" ref="K40" ca="1">Sheet3!$W$2*$F40*(NETWORKDAYS(VLOOKUP(K$1,Sprints[],2,FALSE), VLOOKUP(K$1,Sprints[],3,FALSE))-SUMPRODUCT((OFFSET(INDIRECT(CELL("address",INDEX('Leave Tracker'!$A$8:$A$92,MATCH($A40,'Leave Tracker'!$A$8:$A$92,0)))),0,31*(VLOOKUP(K$1,Sprints[],5,FALSE))+DAY(VLOOKUP(K$1,Sprints[],2,FALSE)),1,VLOOKUP(K$1,Sprints[],4,FALSE))&lt;&gt;"")*(IF(OFFSET(INDIRECT(CELL("address",INDEX('Leave Tracker'!$A$8:$A$92,MATCH($A40,'Leave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3.2000000000000006</v>
      </c>
      <c r="L40" s="31">
        <f t="array" aca="1" ref="L40" ca="1">Sheet3!$W$2*$F40*(NETWORKDAYS(VLOOKUP(L$1,Sprints[],2,FALSE), VLOOKUP(L$1,Sprints[],3,FALSE))-SUMPRODUCT((OFFSET(INDIRECT(CELL("address",INDEX('Leave Tracker'!$A$8:$A$92,MATCH($A40,'Leave Tracker'!$A$8:$A$92,0)))),0,31*(VLOOKUP(L$1,Sprints[],5,FALSE))+DAY(VLOOKUP(L$1,Sprints[],2,FALSE)),1,VLOOKUP(L$1,Sprints[],4,FALSE))&lt;&gt;"")*(IF(OFFSET(INDIRECT(CELL("address",INDEX('Leave Tracker'!$A$8:$A$92,MATCH($A40,'Leave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2.2400000000000002</v>
      </c>
      <c r="M40" s="31">
        <f t="array" aca="1" ref="M40" ca="1">Sheet3!$W$2*$F40*(NETWORKDAYS(VLOOKUP(M$1,Sprints[],2,FALSE), VLOOKUP(M$1,Sprints[],3,FALSE))-SUMPRODUCT((OFFSET(INDIRECT(CELL("address",INDEX('Leave Tracker'!$A$8:$A$92,MATCH($A40,'Leave Tracker'!$A$8:$A$92,0)))),0,31*(VLOOKUP(M$1,Sprints[],5,FALSE))+DAY(VLOOKUP(M$1,Sprints[],2,FALSE)),1,VLOOKUP(M$1,Sprints[],4,FALSE))&lt;&gt;"")*(IF(OFFSET(INDIRECT(CELL("address",INDEX('Leave Tracker'!$A$8:$A$92,MATCH($A40,'Leave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3.2000000000000006</v>
      </c>
      <c r="N40" s="31">
        <f t="array" aca="1" ref="N40" ca="1">Sheet3!$W$2*$F40*(NETWORKDAYS(VLOOKUP(N$1,Sprints[],2,FALSE), VLOOKUP(N$1,Sprints[],3,FALSE))-SUMPRODUCT((OFFSET(INDIRECT(CELL("address",INDEX('Leave Tracker'!$A$8:$A$92,MATCH($A40,'Leave Tracker'!$A$8:$A$92,0)))),0,31*(VLOOKUP(N$1,Sprints[],5,FALSE))+DAY(VLOOKUP(N$1,Sprints[],2,FALSE)),1,VLOOKUP(N$1,Sprints[],4,FALSE))&lt;&gt;"")*(IF(OFFSET(INDIRECT(CELL("address",INDEX('Leave Tracker'!$A$8:$A$92,MATCH($A40,'Leave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1.6000000000000003</v>
      </c>
      <c r="O40" s="31">
        <f t="array" aca="1" ref="O40" ca="1">Sheet3!$W$2*$F40*(NETWORKDAYS(VLOOKUP(O$1,Sprints[],2,FALSE), VLOOKUP(O$1,Sprints[],3,FALSE))-SUMPRODUCT((OFFSET(INDIRECT(CELL("address",INDEX('Leave Tracker'!$A$8:$A$92,MATCH($A40,'Leave Tracker'!$A$8:$A$92,0)))),0,31*(VLOOKUP(O$1,Sprints[],5,FALSE))+DAY(VLOOKUP(O$1,Sprints[],2,FALSE)),1,VLOOKUP(O$1,Sprints[],4,FALSE))&lt;&gt;"")*(IF(OFFSET(INDIRECT(CELL("address",INDEX('Leave Tracker'!$A$8:$A$92,MATCH($A40,'Leave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3.2000000000000006</v>
      </c>
      <c r="P40" s="31">
        <f t="array" aca="1" ref="P40" ca="1">Sheet3!$W$2*$F40*(NETWORKDAYS(VLOOKUP(P$1,Sprints[],2,FALSE), VLOOKUP(P$1,Sprints[],3,FALSE))-SUMPRODUCT((OFFSET(INDIRECT(CELL("address",INDEX('Leave Tracker'!$A$8:$A$92,MATCH($A40,'Leave Tracker'!$A$8:$A$92,0)))),0,31*(VLOOKUP(P$1,Sprints[],5,FALSE))+DAY(VLOOKUP(P$1,Sprints[],2,FALSE)),1,VLOOKUP(P$1,Sprints[],4,FALSE))&lt;&gt;"")*(IF(OFFSET(INDIRECT(CELL("address",INDEX('Leave Tracker'!$A$8:$A$92,MATCH($A40,'Leave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2.8800000000000008</v>
      </c>
      <c r="Q40" s="31">
        <f t="array" aca="1" ref="Q40" ca="1">Sheet3!$W$2*$F40*(NETWORKDAYS(VLOOKUP(Q$1,Sprints[],2,FALSE), VLOOKUP(Q$1,Sprints[],3,FALSE))-SUMPRODUCT((OFFSET(INDIRECT(CELL("address",INDEX('Leave Tracker'!$A$8:$A$92,MATCH($A40,'Leave Tracker'!$A$8:$A$92,0)))),0,31*(VLOOKUP(Q$1,Sprints[],5,FALSE))+DAY(VLOOKUP(Q$1,Sprints[],2,FALSE)),1,VLOOKUP(Q$1,Sprints[],4,FALSE))&lt;&gt;"")*(IF(OFFSET(INDIRECT(CELL("address",INDEX('Leave Tracker'!$A$8:$A$92,MATCH($A40,'Leave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3.2000000000000006</v>
      </c>
      <c r="R40" s="31">
        <f t="array" aca="1" ref="R40" ca="1">Sheet3!$W$2*$F40*(NETWORKDAYS(VLOOKUP(R$1,Sprints[],2,FALSE), VLOOKUP(R$1,Sprints[],3,FALSE))-SUMPRODUCT((OFFSET(INDIRECT(CELL("address",INDEX('Leave Tracker'!$A$8:$A$92,MATCH($A40,'Leave Tracker'!$A$8:$A$92,0)))),0,31*(VLOOKUP(R$1,Sprints[],5,FALSE))+DAY(VLOOKUP(R$1,Sprints[],2,FALSE)),1,VLOOKUP(R$1,Sprints[],4,FALSE))&lt;&gt;"")*(IF(OFFSET(INDIRECT(CELL("address",INDEX('Leave Tracker'!$A$8:$A$92,MATCH($A40,'Leave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3.2000000000000006</v>
      </c>
      <c r="S40" s="74">
        <f t="array" aca="1" ref="S40" ca="1">Sheet3!$W$2*$F40*(NETWORKDAYS(VLOOKUP(S$1,Sprints[],2,FALSE), VLOOKUP(S$1,Sprints[],3,FALSE))-SUMPRODUCT((OFFSET(INDIRECT(CELL("address",INDEX('Leave Tracker'!$A$8:$A$92,MATCH($A40,'Leave Tracker'!$A$8:$A$92,0)))),0,31*(VLOOKUP(S$1,Sprints[],5,FALSE))+DAY(VLOOKUP(S$1,Sprints[],2,FALSE)),1,VLOOKUP(S$1,Sprints[],4,FALSE))&lt;&gt;"")*(IF(OFFSET(INDIRECT(CELL("address",INDEX('Leave Tracker'!$A$8:$A$92,MATCH($A40,'Leave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33.920000000000009</v>
      </c>
    </row>
    <row r="41" spans="1:19" x14ac:dyDescent="0.45">
      <c r="A41" t="s">
        <v>72</v>
      </c>
      <c r="B41" s="45" t="s">
        <v>106</v>
      </c>
      <c r="C41" s="45" t="s">
        <v>104</v>
      </c>
      <c r="D41" s="45" t="s">
        <v>119</v>
      </c>
      <c r="E41" s="45" t="s">
        <v>113</v>
      </c>
      <c r="F41" s="47">
        <v>0.75</v>
      </c>
      <c r="G41" s="45">
        <f t="array" aca="1" ref="G41" ca="1">Sheet3!$W$2*$F41*(NETWORKDAYS(VLOOKUP(G$1,Sprints[],2,FALSE), VLOOKUP(G$1,Sprints[],3,FALSE))-SUMPRODUCT((OFFSET(INDIRECT(CELL("address",INDEX('Leave Tracker'!$A$8:$A$92,MATCH($A41,'Leave Tracker'!$A$8:$A$92,0)))),0,31*(VLOOKUP(G$1,Sprints[],5,FALSE))+DAY(VLOOKUP(G$1,Sprints[],2,FALSE)),1,VLOOKUP(G$1,Sprints[],4,FALSE))&lt;&gt;"")*(IF(OFFSET(INDIRECT(CELL("address",INDEX('Leave Tracker'!$A$8:$A$92,MATCH($A41,'Leave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41">
        <f t="array" aca="1" ref="H41" ca="1">Sheet3!$W$2*$F41*(NETWORKDAYS(VLOOKUP(H$1,Sprints[],2,FALSE), VLOOKUP(H$1,Sprints[],3,FALSE))-SUMPRODUCT((OFFSET(INDIRECT(CELL("address",INDEX('Leave Tracker'!$A$8:$A$92,MATCH($A41,'Leave Tracker'!$A$8:$A$92,0)))),0,31*(VLOOKUP(H$1,Sprints[],5,FALSE))+DAY(VLOOKUP(H$1,Sprints[],2,FALSE)),1,VLOOKUP(H$1,Sprints[],4,FALSE))&lt;&gt;"")*(IF(OFFSET(INDIRECT(CELL("address",INDEX('Leave Tracker'!$A$8:$A$92,MATCH($A41,'Leave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41">
        <f t="array" aca="1" ref="I41" ca="1">Sheet3!$W$2*$F41*(NETWORKDAYS(VLOOKUP(I$1,Sprints[],2,FALSE), VLOOKUP(I$1,Sprints[],3,FALSE))-SUMPRODUCT((OFFSET(INDIRECT(CELL("address",INDEX('Leave Tracker'!$A$8:$A$92,MATCH($A41,'Leave Tracker'!$A$8:$A$92,0)))),0,31*(VLOOKUP(I$1,Sprints[],5,FALSE))+DAY(VLOOKUP(I$1,Sprints[],2,FALSE)),1,VLOOKUP(I$1,Sprints[],4,FALSE))&lt;&gt;"")*(IF(OFFSET(INDIRECT(CELL("address",INDEX('Leave Tracker'!$A$8:$A$92,MATCH($A41,'Leave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6.0000000000000009</v>
      </c>
      <c r="J41">
        <f t="array" aca="1" ref="J41" ca="1">Sheet3!$W$2*$F41*(NETWORKDAYS(VLOOKUP(J$1,Sprints[],2,FALSE), VLOOKUP(J$1,Sprints[],3,FALSE))-SUMPRODUCT((OFFSET(INDIRECT(CELL("address",INDEX('Leave Tracker'!$A$8:$A$92,MATCH($A41,'Leave Tracker'!$A$8:$A$92,0)))),0,31*(VLOOKUP(J$1,Sprints[],5,FALSE))+DAY(VLOOKUP(J$1,Sprints[],2,FALSE)),1,VLOOKUP(J$1,Sprints[],4,FALSE))&lt;&gt;"")*(IF(OFFSET(INDIRECT(CELL("address",INDEX('Leave Tracker'!$A$8:$A$92,MATCH($A41,'Leave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41">
        <f t="array" aca="1" ref="K41" ca="1">Sheet3!$W$2*$F41*(NETWORKDAYS(VLOOKUP(K$1,Sprints[],2,FALSE), VLOOKUP(K$1,Sprints[],3,FALSE))-SUMPRODUCT((OFFSET(INDIRECT(CELL("address",INDEX('Leave Tracker'!$A$8:$A$92,MATCH($A41,'Leave Tracker'!$A$8:$A$92,0)))),0,31*(VLOOKUP(K$1,Sprints[],5,FALSE))+DAY(VLOOKUP(K$1,Sprints[],2,FALSE)),1,VLOOKUP(K$1,Sprints[],4,FALSE))&lt;&gt;"")*(IF(OFFSET(INDIRECT(CELL("address",INDEX('Leave Tracker'!$A$8:$A$92,MATCH($A41,'Leave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41">
        <f t="array" aca="1" ref="L41" ca="1">Sheet3!$W$2*$F41*(NETWORKDAYS(VLOOKUP(L$1,Sprints[],2,FALSE), VLOOKUP(L$1,Sprints[],3,FALSE))-SUMPRODUCT((OFFSET(INDIRECT(CELL("address",INDEX('Leave Tracker'!$A$8:$A$92,MATCH($A41,'Leave Tracker'!$A$8:$A$92,0)))),0,31*(VLOOKUP(L$1,Sprints[],5,FALSE))+DAY(VLOOKUP(L$1,Sprints[],2,FALSE)),1,VLOOKUP(L$1,Sprints[],4,FALSE))&lt;&gt;"")*(IF(OFFSET(INDIRECT(CELL("address",INDEX('Leave Tracker'!$A$8:$A$92,MATCH($A41,'Leave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4.2000000000000011</v>
      </c>
      <c r="M41" s="45">
        <f t="array" aca="1" ref="M41" ca="1">Sheet3!$W$2*$F41*(NETWORKDAYS(VLOOKUP(M$1,Sprints[],2,FALSE), VLOOKUP(M$1,Sprints[],3,FALSE))-SUMPRODUCT((OFFSET(INDIRECT(CELL("address",INDEX('Leave Tracker'!$A$8:$A$92,MATCH($A41,'Leave Tracker'!$A$8:$A$92,0)))),0,31*(VLOOKUP(M$1,Sprints[],5,FALSE))+DAY(VLOOKUP(M$1,Sprints[],2,FALSE)),1,VLOOKUP(M$1,Sprints[],4,FALSE))&lt;&gt;"")*(IF(OFFSET(INDIRECT(CELL("address",INDEX('Leave Tracker'!$A$8:$A$92,MATCH($A41,'Leave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6.0000000000000009</v>
      </c>
      <c r="N41">
        <f t="array" aca="1" ref="N41" ca="1">Sheet3!$W$2*$F41*(NETWORKDAYS(VLOOKUP(N$1,Sprints[],2,FALSE), VLOOKUP(N$1,Sprints[],3,FALSE))-SUMPRODUCT((OFFSET(INDIRECT(CELL("address",INDEX('Leave Tracker'!$A$8:$A$92,MATCH($A41,'Leave Tracker'!$A$8:$A$92,0)))),0,31*(VLOOKUP(N$1,Sprints[],5,FALSE))+DAY(VLOOKUP(N$1,Sprints[],2,FALSE)),1,VLOOKUP(N$1,Sprints[],4,FALSE))&lt;&gt;"")*(IF(OFFSET(INDIRECT(CELL("address",INDEX('Leave Tracker'!$A$8:$A$92,MATCH($A41,'Leave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41">
        <f t="array" aca="1" ref="O41" ca="1">Sheet3!$W$2*$F41*(NETWORKDAYS(VLOOKUP(O$1,Sprints[],2,FALSE), VLOOKUP(O$1,Sprints[],3,FALSE))-SUMPRODUCT((OFFSET(INDIRECT(CELL("address",INDEX('Leave Tracker'!$A$8:$A$92,MATCH($A41,'Leave Tracker'!$A$8:$A$92,0)))),0,31*(VLOOKUP(O$1,Sprints[],5,FALSE))+DAY(VLOOKUP(O$1,Sprints[],2,FALSE)),1,VLOOKUP(O$1,Sprints[],4,FALSE))&lt;&gt;"")*(IF(OFFSET(INDIRECT(CELL("address",INDEX('Leave Tracker'!$A$8:$A$92,MATCH($A41,'Leave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41">
        <f t="array" aca="1" ref="P41" ca="1">Sheet3!$W$2*$F41*(NETWORKDAYS(VLOOKUP(P$1,Sprints[],2,FALSE), VLOOKUP(P$1,Sprints[],3,FALSE))-SUMPRODUCT((OFFSET(INDIRECT(CELL("address",INDEX('Leave Tracker'!$A$8:$A$92,MATCH($A41,'Leave Tracker'!$A$8:$A$92,0)))),0,31*(VLOOKUP(P$1,Sprints[],5,FALSE))+DAY(VLOOKUP(P$1,Sprints[],2,FALSE)),1,VLOOKUP(P$1,Sprints[],4,FALSE))&lt;&gt;"")*(IF(OFFSET(INDIRECT(CELL("address",INDEX('Leave Tracker'!$A$8:$A$92,MATCH($A41,'Leave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5.4</v>
      </c>
      <c r="Q41">
        <f t="array" aca="1" ref="Q41" ca="1">Sheet3!$W$2*$F41*(NETWORKDAYS(VLOOKUP(Q$1,Sprints[],2,FALSE), VLOOKUP(Q$1,Sprints[],3,FALSE))-SUMPRODUCT((OFFSET(INDIRECT(CELL("address",INDEX('Leave Tracker'!$A$8:$A$92,MATCH($A41,'Leave Tracker'!$A$8:$A$92,0)))),0,31*(VLOOKUP(Q$1,Sprints[],5,FALSE))+DAY(VLOOKUP(Q$1,Sprints[],2,FALSE)),1,VLOOKUP(Q$1,Sprints[],4,FALSE))&lt;&gt;"")*(IF(OFFSET(INDIRECT(CELL("address",INDEX('Leave Tracker'!$A$8:$A$92,MATCH($A41,'Leave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41">
        <f t="array" aca="1" ref="R41" ca="1">Sheet3!$W$2*$F41*(NETWORKDAYS(VLOOKUP(R$1,Sprints[],2,FALSE), VLOOKUP(R$1,Sprints[],3,FALSE))-SUMPRODUCT((OFFSET(INDIRECT(CELL("address",INDEX('Leave Tracker'!$A$8:$A$92,MATCH($A41,'Leave Tracker'!$A$8:$A$92,0)))),0,31*(VLOOKUP(R$1,Sprints[],5,FALSE))+DAY(VLOOKUP(R$1,Sprints[],2,FALSE)),1,VLOOKUP(R$1,Sprints[],4,FALSE))&lt;&gt;"")*(IF(OFFSET(INDIRECT(CELL("address",INDEX('Leave Tracker'!$A$8:$A$92,MATCH($A41,'Leave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6.0000000000000009</v>
      </c>
      <c r="S41" s="74">
        <f t="array" aca="1" ref="S41" ca="1">Sheet3!$W$2*$F41*(NETWORKDAYS(VLOOKUP(S$1,Sprints[],2,FALSE), VLOOKUP(S$1,Sprints[],3,FALSE))-SUMPRODUCT((OFFSET(INDIRECT(CELL("address",INDEX('Leave Tracker'!$A$8:$A$92,MATCH($A41,'Leave Tracker'!$A$8:$A$92,0)))),0,31*(VLOOKUP(S$1,Sprints[],5,FALSE))+DAY(VLOOKUP(S$1,Sprints[],2,FALSE)),1,VLOOKUP(S$1,Sprints[],4,FALSE))&lt;&gt;"")*(IF(OFFSET(INDIRECT(CELL("address",INDEX('Leave Tracker'!$A$8:$A$92,MATCH($A41,'Leave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63.600000000000009</v>
      </c>
    </row>
    <row r="42" spans="1:19" x14ac:dyDescent="0.45">
      <c r="A42" s="71" t="s">
        <v>79</v>
      </c>
      <c r="B42" s="45" t="s">
        <v>100</v>
      </c>
      <c r="C42" s="45" t="s">
        <v>104</v>
      </c>
      <c r="D42" s="45" t="s">
        <v>120</v>
      </c>
      <c r="E42" s="45" t="s">
        <v>114</v>
      </c>
      <c r="F42" s="47">
        <v>0.375</v>
      </c>
      <c r="G42" s="31">
        <f t="array" aca="1" ref="G42" ca="1">Sheet3!$W$2*$F42*(NETWORKDAYS(VLOOKUP(G$1,Sprints[],2,FALSE), VLOOKUP(G$1,Sprints[],3,FALSE))-SUMPRODUCT((OFFSET(INDIRECT(CELL("address",INDEX('Leave Tracker'!$A$8:$A$92,MATCH($A42,'Leave Tracker'!$A$8:$A$92,0)))),0,31*(VLOOKUP(G$1,Sprints[],5,FALSE))+DAY(VLOOKUP(G$1,Sprints[],2,FALSE)),1,VLOOKUP(G$1,Sprints[],4,FALSE))&lt;&gt;"")*(IF(OFFSET(INDIRECT(CELL("address",INDEX('Leave Tracker'!$A$8:$A$92,MATCH($A42,'Leave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1.5000000000000002</v>
      </c>
      <c r="H42" s="31">
        <f t="array" aca="1" ref="H42" ca="1">Sheet3!$W$2*$F42*(NETWORKDAYS(VLOOKUP(H$1,Sprints[],2,FALSE), VLOOKUP(H$1,Sprints[],3,FALSE))-SUMPRODUCT((OFFSET(INDIRECT(CELL("address",INDEX('Leave Tracker'!$A$8:$A$92,MATCH($A42,'Leave Tracker'!$A$8:$A$92,0)))),0,31*(VLOOKUP(H$1,Sprints[],5,FALSE))+DAY(VLOOKUP(H$1,Sprints[],2,FALSE)),1,VLOOKUP(H$1,Sprints[],4,FALSE))&lt;&gt;"")*(IF(OFFSET(INDIRECT(CELL("address",INDEX('Leave Tracker'!$A$8:$A$92,MATCH($A42,'Leave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3.0000000000000004</v>
      </c>
      <c r="I42" s="31">
        <f t="array" aca="1" ref="I42" ca="1">Sheet3!$W$2*$F42*(NETWORKDAYS(VLOOKUP(I$1,Sprints[],2,FALSE), VLOOKUP(I$1,Sprints[],3,FALSE))-SUMPRODUCT((OFFSET(INDIRECT(CELL("address",INDEX('Leave Tracker'!$A$8:$A$92,MATCH($A42,'Leave Tracker'!$A$8:$A$92,0)))),0,31*(VLOOKUP(I$1,Sprints[],5,FALSE))+DAY(VLOOKUP(I$1,Sprints[],2,FALSE)),1,VLOOKUP(I$1,Sprints[],4,FALSE))&lt;&gt;"")*(IF(OFFSET(INDIRECT(CELL("address",INDEX('Leave Tracker'!$A$8:$A$92,MATCH($A42,'Leave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3.0000000000000004</v>
      </c>
      <c r="J42" s="31">
        <f t="array" aca="1" ref="J42" ca="1">Sheet3!$W$2*$F42*(NETWORKDAYS(VLOOKUP(J$1,Sprints[],2,FALSE), VLOOKUP(J$1,Sprints[],3,FALSE))-SUMPRODUCT((OFFSET(INDIRECT(CELL("address",INDEX('Leave Tracker'!$A$8:$A$92,MATCH($A42,'Leave Tracker'!$A$8:$A$92,0)))),0,31*(VLOOKUP(J$1,Sprints[],5,FALSE))+DAY(VLOOKUP(J$1,Sprints[],2,FALSE)),1,VLOOKUP(J$1,Sprints[],4,FALSE))&lt;&gt;"")*(IF(OFFSET(INDIRECT(CELL("address",INDEX('Leave Tracker'!$A$8:$A$92,MATCH($A42,'Leave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3.0000000000000004</v>
      </c>
      <c r="K42" s="31">
        <f t="array" aca="1" ref="K42" ca="1">Sheet3!$W$2*$F42*(NETWORKDAYS(VLOOKUP(K$1,Sprints[],2,FALSE), VLOOKUP(K$1,Sprints[],3,FALSE))-SUMPRODUCT((OFFSET(INDIRECT(CELL("address",INDEX('Leave Tracker'!$A$8:$A$92,MATCH($A42,'Leave Tracker'!$A$8:$A$92,0)))),0,31*(VLOOKUP(K$1,Sprints[],5,FALSE))+DAY(VLOOKUP(K$1,Sprints[],2,FALSE)),1,VLOOKUP(K$1,Sprints[],4,FALSE))&lt;&gt;"")*(IF(OFFSET(INDIRECT(CELL("address",INDEX('Leave Tracker'!$A$8:$A$92,MATCH($A42,'Leave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3.0000000000000004</v>
      </c>
      <c r="L42" s="31">
        <f t="array" aca="1" ref="L42" ca="1">Sheet3!$W$2*$F42*(NETWORKDAYS(VLOOKUP(L$1,Sprints[],2,FALSE), VLOOKUP(L$1,Sprints[],3,FALSE))-SUMPRODUCT((OFFSET(INDIRECT(CELL("address",INDEX('Leave Tracker'!$A$8:$A$92,MATCH($A42,'Leave Tracker'!$A$8:$A$92,0)))),0,31*(VLOOKUP(L$1,Sprints[],5,FALSE))+DAY(VLOOKUP(L$1,Sprints[],2,FALSE)),1,VLOOKUP(L$1,Sprints[],4,FALSE))&lt;&gt;"")*(IF(OFFSET(INDIRECT(CELL("address",INDEX('Leave Tracker'!$A$8:$A$92,MATCH($A42,'Leave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2.1000000000000005</v>
      </c>
      <c r="M42" s="31">
        <f t="array" aca="1" ref="M42" ca="1">Sheet3!$W$2*$F42*(NETWORKDAYS(VLOOKUP(M$1,Sprints[],2,FALSE), VLOOKUP(M$1,Sprints[],3,FALSE))-SUMPRODUCT((OFFSET(INDIRECT(CELL("address",INDEX('Leave Tracker'!$A$8:$A$92,MATCH($A42,'Leave Tracker'!$A$8:$A$92,0)))),0,31*(VLOOKUP(M$1,Sprints[],5,FALSE))+DAY(VLOOKUP(M$1,Sprints[],2,FALSE)),1,VLOOKUP(M$1,Sprints[],4,FALSE))&lt;&gt;"")*(IF(OFFSET(INDIRECT(CELL("address",INDEX('Leave Tracker'!$A$8:$A$92,MATCH($A42,'Leave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3.0000000000000004</v>
      </c>
      <c r="N42" s="31">
        <f t="array" aca="1" ref="N42" ca="1">Sheet3!$W$2*$F42*(NETWORKDAYS(VLOOKUP(N$1,Sprints[],2,FALSE), VLOOKUP(N$1,Sprints[],3,FALSE))-SUMPRODUCT((OFFSET(INDIRECT(CELL("address",INDEX('Leave Tracker'!$A$8:$A$92,MATCH($A42,'Leave Tracker'!$A$8:$A$92,0)))),0,31*(VLOOKUP(N$1,Sprints[],5,FALSE))+DAY(VLOOKUP(N$1,Sprints[],2,FALSE)),1,VLOOKUP(N$1,Sprints[],4,FALSE))&lt;&gt;"")*(IF(OFFSET(INDIRECT(CELL("address",INDEX('Leave Tracker'!$A$8:$A$92,MATCH($A42,'Leave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1.5000000000000002</v>
      </c>
      <c r="O42" s="31">
        <f t="array" aca="1" ref="O42" ca="1">Sheet3!$W$2*$F42*(NETWORKDAYS(VLOOKUP(O$1,Sprints[],2,FALSE), VLOOKUP(O$1,Sprints[],3,FALSE))-SUMPRODUCT((OFFSET(INDIRECT(CELL("address",INDEX('Leave Tracker'!$A$8:$A$92,MATCH($A42,'Leave Tracker'!$A$8:$A$92,0)))),0,31*(VLOOKUP(O$1,Sprints[],5,FALSE))+DAY(VLOOKUP(O$1,Sprints[],2,FALSE)),1,VLOOKUP(O$1,Sprints[],4,FALSE))&lt;&gt;"")*(IF(OFFSET(INDIRECT(CELL("address",INDEX('Leave Tracker'!$A$8:$A$92,MATCH($A42,'Leave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3.0000000000000004</v>
      </c>
      <c r="P42" s="31">
        <f t="array" aca="1" ref="P42" ca="1">Sheet3!$W$2*$F42*(NETWORKDAYS(VLOOKUP(P$1,Sprints[],2,FALSE), VLOOKUP(P$1,Sprints[],3,FALSE))-SUMPRODUCT((OFFSET(INDIRECT(CELL("address",INDEX('Leave Tracker'!$A$8:$A$92,MATCH($A42,'Leave Tracker'!$A$8:$A$92,0)))),0,31*(VLOOKUP(P$1,Sprints[],5,FALSE))+DAY(VLOOKUP(P$1,Sprints[],2,FALSE)),1,VLOOKUP(P$1,Sprints[],4,FALSE))&lt;&gt;"")*(IF(OFFSET(INDIRECT(CELL("address",INDEX('Leave Tracker'!$A$8:$A$92,MATCH($A42,'Leave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2.7</v>
      </c>
      <c r="Q42" s="31">
        <f t="array" aca="1" ref="Q42" ca="1">Sheet3!$W$2*$F42*(NETWORKDAYS(VLOOKUP(Q$1,Sprints[],2,FALSE), VLOOKUP(Q$1,Sprints[],3,FALSE))-SUMPRODUCT((OFFSET(INDIRECT(CELL("address",INDEX('Leave Tracker'!$A$8:$A$92,MATCH($A42,'Leave Tracker'!$A$8:$A$92,0)))),0,31*(VLOOKUP(Q$1,Sprints[],5,FALSE))+DAY(VLOOKUP(Q$1,Sprints[],2,FALSE)),1,VLOOKUP(Q$1,Sprints[],4,FALSE))&lt;&gt;"")*(IF(OFFSET(INDIRECT(CELL("address",INDEX('Leave Tracker'!$A$8:$A$92,MATCH($A42,'Leave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3.0000000000000004</v>
      </c>
      <c r="R42" s="31">
        <f t="array" aca="1" ref="R42" ca="1">Sheet3!$W$2*$F42*(NETWORKDAYS(VLOOKUP(R$1,Sprints[],2,FALSE), VLOOKUP(R$1,Sprints[],3,FALSE))-SUMPRODUCT((OFFSET(INDIRECT(CELL("address",INDEX('Leave Tracker'!$A$8:$A$92,MATCH($A42,'Leave Tracker'!$A$8:$A$92,0)))),0,31*(VLOOKUP(R$1,Sprints[],5,FALSE))+DAY(VLOOKUP(R$1,Sprints[],2,FALSE)),1,VLOOKUP(R$1,Sprints[],4,FALSE))&lt;&gt;"")*(IF(OFFSET(INDIRECT(CELL("address",INDEX('Leave Tracker'!$A$8:$A$92,MATCH($A42,'Leave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3.0000000000000004</v>
      </c>
      <c r="S42" s="74">
        <f t="array" aca="1" ref="S42" ca="1">Sheet3!$W$2*$F42*(NETWORKDAYS(VLOOKUP(S$1,Sprints[],2,FALSE), VLOOKUP(S$1,Sprints[],3,FALSE))-SUMPRODUCT((OFFSET(INDIRECT(CELL("address",INDEX('Leave Tracker'!$A$8:$A$92,MATCH($A42,'Leave Tracker'!$A$8:$A$92,0)))),0,31*(VLOOKUP(S$1,Sprints[],5,FALSE))+DAY(VLOOKUP(S$1,Sprints[],2,FALSE)),1,VLOOKUP(S$1,Sprints[],4,FALSE))&lt;&gt;"")*(IF(OFFSET(INDIRECT(CELL("address",INDEX('Leave Tracker'!$A$8:$A$92,MATCH($A42,'Leave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31.800000000000004</v>
      </c>
    </row>
    <row r="43" spans="1:19" s="45" customFormat="1" x14ac:dyDescent="0.45">
      <c r="A43" s="71" t="s">
        <v>79</v>
      </c>
      <c r="B43" s="45" t="s">
        <v>100</v>
      </c>
      <c r="C43" s="45" t="s">
        <v>104</v>
      </c>
      <c r="D43" s="45" t="s">
        <v>120</v>
      </c>
      <c r="E43" s="45" t="s">
        <v>115</v>
      </c>
      <c r="F43" s="47">
        <v>0.375</v>
      </c>
      <c r="G43" s="45">
        <f t="array" aca="1" ref="G43" ca="1">Sheet3!$W$2*$F43*(NETWORKDAYS(VLOOKUP(G$1,Sprints[],2,FALSE), VLOOKUP(G$1,Sprints[],3,FALSE))-SUMPRODUCT((OFFSET(INDIRECT(CELL("address",INDEX('Leave Tracker'!$A$8:$A$92,MATCH($A43,'Leave Tracker'!$A$8:$A$92,0)))),0,31*(VLOOKUP(G$1,Sprints[],5,FALSE))+DAY(VLOOKUP(G$1,Sprints[],2,FALSE)),1,VLOOKUP(G$1,Sprints[],4,FALSE))&lt;&gt;"")*(IF(OFFSET(INDIRECT(CELL("address",INDEX('Leave Tracker'!$A$8:$A$92,MATCH($A43,'Leave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1.5000000000000002</v>
      </c>
      <c r="H43" s="45">
        <f t="array" aca="1" ref="H43" ca="1">Sheet3!$W$2*$F43*(NETWORKDAYS(VLOOKUP(H$1,Sprints[],2,FALSE), VLOOKUP(H$1,Sprints[],3,FALSE))-SUMPRODUCT((OFFSET(INDIRECT(CELL("address",INDEX('Leave Tracker'!$A$8:$A$92,MATCH($A43,'Leave Tracker'!$A$8:$A$92,0)))),0,31*(VLOOKUP(H$1,Sprints[],5,FALSE))+DAY(VLOOKUP(H$1,Sprints[],2,FALSE)),1,VLOOKUP(H$1,Sprints[],4,FALSE))&lt;&gt;"")*(IF(OFFSET(INDIRECT(CELL("address",INDEX('Leave Tracker'!$A$8:$A$92,MATCH($A43,'Leave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3.0000000000000004</v>
      </c>
      <c r="I43" s="45">
        <f t="array" aca="1" ref="I43" ca="1">Sheet3!$W$2*$F43*(NETWORKDAYS(VLOOKUP(I$1,Sprints[],2,FALSE), VLOOKUP(I$1,Sprints[],3,FALSE))-SUMPRODUCT((OFFSET(INDIRECT(CELL("address",INDEX('Leave Tracker'!$A$8:$A$92,MATCH($A43,'Leave Tracker'!$A$8:$A$92,0)))),0,31*(VLOOKUP(I$1,Sprints[],5,FALSE))+DAY(VLOOKUP(I$1,Sprints[],2,FALSE)),1,VLOOKUP(I$1,Sprints[],4,FALSE))&lt;&gt;"")*(IF(OFFSET(INDIRECT(CELL("address",INDEX('Leave Tracker'!$A$8:$A$92,MATCH($A43,'Leave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3.0000000000000004</v>
      </c>
      <c r="J43" s="45">
        <f t="array" aca="1" ref="J43" ca="1">Sheet3!$W$2*$F43*(NETWORKDAYS(VLOOKUP(J$1,Sprints[],2,FALSE), VLOOKUP(J$1,Sprints[],3,FALSE))-SUMPRODUCT((OFFSET(INDIRECT(CELL("address",INDEX('Leave Tracker'!$A$8:$A$92,MATCH($A43,'Leave Tracker'!$A$8:$A$92,0)))),0,31*(VLOOKUP(J$1,Sprints[],5,FALSE))+DAY(VLOOKUP(J$1,Sprints[],2,FALSE)),1,VLOOKUP(J$1,Sprints[],4,FALSE))&lt;&gt;"")*(IF(OFFSET(INDIRECT(CELL("address",INDEX('Leave Tracker'!$A$8:$A$92,MATCH($A43,'Leave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3.0000000000000004</v>
      </c>
      <c r="K43" s="45">
        <f t="array" aca="1" ref="K43" ca="1">Sheet3!$W$2*$F43*(NETWORKDAYS(VLOOKUP(K$1,Sprints[],2,FALSE), VLOOKUP(K$1,Sprints[],3,FALSE))-SUMPRODUCT((OFFSET(INDIRECT(CELL("address",INDEX('Leave Tracker'!$A$8:$A$92,MATCH($A43,'Leave Tracker'!$A$8:$A$92,0)))),0,31*(VLOOKUP(K$1,Sprints[],5,FALSE))+DAY(VLOOKUP(K$1,Sprints[],2,FALSE)),1,VLOOKUP(K$1,Sprints[],4,FALSE))&lt;&gt;"")*(IF(OFFSET(INDIRECT(CELL("address",INDEX('Leave Tracker'!$A$8:$A$92,MATCH($A43,'Leave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3.0000000000000004</v>
      </c>
      <c r="L43" s="45">
        <f t="array" aca="1" ref="L43" ca="1">Sheet3!$W$2*$F43*(NETWORKDAYS(VLOOKUP(L$1,Sprints[],2,FALSE), VLOOKUP(L$1,Sprints[],3,FALSE))-SUMPRODUCT((OFFSET(INDIRECT(CELL("address",INDEX('Leave Tracker'!$A$8:$A$92,MATCH($A43,'Leave Tracker'!$A$8:$A$92,0)))),0,31*(VLOOKUP(L$1,Sprints[],5,FALSE))+DAY(VLOOKUP(L$1,Sprints[],2,FALSE)),1,VLOOKUP(L$1,Sprints[],4,FALSE))&lt;&gt;"")*(IF(OFFSET(INDIRECT(CELL("address",INDEX('Leave Tracker'!$A$8:$A$92,MATCH($A43,'Leave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2.1000000000000005</v>
      </c>
      <c r="M43" s="45">
        <f t="array" aca="1" ref="M43" ca="1">Sheet3!$W$2*$F43*(NETWORKDAYS(VLOOKUP(M$1,Sprints[],2,FALSE), VLOOKUP(M$1,Sprints[],3,FALSE))-SUMPRODUCT((OFFSET(INDIRECT(CELL("address",INDEX('Leave Tracker'!$A$8:$A$92,MATCH($A43,'Leave Tracker'!$A$8:$A$92,0)))),0,31*(VLOOKUP(M$1,Sprints[],5,FALSE))+DAY(VLOOKUP(M$1,Sprints[],2,FALSE)),1,VLOOKUP(M$1,Sprints[],4,FALSE))&lt;&gt;"")*(IF(OFFSET(INDIRECT(CELL("address",INDEX('Leave Tracker'!$A$8:$A$92,MATCH($A43,'Leave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3.0000000000000004</v>
      </c>
      <c r="N43" s="45">
        <f t="array" aca="1" ref="N43" ca="1">Sheet3!$W$2*$F43*(NETWORKDAYS(VLOOKUP(N$1,Sprints[],2,FALSE), VLOOKUP(N$1,Sprints[],3,FALSE))-SUMPRODUCT((OFFSET(INDIRECT(CELL("address",INDEX('Leave Tracker'!$A$8:$A$92,MATCH($A43,'Leave Tracker'!$A$8:$A$92,0)))),0,31*(VLOOKUP(N$1,Sprints[],5,FALSE))+DAY(VLOOKUP(N$1,Sprints[],2,FALSE)),1,VLOOKUP(N$1,Sprints[],4,FALSE))&lt;&gt;"")*(IF(OFFSET(INDIRECT(CELL("address",INDEX('Leave Tracker'!$A$8:$A$92,MATCH($A43,'Leave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1.5000000000000002</v>
      </c>
      <c r="O43" s="45">
        <f t="array" aca="1" ref="O43" ca="1">Sheet3!$W$2*$F43*(NETWORKDAYS(VLOOKUP(O$1,Sprints[],2,FALSE), VLOOKUP(O$1,Sprints[],3,FALSE))-SUMPRODUCT((OFFSET(INDIRECT(CELL("address",INDEX('Leave Tracker'!$A$8:$A$92,MATCH($A43,'Leave Tracker'!$A$8:$A$92,0)))),0,31*(VLOOKUP(O$1,Sprints[],5,FALSE))+DAY(VLOOKUP(O$1,Sprints[],2,FALSE)),1,VLOOKUP(O$1,Sprints[],4,FALSE))&lt;&gt;"")*(IF(OFFSET(INDIRECT(CELL("address",INDEX('Leave Tracker'!$A$8:$A$92,MATCH($A43,'Leave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3.0000000000000004</v>
      </c>
      <c r="P43" s="45">
        <f t="array" aca="1" ref="P43" ca="1">Sheet3!$W$2*$F43*(NETWORKDAYS(VLOOKUP(P$1,Sprints[],2,FALSE), VLOOKUP(P$1,Sprints[],3,FALSE))-SUMPRODUCT((OFFSET(INDIRECT(CELL("address",INDEX('Leave Tracker'!$A$8:$A$92,MATCH($A43,'Leave Tracker'!$A$8:$A$92,0)))),0,31*(VLOOKUP(P$1,Sprints[],5,FALSE))+DAY(VLOOKUP(P$1,Sprints[],2,FALSE)),1,VLOOKUP(P$1,Sprints[],4,FALSE))&lt;&gt;"")*(IF(OFFSET(INDIRECT(CELL("address",INDEX('Leave Tracker'!$A$8:$A$92,MATCH($A43,'Leave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2.7</v>
      </c>
      <c r="Q43" s="45">
        <f t="array" aca="1" ref="Q43" ca="1">Sheet3!$W$2*$F43*(NETWORKDAYS(VLOOKUP(Q$1,Sprints[],2,FALSE), VLOOKUP(Q$1,Sprints[],3,FALSE))-SUMPRODUCT((OFFSET(INDIRECT(CELL("address",INDEX('Leave Tracker'!$A$8:$A$92,MATCH($A43,'Leave Tracker'!$A$8:$A$92,0)))),0,31*(VLOOKUP(Q$1,Sprints[],5,FALSE))+DAY(VLOOKUP(Q$1,Sprints[],2,FALSE)),1,VLOOKUP(Q$1,Sprints[],4,FALSE))&lt;&gt;"")*(IF(OFFSET(INDIRECT(CELL("address",INDEX('Leave Tracker'!$A$8:$A$92,MATCH($A43,'Leave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3.0000000000000004</v>
      </c>
      <c r="R43" s="45">
        <f t="array" aca="1" ref="R43" ca="1">Sheet3!$W$2*$F43*(NETWORKDAYS(VLOOKUP(R$1,Sprints[],2,FALSE), VLOOKUP(R$1,Sprints[],3,FALSE))-SUMPRODUCT((OFFSET(INDIRECT(CELL("address",INDEX('Leave Tracker'!$A$8:$A$92,MATCH($A43,'Leave Tracker'!$A$8:$A$92,0)))),0,31*(VLOOKUP(R$1,Sprints[],5,FALSE))+DAY(VLOOKUP(R$1,Sprints[],2,FALSE)),1,VLOOKUP(R$1,Sprints[],4,FALSE))&lt;&gt;"")*(IF(OFFSET(INDIRECT(CELL("address",INDEX('Leave Tracker'!$A$8:$A$92,MATCH($A43,'Leave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3.0000000000000004</v>
      </c>
      <c r="S43" s="74">
        <f t="array" aca="1" ref="S43" ca="1">Sheet3!$W$2*$F43*(NETWORKDAYS(VLOOKUP(S$1,Sprints[],2,FALSE), VLOOKUP(S$1,Sprints[],3,FALSE))-SUMPRODUCT((OFFSET(INDIRECT(CELL("address",INDEX('Leave Tracker'!$A$8:$A$92,MATCH($A43,'Leave Tracker'!$A$8:$A$92,0)))),0,31*(VLOOKUP(S$1,Sprints[],5,FALSE))+DAY(VLOOKUP(S$1,Sprints[],2,FALSE)),1,VLOOKUP(S$1,Sprints[],4,FALSE))&lt;&gt;"")*(IF(OFFSET(INDIRECT(CELL("address",INDEX('Leave Tracker'!$A$8:$A$92,MATCH($A43,'Leave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31.800000000000004</v>
      </c>
    </row>
    <row r="44" spans="1:19" s="45" customFormat="1" x14ac:dyDescent="0.45">
      <c r="A44" s="45" t="s">
        <v>84</v>
      </c>
      <c r="B44" s="45" t="s">
        <v>103</v>
      </c>
      <c r="C44" s="45" t="s">
        <v>105</v>
      </c>
      <c r="D44" s="45" t="s">
        <v>119</v>
      </c>
      <c r="E44" s="45" t="s">
        <v>112</v>
      </c>
      <c r="F44" s="47">
        <v>0.75</v>
      </c>
      <c r="G44" s="45">
        <f t="array" aca="1" ref="G44" ca="1">Sheet3!$W$2*$F44*(NETWORKDAYS(VLOOKUP(G$1,Sprints[],2,FALSE), VLOOKUP(G$1,Sprints[],3,FALSE))-SUMPRODUCT((OFFSET(INDIRECT(CELL("address",INDEX('Leave Tracker'!$A$8:$A$92,MATCH($A44,'Leave Tracker'!$A$8:$A$92,0)))),0,31*(VLOOKUP(G$1,Sprints[],5,FALSE))+DAY(VLOOKUP(G$1,Sprints[],2,FALSE)),1,VLOOKUP(G$1,Sprints[],4,FALSE))&lt;&gt;"")*(IF(OFFSET(INDIRECT(CELL("address",INDEX('Leave Tracker'!$A$8:$A$92,MATCH($A44,'Leave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44" s="45">
        <f t="array" aca="1" ref="H44" ca="1">Sheet3!$W$2*$F44*(NETWORKDAYS(VLOOKUP(H$1,Sprints[],2,FALSE), VLOOKUP(H$1,Sprints[],3,FALSE))-SUMPRODUCT((OFFSET(INDIRECT(CELL("address",INDEX('Leave Tracker'!$A$8:$A$92,MATCH($A44,'Leave Tracker'!$A$8:$A$92,0)))),0,31*(VLOOKUP(H$1,Sprints[],5,FALSE))+DAY(VLOOKUP(H$1,Sprints[],2,FALSE)),1,VLOOKUP(H$1,Sprints[],4,FALSE))&lt;&gt;"")*(IF(OFFSET(INDIRECT(CELL("address",INDEX('Leave Tracker'!$A$8:$A$92,MATCH($A44,'Leave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44" s="45">
        <f t="array" aca="1" ref="I44" ca="1">Sheet3!$W$2*$F44*(NETWORKDAYS(VLOOKUP(I$1,Sprints[],2,FALSE), VLOOKUP(I$1,Sprints[],3,FALSE))-SUMPRODUCT((OFFSET(INDIRECT(CELL("address",INDEX('Leave Tracker'!$A$8:$A$92,MATCH($A44,'Leave Tracker'!$A$8:$A$92,0)))),0,31*(VLOOKUP(I$1,Sprints[],5,FALSE))+DAY(VLOOKUP(I$1,Sprints[],2,FALSE)),1,VLOOKUP(I$1,Sprints[],4,FALSE))&lt;&gt;"")*(IF(OFFSET(INDIRECT(CELL("address",INDEX('Leave Tracker'!$A$8:$A$92,MATCH($A44,'Leave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5.4</v>
      </c>
      <c r="J44" s="45">
        <f t="array" aca="1" ref="J44" ca="1">Sheet3!$W$2*$F44*(NETWORKDAYS(VLOOKUP(J$1,Sprints[],2,FALSE), VLOOKUP(J$1,Sprints[],3,FALSE))-SUMPRODUCT((OFFSET(INDIRECT(CELL("address",INDEX('Leave Tracker'!$A$8:$A$92,MATCH($A44,'Leave Tracker'!$A$8:$A$92,0)))),0,31*(VLOOKUP(J$1,Sprints[],5,FALSE))+DAY(VLOOKUP(J$1,Sprints[],2,FALSE)),1,VLOOKUP(J$1,Sprints[],4,FALSE))&lt;&gt;"")*(IF(OFFSET(INDIRECT(CELL("address",INDEX('Leave Tracker'!$A$8:$A$92,MATCH($A44,'Leave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44" s="45">
        <f t="array" aca="1" ref="K44" ca="1">Sheet3!$W$2*$F44*(NETWORKDAYS(VLOOKUP(K$1,Sprints[],2,FALSE), VLOOKUP(K$1,Sprints[],3,FALSE))-SUMPRODUCT((OFFSET(INDIRECT(CELL("address",INDEX('Leave Tracker'!$A$8:$A$92,MATCH($A44,'Leave Tracker'!$A$8:$A$92,0)))),0,31*(VLOOKUP(K$1,Sprints[],5,FALSE))+DAY(VLOOKUP(K$1,Sprints[],2,FALSE)),1,VLOOKUP(K$1,Sprints[],4,FALSE))&lt;&gt;"")*(IF(OFFSET(INDIRECT(CELL("address",INDEX('Leave Tracker'!$A$8:$A$92,MATCH($A44,'Leave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44" s="45">
        <f t="array" aca="1" ref="L44" ca="1">Sheet3!$W$2*$F44*(NETWORKDAYS(VLOOKUP(L$1,Sprints[],2,FALSE), VLOOKUP(L$1,Sprints[],3,FALSE))-SUMPRODUCT((OFFSET(INDIRECT(CELL("address",INDEX('Leave Tracker'!$A$8:$A$92,MATCH($A44,'Leave Tracker'!$A$8:$A$92,0)))),0,31*(VLOOKUP(L$1,Sprints[],5,FALSE))+DAY(VLOOKUP(L$1,Sprints[],2,FALSE)),1,VLOOKUP(L$1,Sprints[],4,FALSE))&lt;&gt;"")*(IF(OFFSET(INDIRECT(CELL("address",INDEX('Leave Tracker'!$A$8:$A$92,MATCH($A44,'Leave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4.8000000000000007</v>
      </c>
      <c r="M44" s="45">
        <f t="array" aca="1" ref="M44" ca="1">Sheet3!$W$2*$F44*(NETWORKDAYS(VLOOKUP(M$1,Sprints[],2,FALSE), VLOOKUP(M$1,Sprints[],3,FALSE))-SUMPRODUCT((OFFSET(INDIRECT(CELL("address",INDEX('Leave Tracker'!$A$8:$A$92,MATCH($A44,'Leave Tracker'!$A$8:$A$92,0)))),0,31*(VLOOKUP(M$1,Sprints[],5,FALSE))+DAY(VLOOKUP(M$1,Sprints[],2,FALSE)),1,VLOOKUP(M$1,Sprints[],4,FALSE))&lt;&gt;"")*(IF(OFFSET(INDIRECT(CELL("address",INDEX('Leave Tracker'!$A$8:$A$92,MATCH($A44,'Leave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5.4</v>
      </c>
      <c r="N44" s="45">
        <f t="array" aca="1" ref="N44" ca="1">Sheet3!$W$2*$F44*(NETWORKDAYS(VLOOKUP(N$1,Sprints[],2,FALSE), VLOOKUP(N$1,Sprints[],3,FALSE))-SUMPRODUCT((OFFSET(INDIRECT(CELL("address",INDEX('Leave Tracker'!$A$8:$A$92,MATCH($A44,'Leave Tracker'!$A$8:$A$92,0)))),0,31*(VLOOKUP(N$1,Sprints[],5,FALSE))+DAY(VLOOKUP(N$1,Sprints[],2,FALSE)),1,VLOOKUP(N$1,Sprints[],4,FALSE))&lt;&gt;"")*(IF(OFFSET(INDIRECT(CELL("address",INDEX('Leave Tracker'!$A$8:$A$92,MATCH($A44,'Leave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44" s="45">
        <f t="array" aca="1" ref="O44" ca="1">Sheet3!$W$2*$F44*(NETWORKDAYS(VLOOKUP(O$1,Sprints[],2,FALSE), VLOOKUP(O$1,Sprints[],3,FALSE))-SUMPRODUCT((OFFSET(INDIRECT(CELL("address",INDEX('Leave Tracker'!$A$8:$A$92,MATCH($A44,'Leave Tracker'!$A$8:$A$92,0)))),0,31*(VLOOKUP(O$1,Sprints[],5,FALSE))+DAY(VLOOKUP(O$1,Sprints[],2,FALSE)),1,VLOOKUP(O$1,Sprints[],4,FALSE))&lt;&gt;"")*(IF(OFFSET(INDIRECT(CELL("address",INDEX('Leave Tracker'!$A$8:$A$92,MATCH($A44,'Leave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44" s="45">
        <f t="array" aca="1" ref="P44" ca="1">Sheet3!$W$2*$F44*(NETWORKDAYS(VLOOKUP(P$1,Sprints[],2,FALSE), VLOOKUP(P$1,Sprints[],3,FALSE))-SUMPRODUCT((OFFSET(INDIRECT(CELL("address",INDEX('Leave Tracker'!$A$8:$A$92,MATCH($A44,'Leave Tracker'!$A$8:$A$92,0)))),0,31*(VLOOKUP(P$1,Sprints[],5,FALSE))+DAY(VLOOKUP(P$1,Sprints[],2,FALSE)),1,VLOOKUP(P$1,Sprints[],4,FALSE))&lt;&gt;"")*(IF(OFFSET(INDIRECT(CELL("address",INDEX('Leave Tracker'!$A$8:$A$92,MATCH($A44,'Leave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6.0000000000000009</v>
      </c>
      <c r="Q44" s="45">
        <f t="array" aca="1" ref="Q44" ca="1">Sheet3!$W$2*$F44*(NETWORKDAYS(VLOOKUP(Q$1,Sprints[],2,FALSE), VLOOKUP(Q$1,Sprints[],3,FALSE))-SUMPRODUCT((OFFSET(INDIRECT(CELL("address",INDEX('Leave Tracker'!$A$8:$A$92,MATCH($A44,'Leave Tracker'!$A$8:$A$92,0)))),0,31*(VLOOKUP(Q$1,Sprints[],5,FALSE))+DAY(VLOOKUP(Q$1,Sprints[],2,FALSE)),1,VLOOKUP(Q$1,Sprints[],4,FALSE))&lt;&gt;"")*(IF(OFFSET(INDIRECT(CELL("address",INDEX('Leave Tracker'!$A$8:$A$92,MATCH($A44,'Leave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44" s="45">
        <f t="array" aca="1" ref="R44" ca="1">Sheet3!$W$2*$F44*(NETWORKDAYS(VLOOKUP(R$1,Sprints[],2,FALSE), VLOOKUP(R$1,Sprints[],3,FALSE))-SUMPRODUCT((OFFSET(INDIRECT(CELL("address",INDEX('Leave Tracker'!$A$8:$A$92,MATCH($A44,'Leave Tracker'!$A$8:$A$92,0)))),0,31*(VLOOKUP(R$1,Sprints[],5,FALSE))+DAY(VLOOKUP(R$1,Sprints[],2,FALSE)),1,VLOOKUP(R$1,Sprints[],4,FALSE))&lt;&gt;"")*(IF(OFFSET(INDIRECT(CELL("address",INDEX('Leave Tracker'!$A$8:$A$92,MATCH($A44,'Leave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5.4</v>
      </c>
      <c r="S44" s="82">
        <f t="array" aca="1" ref="S44" ca="1">Sheet3!$W$2*$F44*(NETWORKDAYS(VLOOKUP(S$1,Sprints[],2,FALSE), VLOOKUP(S$1,Sprints[],3,FALSE))-SUMPRODUCT((OFFSET(INDIRECT(CELL("address",INDEX('Leave Tracker'!$A$8:$A$92,MATCH($A44,'Leave Tracker'!$A$8:$A$92,0)))),0,31*(VLOOKUP(S$1,Sprints[],5,FALSE))+DAY(VLOOKUP(S$1,Sprints[],2,FALSE)),1,VLOOKUP(S$1,Sprints[],4,FALSE))&lt;&gt;"")*(IF(OFFSET(INDIRECT(CELL("address",INDEX('Leave Tracker'!$A$8:$A$92,MATCH($A44,'Leave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63.000000000000007</v>
      </c>
    </row>
    <row r="45" spans="1:19" s="45" customFormat="1" x14ac:dyDescent="0.45">
      <c r="A45" s="45" t="s">
        <v>83</v>
      </c>
      <c r="B45" s="45" t="s">
        <v>103</v>
      </c>
      <c r="C45" s="45" t="s">
        <v>105</v>
      </c>
      <c r="D45" s="45" t="s">
        <v>110</v>
      </c>
      <c r="E45" s="45" t="s">
        <v>112</v>
      </c>
      <c r="F45" s="47">
        <v>0.6</v>
      </c>
      <c r="G45" s="45">
        <f t="array" aca="1" ref="G45" ca="1">Sheet3!$W$2*$F45*(NETWORKDAYS(VLOOKUP(G$1,Sprints[],2,FALSE), VLOOKUP(G$1,Sprints[],3,FALSE))-SUMPRODUCT((OFFSET(INDIRECT(CELL("address",INDEX('Leave Tracker'!$A$8:$A$92,MATCH($A45,'Leave Tracker'!$A$8:$A$92,0)))),0,31*(VLOOKUP(G$1,Sprints[],5,FALSE))+DAY(VLOOKUP(G$1,Sprints[],2,FALSE)),1,VLOOKUP(G$1,Sprints[],4,FALSE))&lt;&gt;"")*(IF(OFFSET(INDIRECT(CELL("address",INDEX('Leave Tracker'!$A$8:$A$92,MATCH($A45,'Leave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2.4</v>
      </c>
      <c r="H45" s="45">
        <f t="array" aca="1" ref="H45" ca="1">Sheet3!$W$2*$F45*(NETWORKDAYS(VLOOKUP(H$1,Sprints[],2,FALSE), VLOOKUP(H$1,Sprints[],3,FALSE))-SUMPRODUCT((OFFSET(INDIRECT(CELL("address",INDEX('Leave Tracker'!$A$8:$A$92,MATCH($A45,'Leave Tracker'!$A$8:$A$92,0)))),0,31*(VLOOKUP(H$1,Sprints[],5,FALSE))+DAY(VLOOKUP(H$1,Sprints[],2,FALSE)),1,VLOOKUP(H$1,Sprints[],4,FALSE))&lt;&gt;"")*(IF(OFFSET(INDIRECT(CELL("address",INDEX('Leave Tracker'!$A$8:$A$92,MATCH($A45,'Leave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4.8</v>
      </c>
      <c r="I45" s="45">
        <f t="array" aca="1" ref="I45" ca="1">Sheet3!$W$2*$F45*(NETWORKDAYS(VLOOKUP(I$1,Sprints[],2,FALSE), VLOOKUP(I$1,Sprints[],3,FALSE))-SUMPRODUCT((OFFSET(INDIRECT(CELL("address",INDEX('Leave Tracker'!$A$8:$A$92,MATCH($A45,'Leave Tracker'!$A$8:$A$92,0)))),0,31*(VLOOKUP(I$1,Sprints[],5,FALSE))+DAY(VLOOKUP(I$1,Sprints[],2,FALSE)),1,VLOOKUP(I$1,Sprints[],4,FALSE))&lt;&gt;"")*(IF(OFFSET(INDIRECT(CELL("address",INDEX('Leave Tracker'!$A$8:$A$92,MATCH($A45,'Leave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4.32</v>
      </c>
      <c r="J45" s="45">
        <f t="array" aca="1" ref="J45" ca="1">Sheet3!$W$2*$F45*(NETWORKDAYS(VLOOKUP(J$1,Sprints[],2,FALSE), VLOOKUP(J$1,Sprints[],3,FALSE))-SUMPRODUCT((OFFSET(INDIRECT(CELL("address",INDEX('Leave Tracker'!$A$8:$A$92,MATCH($A45,'Leave Tracker'!$A$8:$A$92,0)))),0,31*(VLOOKUP(J$1,Sprints[],5,FALSE))+DAY(VLOOKUP(J$1,Sprints[],2,FALSE)),1,VLOOKUP(J$1,Sprints[],4,FALSE))&lt;&gt;"")*(IF(OFFSET(INDIRECT(CELL("address",INDEX('Leave Tracker'!$A$8:$A$92,MATCH($A45,'Leave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4.8</v>
      </c>
      <c r="K45" s="45">
        <f t="array" aca="1" ref="K45" ca="1">Sheet3!$W$2*$F45*(NETWORKDAYS(VLOOKUP(K$1,Sprints[],2,FALSE), VLOOKUP(K$1,Sprints[],3,FALSE))-SUMPRODUCT((OFFSET(INDIRECT(CELL("address",INDEX('Leave Tracker'!$A$8:$A$92,MATCH($A45,'Leave Tracker'!$A$8:$A$92,0)))),0,31*(VLOOKUP(K$1,Sprints[],5,FALSE))+DAY(VLOOKUP(K$1,Sprints[],2,FALSE)),1,VLOOKUP(K$1,Sprints[],4,FALSE))&lt;&gt;"")*(IF(OFFSET(INDIRECT(CELL("address",INDEX('Leave Tracker'!$A$8:$A$92,MATCH($A45,'Leave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4.8</v>
      </c>
      <c r="L45" s="45">
        <f t="array" aca="1" ref="L45" ca="1">Sheet3!$W$2*$F45*(NETWORKDAYS(VLOOKUP(L$1,Sprints[],2,FALSE), VLOOKUP(L$1,Sprints[],3,FALSE))-SUMPRODUCT((OFFSET(INDIRECT(CELL("address",INDEX('Leave Tracker'!$A$8:$A$92,MATCH($A45,'Leave Tracker'!$A$8:$A$92,0)))),0,31*(VLOOKUP(L$1,Sprints[],5,FALSE))+DAY(VLOOKUP(L$1,Sprints[],2,FALSE)),1,VLOOKUP(L$1,Sprints[],4,FALSE))&lt;&gt;"")*(IF(OFFSET(INDIRECT(CELL("address",INDEX('Leave Tracker'!$A$8:$A$92,MATCH($A45,'Leave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3.84</v>
      </c>
      <c r="M45" s="45">
        <f t="array" aca="1" ref="M45" ca="1">Sheet3!$W$2*$F45*(NETWORKDAYS(VLOOKUP(M$1,Sprints[],2,FALSE), VLOOKUP(M$1,Sprints[],3,FALSE))-SUMPRODUCT((OFFSET(INDIRECT(CELL("address",INDEX('Leave Tracker'!$A$8:$A$92,MATCH($A45,'Leave Tracker'!$A$8:$A$92,0)))),0,31*(VLOOKUP(M$1,Sprints[],5,FALSE))+DAY(VLOOKUP(M$1,Sprints[],2,FALSE)),1,VLOOKUP(M$1,Sprints[],4,FALSE))&lt;&gt;"")*(IF(OFFSET(INDIRECT(CELL("address",INDEX('Leave Tracker'!$A$8:$A$92,MATCH($A45,'Leave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4.32</v>
      </c>
      <c r="N45" s="45">
        <f t="array" aca="1" ref="N45" ca="1">Sheet3!$W$2*$F45*(NETWORKDAYS(VLOOKUP(N$1,Sprints[],2,FALSE), VLOOKUP(N$1,Sprints[],3,FALSE))-SUMPRODUCT((OFFSET(INDIRECT(CELL("address",INDEX('Leave Tracker'!$A$8:$A$92,MATCH($A45,'Leave Tracker'!$A$8:$A$92,0)))),0,31*(VLOOKUP(N$1,Sprints[],5,FALSE))+DAY(VLOOKUP(N$1,Sprints[],2,FALSE)),1,VLOOKUP(N$1,Sprints[],4,FALSE))&lt;&gt;"")*(IF(OFFSET(INDIRECT(CELL("address",INDEX('Leave Tracker'!$A$8:$A$92,MATCH($A45,'Leave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2.4</v>
      </c>
      <c r="O45" s="45">
        <f t="array" aca="1" ref="O45" ca="1">Sheet3!$W$2*$F45*(NETWORKDAYS(VLOOKUP(O$1,Sprints[],2,FALSE), VLOOKUP(O$1,Sprints[],3,FALSE))-SUMPRODUCT((OFFSET(INDIRECT(CELL("address",INDEX('Leave Tracker'!$A$8:$A$92,MATCH($A45,'Leave Tracker'!$A$8:$A$92,0)))),0,31*(VLOOKUP(O$1,Sprints[],5,FALSE))+DAY(VLOOKUP(O$1,Sprints[],2,FALSE)),1,VLOOKUP(O$1,Sprints[],4,FALSE))&lt;&gt;"")*(IF(OFFSET(INDIRECT(CELL("address",INDEX('Leave Tracker'!$A$8:$A$92,MATCH($A45,'Leave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4.8</v>
      </c>
      <c r="P45" s="45">
        <f t="array" aca="1" ref="P45" ca="1">Sheet3!$W$2*$F45*(NETWORKDAYS(VLOOKUP(P$1,Sprints[],2,FALSE), VLOOKUP(P$1,Sprints[],3,FALSE))-SUMPRODUCT((OFFSET(INDIRECT(CELL("address",INDEX('Leave Tracker'!$A$8:$A$92,MATCH($A45,'Leave Tracker'!$A$8:$A$92,0)))),0,31*(VLOOKUP(P$1,Sprints[],5,FALSE))+DAY(VLOOKUP(P$1,Sprints[],2,FALSE)),1,VLOOKUP(P$1,Sprints[],4,FALSE))&lt;&gt;"")*(IF(OFFSET(INDIRECT(CELL("address",INDEX('Leave Tracker'!$A$8:$A$92,MATCH($A45,'Leave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4.8</v>
      </c>
      <c r="Q45" s="45">
        <f t="array" aca="1" ref="Q45" ca="1">Sheet3!$W$2*$F45*(NETWORKDAYS(VLOOKUP(Q$1,Sprints[],2,FALSE), VLOOKUP(Q$1,Sprints[],3,FALSE))-SUMPRODUCT((OFFSET(INDIRECT(CELL("address",INDEX('Leave Tracker'!$A$8:$A$92,MATCH($A45,'Leave Tracker'!$A$8:$A$92,0)))),0,31*(VLOOKUP(Q$1,Sprints[],5,FALSE))+DAY(VLOOKUP(Q$1,Sprints[],2,FALSE)),1,VLOOKUP(Q$1,Sprints[],4,FALSE))&lt;&gt;"")*(IF(OFFSET(INDIRECT(CELL("address",INDEX('Leave Tracker'!$A$8:$A$92,MATCH($A45,'Leave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4.8</v>
      </c>
      <c r="R45" s="45">
        <f t="array" aca="1" ref="R45" ca="1">Sheet3!$W$2*$F45*(NETWORKDAYS(VLOOKUP(R$1,Sprints[],2,FALSE), VLOOKUP(R$1,Sprints[],3,FALSE))-SUMPRODUCT((OFFSET(INDIRECT(CELL("address",INDEX('Leave Tracker'!$A$8:$A$92,MATCH($A45,'Leave Tracker'!$A$8:$A$92,0)))),0,31*(VLOOKUP(R$1,Sprints[],5,FALSE))+DAY(VLOOKUP(R$1,Sprints[],2,FALSE)),1,VLOOKUP(R$1,Sprints[],4,FALSE))&lt;&gt;"")*(IF(OFFSET(INDIRECT(CELL("address",INDEX('Leave Tracker'!$A$8:$A$92,MATCH($A45,'Leave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4.32</v>
      </c>
      <c r="S45" s="82">
        <f t="array" aca="1" ref="S45" ca="1">Sheet3!$W$2*$F45*(NETWORKDAYS(VLOOKUP(S$1,Sprints[],2,FALSE), VLOOKUP(S$1,Sprints[],3,FALSE))-SUMPRODUCT((OFFSET(INDIRECT(CELL("address",INDEX('Leave Tracker'!$A$8:$A$92,MATCH($A45,'Leave Tracker'!$A$8:$A$92,0)))),0,31*(VLOOKUP(S$1,Sprints[],5,FALSE))+DAY(VLOOKUP(S$1,Sprints[],2,FALSE)),1,VLOOKUP(S$1,Sprints[],4,FALSE))&lt;&gt;"")*(IF(OFFSET(INDIRECT(CELL("address",INDEX('Leave Tracker'!$A$8:$A$92,MATCH($A45,'Leave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50.4</v>
      </c>
    </row>
    <row r="47" spans="1:19" s="45" customFormat="1" x14ac:dyDescent="0.45"/>
    <row r="49" spans="1:18" x14ac:dyDescent="0.45">
      <c r="G49" s="45"/>
      <c r="H49" s="45"/>
      <c r="I49" s="45"/>
      <c r="J49" s="45"/>
      <c r="K49" s="45"/>
      <c r="M49" s="45"/>
      <c r="N49" s="45"/>
      <c r="O49" s="45"/>
      <c r="P49" s="45"/>
      <c r="Q49" s="45"/>
      <c r="R49" s="45"/>
    </row>
    <row r="52" spans="1:18" x14ac:dyDescent="0.45">
      <c r="A52" s="45"/>
    </row>
    <row r="53" spans="1:18" x14ac:dyDescent="0.45">
      <c r="A53" s="45"/>
    </row>
    <row r="56" spans="1:18" x14ac:dyDescent="0.45">
      <c r="A56" s="45"/>
    </row>
    <row r="58" spans="1:18" x14ac:dyDescent="0.45">
      <c r="A58" s="50"/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Sheet3!$I$2:$I$6</xm:f>
          </x14:formula1>
          <xm:sqref>B2:B45</xm:sqref>
        </x14:dataValidation>
        <x14:dataValidation type="list" allowBlank="1" showInputMessage="1" showErrorMessage="1">
          <x14:formula1>
            <xm:f>Sheet3!$K$2:$K$3</xm:f>
          </x14:formula1>
          <xm:sqref>C2:C45</xm:sqref>
        </x14:dataValidation>
        <x14:dataValidation type="list" allowBlank="1" showInputMessage="1" showErrorMessage="1">
          <x14:formula1>
            <xm:f>Sheet3!$O$2:$O$6</xm:f>
          </x14:formula1>
          <xm:sqref>E2:E45</xm:sqref>
        </x14:dataValidation>
        <x14:dataValidation type="list" allowBlank="1" showInputMessage="1" showErrorMessage="1">
          <x14:formula1>
            <xm:f>Sheet3!$M$2:$M$11</xm:f>
          </x14:formula1>
          <xm:sqref>D2:D45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13"/>
  <sheetViews>
    <sheetView showGridLines="0" tabSelected="1" workbookViewId="0">
      <selection activeCell="U11" sqref="U11"/>
    </sheetView>
  </sheetViews>
  <sheetFormatPr defaultColWidth="8.796875" defaultRowHeight="14.25" x14ac:dyDescent="0.45"/>
  <cols>
    <col min="1" max="1" width="10.19921875" bestFit="1" customWidth="1"/>
    <col min="2" max="10" width="3.73046875" bestFit="1" customWidth="1"/>
    <col min="11" max="13" width="4.265625" bestFit="1" customWidth="1"/>
    <col min="14" max="14" width="4.73046875" bestFit="1" customWidth="1"/>
    <col min="15" max="15" width="4.265625" bestFit="1" customWidth="1"/>
    <col min="16" max="16" width="4.73046875" bestFit="1" customWidth="1"/>
    <col min="18" max="18" width="15.59765625" bestFit="1" customWidth="1"/>
    <col min="19" max="19" width="8.06640625" bestFit="1" customWidth="1"/>
    <col min="20" max="25" width="5.59765625" customWidth="1"/>
    <col min="26" max="26" width="5.59765625" style="45" customWidth="1"/>
    <col min="27" max="30" width="5.59765625" customWidth="1"/>
    <col min="31" max="31" width="7.59765625" customWidth="1"/>
  </cols>
  <sheetData>
    <row r="1" spans="1:31" x14ac:dyDescent="0.45">
      <c r="A1" s="59" t="s">
        <v>97</v>
      </c>
      <c r="B1" s="45" t="s">
        <v>153</v>
      </c>
      <c r="C1" s="45" t="s">
        <v>154</v>
      </c>
      <c r="D1" s="45" t="s">
        <v>155</v>
      </c>
      <c r="E1" s="45" t="s">
        <v>156</v>
      </c>
      <c r="F1" s="45" t="s">
        <v>157</v>
      </c>
      <c r="G1" s="45" t="s">
        <v>158</v>
      </c>
      <c r="H1" s="45" t="s">
        <v>159</v>
      </c>
      <c r="I1" s="45" t="s">
        <v>160</v>
      </c>
      <c r="J1" s="93" t="s">
        <v>163</v>
      </c>
      <c r="K1" s="93" t="s">
        <v>162</v>
      </c>
      <c r="L1" s="93" t="s">
        <v>161</v>
      </c>
      <c r="M1" s="93" t="s">
        <v>164</v>
      </c>
      <c r="N1" s="93" t="s">
        <v>165</v>
      </c>
      <c r="R1" s="63" t="s">
        <v>127</v>
      </c>
      <c r="S1" s="45"/>
      <c r="T1" s="45"/>
      <c r="U1" s="45"/>
      <c r="V1" s="45"/>
      <c r="W1" s="45"/>
      <c r="X1" s="45"/>
      <c r="Y1" s="45"/>
      <c r="AA1" s="45"/>
      <c r="AB1" s="45"/>
      <c r="AC1" s="45"/>
      <c r="AD1" s="45"/>
      <c r="AE1" s="45"/>
    </row>
    <row r="2" spans="1:31" x14ac:dyDescent="0.45">
      <c r="A2" s="46" t="s">
        <v>99</v>
      </c>
      <c r="B2" s="60">
        <v>10.8</v>
      </c>
      <c r="C2" s="60">
        <v>21.6</v>
      </c>
      <c r="D2" s="60">
        <v>21.6</v>
      </c>
      <c r="E2" s="60">
        <v>21.6</v>
      </c>
      <c r="F2" s="60">
        <v>21.6</v>
      </c>
      <c r="G2" s="60">
        <v>15.120000000000003</v>
      </c>
      <c r="H2" s="60">
        <v>21.6</v>
      </c>
      <c r="I2" s="60">
        <v>10.8</v>
      </c>
      <c r="J2" s="94">
        <v>21.6</v>
      </c>
      <c r="K2" s="94">
        <v>19.440000000000001</v>
      </c>
      <c r="L2" s="94">
        <v>21.6</v>
      </c>
      <c r="M2" s="94">
        <v>21.6</v>
      </c>
      <c r="N2" s="94">
        <v>228.96</v>
      </c>
      <c r="R2" t="s">
        <v>97</v>
      </c>
      <c r="S2" s="64" t="s">
        <v>141</v>
      </c>
      <c r="T2" s="64" t="s">
        <v>142</v>
      </c>
      <c r="U2" s="64" t="s">
        <v>143</v>
      </c>
      <c r="V2" s="64" t="s">
        <v>144</v>
      </c>
      <c r="W2" s="64" t="s">
        <v>145</v>
      </c>
      <c r="X2" s="64" t="s">
        <v>146</v>
      </c>
      <c r="Y2" s="64" t="s">
        <v>147</v>
      </c>
      <c r="Z2" s="64" t="s">
        <v>148</v>
      </c>
      <c r="AA2" s="64" t="s">
        <v>149</v>
      </c>
      <c r="AB2" s="64" t="s">
        <v>150</v>
      </c>
      <c r="AC2" s="64" t="s">
        <v>151</v>
      </c>
      <c r="AD2" s="64" t="s">
        <v>152</v>
      </c>
      <c r="AE2" s="64" t="s">
        <v>166</v>
      </c>
    </row>
    <row r="3" spans="1:31" x14ac:dyDescent="0.45">
      <c r="A3" s="46" t="s">
        <v>100</v>
      </c>
      <c r="B3" s="60">
        <v>31.400000000000002</v>
      </c>
      <c r="C3" s="60">
        <v>62.800000000000004</v>
      </c>
      <c r="D3" s="60">
        <v>62.2</v>
      </c>
      <c r="E3" s="60">
        <v>62.800000000000004</v>
      </c>
      <c r="F3" s="60">
        <v>62.800000000000004</v>
      </c>
      <c r="G3" s="60">
        <v>44.560000000000016</v>
      </c>
      <c r="H3" s="60">
        <v>62.2</v>
      </c>
      <c r="I3" s="60">
        <v>31.400000000000002</v>
      </c>
      <c r="J3" s="94">
        <v>62.800000000000004</v>
      </c>
      <c r="K3" s="94">
        <v>57.120000000000005</v>
      </c>
      <c r="L3" s="94">
        <v>62.800000000000004</v>
      </c>
      <c r="M3" s="94">
        <v>62.2</v>
      </c>
      <c r="N3" s="94">
        <v>665.07999999999993</v>
      </c>
      <c r="R3" t="s">
        <v>99</v>
      </c>
      <c r="S3" s="83">
        <f t="shared" ref="S3:X7" si="0">B2</f>
        <v>10.8</v>
      </c>
      <c r="T3" s="83">
        <f t="shared" si="0"/>
        <v>21.6</v>
      </c>
      <c r="U3" s="83">
        <f t="shared" si="0"/>
        <v>21.6</v>
      </c>
      <c r="V3" s="83">
        <f t="shared" si="0"/>
        <v>21.6</v>
      </c>
      <c r="W3" s="83">
        <f t="shared" si="0"/>
        <v>21.6</v>
      </c>
      <c r="X3" s="83">
        <f t="shared" si="0"/>
        <v>15.120000000000003</v>
      </c>
      <c r="Y3" s="83">
        <f>H2</f>
        <v>21.6</v>
      </c>
      <c r="Z3" s="83">
        <f t="shared" ref="Z3:Z7" si="1">H2</f>
        <v>21.6</v>
      </c>
      <c r="AA3" s="83">
        <f>I2</f>
        <v>10.8</v>
      </c>
      <c r="AB3" s="83">
        <f>J2</f>
        <v>21.6</v>
      </c>
      <c r="AC3" s="83">
        <f>K2</f>
        <v>19.440000000000001</v>
      </c>
      <c r="AD3" s="83">
        <f>L2</f>
        <v>21.6</v>
      </c>
      <c r="AE3" s="83">
        <f>SUM(S3:AD3)</f>
        <v>228.96</v>
      </c>
    </row>
    <row r="4" spans="1:31" x14ac:dyDescent="0.45">
      <c r="A4" s="46" t="s">
        <v>106</v>
      </c>
      <c r="B4" s="60">
        <v>26.800000000000004</v>
      </c>
      <c r="C4" s="60">
        <v>53.600000000000009</v>
      </c>
      <c r="D4" s="60">
        <v>52.88</v>
      </c>
      <c r="E4" s="60">
        <v>53.600000000000009</v>
      </c>
      <c r="F4" s="60">
        <v>53.600000000000009</v>
      </c>
      <c r="G4" s="60">
        <v>38.240000000000016</v>
      </c>
      <c r="H4" s="60">
        <v>52.88</v>
      </c>
      <c r="I4" s="60">
        <v>26.800000000000004</v>
      </c>
      <c r="J4" s="94">
        <v>53.600000000000009</v>
      </c>
      <c r="K4" s="94">
        <v>48.96</v>
      </c>
      <c r="L4" s="94">
        <v>53.600000000000009</v>
      </c>
      <c r="M4" s="94">
        <v>52.88</v>
      </c>
      <c r="N4" s="94">
        <v>567.44000000000005</v>
      </c>
      <c r="R4" t="s">
        <v>129</v>
      </c>
      <c r="S4" s="83">
        <f t="shared" si="0"/>
        <v>31.400000000000002</v>
      </c>
      <c r="T4" s="83">
        <f t="shared" si="0"/>
        <v>62.800000000000004</v>
      </c>
      <c r="U4" s="83">
        <f t="shared" si="0"/>
        <v>62.2</v>
      </c>
      <c r="V4" s="83">
        <f t="shared" ref="V4:V7" si="2">E3</f>
        <v>62.800000000000004</v>
      </c>
      <c r="W4" s="83">
        <f t="shared" ref="W4:W7" si="3">F3</f>
        <v>62.800000000000004</v>
      </c>
      <c r="X4" s="83">
        <f t="shared" si="0"/>
        <v>44.560000000000016</v>
      </c>
      <c r="Y4" s="83">
        <f t="shared" ref="Y4:Y6" si="4">H2</f>
        <v>21.6</v>
      </c>
      <c r="Z4" s="83">
        <f t="shared" si="1"/>
        <v>62.2</v>
      </c>
      <c r="AA4" s="83">
        <f t="shared" ref="AA4:AA6" si="5">I2</f>
        <v>10.8</v>
      </c>
      <c r="AB4" s="83">
        <f t="shared" ref="AB4:AB6" si="6">J2</f>
        <v>21.6</v>
      </c>
      <c r="AC4" s="83">
        <f t="shared" ref="AC4:AC6" si="7">K2</f>
        <v>19.440000000000001</v>
      </c>
      <c r="AD4" s="83">
        <f t="shared" ref="AD4:AD6" si="8">L2</f>
        <v>21.6</v>
      </c>
      <c r="AE4" s="83">
        <f>SUM(S4:AD4)</f>
        <v>483.80000000000007</v>
      </c>
    </row>
    <row r="5" spans="1:31" x14ac:dyDescent="0.45">
      <c r="A5" s="46" t="s">
        <v>103</v>
      </c>
      <c r="B5" s="60">
        <v>40.4</v>
      </c>
      <c r="C5" s="60">
        <v>80.8</v>
      </c>
      <c r="D5" s="60">
        <v>72.88</v>
      </c>
      <c r="E5" s="60">
        <v>80.8</v>
      </c>
      <c r="F5" s="60">
        <v>80.8</v>
      </c>
      <c r="G5" s="60">
        <v>64.48</v>
      </c>
      <c r="H5" s="60">
        <v>72.88</v>
      </c>
      <c r="I5" s="60">
        <v>40.4</v>
      </c>
      <c r="J5" s="94">
        <v>80.8</v>
      </c>
      <c r="K5" s="94">
        <v>80.64</v>
      </c>
      <c r="L5" s="94">
        <v>80.8</v>
      </c>
      <c r="M5" s="94">
        <v>72.88</v>
      </c>
      <c r="N5" s="94">
        <v>848.56</v>
      </c>
      <c r="R5" t="s">
        <v>106</v>
      </c>
      <c r="S5" s="83">
        <f t="shared" si="0"/>
        <v>26.800000000000004</v>
      </c>
      <c r="T5" s="83">
        <f t="shared" si="0"/>
        <v>53.600000000000009</v>
      </c>
      <c r="U5" s="83">
        <f t="shared" si="0"/>
        <v>52.88</v>
      </c>
      <c r="V5" s="83">
        <f t="shared" si="2"/>
        <v>53.600000000000009</v>
      </c>
      <c r="W5" s="83">
        <f t="shared" si="3"/>
        <v>53.600000000000009</v>
      </c>
      <c r="X5" s="83">
        <f t="shared" si="0"/>
        <v>38.240000000000016</v>
      </c>
      <c r="Y5" s="83">
        <f t="shared" si="4"/>
        <v>62.2</v>
      </c>
      <c r="Z5" s="83">
        <f t="shared" si="1"/>
        <v>52.88</v>
      </c>
      <c r="AA5" s="83">
        <f t="shared" si="5"/>
        <v>31.400000000000002</v>
      </c>
      <c r="AB5" s="83">
        <f t="shared" si="6"/>
        <v>62.800000000000004</v>
      </c>
      <c r="AC5" s="83">
        <f t="shared" si="7"/>
        <v>57.120000000000005</v>
      </c>
      <c r="AD5" s="83">
        <f t="shared" si="8"/>
        <v>62.800000000000004</v>
      </c>
      <c r="AE5" s="83">
        <f>SUM(S5:AD5)</f>
        <v>607.91999999999996</v>
      </c>
    </row>
    <row r="6" spans="1:31" x14ac:dyDescent="0.45">
      <c r="A6" s="46" t="s">
        <v>125</v>
      </c>
      <c r="B6" s="60">
        <v>109.4</v>
      </c>
      <c r="C6" s="60">
        <v>218.8</v>
      </c>
      <c r="D6" s="60">
        <v>209.56</v>
      </c>
      <c r="E6" s="60">
        <v>218.8</v>
      </c>
      <c r="F6" s="60">
        <v>218.8</v>
      </c>
      <c r="G6" s="60">
        <v>162.40000000000003</v>
      </c>
      <c r="H6" s="60">
        <v>209.56</v>
      </c>
      <c r="I6" s="60">
        <v>109.4</v>
      </c>
      <c r="J6" s="94">
        <v>218.8</v>
      </c>
      <c r="K6" s="94">
        <v>206.16000000000003</v>
      </c>
      <c r="L6" s="94">
        <v>218.8</v>
      </c>
      <c r="M6" s="94">
        <v>209.56</v>
      </c>
      <c r="N6" s="94">
        <v>2310.0400000000004</v>
      </c>
      <c r="R6" t="s">
        <v>103</v>
      </c>
      <c r="S6" s="83">
        <f t="shared" si="0"/>
        <v>40.4</v>
      </c>
      <c r="T6" s="83">
        <f t="shared" si="0"/>
        <v>80.8</v>
      </c>
      <c r="U6" s="83">
        <f t="shared" si="0"/>
        <v>72.88</v>
      </c>
      <c r="V6" s="83">
        <f t="shared" si="2"/>
        <v>80.8</v>
      </c>
      <c r="W6" s="83">
        <f t="shared" si="3"/>
        <v>80.8</v>
      </c>
      <c r="X6" s="83">
        <f t="shared" si="0"/>
        <v>64.48</v>
      </c>
      <c r="Y6" s="83">
        <f t="shared" si="4"/>
        <v>52.88</v>
      </c>
      <c r="Z6" s="83">
        <f t="shared" si="1"/>
        <v>72.88</v>
      </c>
      <c r="AA6" s="83">
        <f t="shared" si="5"/>
        <v>26.800000000000004</v>
      </c>
      <c r="AB6" s="83">
        <f t="shared" si="6"/>
        <v>53.600000000000009</v>
      </c>
      <c r="AC6" s="83">
        <f t="shared" si="7"/>
        <v>48.96</v>
      </c>
      <c r="AD6" s="83">
        <f t="shared" si="8"/>
        <v>53.600000000000009</v>
      </c>
      <c r="AE6" s="83">
        <f>SUM(S6:AD6)</f>
        <v>728.88000000000011</v>
      </c>
    </row>
    <row r="7" spans="1:31" x14ac:dyDescent="0.45">
      <c r="R7" s="65" t="s">
        <v>128</v>
      </c>
      <c r="S7" s="84">
        <f t="shared" si="0"/>
        <v>109.4</v>
      </c>
      <c r="T7" s="84">
        <f t="shared" si="0"/>
        <v>218.8</v>
      </c>
      <c r="U7" s="84">
        <f t="shared" si="0"/>
        <v>209.56</v>
      </c>
      <c r="V7" s="84">
        <f t="shared" si="2"/>
        <v>218.8</v>
      </c>
      <c r="W7" s="84">
        <f t="shared" si="3"/>
        <v>218.8</v>
      </c>
      <c r="X7" s="84">
        <f>G6</f>
        <v>162.40000000000003</v>
      </c>
      <c r="Y7" s="84">
        <f>H6</f>
        <v>209.56</v>
      </c>
      <c r="Z7" s="84">
        <f t="shared" si="1"/>
        <v>209.56</v>
      </c>
      <c r="AA7" s="84">
        <f>I6</f>
        <v>109.4</v>
      </c>
      <c r="AB7" s="84">
        <f>J6</f>
        <v>218.8</v>
      </c>
      <c r="AC7" s="84">
        <f>K6</f>
        <v>206.16000000000003</v>
      </c>
      <c r="AD7" s="84">
        <f>L6</f>
        <v>218.8</v>
      </c>
      <c r="AE7" s="84">
        <f>SUM(S7:AD7)</f>
        <v>2310.04</v>
      </c>
    </row>
    <row r="11" spans="1:31" x14ac:dyDescent="0.45">
      <c r="R11" s="76" t="s">
        <v>136</v>
      </c>
      <c r="S11" s="77"/>
      <c r="T11" s="78"/>
      <c r="U11" s="75">
        <f ca="1">SUMIF(Team!E2:E91,"QA BA", Team!S2:S91)</f>
        <v>685.52</v>
      </c>
    </row>
    <row r="13" spans="1:31" x14ac:dyDescent="0.45">
      <c r="R13" s="76" t="s">
        <v>137</v>
      </c>
      <c r="S13" s="77"/>
      <c r="T13" s="78"/>
      <c r="U13" s="75">
        <f ca="1">SUM(SUMIFS(Team!S3:S91, Team!E3:E91,"QA BA", Team!B3:B91, {"Alpha","ngStars","NW"}))</f>
        <v>458.72000000000014</v>
      </c>
    </row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14"/>
  <sheetViews>
    <sheetView topLeftCell="I1" workbookViewId="0">
      <selection activeCell="W14" sqref="W14"/>
    </sheetView>
  </sheetViews>
  <sheetFormatPr defaultColWidth="8.796875" defaultRowHeight="14.25" x14ac:dyDescent="0.45"/>
  <cols>
    <col min="7" max="7" width="10.46484375" bestFit="1" customWidth="1"/>
    <col min="9" max="9" width="10.46484375" customWidth="1"/>
    <col min="11" max="11" width="9.796875" customWidth="1"/>
    <col min="13" max="13" width="9.796875" customWidth="1"/>
    <col min="15" max="15" width="12" customWidth="1"/>
    <col min="17" max="17" width="9.796875" customWidth="1"/>
    <col min="18" max="18" width="12.6640625" customWidth="1"/>
    <col min="19" max="19" width="10.9296875" customWidth="1"/>
    <col min="20" max="20" width="26.33203125" customWidth="1"/>
    <col min="21" max="21" width="11" customWidth="1"/>
    <col min="23" max="23" width="12.796875" customWidth="1"/>
  </cols>
  <sheetData>
    <row r="1" spans="1:23" x14ac:dyDescent="0.45">
      <c r="A1" s="1" t="s">
        <v>19</v>
      </c>
      <c r="B1" s="1">
        <v>1</v>
      </c>
      <c r="D1">
        <v>1</v>
      </c>
      <c r="E1" t="s">
        <v>11</v>
      </c>
      <c r="G1" t="str">
        <f>INDEX($A$1:$A$12,MATCH('Leave Tracker'!$A$1+'Leave Tracker'!$A$3-1,Sheet3!$B$1:$B$12,0))&amp;" "&amp;'Leave Tracker'!$A$2</f>
        <v>October 2018</v>
      </c>
      <c r="H1" s="6"/>
      <c r="I1" t="s">
        <v>102</v>
      </c>
      <c r="K1" s="45" t="s">
        <v>98</v>
      </c>
      <c r="M1" s="45" t="s">
        <v>107</v>
      </c>
      <c r="O1" s="45" t="s">
        <v>118</v>
      </c>
      <c r="Q1" s="45" t="s">
        <v>122</v>
      </c>
      <c r="R1" s="45" t="s">
        <v>36</v>
      </c>
      <c r="S1" s="45" t="s">
        <v>37</v>
      </c>
      <c r="T1" t="s">
        <v>38</v>
      </c>
      <c r="U1" t="s">
        <v>123</v>
      </c>
      <c r="W1" s="45" t="s">
        <v>124</v>
      </c>
    </row>
    <row r="2" spans="1:23" x14ac:dyDescent="0.45">
      <c r="A2" s="1" t="s">
        <v>0</v>
      </c>
      <c r="B2" s="1">
        <v>2</v>
      </c>
      <c r="D2">
        <v>2</v>
      </c>
      <c r="E2" t="s">
        <v>12</v>
      </c>
      <c r="G2" s="6" t="str">
        <f>INDEX($A$1:$A$12,MATCH(MONTH(DATE('Leave Tracker'!$A$2,'Leave Tracker'!$A$1+'Leave Tracker'!$A$3-1,1)),$B$1:$B$12,0))&amp;" "&amp;YEAR(DATE('Leave Tracker'!$A$2,'Leave Tracker'!$A$1+'Leave Tracker'!$A$3-1,1))</f>
        <v>October 2018</v>
      </c>
      <c r="I2" t="s">
        <v>99</v>
      </c>
      <c r="K2" t="s">
        <v>104</v>
      </c>
      <c r="M2" t="s">
        <v>130</v>
      </c>
      <c r="O2" t="s">
        <v>111</v>
      </c>
      <c r="Q2" t="s">
        <v>141</v>
      </c>
      <c r="R2" s="6">
        <v>43390</v>
      </c>
      <c r="S2" s="6">
        <f>R2+6</f>
        <v>43396</v>
      </c>
      <c r="T2">
        <f t="shared" ref="T2:T13" si="0">DATEDIF(R2,S2,"d") + 1 + (DATEDIF(DATE(YEAR(R2),MONTH(R2),1),DATE(YEAR(S2),MONTH(S2),1),"m")*31 - DATEDIF(DATE(YEAR(R2),MONTH(R2),1),DATE(YEAR(S2),MONTH(S2),1),"d"))</f>
        <v>7</v>
      </c>
      <c r="U2">
        <f>DATEDIF(DATE('Leave Tracker'!$A$2,'Leave Tracker'!$A$1,1),DATE(YEAR(R2),MONTH(R2),1),"m")</f>
        <v>0</v>
      </c>
      <c r="W2" s="47">
        <v>0.8</v>
      </c>
    </row>
    <row r="3" spans="1:23" x14ac:dyDescent="0.45">
      <c r="A3" s="1" t="s">
        <v>1</v>
      </c>
      <c r="B3" s="1">
        <v>3</v>
      </c>
      <c r="D3">
        <v>3</v>
      </c>
      <c r="E3" t="s">
        <v>13</v>
      </c>
      <c r="I3" t="s">
        <v>100</v>
      </c>
      <c r="K3" t="s">
        <v>105</v>
      </c>
      <c r="M3" t="s">
        <v>132</v>
      </c>
      <c r="O3" t="s">
        <v>112</v>
      </c>
      <c r="Q3" t="s">
        <v>142</v>
      </c>
      <c r="R3" s="6">
        <f>S2+1</f>
        <v>43397</v>
      </c>
      <c r="S3" s="6">
        <f>S2+14</f>
        <v>43410</v>
      </c>
      <c r="T3">
        <f t="shared" si="0"/>
        <v>14</v>
      </c>
      <c r="U3">
        <f>DATEDIF(DATE('Leave Tracker'!$A$2,'Leave Tracker'!$A$1,1),DATE(YEAR(R3),MONTH(R3),1),"m")</f>
        <v>0</v>
      </c>
    </row>
    <row r="4" spans="1:23" x14ac:dyDescent="0.45">
      <c r="A4" s="1" t="s">
        <v>2</v>
      </c>
      <c r="B4" s="1">
        <v>4</v>
      </c>
      <c r="D4">
        <v>4</v>
      </c>
      <c r="E4" t="s">
        <v>14</v>
      </c>
      <c r="I4" t="s">
        <v>106</v>
      </c>
      <c r="M4" t="s">
        <v>108</v>
      </c>
      <c r="O4" t="s">
        <v>113</v>
      </c>
      <c r="Q4" t="s">
        <v>143</v>
      </c>
      <c r="R4" s="6">
        <f>S3+1</f>
        <v>43411</v>
      </c>
      <c r="S4" s="6">
        <f>S3+14</f>
        <v>43424</v>
      </c>
      <c r="T4">
        <f t="shared" si="0"/>
        <v>14</v>
      </c>
      <c r="U4">
        <f>DATEDIF(DATE('Leave Tracker'!$A$2,'Leave Tracker'!$A$1,1),DATE(YEAR(R4),MONTH(R4),1),"m")</f>
        <v>1</v>
      </c>
    </row>
    <row r="5" spans="1:23" x14ac:dyDescent="0.45">
      <c r="A5" s="1" t="s">
        <v>3</v>
      </c>
      <c r="B5" s="1">
        <v>5</v>
      </c>
      <c r="D5">
        <v>5</v>
      </c>
      <c r="E5" t="s">
        <v>15</v>
      </c>
      <c r="I5" t="s">
        <v>101</v>
      </c>
      <c r="M5" s="45" t="s">
        <v>131</v>
      </c>
      <c r="O5" t="s">
        <v>114</v>
      </c>
      <c r="Q5" t="s">
        <v>144</v>
      </c>
      <c r="R5" s="6">
        <f t="shared" ref="R5:R13" si="1">S4+1</f>
        <v>43425</v>
      </c>
      <c r="S5" s="6">
        <f t="shared" ref="S5:S13" si="2">S4+14</f>
        <v>43438</v>
      </c>
      <c r="T5">
        <f t="shared" si="0"/>
        <v>15</v>
      </c>
      <c r="U5">
        <f>DATEDIF(DATE('Leave Tracker'!$A$2,'Leave Tracker'!$A$1,1),DATE(YEAR(R5),MONTH(R5),1),"m")</f>
        <v>1</v>
      </c>
    </row>
    <row r="6" spans="1:23" x14ac:dyDescent="0.45">
      <c r="A6" s="1" t="s">
        <v>4</v>
      </c>
      <c r="B6" s="1">
        <v>6</v>
      </c>
      <c r="D6">
        <v>6</v>
      </c>
      <c r="E6" t="s">
        <v>16</v>
      </c>
      <c r="I6" t="s">
        <v>103</v>
      </c>
      <c r="M6" s="45" t="s">
        <v>109</v>
      </c>
      <c r="O6" t="s">
        <v>115</v>
      </c>
      <c r="Q6" t="s">
        <v>145</v>
      </c>
      <c r="R6" s="6">
        <f t="shared" si="1"/>
        <v>43439</v>
      </c>
      <c r="S6" s="6">
        <f t="shared" si="2"/>
        <v>43452</v>
      </c>
      <c r="T6">
        <f t="shared" si="0"/>
        <v>14</v>
      </c>
      <c r="U6">
        <f>DATEDIF(DATE('Leave Tracker'!$A$2,'Leave Tracker'!$A$1,1),DATE(YEAR(R6),MONTH(R6),1),"m")</f>
        <v>2</v>
      </c>
    </row>
    <row r="7" spans="1:23" x14ac:dyDescent="0.45">
      <c r="A7" s="1" t="s">
        <v>5</v>
      </c>
      <c r="B7" s="1">
        <v>7</v>
      </c>
      <c r="D7">
        <v>7</v>
      </c>
      <c r="E7" t="s">
        <v>17</v>
      </c>
      <c r="M7" s="45" t="s">
        <v>110</v>
      </c>
      <c r="Q7" t="s">
        <v>146</v>
      </c>
      <c r="R7" s="6">
        <f t="shared" si="1"/>
        <v>43453</v>
      </c>
      <c r="S7" s="6">
        <f t="shared" si="2"/>
        <v>43466</v>
      </c>
      <c r="T7">
        <f t="shared" si="0"/>
        <v>14</v>
      </c>
      <c r="U7">
        <f>DATEDIF(DATE('Leave Tracker'!$A$2,'Leave Tracker'!$A$1,1),DATE(YEAR(R7),MONTH(R7),1),"m")</f>
        <v>2</v>
      </c>
    </row>
    <row r="8" spans="1:23" x14ac:dyDescent="0.45">
      <c r="A8" s="1" t="s">
        <v>6</v>
      </c>
      <c r="B8" s="1">
        <v>8</v>
      </c>
      <c r="M8" s="45" t="s">
        <v>116</v>
      </c>
      <c r="Q8" t="s">
        <v>147</v>
      </c>
      <c r="R8" s="6">
        <f>S7+1</f>
        <v>43467</v>
      </c>
      <c r="S8" s="6">
        <f>S7+14</f>
        <v>43480</v>
      </c>
      <c r="T8">
        <f t="shared" si="0"/>
        <v>14</v>
      </c>
      <c r="U8">
        <f>DATEDIF(DATE('Leave Tracker'!$A$2,'Leave Tracker'!$A$1,1),DATE(YEAR(R8),MONTH(R8),1),"m")</f>
        <v>3</v>
      </c>
    </row>
    <row r="9" spans="1:23" x14ac:dyDescent="0.45">
      <c r="A9" s="1" t="s">
        <v>7</v>
      </c>
      <c r="B9" s="1">
        <v>9</v>
      </c>
      <c r="M9" s="45" t="s">
        <v>121</v>
      </c>
      <c r="Q9" t="s">
        <v>148</v>
      </c>
      <c r="R9" s="6">
        <f t="shared" si="1"/>
        <v>43481</v>
      </c>
      <c r="S9" s="6">
        <f>S8+7</f>
        <v>43487</v>
      </c>
      <c r="T9">
        <f t="shared" si="0"/>
        <v>7</v>
      </c>
      <c r="U9">
        <f>DATEDIF(DATE('Leave Tracker'!$A$2,'Leave Tracker'!$A$1,1),DATE(YEAR(R9),MONTH(R9),1),"m")</f>
        <v>3</v>
      </c>
    </row>
    <row r="10" spans="1:23" x14ac:dyDescent="0.45">
      <c r="A10" s="1" t="s">
        <v>8</v>
      </c>
      <c r="B10" s="1">
        <v>10</v>
      </c>
      <c r="M10" s="45" t="s">
        <v>119</v>
      </c>
      <c r="Q10" t="s">
        <v>149</v>
      </c>
      <c r="R10" s="6">
        <f t="shared" si="1"/>
        <v>43488</v>
      </c>
      <c r="S10" s="6">
        <f t="shared" si="2"/>
        <v>43501</v>
      </c>
      <c r="T10">
        <f t="shared" si="0"/>
        <v>14</v>
      </c>
      <c r="U10">
        <f>DATEDIF(DATE('Leave Tracker'!$A$2,'Leave Tracker'!$A$1,1),DATE(YEAR(R10),MONTH(R10),1),"m")</f>
        <v>3</v>
      </c>
    </row>
    <row r="11" spans="1:23" x14ac:dyDescent="0.45">
      <c r="A11" s="1" t="s">
        <v>9</v>
      </c>
      <c r="B11" s="1">
        <v>11</v>
      </c>
      <c r="M11" s="45" t="s">
        <v>120</v>
      </c>
      <c r="Q11" t="s">
        <v>150</v>
      </c>
      <c r="R11" s="6">
        <f t="shared" si="1"/>
        <v>43502</v>
      </c>
      <c r="S11" s="6">
        <f t="shared" si="2"/>
        <v>43515</v>
      </c>
      <c r="T11">
        <f t="shared" si="0"/>
        <v>14</v>
      </c>
      <c r="U11">
        <f>DATEDIF(DATE('Leave Tracker'!$A$2,'Leave Tracker'!$A$1,1),DATE(YEAR(R11),MONTH(R11),1),"m")</f>
        <v>4</v>
      </c>
    </row>
    <row r="12" spans="1:23" x14ac:dyDescent="0.45">
      <c r="A12" s="1" t="s">
        <v>10</v>
      </c>
      <c r="B12" s="1">
        <v>12</v>
      </c>
      <c r="Q12" t="s">
        <v>151</v>
      </c>
      <c r="R12" s="6">
        <f t="shared" si="1"/>
        <v>43516</v>
      </c>
      <c r="S12" s="6">
        <f t="shared" si="2"/>
        <v>43529</v>
      </c>
      <c r="T12">
        <f t="shared" si="0"/>
        <v>17</v>
      </c>
      <c r="U12">
        <f>DATEDIF(DATE('Leave Tracker'!$A$2,'Leave Tracker'!$A$1,1),DATE(YEAR(R12),MONTH(R12),1),"m")</f>
        <v>4</v>
      </c>
    </row>
    <row r="13" spans="1:23" x14ac:dyDescent="0.45">
      <c r="Q13" t="s">
        <v>152</v>
      </c>
      <c r="R13" s="6">
        <f t="shared" si="1"/>
        <v>43530</v>
      </c>
      <c r="S13" s="6">
        <f t="shared" si="2"/>
        <v>43543</v>
      </c>
      <c r="T13">
        <f t="shared" si="0"/>
        <v>14</v>
      </c>
      <c r="U13">
        <f>DATEDIF(DATE('Leave Tracker'!$A$2,'Leave Tracker'!$A$1,1),DATE(YEAR(R13),MONTH(R13),1),"m")</f>
        <v>5</v>
      </c>
    </row>
    <row r="14" spans="1:23" x14ac:dyDescent="0.45">
      <c r="Q14" t="s">
        <v>135</v>
      </c>
      <c r="R14" s="6">
        <f ca="1">MAX(TODAY(), R2)</f>
        <v>43390</v>
      </c>
      <c r="S14" s="6">
        <f>S13</f>
        <v>43543</v>
      </c>
      <c r="T14" s="31">
        <f ca="1">DATEDIF(R14,S14,"d") + 1 + (DATEDIF(DATE(YEAR(R14),MONTH(R14),1),DATE(YEAR(S14),MONTH(S14),1),"m")*31 - DATEDIF(DATE(YEAR(R14),MONTH(R14),1),DATE(YEAR(S14),MONTH(S14),1),"d"))</f>
        <v>158</v>
      </c>
      <c r="U14" s="31">
        <f ca="1">DATEDIF(DATE('Leave Tracker'!$A$2,'Leave Tracker'!$A$1,1),DATE(YEAR(R14),MONTH(R14),1),"m")</f>
        <v>0</v>
      </c>
    </row>
  </sheetData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74BD1C4-8F77-442F-808C-BE77BD83416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Leave Tracker</vt:lpstr>
      <vt:lpstr>Holidays</vt:lpstr>
      <vt:lpstr>Team</vt:lpstr>
      <vt:lpstr>Team Capacity</vt:lpstr>
      <vt:lpstr>Sheet3</vt:lpstr>
      <vt:lpstr>HolidayListNamedRange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ADMINIBM</dc:creator>
  <cp:lastModifiedBy>Alex Folomechine</cp:lastModifiedBy>
  <dcterms:created xsi:type="dcterms:W3CDTF">2014-12-17T05:13:13Z</dcterms:created>
  <dcterms:modified xsi:type="dcterms:W3CDTF">2018-07-04T14:44:50Z</dcterms:modified>
</cp:coreProperties>
</file>