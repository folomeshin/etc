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etc\leave-tracker\"/>
    </mc:Choice>
  </mc:AlternateContent>
  <xr:revisionPtr revIDLastSave="0" documentId="10_ncr:100000_{024705C9-A4A9-4E25-BE03-A950BD244FDB}" xr6:coauthVersionLast="31" xr6:coauthVersionMax="31" xr10:uidLastSave="{00000000-0000-0000-0000-000000000000}"/>
  <bookViews>
    <workbookView xWindow="0" yWindow="0" windowWidth="21600" windowHeight="9285" activeTab="3" xr2:uid="{00000000-000D-0000-FFFF-FFFF00000000}"/>
  </bookViews>
  <sheets>
    <sheet name="Leave Tracker" sheetId="8" r:id="rId1"/>
    <sheet name="Holidays" sheetId="9" state="hidden" r:id="rId2"/>
    <sheet name="Team" sheetId="10" r:id="rId3"/>
    <sheet name="Team Capacity" sheetId="11" r:id="rId4"/>
    <sheet name="Sheet3" sheetId="5" state="hidden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9017"/>
  <pivotCaches>
    <pivotCache cacheId="0" r:id="rId6"/>
  </pivotCaches>
  <fileRecoveryPr autoRecover="0"/>
</workbook>
</file>

<file path=xl/calcChain.xml><?xml version="1.0" encoding="utf-8"?>
<calcChain xmlns="http://schemas.openxmlformats.org/spreadsheetml/2006/main">
  <c r="Z3" i="11" l="1"/>
  <c r="Z4" i="11"/>
  <c r="Z5" i="11"/>
  <c r="Z6" i="11"/>
  <c r="Z7" i="11"/>
  <c r="NO50" i="8" a="1"/>
  <c r="NO50" i="8" s="1"/>
  <c r="NO49" i="8" a="1"/>
  <c r="NO49" i="8" s="1"/>
  <c r="NO48" i="8" a="1"/>
  <c r="NO48" i="8" s="1"/>
  <c r="NO47" i="8" a="1"/>
  <c r="NO47" i="8" s="1"/>
  <c r="NO46" i="8" a="1"/>
  <c r="NO46" i="8" s="1"/>
  <c r="NO45" i="8" a="1"/>
  <c r="NO45" i="8" s="1"/>
  <c r="NO44" i="8" a="1"/>
  <c r="NO44" i="8" s="1"/>
  <c r="NO43" i="8" a="1"/>
  <c r="NO43" i="8" s="1"/>
  <c r="NO42" i="8" a="1"/>
  <c r="NO42" i="8" s="1"/>
  <c r="NO41" i="8" a="1"/>
  <c r="NO41" i="8" s="1"/>
  <c r="NO40" i="8" a="1"/>
  <c r="NO40" i="8" s="1"/>
  <c r="NO39" i="8" a="1"/>
  <c r="NO39" i="8" s="1"/>
  <c r="NO38" i="8" a="1"/>
  <c r="NO38" i="8" s="1"/>
  <c r="NO37" i="8" a="1"/>
  <c r="NO37" i="8" s="1"/>
  <c r="NO36" i="8" a="1"/>
  <c r="NO36" i="8" s="1"/>
  <c r="NO35" i="8" a="1"/>
  <c r="NO35" i="8" s="1"/>
  <c r="NO34" i="8" a="1"/>
  <c r="NO34" i="8" s="1"/>
  <c r="R10" i="5"/>
  <c r="U10" i="5" s="1"/>
  <c r="S10" i="5"/>
  <c r="S9" i="5"/>
  <c r="T10" i="5" l="1"/>
  <c r="NU39" i="8" s="1" a="1"/>
  <c r="NU39" i="8" s="1"/>
  <c r="S2" i="5"/>
  <c r="NU43" i="8" l="1" a="1"/>
  <c r="NU43" i="8" s="1"/>
  <c r="NU35" i="8" a="1"/>
  <c r="NU35" i="8" s="1"/>
  <c r="NU37" i="8" a="1"/>
  <c r="NU37" i="8" s="1"/>
  <c r="NU47" i="8" a="1"/>
  <c r="NU47" i="8" s="1"/>
  <c r="NU41" i="8" a="1"/>
  <c r="NU41" i="8" s="1"/>
  <c r="NU50" i="8" a="1"/>
  <c r="NU50" i="8" s="1"/>
  <c r="NU49" i="8" a="1"/>
  <c r="NU49" i="8" s="1"/>
  <c r="NU45" i="8" a="1"/>
  <c r="NU45" i="8" s="1"/>
  <c r="NU44" i="8" a="1"/>
  <c r="NU44" i="8" s="1"/>
  <c r="NU48" i="8" a="1"/>
  <c r="NU48" i="8" s="1"/>
  <c r="NU40" i="8" a="1"/>
  <c r="NU40" i="8" s="1"/>
  <c r="NU34" i="8" a="1"/>
  <c r="NU34" i="8" s="1"/>
  <c r="NU38" i="8" a="1"/>
  <c r="NU38" i="8" s="1"/>
  <c r="NU36" i="8" a="1"/>
  <c r="NU36" i="8" s="1"/>
  <c r="NU42" i="8" a="1"/>
  <c r="NU42" i="8" s="1"/>
  <c r="NU46" i="8" a="1"/>
  <c r="NU46" i="8" s="1"/>
  <c r="W7" i="11"/>
  <c r="V7" i="11"/>
  <c r="U7" i="11"/>
  <c r="T7" i="11"/>
  <c r="S7" i="11"/>
  <c r="W6" i="11"/>
  <c r="V6" i="11"/>
  <c r="W5" i="11"/>
  <c r="V5" i="11"/>
  <c r="W4" i="11"/>
  <c r="V4" i="11"/>
  <c r="U6" i="11"/>
  <c r="U5" i="11"/>
  <c r="U4" i="11"/>
  <c r="T6" i="11"/>
  <c r="T5" i="11"/>
  <c r="T4" i="11"/>
  <c r="S6" i="11"/>
  <c r="S5" i="11"/>
  <c r="S4" i="11"/>
  <c r="S3" i="11"/>
  <c r="T3" i="11"/>
  <c r="U3" i="11"/>
  <c r="V3" i="11"/>
  <c r="W3" i="11"/>
  <c r="Y3" i="11" l="1"/>
  <c r="X7" i="11"/>
  <c r="X3" i="11"/>
  <c r="X4" i="11"/>
  <c r="X5" i="11"/>
  <c r="X6" i="11"/>
  <c r="Y4" i="11" l="1"/>
  <c r="Y5" i="11"/>
  <c r="Y6" i="11"/>
  <c r="Y7" i="11"/>
  <c r="AA7" i="11" l="1"/>
  <c r="AA6" i="11"/>
  <c r="AA5" i="11"/>
  <c r="AA4" i="11"/>
  <c r="AA3" i="11"/>
  <c r="U2" i="5" l="1"/>
  <c r="A4" i="8"/>
  <c r="T2" i="5"/>
  <c r="S3" i="5"/>
  <c r="S4" i="5" s="1"/>
  <c r="R3" i="5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G7" i="10" a="1"/>
  <c r="G25" i="10" a="1"/>
  <c r="G19" i="10" a="1"/>
  <c r="G40" i="10" a="1"/>
  <c r="G42" i="10" a="1"/>
  <c r="G35" i="10" a="1"/>
  <c r="G25" i="10" l="1"/>
  <c r="T3" i="5"/>
  <c r="NN50" i="8" s="1" a="1"/>
  <c r="NN50" i="8" s="1"/>
  <c r="S5" i="5"/>
  <c r="R5" i="5"/>
  <c r="R4" i="5"/>
  <c r="U3" i="5"/>
  <c r="NK10" i="8" a="1"/>
  <c r="NK10" i="8" s="1"/>
  <c r="NL10" i="8" a="1"/>
  <c r="NL10" i="8" s="1"/>
  <c r="NM10" i="8" a="1"/>
  <c r="NM10" i="8" s="1"/>
  <c r="G7" i="10"/>
  <c r="NK50" i="8" a="1"/>
  <c r="NK50" i="8" s="1"/>
  <c r="NM50" i="8" a="1"/>
  <c r="NM50" i="8" s="1"/>
  <c r="NL50" i="8" a="1"/>
  <c r="NL50" i="8" s="1"/>
  <c r="G19" i="10"/>
  <c r="G35" i="10"/>
  <c r="NK49" i="8" a="1"/>
  <c r="NK49" i="8" s="1"/>
  <c r="NK48" i="8" a="1"/>
  <c r="NK48" i="8" s="1"/>
  <c r="NL48" i="8" a="1"/>
  <c r="NL48" i="8" s="1"/>
  <c r="NM48" i="8" a="1"/>
  <c r="NM48" i="8" s="1"/>
  <c r="NL30" i="8" a="1"/>
  <c r="NL30" i="8" s="1"/>
  <c r="NL49" i="8" a="1"/>
  <c r="NL49" i="8" s="1"/>
  <c r="NM49" i="8" a="1"/>
  <c r="NM49" i="8" s="1"/>
  <c r="NK32" i="8" a="1"/>
  <c r="NK32" i="8" s="1"/>
  <c r="G42" i="10"/>
  <c r="G40" i="10"/>
  <c r="NM32" i="8" a="1"/>
  <c r="NM32" i="8" s="1"/>
  <c r="NM31" i="8" a="1"/>
  <c r="NM31" i="8" s="1"/>
  <c r="NL33" i="8" a="1"/>
  <c r="NL33" i="8" s="1"/>
  <c r="NN47" i="8" a="1"/>
  <c r="NN47" i="8" s="1"/>
  <c r="NN32" i="8" a="1"/>
  <c r="NN32" i="8" s="1"/>
  <c r="NL32" i="8" a="1"/>
  <c r="NL32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Q6" i="8"/>
  <c r="Q4" i="8" s="1"/>
  <c r="NK27" i="8" a="1"/>
  <c r="NK27" i="8" s="1"/>
  <c r="NK28" i="8" a="1"/>
  <c r="NK28" i="8" s="1"/>
  <c r="NK44" i="8" a="1"/>
  <c r="NK44" i="8" s="1"/>
  <c r="NK31" i="8" a="1"/>
  <c r="NK31" i="8" s="1"/>
  <c r="NM8" i="8" a="1"/>
  <c r="NM8" i="8" s="1"/>
  <c r="NN26" i="8" a="1"/>
  <c r="NN26" i="8" s="1"/>
  <c r="NL31" i="8" a="1"/>
  <c r="NL31" i="8" s="1"/>
  <c r="NK8" i="8" a="1"/>
  <c r="NK8" i="8" s="1"/>
  <c r="NL26" i="8" a="1"/>
  <c r="NL26" i="8" s="1"/>
  <c r="NK42" i="8" a="1"/>
  <c r="NK42" i="8" s="1"/>
  <c r="NL46" i="8" a="1"/>
  <c r="NL46" i="8" s="1"/>
  <c r="NM25" i="8" a="1"/>
  <c r="NM25" i="8" s="1"/>
  <c r="NN9" i="8" a="1"/>
  <c r="NN9" i="8" s="1"/>
  <c r="NL35" i="8" a="1"/>
  <c r="NL35" i="8" s="1"/>
  <c r="NM37" i="8" a="1"/>
  <c r="NM37" i="8" s="1"/>
  <c r="NN38" i="8" a="1"/>
  <c r="NN38" i="8" s="1"/>
  <c r="NK33" i="8" a="1"/>
  <c r="NK33" i="8" s="1"/>
  <c r="NN15" i="8" a="1"/>
  <c r="NN15" i="8" s="1"/>
  <c r="NL20" i="8" a="1"/>
  <c r="NL20" i="8" s="1"/>
  <c r="NK14" i="8" a="1"/>
  <c r="NK14" i="8" s="1"/>
  <c r="NM45" i="8" a="1"/>
  <c r="NM45" i="8" s="1"/>
  <c r="NK23" i="8" a="1"/>
  <c r="NK23" i="8" s="1"/>
  <c r="NK26" i="8" a="1"/>
  <c r="NK26" i="8" s="1"/>
  <c r="NK25" i="8" a="1"/>
  <c r="NK25" i="8" s="1"/>
  <c r="NK17" i="8" a="1"/>
  <c r="NK17" i="8" s="1"/>
  <c r="NK37" i="8" a="1"/>
  <c r="NK37" i="8" s="1"/>
  <c r="NK22" i="8" a="1"/>
  <c r="NK22" i="8" s="1"/>
  <c r="NK19" i="8" a="1"/>
  <c r="NK19" i="8" s="1"/>
  <c r="NK18" i="8" a="1"/>
  <c r="NK18" i="8" s="1"/>
  <c r="NK45" i="8" a="1"/>
  <c r="NK45" i="8" s="1"/>
  <c r="NK20" i="8" a="1"/>
  <c r="NK20" i="8" s="1"/>
  <c r="NK9" i="8" a="1"/>
  <c r="NK9" i="8" s="1"/>
  <c r="NK38" i="8" a="1"/>
  <c r="NK38" i="8" s="1"/>
  <c r="NK15" i="8" a="1"/>
  <c r="NK15" i="8" s="1"/>
  <c r="NK11" i="8" a="1"/>
  <c r="NK11" i="8" s="1"/>
  <c r="NK12" i="8" a="1"/>
  <c r="NK12" i="8" s="1"/>
  <c r="NK46" i="8" a="1"/>
  <c r="NK46" i="8" s="1"/>
  <c r="NK29" i="8" a="1"/>
  <c r="NK29" i="8" s="1"/>
  <c r="NK35" i="8" a="1"/>
  <c r="NK35" i="8" s="1"/>
  <c r="NK47" i="8" a="1"/>
  <c r="NK47" i="8" s="1"/>
  <c r="NK39" i="8" a="1"/>
  <c r="NK39" i="8" s="1"/>
  <c r="NK43" i="8" a="1"/>
  <c r="NK43" i="8" s="1"/>
  <c r="NK40" i="8" a="1"/>
  <c r="NK40" i="8" s="1"/>
  <c r="NK30" i="8" a="1"/>
  <c r="NK30" i="8" s="1"/>
  <c r="NK16" i="8" a="1"/>
  <c r="NK16" i="8" s="1"/>
  <c r="NK36" i="8" a="1"/>
  <c r="NK36" i="8" s="1"/>
  <c r="NK13" i="8" a="1"/>
  <c r="NK13" i="8" s="1"/>
  <c r="NK24" i="8" a="1"/>
  <c r="NK24" i="8" s="1"/>
  <c r="NK41" i="8" a="1"/>
  <c r="NK41" i="8" s="1"/>
  <c r="NK34" i="8" a="1"/>
  <c r="NK34" i="8" s="1"/>
  <c r="NN13" i="8" a="1"/>
  <c r="NN13" i="8" s="1"/>
  <c r="NK21" i="8" a="1"/>
  <c r="NK21" i="8" s="1"/>
  <c r="NM21" i="8" a="1"/>
  <c r="NM21" i="8" s="1"/>
  <c r="NM33" i="8" a="1"/>
  <c r="NM33" i="8" s="1"/>
  <c r="NM28" i="8" a="1"/>
  <c r="NM28" i="8" s="1"/>
  <c r="NM16" i="8" a="1"/>
  <c r="NM16" i="8" s="1"/>
  <c r="NM12" i="8" a="1"/>
  <c r="NM12" i="8" s="1"/>
  <c r="NN28" i="8" a="1"/>
  <c r="NN28" i="8" s="1"/>
  <c r="NN46" i="8" a="1"/>
  <c r="NN46" i="8" s="1"/>
  <c r="NN36" i="8" a="1"/>
  <c r="NN36" i="8" s="1"/>
  <c r="NL24" i="8" a="1"/>
  <c r="NL24" i="8" s="1"/>
  <c r="NL19" i="8" a="1"/>
  <c r="NL19" i="8" s="1"/>
  <c r="NL47" i="8" a="1"/>
  <c r="NL47" i="8" s="1"/>
  <c r="NL43" i="8" a="1"/>
  <c r="NL43" i="8" s="1"/>
  <c r="NL39" i="8" a="1"/>
  <c r="NL39" i="8" s="1"/>
  <c r="NL22" i="8" a="1"/>
  <c r="NL22" i="8" s="1"/>
  <c r="NM29" i="8" a="1"/>
  <c r="NM29" i="8" s="1"/>
  <c r="NM11" i="8" a="1"/>
  <c r="NM11" i="8" s="1"/>
  <c r="NM42" i="8" a="1"/>
  <c r="NM42" i="8" s="1"/>
  <c r="NM14" i="8" a="1"/>
  <c r="NM14" i="8" s="1"/>
  <c r="NM9" i="8" a="1"/>
  <c r="NM9" i="8" s="1"/>
  <c r="NN12" i="8" a="1"/>
  <c r="NN12" i="8" s="1"/>
  <c r="NN16" i="8" a="1"/>
  <c r="NN16" i="8" s="1"/>
  <c r="NN29" i="8" a="1"/>
  <c r="NN29" i="8" s="1"/>
  <c r="NN17" i="8" a="1"/>
  <c r="NN17" i="8" s="1"/>
  <c r="NN21" i="8" a="1"/>
  <c r="NN21" i="8" s="1"/>
  <c r="NN19" i="8" a="1"/>
  <c r="NN19" i="8" s="1"/>
  <c r="NL11" i="8" a="1"/>
  <c r="NL11" i="8" s="1"/>
  <c r="NL28" i="8" a="1"/>
  <c r="NL28" i="8" s="1"/>
  <c r="NL45" i="8" a="1"/>
  <c r="NL45" i="8" s="1"/>
  <c r="NL38" i="8" a="1"/>
  <c r="NL38" i="8" s="1"/>
  <c r="NL23" i="8" a="1"/>
  <c r="NL23" i="8" s="1"/>
  <c r="NM40" i="8" a="1"/>
  <c r="NM40" i="8" s="1"/>
  <c r="NM47" i="8" a="1"/>
  <c r="NM47" i="8" s="1"/>
  <c r="NM44" i="8" a="1"/>
  <c r="NM44" i="8" s="1"/>
  <c r="NM38" i="8" a="1"/>
  <c r="NM38" i="8" s="1"/>
  <c r="NM46" i="8" a="1"/>
  <c r="NM46" i="8" s="1"/>
  <c r="NN33" i="8" a="1"/>
  <c r="NN33" i="8" s="1"/>
  <c r="NN25" i="8" a="1"/>
  <c r="NN25" i="8" s="1"/>
  <c r="NN40" i="8" a="1"/>
  <c r="NN40" i="8" s="1"/>
  <c r="NN44" i="8" a="1"/>
  <c r="NN44" i="8" s="1"/>
  <c r="NN39" i="8" a="1"/>
  <c r="NN39" i="8" s="1"/>
  <c r="NL16" i="8" a="1"/>
  <c r="NL16" i="8" s="1"/>
  <c r="NL29" i="8" a="1"/>
  <c r="NL29" i="8" s="1"/>
  <c r="NL44" i="8" a="1"/>
  <c r="NL44" i="8" s="1"/>
  <c r="NL37" i="8" a="1"/>
  <c r="NL37" i="8" s="1"/>
  <c r="NL21" i="8" a="1"/>
  <c r="NL21" i="8" s="1"/>
  <c r="NM39" i="8" a="1"/>
  <c r="NM39" i="8" s="1"/>
  <c r="NM19" i="8" a="1"/>
  <c r="NM19" i="8" s="1"/>
  <c r="NM43" i="8" a="1"/>
  <c r="NM43" i="8" s="1"/>
  <c r="NN34" i="8" a="1"/>
  <c r="NN34" i="8" s="1"/>
  <c r="NN43" i="8" a="1"/>
  <c r="NN43" i="8" s="1"/>
  <c r="NN37" i="8" a="1"/>
  <c r="NN37" i="8" s="1"/>
  <c r="NN27" i="8" a="1"/>
  <c r="NN27" i="8" s="1"/>
  <c r="NL34" i="8" a="1"/>
  <c r="NL34" i="8" s="1"/>
  <c r="NL15" i="8" a="1"/>
  <c r="NL15" i="8" s="1"/>
  <c r="NL27" i="8" a="1"/>
  <c r="NL27" i="8" s="1"/>
  <c r="NL42" i="8" a="1"/>
  <c r="NL42" i="8" s="1"/>
  <c r="NL36" i="8" a="1"/>
  <c r="NL36" i="8" s="1"/>
  <c r="NM41" i="8" a="1"/>
  <c r="NM41" i="8" s="1"/>
  <c r="NM27" i="8" a="1"/>
  <c r="NM27" i="8" s="1"/>
  <c r="NM36" i="8" a="1"/>
  <c r="NM36" i="8" s="1"/>
  <c r="NM23" i="8" a="1"/>
  <c r="NM23" i="8" s="1"/>
  <c r="NM26" i="8" a="1"/>
  <c r="NM26" i="8" s="1"/>
  <c r="NM22" i="8" a="1"/>
  <c r="NM22" i="8" s="1"/>
  <c r="NM15" i="8" a="1"/>
  <c r="NM15" i="8" s="1"/>
  <c r="NN22" i="8" a="1"/>
  <c r="NN22" i="8" s="1"/>
  <c r="NN11" i="8" a="1"/>
  <c r="NN11" i="8" s="1"/>
  <c r="NN45" i="8" a="1"/>
  <c r="NN45" i="8" s="1"/>
  <c r="NN18" i="8" a="1"/>
  <c r="NN18" i="8" s="1"/>
  <c r="NL13" i="8" a="1"/>
  <c r="NL13" i="8" s="1"/>
  <c r="NL17" i="8" a="1"/>
  <c r="NL17" i="8" s="1"/>
  <c r="NL9" i="8" a="1"/>
  <c r="NL9" i="8" s="1"/>
  <c r="NL41" i="8" a="1"/>
  <c r="NL41" i="8" s="1"/>
  <c r="NM17" i="8" a="1"/>
  <c r="NM17" i="8" s="1"/>
  <c r="NM30" i="8" a="1"/>
  <c r="NM30" i="8" s="1"/>
  <c r="NM24" i="8" a="1"/>
  <c r="NM24" i="8" s="1"/>
  <c r="NM34" i="8" a="1"/>
  <c r="NM34" i="8" s="1"/>
  <c r="NL8" i="8" a="1"/>
  <c r="NL8" i="8" s="1"/>
  <c r="NN14" i="8" a="1"/>
  <c r="NN14" i="8" s="1"/>
  <c r="NN30" i="8" a="1"/>
  <c r="NN30" i="8" s="1"/>
  <c r="NN35" i="8" a="1"/>
  <c r="NN35" i="8" s="1"/>
  <c r="NM13" i="8" a="1"/>
  <c r="NM13" i="8" s="1"/>
  <c r="NL12" i="8" a="1"/>
  <c r="NL12" i="8" s="1"/>
  <c r="NL14" i="8" a="1"/>
  <c r="NL14" i="8" s="1"/>
  <c r="NL18" i="8" a="1"/>
  <c r="NL18" i="8" s="1"/>
  <c r="NL25" i="8" a="1"/>
  <c r="NL25" i="8" s="1"/>
  <c r="NL40" i="8" a="1"/>
  <c r="NL40" i="8" s="1"/>
  <c r="NM20" i="8" a="1"/>
  <c r="NM20" i="8" s="1"/>
  <c r="NM35" i="8" a="1"/>
  <c r="NM35" i="8" s="1"/>
  <c r="NM18" i="8" a="1"/>
  <c r="NM18" i="8" s="1"/>
  <c r="NN20" i="8" a="1"/>
  <c r="NN20" i="8" s="1"/>
  <c r="NN24" i="8" a="1"/>
  <c r="NN24" i="8" s="1"/>
  <c r="NN42" i="8" a="1"/>
  <c r="NN42" i="8" s="1"/>
  <c r="NN23" i="8" a="1"/>
  <c r="NN23" i="8" s="1"/>
  <c r="NN41" i="8" a="1"/>
  <c r="NN41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52" i="8"/>
  <c r="H25" i="10" a="1"/>
  <c r="H19" i="10" a="1"/>
  <c r="H35" i="10" a="1"/>
  <c r="H40" i="10" a="1"/>
  <c r="H7" i="10" a="1"/>
  <c r="H42" i="10" a="1"/>
  <c r="H25" i="10" l="1"/>
  <c r="NN8" i="8" a="1"/>
  <c r="NN8" i="8" s="1"/>
  <c r="NN31" i="8" a="1"/>
  <c r="NN31" i="8" s="1"/>
  <c r="NN49" i="8" a="1"/>
  <c r="NN49" i="8" s="1"/>
  <c r="NN10" i="8" a="1"/>
  <c r="NN10" i="8" s="1"/>
  <c r="NN48" i="8" a="1"/>
  <c r="NN48" i="8" s="1"/>
  <c r="H7" i="10"/>
  <c r="H42" i="10"/>
  <c r="H35" i="10"/>
  <c r="H19" i="10"/>
  <c r="H40" i="10"/>
  <c r="U4" i="5"/>
  <c r="T4" i="5"/>
  <c r="T5" i="5"/>
  <c r="U5" i="5"/>
  <c r="S6" i="5"/>
  <c r="R6" i="5"/>
  <c r="NJ10" i="8" a="1"/>
  <c r="NJ10" i="8" s="1"/>
  <c r="NJ48" i="8" a="1"/>
  <c r="NJ48" i="8" s="1"/>
  <c r="NJ50" i="8" a="1"/>
  <c r="NJ50" i="8" s="1"/>
  <c r="NJ49" i="8" a="1"/>
  <c r="NJ49" i="8" s="1"/>
  <c r="NJ31" i="8" a="1"/>
  <c r="NJ31" i="8" s="1"/>
  <c r="NJ15" i="8" a="1"/>
  <c r="NJ15" i="8" s="1"/>
  <c r="NJ47" i="8" a="1"/>
  <c r="NJ47" i="8" s="1"/>
  <c r="NJ25" i="8" a="1"/>
  <c r="NJ25" i="8" s="1"/>
  <c r="NJ43" i="8" a="1"/>
  <c r="NJ43" i="8" s="1"/>
  <c r="NJ40" i="8" a="1"/>
  <c r="NJ40" i="8" s="1"/>
  <c r="NJ30" i="8" a="1"/>
  <c r="NJ30" i="8" s="1"/>
  <c r="NJ38" i="8" a="1"/>
  <c r="NJ38" i="8" s="1"/>
  <c r="NJ14" i="8" a="1"/>
  <c r="NJ14" i="8" s="1"/>
  <c r="NJ42" i="8" a="1"/>
  <c r="NJ42" i="8" s="1"/>
  <c r="NJ37" i="8" a="1"/>
  <c r="NJ37" i="8" s="1"/>
  <c r="NJ12" i="8" a="1"/>
  <c r="NJ12" i="8" s="1"/>
  <c r="NJ9" i="8" a="1"/>
  <c r="NJ9" i="8" s="1"/>
  <c r="NJ22" i="8" a="1"/>
  <c r="NJ22" i="8" s="1"/>
  <c r="NJ18" i="8" a="1"/>
  <c r="NJ18" i="8" s="1"/>
  <c r="NJ16" i="8" a="1"/>
  <c r="NJ16" i="8" s="1"/>
  <c r="NJ28" i="8" a="1"/>
  <c r="NJ28" i="8" s="1"/>
  <c r="NJ39" i="8" a="1"/>
  <c r="NJ39" i="8" s="1"/>
  <c r="NJ33" i="8" a="1"/>
  <c r="NJ33" i="8" s="1"/>
  <c r="NJ23" i="8" a="1"/>
  <c r="NJ23" i="8" s="1"/>
  <c r="NJ17" i="8" a="1"/>
  <c r="NJ17" i="8" s="1"/>
  <c r="NJ24" i="8" a="1"/>
  <c r="NJ24" i="8" s="1"/>
  <c r="NJ36" i="8" a="1"/>
  <c r="NJ36" i="8" s="1"/>
  <c r="NJ21" i="8" a="1"/>
  <c r="NJ21" i="8" s="1"/>
  <c r="NJ35" i="8" a="1"/>
  <c r="NJ35" i="8" s="1"/>
  <c r="NJ13" i="8" a="1"/>
  <c r="NJ13" i="8" s="1"/>
  <c r="NJ19" i="8" a="1"/>
  <c r="NJ19" i="8" s="1"/>
  <c r="NJ41" i="8" a="1"/>
  <c r="NJ41" i="8" s="1"/>
  <c r="NJ46" i="8" a="1"/>
  <c r="NJ46" i="8" s="1"/>
  <c r="NJ45" i="8" a="1"/>
  <c r="NJ45" i="8" s="1"/>
  <c r="NJ27" i="8" a="1"/>
  <c r="NJ27" i="8" s="1"/>
  <c r="NJ32" i="8" a="1"/>
  <c r="NJ32" i="8" s="1"/>
  <c r="NJ20" i="8" a="1"/>
  <c r="NJ20" i="8" s="1"/>
  <c r="NJ29" i="8" a="1"/>
  <c r="NJ29" i="8" s="1"/>
  <c r="NJ8" i="8" a="1"/>
  <c r="NJ8" i="8" s="1"/>
  <c r="NJ34" i="8" a="1"/>
  <c r="NJ34" i="8" s="1"/>
  <c r="NJ11" i="8" a="1"/>
  <c r="NJ11" i="8" s="1"/>
  <c r="NJ44" i="8" a="1"/>
  <c r="NJ44" i="8" s="1"/>
  <c r="NJ26" i="8" a="1"/>
  <c r="NJ26" i="8" s="1"/>
  <c r="I28" i="10" a="1"/>
  <c r="I31" i="10" a="1"/>
  <c r="I43" i="10" a="1"/>
  <c r="H5" i="10" a="1"/>
  <c r="J20" i="10" a="1"/>
  <c r="G17" i="10" a="1"/>
  <c r="G10" i="10" a="1"/>
  <c r="H39" i="10" a="1"/>
  <c r="G5" i="10" a="1"/>
  <c r="G11" i="10" a="1"/>
  <c r="J44" i="10" a="1"/>
  <c r="J32" i="10" a="1"/>
  <c r="J40" i="10" a="1"/>
  <c r="I11" i="10" a="1"/>
  <c r="I18" i="10" a="1"/>
  <c r="G45" i="10" a="1"/>
  <c r="I40" i="10" a="1"/>
  <c r="J9" i="10" a="1"/>
  <c r="J19" i="10" a="1"/>
  <c r="I17" i="10" a="1"/>
  <c r="J42" i="10" a="1"/>
  <c r="H9" i="10" a="1"/>
  <c r="I38" i="10" a="1"/>
  <c r="H30" i="10" a="1"/>
  <c r="G30" i="10" a="1"/>
  <c r="J10" i="10" a="1"/>
  <c r="J26" i="10" a="1"/>
  <c r="J5" i="10" a="1"/>
  <c r="G34" i="10" a="1"/>
  <c r="J14" i="10" a="1"/>
  <c r="J7" i="10" a="1"/>
  <c r="H2" i="10" a="1"/>
  <c r="I30" i="10" a="1"/>
  <c r="H26" i="10" a="1"/>
  <c r="G41" i="10" a="1"/>
  <c r="G31" i="10" a="1"/>
  <c r="J33" i="10" a="1"/>
  <c r="H23" i="10" a="1"/>
  <c r="I33" i="10" a="1"/>
  <c r="G2" i="10" a="1"/>
  <c r="G22" i="10" a="1"/>
  <c r="I9" i="10" a="1"/>
  <c r="H20" i="10" a="1"/>
  <c r="H12" i="10" a="1"/>
  <c r="I41" i="10" a="1"/>
  <c r="I21" i="10" a="1"/>
  <c r="H18" i="10" a="1"/>
  <c r="H13" i="10" a="1"/>
  <c r="I44" i="10" a="1"/>
  <c r="G4" i="10" a="1"/>
  <c r="G16" i="10" a="1"/>
  <c r="G6" i="10" a="1"/>
  <c r="H22" i="10" a="1"/>
  <c r="I29" i="10" a="1"/>
  <c r="G33" i="10" a="1"/>
  <c r="G26" i="10" a="1"/>
  <c r="I6" i="10" a="1"/>
  <c r="G24" i="10" a="1"/>
  <c r="H14" i="10" a="1"/>
  <c r="I26" i="10" a="1"/>
  <c r="H34" i="10" a="1"/>
  <c r="J12" i="10" a="1"/>
  <c r="J30" i="10" a="1"/>
  <c r="J3" i="10" a="1"/>
  <c r="G20" i="10" a="1"/>
  <c r="G23" i="10" a="1"/>
  <c r="H28" i="10" a="1"/>
  <c r="H41" i="10" a="1"/>
  <c r="I4" i="10" a="1"/>
  <c r="H36" i="10" a="1"/>
  <c r="G29" i="10" a="1"/>
  <c r="H38" i="10" a="1"/>
  <c r="J22" i="10" a="1"/>
  <c r="H44" i="10" a="1"/>
  <c r="I42" i="10" a="1"/>
  <c r="I24" i="10" a="1"/>
  <c r="H33" i="10" a="1"/>
  <c r="I20" i="10" a="1"/>
  <c r="G27" i="10" a="1"/>
  <c r="I34" i="10" a="1"/>
  <c r="I35" i="10" a="1"/>
  <c r="J35" i="10" a="1"/>
  <c r="J43" i="10" a="1"/>
  <c r="G43" i="10" a="1"/>
  <c r="J31" i="10" a="1"/>
  <c r="I8" i="10" a="1"/>
  <c r="G18" i="10" a="1"/>
  <c r="G14" i="10" a="1"/>
  <c r="H6" i="10" a="1"/>
  <c r="H31" i="10" a="1"/>
  <c r="H17" i="10" a="1"/>
  <c r="J34" i="10" a="1"/>
  <c r="I36" i="10" a="1"/>
  <c r="J45" i="10" a="1"/>
  <c r="J8" i="10" a="1"/>
  <c r="H10" i="10" a="1"/>
  <c r="I10" i="10" a="1"/>
  <c r="I3" i="10" a="1"/>
  <c r="J37" i="10" a="1"/>
  <c r="G9" i="10" a="1"/>
  <c r="I12" i="10" a="1"/>
  <c r="G13" i="10" a="1"/>
  <c r="I19" i="10" a="1"/>
  <c r="G21" i="10" a="1"/>
  <c r="J39" i="10" a="1"/>
  <c r="J21" i="10" a="1"/>
  <c r="I22" i="10" a="1"/>
  <c r="J28" i="10" a="1"/>
  <c r="G37" i="10" a="1"/>
  <c r="J18" i="10" a="1"/>
  <c r="I25" i="10" a="1"/>
  <c r="J6" i="10" a="1"/>
  <c r="I7" i="10" a="1"/>
  <c r="H24" i="10" a="1"/>
  <c r="J16" i="10" a="1"/>
  <c r="H45" i="10" a="1"/>
  <c r="J38" i="10" a="1"/>
  <c r="H43" i="10" a="1"/>
  <c r="I45" i="10" a="1"/>
  <c r="I27" i="10" a="1"/>
  <c r="G39" i="10" a="1"/>
  <c r="I39" i="10" a="1"/>
  <c r="J15" i="10" a="1"/>
  <c r="G15" i="10" a="1"/>
  <c r="J36" i="10" a="1"/>
  <c r="H3" i="10" a="1"/>
  <c r="G28" i="10" a="1"/>
  <c r="G8" i="10" a="1"/>
  <c r="H37" i="10" a="1"/>
  <c r="J27" i="10" a="1"/>
  <c r="H32" i="10" a="1"/>
  <c r="J4" i="10" a="1"/>
  <c r="I15" i="10" a="1"/>
  <c r="J2" i="10" a="1"/>
  <c r="H11" i="10" a="1"/>
  <c r="I37" i="10" a="1"/>
  <c r="J25" i="10" a="1"/>
  <c r="G38" i="10" a="1"/>
  <c r="I5" i="10" a="1"/>
  <c r="H27" i="10" a="1"/>
  <c r="I13" i="10" a="1"/>
  <c r="H8" i="10" a="1"/>
  <c r="G36" i="10" a="1"/>
  <c r="H4" i="10" a="1"/>
  <c r="G32" i="10" a="1"/>
  <c r="J24" i="10" a="1"/>
  <c r="I14" i="10" a="1"/>
  <c r="J11" i="10" a="1"/>
  <c r="J29" i="10" a="1"/>
  <c r="J23" i="10" a="1"/>
  <c r="I2" i="10" a="1"/>
  <c r="G44" i="10" a="1"/>
  <c r="J41" i="10" a="1"/>
  <c r="H16" i="10" a="1"/>
  <c r="I32" i="10" a="1"/>
  <c r="G12" i="10" a="1"/>
  <c r="I23" i="10" a="1"/>
  <c r="H29" i="10" a="1"/>
  <c r="I16" i="10" a="1"/>
  <c r="H15" i="10" a="1"/>
  <c r="H21" i="10" a="1"/>
  <c r="G3" i="10" a="1"/>
  <c r="J13" i="10" a="1"/>
  <c r="J17" i="10" a="1"/>
  <c r="J25" i="10" l="1"/>
  <c r="I25" i="10"/>
  <c r="NO33" i="8" a="1"/>
  <c r="NO33" i="8" s="1"/>
  <c r="NO25" i="8" a="1"/>
  <c r="NO25" i="8" s="1"/>
  <c r="NO17" i="8" a="1"/>
  <c r="NO17" i="8" s="1"/>
  <c r="NO9" i="8" a="1"/>
  <c r="NO9" i="8" s="1"/>
  <c r="NO10" i="8" a="1"/>
  <c r="NO10" i="8" s="1"/>
  <c r="NO32" i="8" a="1"/>
  <c r="NO32" i="8" s="1"/>
  <c r="NO24" i="8" a="1"/>
  <c r="NO24" i="8" s="1"/>
  <c r="NO16" i="8" a="1"/>
  <c r="NO16" i="8" s="1"/>
  <c r="NO26" i="8" a="1"/>
  <c r="NO26" i="8" s="1"/>
  <c r="NO31" i="8" a="1"/>
  <c r="NO31" i="8" s="1"/>
  <c r="NO23" i="8" a="1"/>
  <c r="NO23" i="8" s="1"/>
  <c r="NO15" i="8" a="1"/>
  <c r="NO15" i="8" s="1"/>
  <c r="NO27" i="8" a="1"/>
  <c r="NO27" i="8" s="1"/>
  <c r="NO30" i="8" a="1"/>
  <c r="NO30" i="8" s="1"/>
  <c r="NO22" i="8" a="1"/>
  <c r="NO22" i="8" s="1"/>
  <c r="NO14" i="8" a="1"/>
  <c r="NO14" i="8" s="1"/>
  <c r="NO18" i="8" a="1"/>
  <c r="NO18" i="8" s="1"/>
  <c r="NO29" i="8" a="1"/>
  <c r="NO29" i="8" s="1"/>
  <c r="NO21" i="8" a="1"/>
  <c r="NO21" i="8" s="1"/>
  <c r="NO13" i="8" a="1"/>
  <c r="NO13" i="8" s="1"/>
  <c r="NO11" i="8" a="1"/>
  <c r="NO11" i="8" s="1"/>
  <c r="NO28" i="8" a="1"/>
  <c r="NO28" i="8" s="1"/>
  <c r="NO20" i="8" a="1"/>
  <c r="NO20" i="8" s="1"/>
  <c r="NO12" i="8" a="1"/>
  <c r="NO12" i="8" s="1"/>
  <c r="NO19" i="8" a="1"/>
  <c r="NO19" i="8" s="1"/>
  <c r="I40" i="10"/>
  <c r="I35" i="10"/>
  <c r="I42" i="10"/>
  <c r="I7" i="10"/>
  <c r="I19" i="10"/>
  <c r="J35" i="10"/>
  <c r="J7" i="10"/>
  <c r="J40" i="10"/>
  <c r="J19" i="10"/>
  <c r="J42" i="10"/>
  <c r="NO8" i="8" a="1"/>
  <c r="NO8" i="8" s="1"/>
  <c r="U6" i="5"/>
  <c r="T6" i="5"/>
  <c r="R7" i="5"/>
  <c r="S7" i="5"/>
  <c r="NP43" i="8" a="1"/>
  <c r="NP43" i="8" s="1"/>
  <c r="NP8" i="8" a="1"/>
  <c r="NP8" i="8" s="1"/>
  <c r="NP47" i="8" a="1"/>
  <c r="NP47" i="8" s="1"/>
  <c r="NP23" i="8" a="1"/>
  <c r="NP23" i="8" s="1"/>
  <c r="NP35" i="8" a="1"/>
  <c r="NP35" i="8" s="1"/>
  <c r="NP37" i="8" a="1"/>
  <c r="NP37" i="8" s="1"/>
  <c r="NP46" i="8" a="1"/>
  <c r="NP46" i="8" s="1"/>
  <c r="NP14" i="8" a="1"/>
  <c r="NP14" i="8" s="1"/>
  <c r="NP48" i="8" a="1"/>
  <c r="NP48" i="8" s="1"/>
  <c r="NP24" i="8" a="1"/>
  <c r="NP24" i="8" s="1"/>
  <c r="NP31" i="8" a="1"/>
  <c r="NP31" i="8" s="1"/>
  <c r="NP42" i="8" a="1"/>
  <c r="NP42" i="8" s="1"/>
  <c r="NP18" i="8" a="1"/>
  <c r="NP18" i="8" s="1"/>
  <c r="NP27" i="8" a="1"/>
  <c r="NP27" i="8" s="1"/>
  <c r="NP38" i="8" a="1"/>
  <c r="NP38" i="8" s="1"/>
  <c r="NP41" i="8" a="1"/>
  <c r="NP41" i="8" s="1"/>
  <c r="NP49" i="8" a="1"/>
  <c r="NP49" i="8" s="1"/>
  <c r="NP32" i="8" a="1"/>
  <c r="NP32" i="8" s="1"/>
  <c r="NP25" i="8" a="1"/>
  <c r="NP25" i="8" s="1"/>
  <c r="NP17" i="8" a="1"/>
  <c r="NP17" i="8" s="1"/>
  <c r="NP11" i="8" a="1"/>
  <c r="NP11" i="8" s="1"/>
  <c r="NP22" i="8" a="1"/>
  <c r="NP22" i="8" s="1"/>
  <c r="NP26" i="8" a="1"/>
  <c r="NP26" i="8" s="1"/>
  <c r="NP44" i="8" a="1"/>
  <c r="NP44" i="8" s="1"/>
  <c r="NP45" i="8" a="1"/>
  <c r="NP45" i="8" s="1"/>
  <c r="NP12" i="8" a="1"/>
  <c r="NP12" i="8" s="1"/>
  <c r="NP10" i="8" a="1"/>
  <c r="NP10" i="8" s="1"/>
  <c r="NP50" i="8" a="1"/>
  <c r="NP50" i="8" s="1"/>
  <c r="NP36" i="8" a="1"/>
  <c r="NP36" i="8" s="1"/>
  <c r="NP28" i="8" a="1"/>
  <c r="NP28" i="8" s="1"/>
  <c r="NP34" i="8" a="1"/>
  <c r="NP34" i="8" s="1"/>
  <c r="NP15" i="8" a="1"/>
  <c r="NP15" i="8" s="1"/>
  <c r="NP20" i="8" a="1"/>
  <c r="NP20" i="8" s="1"/>
  <c r="NP21" i="8" a="1"/>
  <c r="NP21" i="8" s="1"/>
  <c r="NP39" i="8" a="1"/>
  <c r="NP39" i="8" s="1"/>
  <c r="NP19" i="8" a="1"/>
  <c r="NP19" i="8" s="1"/>
  <c r="NP30" i="8" a="1"/>
  <c r="NP30" i="8" s="1"/>
  <c r="NP33" i="8" a="1"/>
  <c r="NP33" i="8" s="1"/>
  <c r="NP16" i="8" a="1"/>
  <c r="NP16" i="8" s="1"/>
  <c r="NP9" i="8" a="1"/>
  <c r="NP9" i="8" s="1"/>
  <c r="NP40" i="8" a="1"/>
  <c r="NP40" i="8" s="1"/>
  <c r="NP29" i="8" a="1"/>
  <c r="NP29" i="8" s="1"/>
  <c r="NP13" i="8" a="1"/>
  <c r="NP13" i="8" s="1"/>
  <c r="J23" i="10"/>
  <c r="I21" i="10"/>
  <c r="I28" i="10"/>
  <c r="H33" i="10"/>
  <c r="J8" i="10"/>
  <c r="J36" i="10"/>
  <c r="I37" i="10"/>
  <c r="I31" i="10"/>
  <c r="G11" i="10"/>
  <c r="H6" i="10"/>
  <c r="G20" i="10"/>
  <c r="H31" i="10"/>
  <c r="I11" i="10"/>
  <c r="I38" i="10"/>
  <c r="J34" i="10"/>
  <c r="I45" i="10"/>
  <c r="H21" i="10"/>
  <c r="J32" i="10"/>
  <c r="J39" i="10"/>
  <c r="H12" i="10"/>
  <c r="J37" i="10"/>
  <c r="J4" i="10"/>
  <c r="J3" i="10"/>
  <c r="I10" i="10"/>
  <c r="H23" i="10"/>
  <c r="H41" i="10"/>
  <c r="I26" i="10"/>
  <c r="I39" i="10"/>
  <c r="H26" i="10"/>
  <c r="I36" i="10"/>
  <c r="J28" i="10"/>
  <c r="J27" i="10"/>
  <c r="J5" i="10"/>
  <c r="H27" i="10"/>
  <c r="H10" i="10"/>
  <c r="H22" i="10"/>
  <c r="G38" i="10"/>
  <c r="J30" i="10"/>
  <c r="H13" i="10"/>
  <c r="G29" i="10"/>
  <c r="I4" i="10"/>
  <c r="H14" i="10"/>
  <c r="G23" i="10"/>
  <c r="I34" i="10"/>
  <c r="J13" i="10"/>
  <c r="H37" i="10"/>
  <c r="G45" i="10"/>
  <c r="J38" i="10"/>
  <c r="H16" i="10"/>
  <c r="G31" i="10"/>
  <c r="J44" i="10"/>
  <c r="J10" i="10"/>
  <c r="H24" i="10"/>
  <c r="J17" i="10"/>
  <c r="J18" i="10"/>
  <c r="H8" i="10"/>
  <c r="I18" i="10"/>
  <c r="J16" i="10"/>
  <c r="I16" i="10"/>
  <c r="G14" i="10"/>
  <c r="G17" i="10"/>
  <c r="G43" i="10"/>
  <c r="J11" i="10"/>
  <c r="H15" i="10"/>
  <c r="I43" i="10"/>
  <c r="H9" i="10"/>
  <c r="G22" i="10"/>
  <c r="H30" i="10"/>
  <c r="G16" i="10"/>
  <c r="H36" i="10"/>
  <c r="H43" i="10"/>
  <c r="G13" i="10"/>
  <c r="J21" i="10"/>
  <c r="I44" i="10"/>
  <c r="G10" i="10"/>
  <c r="H28" i="10"/>
  <c r="J6" i="10"/>
  <c r="I20" i="10"/>
  <c r="G39" i="10"/>
  <c r="J33" i="10"/>
  <c r="I41" i="10"/>
  <c r="I24" i="10"/>
  <c r="G3" i="10"/>
  <c r="H17" i="10"/>
  <c r="J22" i="10"/>
  <c r="I3" i="10"/>
  <c r="G2" i="10"/>
  <c r="G8" i="10"/>
  <c r="I29" i="10"/>
  <c r="G34" i="10"/>
  <c r="G33" i="10"/>
  <c r="I9" i="10"/>
  <c r="I5" i="10"/>
  <c r="G18" i="10"/>
  <c r="H3" i="10"/>
  <c r="I14" i="10"/>
  <c r="G37" i="10"/>
  <c r="G15" i="10"/>
  <c r="J45" i="10"/>
  <c r="H18" i="10"/>
  <c r="G4" i="10"/>
  <c r="H5" i="10"/>
  <c r="J14" i="10"/>
  <c r="I12" i="10"/>
  <c r="H34" i="10"/>
  <c r="G26" i="10"/>
  <c r="G24" i="10"/>
  <c r="H29" i="10"/>
  <c r="H39" i="10"/>
  <c r="J41" i="10"/>
  <c r="J2" i="10"/>
  <c r="J26" i="10"/>
  <c r="J43" i="10"/>
  <c r="G5" i="10"/>
  <c r="I15" i="10"/>
  <c r="J31" i="10"/>
  <c r="H32" i="10"/>
  <c r="I6" i="10"/>
  <c r="I22" i="10"/>
  <c r="J12" i="10"/>
  <c r="G44" i="10"/>
  <c r="G32" i="10"/>
  <c r="J20" i="10"/>
  <c r="I30" i="10"/>
  <c r="I2" i="10"/>
  <c r="G9" i="10"/>
  <c r="G21" i="10"/>
  <c r="G30" i="10"/>
  <c r="I27" i="10"/>
  <c r="H38" i="10"/>
  <c r="I17" i="10"/>
  <c r="I32" i="10"/>
  <c r="I23" i="10"/>
  <c r="H45" i="10"/>
  <c r="H2" i="10"/>
  <c r="J29" i="10"/>
  <c r="G27" i="10"/>
  <c r="G36" i="10"/>
  <c r="G6" i="10"/>
  <c r="H11" i="10"/>
  <c r="G41" i="10"/>
  <c r="H44" i="10"/>
  <c r="J9" i="10"/>
  <c r="J15" i="10"/>
  <c r="H4" i="10"/>
  <c r="J24" i="10"/>
  <c r="G12" i="10"/>
  <c r="G28" i="10"/>
  <c r="I8" i="10"/>
  <c r="I13" i="10"/>
  <c r="H20" i="10"/>
  <c r="I33" i="10"/>
  <c r="K45" i="10" a="1"/>
  <c r="K8" i="10" a="1"/>
  <c r="K15" i="10" a="1"/>
  <c r="K35" i="10" a="1"/>
  <c r="K26" i="10" a="1"/>
  <c r="K43" i="10" a="1"/>
  <c r="K28" i="10" a="1"/>
  <c r="K20" i="10" a="1"/>
  <c r="K14" i="10" a="1"/>
  <c r="K23" i="10" a="1"/>
  <c r="K2" i="10" a="1"/>
  <c r="K16" i="10" a="1"/>
  <c r="K11" i="10" a="1"/>
  <c r="K44" i="10" a="1"/>
  <c r="K18" i="10" a="1"/>
  <c r="K30" i="10" a="1"/>
  <c r="K13" i="10" a="1"/>
  <c r="K34" i="10" a="1"/>
  <c r="K39" i="10" a="1"/>
  <c r="K42" i="10" a="1"/>
  <c r="K22" i="10" a="1"/>
  <c r="K29" i="10" a="1"/>
  <c r="K40" i="10" a="1"/>
  <c r="K37" i="10" a="1"/>
  <c r="K33" i="10" a="1"/>
  <c r="K25" i="10" a="1"/>
  <c r="K4" i="10" a="1"/>
  <c r="K5" i="10" a="1"/>
  <c r="K27" i="10" a="1"/>
  <c r="K19" i="10" a="1"/>
  <c r="K21" i="10" a="1"/>
  <c r="K38" i="10" a="1"/>
  <c r="K9" i="10" a="1"/>
  <c r="K31" i="10" a="1"/>
  <c r="K24" i="10" a="1"/>
  <c r="K6" i="10" a="1"/>
  <c r="K3" i="10" a="1"/>
  <c r="K12" i="10" a="1"/>
  <c r="K41" i="10" a="1"/>
  <c r="K32" i="10" a="1"/>
  <c r="K36" i="10" a="1"/>
  <c r="K7" i="10" a="1"/>
  <c r="K17" i="10" a="1"/>
  <c r="K10" i="10" a="1"/>
  <c r="K25" i="10" l="1"/>
  <c r="K40" i="10"/>
  <c r="K7" i="10"/>
  <c r="K35" i="10"/>
  <c r="K42" i="10"/>
  <c r="K19" i="10"/>
  <c r="K8" i="10"/>
  <c r="K3" i="10"/>
  <c r="K41" i="10"/>
  <c r="K39" i="10"/>
  <c r="K38" i="10"/>
  <c r="K36" i="10"/>
  <c r="K13" i="10"/>
  <c r="K10" i="10"/>
  <c r="K17" i="10"/>
  <c r="K44" i="10"/>
  <c r="K34" i="10"/>
  <c r="K27" i="10"/>
  <c r="K4" i="10"/>
  <c r="K11" i="10"/>
  <c r="K33" i="10"/>
  <c r="K15" i="10"/>
  <c r="K20" i="10"/>
  <c r="K2" i="10"/>
  <c r="K45" i="10"/>
  <c r="K37" i="10"/>
  <c r="K30" i="10"/>
  <c r="K22" i="10"/>
  <c r="K26" i="10"/>
  <c r="K16" i="10"/>
  <c r="K31" i="10"/>
  <c r="K14" i="10"/>
  <c r="K32" i="10"/>
  <c r="K6" i="10"/>
  <c r="K29" i="10"/>
  <c r="K9" i="10"/>
  <c r="K24" i="10"/>
  <c r="K43" i="10"/>
  <c r="K18" i="10"/>
  <c r="K28" i="10"/>
  <c r="K23" i="10"/>
  <c r="K12" i="10"/>
  <c r="K5" i="10"/>
  <c r="K21" i="10"/>
  <c r="NQ50" i="8" a="1"/>
  <c r="NQ50" i="8" s="1"/>
  <c r="NQ31" i="8" a="1"/>
  <c r="NQ31" i="8" s="1"/>
  <c r="NQ17" i="8" a="1"/>
  <c r="NQ17" i="8" s="1"/>
  <c r="NQ44" i="8" a="1"/>
  <c r="NQ44" i="8" s="1"/>
  <c r="NQ45" i="8" a="1"/>
  <c r="NQ45" i="8" s="1"/>
  <c r="NQ12" i="8" a="1"/>
  <c r="NQ12" i="8" s="1"/>
  <c r="NQ34" i="8" a="1"/>
  <c r="NQ34" i="8" s="1"/>
  <c r="NQ36" i="8" a="1"/>
  <c r="NQ36" i="8" s="1"/>
  <c r="NQ28" i="8" a="1"/>
  <c r="NQ28" i="8" s="1"/>
  <c r="NQ40" i="8" a="1"/>
  <c r="NQ40" i="8" s="1"/>
  <c r="NQ10" i="8" a="1"/>
  <c r="NQ10" i="8" s="1"/>
  <c r="NQ48" i="8" a="1"/>
  <c r="NQ48" i="8" s="1"/>
  <c r="NQ18" i="8" a="1"/>
  <c r="NQ18" i="8" s="1"/>
  <c r="NQ21" i="8" a="1"/>
  <c r="NQ21" i="8" s="1"/>
  <c r="NQ33" i="8" a="1"/>
  <c r="NQ33" i="8" s="1"/>
  <c r="NQ41" i="8" a="1"/>
  <c r="NQ41" i="8" s="1"/>
  <c r="NQ43" i="8" a="1"/>
  <c r="NQ43" i="8" s="1"/>
  <c r="NQ35" i="8" a="1"/>
  <c r="NQ35" i="8" s="1"/>
  <c r="NQ37" i="8" a="1"/>
  <c r="NQ37" i="8" s="1"/>
  <c r="NQ11" i="8" a="1"/>
  <c r="NQ11" i="8" s="1"/>
  <c r="NQ30" i="8" a="1"/>
  <c r="NQ30" i="8" s="1"/>
  <c r="NQ26" i="8" a="1"/>
  <c r="NQ26" i="8" s="1"/>
  <c r="NQ19" i="8" a="1"/>
  <c r="NQ19" i="8" s="1"/>
  <c r="NQ24" i="8" a="1"/>
  <c r="NQ24" i="8" s="1"/>
  <c r="NQ27" i="8" a="1"/>
  <c r="NQ27" i="8" s="1"/>
  <c r="NQ13" i="8" a="1"/>
  <c r="NQ13" i="8" s="1"/>
  <c r="NQ29" i="8" a="1"/>
  <c r="NQ29" i="8" s="1"/>
  <c r="NQ9" i="8" a="1"/>
  <c r="NQ9" i="8" s="1"/>
  <c r="NQ20" i="8" a="1"/>
  <c r="NQ20" i="8" s="1"/>
  <c r="NQ39" i="8" a="1"/>
  <c r="NQ39" i="8" s="1"/>
  <c r="NQ23" i="8" a="1"/>
  <c r="NQ23" i="8" s="1"/>
  <c r="NQ49" i="8" a="1"/>
  <c r="NQ49" i="8" s="1"/>
  <c r="NQ42" i="8" a="1"/>
  <c r="NQ42" i="8" s="1"/>
  <c r="NQ47" i="8" a="1"/>
  <c r="NQ47" i="8" s="1"/>
  <c r="NQ38" i="8" a="1"/>
  <c r="NQ38" i="8" s="1"/>
  <c r="NQ14" i="8" a="1"/>
  <c r="NQ14" i="8" s="1"/>
  <c r="NQ32" i="8" a="1"/>
  <c r="NQ32" i="8" s="1"/>
  <c r="NQ8" i="8" a="1"/>
  <c r="NQ8" i="8" s="1"/>
  <c r="NQ46" i="8" a="1"/>
  <c r="NQ46" i="8" s="1"/>
  <c r="NQ22" i="8" a="1"/>
  <c r="NQ22" i="8" s="1"/>
  <c r="NQ25" i="8" a="1"/>
  <c r="NQ25" i="8" s="1"/>
  <c r="NQ16" i="8" a="1"/>
  <c r="NQ16" i="8" s="1"/>
  <c r="NQ15" i="8" a="1"/>
  <c r="NQ15" i="8" s="1"/>
  <c r="S8" i="5"/>
  <c r="R8" i="5"/>
  <c r="U7" i="5"/>
  <c r="T7" i="5"/>
  <c r="L5" i="10" a="1"/>
  <c r="L14" i="10" a="1"/>
  <c r="L23" i="10" a="1"/>
  <c r="L2" i="10" a="1"/>
  <c r="L9" i="10" a="1"/>
  <c r="L11" i="10" a="1"/>
  <c r="L20" i="10" a="1"/>
  <c r="L29" i="10" a="1"/>
  <c r="L15" i="10" a="1"/>
  <c r="L41" i="10" a="1"/>
  <c r="L22" i="10" a="1"/>
  <c r="L4" i="10" a="1"/>
  <c r="L10" i="10" a="1"/>
  <c r="L8" i="10" a="1"/>
  <c r="L7" i="10" a="1"/>
  <c r="L34" i="10" a="1"/>
  <c r="L16" i="10" a="1"/>
  <c r="L38" i="10" a="1"/>
  <c r="L35" i="10" a="1"/>
  <c r="L25" i="10" a="1"/>
  <c r="L24" i="10" a="1"/>
  <c r="L12" i="10" a="1"/>
  <c r="L37" i="10" a="1"/>
  <c r="L13" i="10" a="1"/>
  <c r="L45" i="10" a="1"/>
  <c r="L17" i="10" a="1"/>
  <c r="L43" i="10" a="1"/>
  <c r="L3" i="10" a="1"/>
  <c r="L31" i="10" a="1"/>
  <c r="L40" i="10" a="1"/>
  <c r="L36" i="10" a="1"/>
  <c r="L33" i="10" a="1"/>
  <c r="L18" i="10" a="1"/>
  <c r="L44" i="10" a="1"/>
  <c r="L39" i="10" a="1"/>
  <c r="L27" i="10" a="1"/>
  <c r="L42" i="10" a="1"/>
  <c r="L26" i="10" a="1"/>
  <c r="L21" i="10" a="1"/>
  <c r="L6" i="10" a="1"/>
  <c r="L28" i="10" a="1"/>
  <c r="L30" i="10" a="1"/>
  <c r="L19" i="10" a="1"/>
  <c r="L32" i="10" a="1"/>
  <c r="L25" i="10" l="1"/>
  <c r="L36" i="10"/>
  <c r="L41" i="10"/>
  <c r="L43" i="10"/>
  <c r="L15" i="10"/>
  <c r="L20" i="10"/>
  <c r="L34" i="10"/>
  <c r="L5" i="10"/>
  <c r="L37" i="10"/>
  <c r="L8" i="10"/>
  <c r="L44" i="10"/>
  <c r="L31" i="10"/>
  <c r="L3" i="10"/>
  <c r="L22" i="10"/>
  <c r="L18" i="10"/>
  <c r="L17" i="10"/>
  <c r="L38" i="10"/>
  <c r="L32" i="10"/>
  <c r="L4" i="10"/>
  <c r="L2" i="10"/>
  <c r="L11" i="10"/>
  <c r="L27" i="10"/>
  <c r="L28" i="10"/>
  <c r="L33" i="10"/>
  <c r="L9" i="10"/>
  <c r="L21" i="10"/>
  <c r="L39" i="10"/>
  <c r="L45" i="10"/>
  <c r="L14" i="10"/>
  <c r="L26" i="10"/>
  <c r="L10" i="10"/>
  <c r="L30" i="10"/>
  <c r="L24" i="10"/>
  <c r="L13" i="10"/>
  <c r="L23" i="10"/>
  <c r="L16" i="10"/>
  <c r="L29" i="10"/>
  <c r="L12" i="10"/>
  <c r="L6" i="10"/>
  <c r="L35" i="10"/>
  <c r="L19" i="10"/>
  <c r="L7" i="10"/>
  <c r="L40" i="10"/>
  <c r="L42" i="10"/>
  <c r="R9" i="5"/>
  <c r="NR22" i="8" a="1"/>
  <c r="NR22" i="8" s="1"/>
  <c r="NR24" i="8" a="1"/>
  <c r="NR24" i="8" s="1"/>
  <c r="NR18" i="8" a="1"/>
  <c r="NR18" i="8" s="1"/>
  <c r="NR45" i="8" a="1"/>
  <c r="NR45" i="8" s="1"/>
  <c r="NR12" i="8" a="1"/>
  <c r="NR12" i="8" s="1"/>
  <c r="NR15" i="8" a="1"/>
  <c r="NR15" i="8" s="1"/>
  <c r="NR39" i="8" a="1"/>
  <c r="NR39" i="8" s="1"/>
  <c r="NR10" i="8" a="1"/>
  <c r="NR10" i="8" s="1"/>
  <c r="NR40" i="8" a="1"/>
  <c r="NR40" i="8" s="1"/>
  <c r="NR17" i="8" a="1"/>
  <c r="NR17" i="8" s="1"/>
  <c r="NR35" i="8" a="1"/>
  <c r="NR35" i="8" s="1"/>
  <c r="NR50" i="8" a="1"/>
  <c r="NR50" i="8" s="1"/>
  <c r="NR33" i="8" a="1"/>
  <c r="NR33" i="8" s="1"/>
  <c r="NR41" i="8" a="1"/>
  <c r="NR41" i="8" s="1"/>
  <c r="NR19" i="8" a="1"/>
  <c r="NR19" i="8" s="1"/>
  <c r="NR49" i="8" a="1"/>
  <c r="NR49" i="8" s="1"/>
  <c r="NR13" i="8" a="1"/>
  <c r="NR13" i="8" s="1"/>
  <c r="NR27" i="8" a="1"/>
  <c r="NR27" i="8" s="1"/>
  <c r="NR47" i="8" a="1"/>
  <c r="NR47" i="8" s="1"/>
  <c r="NR46" i="8" a="1"/>
  <c r="NR46" i="8" s="1"/>
  <c r="NR23" i="8" a="1"/>
  <c r="NR23" i="8" s="1"/>
  <c r="NR26" i="8" a="1"/>
  <c r="NR26" i="8" s="1"/>
  <c r="NR9" i="8" a="1"/>
  <c r="NR9" i="8" s="1"/>
  <c r="NR20" i="8" a="1"/>
  <c r="NR20" i="8" s="1"/>
  <c r="NR44" i="8" a="1"/>
  <c r="NR44" i="8" s="1"/>
  <c r="NR11" i="8" a="1"/>
  <c r="NR11" i="8" s="1"/>
  <c r="NR14" i="8" a="1"/>
  <c r="NR14" i="8" s="1"/>
  <c r="NR16" i="8" a="1"/>
  <c r="NR16" i="8" s="1"/>
  <c r="NR32" i="8" a="1"/>
  <c r="NR32" i="8" s="1"/>
  <c r="NR30" i="8" a="1"/>
  <c r="NR30" i="8" s="1"/>
  <c r="NR34" i="8" a="1"/>
  <c r="NR34" i="8" s="1"/>
  <c r="NR8" i="8" a="1"/>
  <c r="NR8" i="8" s="1"/>
  <c r="NR28" i="8" a="1"/>
  <c r="NR28" i="8" s="1"/>
  <c r="NR38" i="8" a="1"/>
  <c r="NR38" i="8" s="1"/>
  <c r="NR48" i="8" a="1"/>
  <c r="NR48" i="8" s="1"/>
  <c r="NR37" i="8" a="1"/>
  <c r="NR37" i="8" s="1"/>
  <c r="NR31" i="8" a="1"/>
  <c r="NR31" i="8" s="1"/>
  <c r="NR29" i="8" a="1"/>
  <c r="NR29" i="8" s="1"/>
  <c r="NR25" i="8" a="1"/>
  <c r="NR25" i="8" s="1"/>
  <c r="NR42" i="8" a="1"/>
  <c r="NR42" i="8" s="1"/>
  <c r="NR36" i="8" a="1"/>
  <c r="NR36" i="8" s="1"/>
  <c r="NR43" i="8" a="1"/>
  <c r="NR43" i="8" s="1"/>
  <c r="NR21" i="8" a="1"/>
  <c r="NR21" i="8" s="1"/>
  <c r="U8" i="5"/>
  <c r="T8" i="5"/>
  <c r="M41" i="10" a="1"/>
  <c r="M42" i="10" a="1"/>
  <c r="M38" i="10" a="1"/>
  <c r="M14" i="10" a="1"/>
  <c r="M26" i="10" a="1"/>
  <c r="M30" i="10" a="1"/>
  <c r="M2" i="10" a="1"/>
  <c r="M28" i="10" a="1"/>
  <c r="M18" i="10" a="1"/>
  <c r="M35" i="10" a="1"/>
  <c r="M34" i="10" a="1"/>
  <c r="M25" i="10" a="1"/>
  <c r="M27" i="10" a="1"/>
  <c r="M19" i="10" a="1"/>
  <c r="M7" i="10" a="1"/>
  <c r="M9" i="10" a="1"/>
  <c r="M36" i="10" a="1"/>
  <c r="M11" i="10" a="1"/>
  <c r="M10" i="10" a="1"/>
  <c r="M23" i="10" a="1"/>
  <c r="M4" i="10" a="1"/>
  <c r="M13" i="10" a="1"/>
  <c r="M8" i="10" a="1"/>
  <c r="M45" i="10" a="1"/>
  <c r="M44" i="10" a="1"/>
  <c r="M32" i="10" a="1"/>
  <c r="M39" i="10" a="1"/>
  <c r="M16" i="10" a="1"/>
  <c r="M17" i="10" a="1"/>
  <c r="M15" i="10" a="1"/>
  <c r="M24" i="10" a="1"/>
  <c r="M29" i="10" a="1"/>
  <c r="M22" i="10" a="1"/>
  <c r="M21" i="10" a="1"/>
  <c r="M5" i="10" a="1"/>
  <c r="M20" i="10" a="1"/>
  <c r="M37" i="10" a="1"/>
  <c r="M6" i="10" a="1"/>
  <c r="M31" i="10" a="1"/>
  <c r="M12" i="10" a="1"/>
  <c r="M40" i="10" a="1"/>
  <c r="M3" i="10" a="1"/>
  <c r="M43" i="10" a="1"/>
  <c r="M33" i="10" a="1"/>
  <c r="M25" i="10" l="1"/>
  <c r="M3" i="10"/>
  <c r="M8" i="10"/>
  <c r="M2" i="10"/>
  <c r="M16" i="10"/>
  <c r="M11" i="10"/>
  <c r="M45" i="10"/>
  <c r="M6" i="10"/>
  <c r="M20" i="10"/>
  <c r="M5" i="10"/>
  <c r="M24" i="10"/>
  <c r="M22" i="10"/>
  <c r="M32" i="10"/>
  <c r="M23" i="10"/>
  <c r="M21" i="10"/>
  <c r="M33" i="10"/>
  <c r="M14" i="10"/>
  <c r="M26" i="10"/>
  <c r="M37" i="10"/>
  <c r="M27" i="10"/>
  <c r="M28" i="10"/>
  <c r="M39" i="10"/>
  <c r="M15" i="10"/>
  <c r="M43" i="10"/>
  <c r="M38" i="10"/>
  <c r="M30" i="10"/>
  <c r="M17" i="10"/>
  <c r="M36" i="10"/>
  <c r="M4" i="10"/>
  <c r="M41" i="10"/>
  <c r="M12" i="10"/>
  <c r="M31" i="10"/>
  <c r="M34" i="10"/>
  <c r="M13" i="10"/>
  <c r="M10" i="10"/>
  <c r="M9" i="10"/>
  <c r="M44" i="10"/>
  <c r="M18" i="10"/>
  <c r="M29" i="10"/>
  <c r="M42" i="10"/>
  <c r="M35" i="10"/>
  <c r="M7" i="10"/>
  <c r="M40" i="10"/>
  <c r="M19" i="10"/>
  <c r="T9" i="5"/>
  <c r="U9" i="5"/>
  <c r="NS12" i="8" a="1"/>
  <c r="NS12" i="8" s="1"/>
  <c r="NS25" i="8" a="1"/>
  <c r="NS25" i="8" s="1"/>
  <c r="NS26" i="8" a="1"/>
  <c r="NS26" i="8" s="1"/>
  <c r="NS22" i="8" a="1"/>
  <c r="NS22" i="8" s="1"/>
  <c r="NS18" i="8" a="1"/>
  <c r="NS18" i="8" s="1"/>
  <c r="NS9" i="8" a="1"/>
  <c r="NS9" i="8" s="1"/>
  <c r="NS42" i="8" a="1"/>
  <c r="NS42" i="8" s="1"/>
  <c r="NS41" i="8" a="1"/>
  <c r="NS41" i="8" s="1"/>
  <c r="NS40" i="8" a="1"/>
  <c r="NS40" i="8" s="1"/>
  <c r="NS10" i="8" a="1"/>
  <c r="NS10" i="8" s="1"/>
  <c r="NS8" i="8" a="1"/>
  <c r="NS8" i="8" s="1"/>
  <c r="NS21" i="8" a="1"/>
  <c r="NS21" i="8" s="1"/>
  <c r="NS50" i="8" a="1"/>
  <c r="NS50" i="8" s="1"/>
  <c r="NS28" i="8" a="1"/>
  <c r="NS28" i="8" s="1"/>
  <c r="NS34" i="8" a="1"/>
  <c r="NS34" i="8" s="1"/>
  <c r="NS17" i="8" a="1"/>
  <c r="NS17" i="8" s="1"/>
  <c r="NS23" i="8" a="1"/>
  <c r="NS23" i="8" s="1"/>
  <c r="NS33" i="8" a="1"/>
  <c r="NS33" i="8" s="1"/>
  <c r="NS20" i="8" a="1"/>
  <c r="NS20" i="8" s="1"/>
  <c r="NS49" i="8" a="1"/>
  <c r="NS49" i="8" s="1"/>
  <c r="NS14" i="8" a="1"/>
  <c r="NS14" i="8" s="1"/>
  <c r="NS36" i="8" a="1"/>
  <c r="NS36" i="8" s="1"/>
  <c r="NS29" i="8" a="1"/>
  <c r="NS29" i="8" s="1"/>
  <c r="NS30" i="8" a="1"/>
  <c r="NS30" i="8" s="1"/>
  <c r="NS31" i="8" a="1"/>
  <c r="NS31" i="8" s="1"/>
  <c r="NS45" i="8" a="1"/>
  <c r="NS45" i="8" s="1"/>
  <c r="NS47" i="8" a="1"/>
  <c r="NS47" i="8" s="1"/>
  <c r="NS32" i="8" a="1"/>
  <c r="NS32" i="8" s="1"/>
  <c r="NS43" i="8" a="1"/>
  <c r="NS43" i="8" s="1"/>
  <c r="NS16" i="8" a="1"/>
  <c r="NS16" i="8" s="1"/>
  <c r="NS37" i="8" a="1"/>
  <c r="NS37" i="8" s="1"/>
  <c r="NS48" i="8" a="1"/>
  <c r="NS48" i="8" s="1"/>
  <c r="NS13" i="8" a="1"/>
  <c r="NS13" i="8" s="1"/>
  <c r="NS24" i="8" a="1"/>
  <c r="NS24" i="8" s="1"/>
  <c r="NS39" i="8" a="1"/>
  <c r="NS39" i="8" s="1"/>
  <c r="NS46" i="8" a="1"/>
  <c r="NS46" i="8" s="1"/>
  <c r="NS35" i="8" a="1"/>
  <c r="NS35" i="8" s="1"/>
  <c r="NS11" i="8" a="1"/>
  <c r="NS11" i="8" s="1"/>
  <c r="NS27" i="8" a="1"/>
  <c r="NS27" i="8" s="1"/>
  <c r="NS44" i="8" a="1"/>
  <c r="NS44" i="8" s="1"/>
  <c r="NS38" i="8" a="1"/>
  <c r="NS38" i="8" s="1"/>
  <c r="NS19" i="8" a="1"/>
  <c r="NS19" i="8" s="1"/>
  <c r="NS15" i="8" a="1"/>
  <c r="NS15" i="8" s="1"/>
  <c r="N16" i="10" a="1"/>
  <c r="N44" i="10" a="1"/>
  <c r="N2" i="10" a="1"/>
  <c r="N5" i="10" a="1"/>
  <c r="N28" i="10" a="1"/>
  <c r="N19" i="10" a="1"/>
  <c r="N37" i="10" a="1"/>
  <c r="N45" i="10" a="1"/>
  <c r="N25" i="10" a="1"/>
  <c r="N10" i="10" a="1"/>
  <c r="N13" i="10" a="1"/>
  <c r="N23" i="10" a="1"/>
  <c r="N35" i="10" a="1"/>
  <c r="N18" i="10" a="1"/>
  <c r="N8" i="10" a="1"/>
  <c r="N15" i="10" a="1"/>
  <c r="N42" i="10" a="1"/>
  <c r="N39" i="10" a="1"/>
  <c r="N30" i="10" a="1"/>
  <c r="N14" i="10" a="1"/>
  <c r="N9" i="10" a="1"/>
  <c r="N36" i="10" a="1"/>
  <c r="N11" i="10" a="1"/>
  <c r="N41" i="10" a="1"/>
  <c r="N7" i="10" a="1"/>
  <c r="N6" i="10" a="1"/>
  <c r="N43" i="10" a="1"/>
  <c r="N27" i="10" a="1"/>
  <c r="N21" i="10" a="1"/>
  <c r="N38" i="10" a="1"/>
  <c r="N32" i="10" a="1"/>
  <c r="N20" i="10" a="1"/>
  <c r="N26" i="10" a="1"/>
  <c r="N24" i="10" a="1"/>
  <c r="N3" i="10" a="1"/>
  <c r="N33" i="10" a="1"/>
  <c r="N17" i="10" a="1"/>
  <c r="N4" i="10" a="1"/>
  <c r="N12" i="10" a="1"/>
  <c r="N29" i="10" a="1"/>
  <c r="N31" i="10" a="1"/>
  <c r="N40" i="10" a="1"/>
  <c r="N22" i="10" a="1"/>
  <c r="N34" i="10" a="1"/>
  <c r="N25" i="10" l="1"/>
  <c r="N27" i="10"/>
  <c r="N18" i="10"/>
  <c r="N16" i="10"/>
  <c r="N33" i="10"/>
  <c r="N24" i="10"/>
  <c r="N36" i="10"/>
  <c r="N39" i="10"/>
  <c r="N30" i="10"/>
  <c r="N8" i="10"/>
  <c r="N20" i="10"/>
  <c r="N23" i="10"/>
  <c r="N38" i="10"/>
  <c r="N43" i="10"/>
  <c r="N29" i="10"/>
  <c r="N13" i="10"/>
  <c r="N9" i="10"/>
  <c r="N11" i="10"/>
  <c r="N5" i="10"/>
  <c r="N37" i="10"/>
  <c r="N10" i="10"/>
  <c r="N4" i="10"/>
  <c r="N22" i="10"/>
  <c r="N31" i="10"/>
  <c r="N17" i="10"/>
  <c r="N21" i="10"/>
  <c r="N2" i="10"/>
  <c r="N34" i="10"/>
  <c r="N44" i="10"/>
  <c r="N12" i="10"/>
  <c r="N45" i="10"/>
  <c r="N15" i="10"/>
  <c r="N6" i="10"/>
  <c r="N3" i="10"/>
  <c r="N14" i="10"/>
  <c r="N41" i="10"/>
  <c r="N28" i="10"/>
  <c r="N26" i="10"/>
  <c r="N32" i="10"/>
  <c r="N35" i="10"/>
  <c r="N42" i="10"/>
  <c r="N19" i="10"/>
  <c r="N40" i="10"/>
  <c r="N7" i="10"/>
  <c r="NT13" i="8" a="1"/>
  <c r="NT13" i="8" s="1"/>
  <c r="NT8" i="8" a="1"/>
  <c r="NT8" i="8" s="1"/>
  <c r="NT23" i="8" a="1"/>
  <c r="NT23" i="8" s="1"/>
  <c r="NT37" i="8" a="1"/>
  <c r="NT37" i="8" s="1"/>
  <c r="NT40" i="8" a="1"/>
  <c r="NT40" i="8" s="1"/>
  <c r="NT36" i="8" a="1"/>
  <c r="NT36" i="8" s="1"/>
  <c r="NT33" i="8" a="1"/>
  <c r="NT33" i="8" s="1"/>
  <c r="NT25" i="8" a="1"/>
  <c r="NT25" i="8" s="1"/>
  <c r="NT31" i="8" a="1"/>
  <c r="NT31" i="8" s="1"/>
  <c r="NT15" i="8" a="1"/>
  <c r="NT15" i="8" s="1"/>
  <c r="NT39" i="8" a="1"/>
  <c r="NT39" i="8" s="1"/>
  <c r="NT17" i="8" a="1"/>
  <c r="NT17" i="8" s="1"/>
  <c r="NT10" i="8" a="1"/>
  <c r="NT10" i="8" s="1"/>
  <c r="NT50" i="8" a="1"/>
  <c r="NT50" i="8" s="1"/>
  <c r="NT42" i="8" a="1"/>
  <c r="NT42" i="8" s="1"/>
  <c r="NT32" i="8" a="1"/>
  <c r="NT32" i="8" s="1"/>
  <c r="NT27" i="8" a="1"/>
  <c r="NT27" i="8" s="1"/>
  <c r="NT20" i="8" a="1"/>
  <c r="NT20" i="8" s="1"/>
  <c r="NT22" i="8" a="1"/>
  <c r="NT22" i="8" s="1"/>
  <c r="NT43" i="8" a="1"/>
  <c r="NT43" i="8" s="1"/>
  <c r="NT21" i="8" a="1"/>
  <c r="NT21" i="8" s="1"/>
  <c r="NT28" i="8" a="1"/>
  <c r="NT28" i="8" s="1"/>
  <c r="NT9" i="8" a="1"/>
  <c r="NT9" i="8" s="1"/>
  <c r="NT24" i="8" a="1"/>
  <c r="NT24" i="8" s="1"/>
  <c r="NT47" i="8" a="1"/>
  <c r="NT47" i="8" s="1"/>
  <c r="NT41" i="8" a="1"/>
  <c r="NT41" i="8" s="1"/>
  <c r="NT16" i="8" a="1"/>
  <c r="NT16" i="8" s="1"/>
  <c r="NT19" i="8" a="1"/>
  <c r="NT19" i="8" s="1"/>
  <c r="NT29" i="8" a="1"/>
  <c r="NT29" i="8" s="1"/>
  <c r="NT44" i="8" a="1"/>
  <c r="NT44" i="8" s="1"/>
  <c r="NT49" i="8" a="1"/>
  <c r="NT49" i="8" s="1"/>
  <c r="NT12" i="8" a="1"/>
  <c r="NT12" i="8" s="1"/>
  <c r="NT35" i="8" a="1"/>
  <c r="NT35" i="8" s="1"/>
  <c r="NT11" i="8" a="1"/>
  <c r="NT11" i="8" s="1"/>
  <c r="NT14" i="8" a="1"/>
  <c r="NT14" i="8" s="1"/>
  <c r="NT46" i="8" a="1"/>
  <c r="NT46" i="8" s="1"/>
  <c r="NT48" i="8" a="1"/>
  <c r="NT48" i="8" s="1"/>
  <c r="NT45" i="8" a="1"/>
  <c r="NT45" i="8" s="1"/>
  <c r="NT30" i="8" a="1"/>
  <c r="NT30" i="8" s="1"/>
  <c r="NT26" i="8" a="1"/>
  <c r="NT26" i="8" s="1"/>
  <c r="NT38" i="8" a="1"/>
  <c r="NT38" i="8" s="1"/>
  <c r="NT18" i="8" a="1"/>
  <c r="NT18" i="8" s="1"/>
  <c r="NT34" i="8" a="1"/>
  <c r="NT34" i="8" s="1"/>
  <c r="O41" i="10" a="1"/>
  <c r="O25" i="10" a="1"/>
  <c r="O25" i="10" l="1"/>
  <c r="O41" i="10"/>
  <c r="NU21" i="8" a="1"/>
  <c r="NU21" i="8" s="1"/>
  <c r="O11" i="10" a="1"/>
  <c r="O11" i="10" l="1"/>
  <c r="NU14" i="8" a="1"/>
  <c r="NU14" i="8" s="1"/>
  <c r="O42" i="10" a="1"/>
  <c r="O42" i="10" l="1"/>
  <c r="O43" i="10" a="1"/>
  <c r="O43" i="10" l="1"/>
  <c r="NU28" i="8" a="1"/>
  <c r="NU28" i="8" s="1"/>
  <c r="O36" i="10" a="1"/>
  <c r="O36" i="10" l="1"/>
  <c r="NU33" i="8" a="1"/>
  <c r="NU33" i="8" s="1"/>
  <c r="O44" i="10" a="1"/>
  <c r="O44" i="10" l="1"/>
  <c r="O26" i="10" a="1"/>
  <c r="O26" i="10" l="1"/>
  <c r="NU17" i="8" a="1"/>
  <c r="NU17" i="8" s="1"/>
  <c r="O45" i="10" a="1"/>
  <c r="O45" i="10" l="1"/>
  <c r="O9" i="10" a="1"/>
  <c r="O9" i="10" l="1"/>
  <c r="NU30" i="8" a="1"/>
  <c r="NU30" i="8" s="1"/>
  <c r="O20" i="10" a="1"/>
  <c r="O20" i="10" l="1"/>
  <c r="O28" i="10" a="1"/>
  <c r="O28" i="10" l="1"/>
  <c r="O34" i="10" a="1"/>
  <c r="O34" i="10" l="1"/>
  <c r="O17" i="10" a="1"/>
  <c r="O17" i="10" l="1"/>
  <c r="NU8" i="8" a="1"/>
  <c r="NU8" i="8" s="1"/>
  <c r="O30" i="10" a="1"/>
  <c r="O30" i="10" l="1"/>
  <c r="NU22" i="8" a="1"/>
  <c r="NU22" i="8" s="1"/>
  <c r="O4" i="10" a="1"/>
  <c r="O4" i="10" l="1"/>
  <c r="O6" i="10" a="1"/>
  <c r="O6" i="10" l="1"/>
  <c r="NU9" i="8" a="1"/>
  <c r="NU9" i="8" s="1"/>
  <c r="O29" i="10" a="1"/>
  <c r="O29" i="10" l="1"/>
  <c r="NU18" i="8" a="1"/>
  <c r="NU18" i="8" s="1"/>
  <c r="O12" i="10" a="1"/>
  <c r="O12" i="10" l="1"/>
  <c r="NU26" i="8" a="1"/>
  <c r="NU26" i="8" s="1"/>
  <c r="O40" i="10" a="1"/>
  <c r="O40" i="10" l="1"/>
  <c r="NU32" i="8" a="1"/>
  <c r="NU32" i="8" s="1"/>
  <c r="O18" i="10" a="1"/>
  <c r="O18" i="10" l="1"/>
  <c r="NU24" i="8" a="1"/>
  <c r="NU24" i="8" s="1"/>
  <c r="NU31" i="8" l="1" a="1"/>
  <c r="NU31" i="8" s="1"/>
  <c r="O15" i="10" a="1"/>
  <c r="O15" i="10" l="1"/>
  <c r="O31" i="10" a="1"/>
  <c r="O31" i="10" l="1"/>
  <c r="O37" i="10" a="1"/>
  <c r="O37" i="10" l="1"/>
  <c r="O14" i="10" a="1"/>
  <c r="O14" i="10" l="1"/>
  <c r="O10" i="10" a="1"/>
  <c r="O10" i="10" l="1"/>
  <c r="O3" i="10" a="1"/>
  <c r="O3" i="10" l="1"/>
  <c r="O5" i="10" a="1"/>
  <c r="O5" i="10" l="1"/>
  <c r="O22" i="10" a="1"/>
  <c r="O22" i="10" l="1"/>
  <c r="NU12" i="8" a="1"/>
  <c r="NU12" i="8" s="1"/>
  <c r="O21" i="10" a="1"/>
  <c r="O21" i="10" l="1"/>
  <c r="NU11" i="8" a="1"/>
  <c r="NU11" i="8" s="1"/>
  <c r="O23" i="10" a="1"/>
  <c r="O23" i="10" l="1"/>
  <c r="NU15" i="8" a="1"/>
  <c r="NU15" i="8" s="1"/>
  <c r="O32" i="10" a="1"/>
  <c r="O32" i="10" l="1"/>
  <c r="NU19" i="8" a="1"/>
  <c r="NU19" i="8" s="1"/>
  <c r="O24" i="10" a="1"/>
  <c r="O24" i="10" l="1"/>
  <c r="O16" i="10" a="1"/>
  <c r="O16" i="10" l="1"/>
  <c r="NU29" i="8" a="1"/>
  <c r="NU29" i="8" s="1"/>
  <c r="O27" i="10" a="1"/>
  <c r="O27" i="10" l="1"/>
  <c r="NU16" i="8" a="1"/>
  <c r="NU16" i="8" s="1"/>
  <c r="O8" i="10" a="1"/>
  <c r="O8" i="10" l="1"/>
  <c r="NU13" i="8" a="1"/>
  <c r="NU13" i="8" s="1"/>
  <c r="O33" i="10" a="1"/>
  <c r="O33" i="10" l="1"/>
  <c r="NU25" i="8" a="1"/>
  <c r="NU25" i="8" s="1"/>
  <c r="O13" i="10" a="1"/>
  <c r="O13" i="10" l="1"/>
  <c r="NU27" i="8" a="1"/>
  <c r="NU27" i="8" s="1"/>
  <c r="O38" i="10" a="1"/>
  <c r="O38" i="10" l="1"/>
  <c r="NU23" i="8" a="1"/>
  <c r="NU23" i="8" s="1"/>
  <c r="O2" i="10" a="1"/>
  <c r="O2" i="10" l="1"/>
  <c r="NU20" i="8" a="1"/>
  <c r="NU20" i="8" s="1"/>
  <c r="O35" i="10" a="1"/>
  <c r="O35" i="10" l="1"/>
  <c r="O19" i="10" a="1"/>
  <c r="O19" i="10" l="1"/>
  <c r="O7" i="10" a="1"/>
  <c r="O7" i="10" l="1"/>
  <c r="NU10" i="8" a="1"/>
  <c r="NU10" i="8" s="1"/>
  <c r="O39" i="10" a="1"/>
  <c r="U11" i="11" l="1"/>
  <c r="O39" i="10"/>
  <c r="U13" i="11" l="1"/>
</calcChain>
</file>

<file path=xl/sharedStrings.xml><?xml version="1.0" encoding="utf-8"?>
<sst xmlns="http://schemas.openxmlformats.org/spreadsheetml/2006/main" count="653" uniqueCount="159">
  <si>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</si>
  <si>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</si>
  <si>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</si>
  <si>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</si>
  <si>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</si>
  <si>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</si>
  <si>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</si>
  <si>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</si>
  <si>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</si>
  <si>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</si>
  <si>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</si>
  <si>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</si>
  <si>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</si>
  <si>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</si>
  <si>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</si>
  <si>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</si>
  <si>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</si>
  <si>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</si>
  <si>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</si>
  <si>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</si>
  <si>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</si>
  <si>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</si>
  <si>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</si>
  <si>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</si>
  <si>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</si>
  <si>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</si>
  <si>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</si>
  <si>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</si>
  <si>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</si>
  <si>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</si>
  <si>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</si>
  <si>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</si>
  <si>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</si>
  <si>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</si>
  <si>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</si>
  <si>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</si>
  <si>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</si>
  <si>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</si>
  <si>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</si>
  <si>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</si>
  <si>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</si>
  <si>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Dmitry Agapitov</t>
  </si>
  <si>
    <t>Alexander Groman</t>
  </si>
  <si>
    <t>Glen Stone</t>
  </si>
  <si>
    <t>Susan Lu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</si>
  <si>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</si>
  <si>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</si>
  <si>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</si>
  <si>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</si>
  <si>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</si>
  <si>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</si>
  <si>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</si>
  <si>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</si>
  <si>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</si>
  <si>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</si>
  <si>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</si>
  <si>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</si>
  <si>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</si>
  <si>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</si>
  <si>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</si>
  <si>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</si>
  <si>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</si>
  <si>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</si>
  <si>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</si>
  <si>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</si>
  <si>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Anton Trinkunas </t>
  </si>
  <si>
    <t xml:space="preserve">Guy Geles </t>
  </si>
  <si>
    <t>Matthew Ellwood</t>
  </si>
  <si>
    <t xml:space="preserve">Makar Bougaev </t>
  </si>
  <si>
    <t>May Lam</t>
  </si>
  <si>
    <t>Mohammed Akbar</t>
  </si>
  <si>
    <t>Albert Wong</t>
  </si>
  <si>
    <t>Val Romashkin</t>
  </si>
  <si>
    <t>Michael Talis</t>
  </si>
  <si>
    <t>Steven Snowdon</t>
  </si>
  <si>
    <t>Dmitry Lopyrev</t>
  </si>
  <si>
    <t>Nikita Pliassounov</t>
  </si>
  <si>
    <t>Areag Osman</t>
  </si>
  <si>
    <t>Chris Just</t>
  </si>
  <si>
    <t>Valentina Alekseeva</t>
  </si>
  <si>
    <t>Dmitri Golovenkin</t>
  </si>
  <si>
    <t>Anna Kalimouline</t>
  </si>
  <si>
    <t>Roman Dolgov</t>
  </si>
  <si>
    <t>Yegor Kozlov</t>
  </si>
  <si>
    <t>Vitaliy Kotov</t>
  </si>
  <si>
    <t>Eugen Goroluov</t>
  </si>
  <si>
    <t>Aleksey Glushchenko</t>
  </si>
  <si>
    <t>Irina Gribushkina</t>
  </si>
  <si>
    <t>Anna Shchemel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</si>
  <si>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</si>
  <si>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</si>
  <si>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</si>
  <si>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</si>
  <si>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</si>
  <si>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</si>
  <si>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</si>
  <si>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</si>
  <si>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</si>
  <si>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</si>
  <si>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</si>
  <si>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</si>
  <si>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</si>
  <si>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</si>
  <si>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</si>
  <si>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</si>
  <si>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</si>
  <si>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</si>
  <si>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</si>
  <si>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</si>
  <si>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</si>
  <si>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</si>
  <si>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</si>
  <si>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</si>
  <si>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</si>
  <si>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</si>
  <si>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</si>
  <si>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</si>
  <si>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</si>
  <si>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</si>
  <si>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</si>
  <si>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</si>
  <si>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</si>
  <si>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Dev Sprint</t>
  </si>
  <si>
    <t>Month Shift</t>
  </si>
  <si>
    <t>Capacity Buffer</t>
  </si>
  <si>
    <t>Grand Total</t>
  </si>
  <si>
    <t>Fabio Gallo</t>
  </si>
  <si>
    <t>Historical</t>
  </si>
  <si>
    <t>Total</t>
  </si>
  <si>
    <t>ngStarts</t>
  </si>
  <si>
    <t>Director</t>
  </si>
  <si>
    <t>Teach Lead</t>
  </si>
  <si>
    <t>Manager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</si>
  <si>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</si>
  <si>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</si>
  <si>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</si>
  <si>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</si>
  <si>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</si>
  <si>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</si>
  <si>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</si>
  <si>
    <t>R1</t>
  </si>
  <si>
    <t>R2</t>
  </si>
  <si>
    <t>R3</t>
  </si>
  <si>
    <t>R4</t>
  </si>
  <si>
    <t>R5</t>
  </si>
  <si>
    <t>R6</t>
  </si>
  <si>
    <t>R7</t>
  </si>
  <si>
    <t>R8</t>
  </si>
  <si>
    <t xml:space="preserve"> R1</t>
  </si>
  <si>
    <t xml:space="preserve"> R2</t>
  </si>
  <si>
    <t xml:space="preserve"> R3</t>
  </si>
  <si>
    <t xml:space="preserve"> R4</t>
  </si>
  <si>
    <t xml:space="preserve"> R5</t>
  </si>
  <si>
    <t xml:space="preserve"> R6</t>
  </si>
  <si>
    <t xml:space="preserve"> R7</t>
  </si>
  <si>
    <t xml:space="preserve"> R8</t>
  </si>
  <si>
    <t xml:space="preserve"> R</t>
  </si>
  <si>
    <t>R</t>
  </si>
  <si>
    <t>Joon 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</si>
</sst>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;;;"/>
    <numFmt numFmtId="166" formatCode="dd\ mmm\,\ yyyy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4" fillId="9" borderId="0" applyNumberFormat="0" applyBorder="0" applyAlignment="0" applyProtection="0"/>
    <xf numFmtId="0" fontId="13" fillId="10" borderId="0" applyNumberFormat="0" applyBorder="0" applyAlignment="0" applyProtection="0"/>
    <xf numFmtId="0" fontId="15" fillId="11" borderId="11" applyNumberFormat="0" applyAlignment="0" applyProtection="0"/>
  </cellStyleXfs>
  <cellXfs count="9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4" fillId="9" borderId="0" xfId="1" applyAlignment="1">
      <alignment horizontal="left"/>
    </xf>
    <xf numFmtId="0" fontId="0" fillId="0" borderId="0" xfId="0" applyAlignment="1">
      <alignment horizontal="right"/>
    </xf>
    <xf numFmtId="0" fontId="10" fillId="10" borderId="0" xfId="2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6" fillId="12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1" fontId="15" fillId="11" borderId="9" xfId="3" applyNumberFormat="1" applyBorder="1"/>
    <xf numFmtId="0" fontId="14" fillId="9" borderId="13" xfId="1" applyBorder="1"/>
    <xf numFmtId="0" fontId="14" fillId="9" borderId="14" xfId="1" applyBorder="1"/>
    <xf numFmtId="0" fontId="14" fillId="9" borderId="9" xfId="1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7" fillId="0" borderId="0" xfId="0" applyNumberFormat="1" applyFont="1"/>
    <xf numFmtId="1" fontId="18" fillId="10" borderId="0" xfId="2" applyNumberFormat="1" applyFont="1"/>
    <xf numFmtId="0" fontId="19" fillId="0" borderId="0" xfId="0" applyFont="1"/>
    <xf numFmtId="1" fontId="19" fillId="0" borderId="0" xfId="0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4">
    <cellStyle name="20% - Accent1" xfId="2" builtinId="30"/>
    <cellStyle name="Input" xfId="3" builtinId="20"/>
    <cellStyle name="Neutral" xfId="1" builtinId="28"/>
    <cellStyle name="Normal" xfId="0" builtinId="0"/>
  </cellStyles>
  <dxfs count="61"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color auto="1"/>
      </font>
    </dxf>
    <dxf>
      <font>
        <color auto="1"/>
      </font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177053</xdr:colOff>
      <xdr:row>2</xdr:row>
      <xdr:rowOff>152401</xdr:rowOff>
    </xdr:from>
    <xdr:to>
      <xdr:col>21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October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21</xdr:col>
      <xdr:colOff>7937</xdr:colOff>
      <xdr:row>2</xdr:row>
      <xdr:rowOff>100013</xdr:rowOff>
    </xdr:from>
    <xdr:to>
      <xdr:col>22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157162</xdr:colOff>
      <xdr:row>2</xdr:row>
      <xdr:rowOff>100013</xdr:rowOff>
    </xdr:from>
    <xdr:to>
      <xdr:col>12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Folomechine" refreshedDate="43349.530281828702" createdVersion="6" refreshedVersion="6" minRefreshableVersion="3" recordCount="44" xr:uid="{00000000-000A-0000-FFFF-FFFF25000000}">
  <cacheSource type="worksheet">
    <worksheetSource name="RdTeam"/>
  </cacheSource>
  <cacheFields count="16">
    <cacheField name="Name" numFmtId="0">
      <sharedItems/>
    </cacheField>
    <cacheField name="Team" numFmtId="0">
      <sharedItems count="5">
        <s v="NW"/>
        <s v="SoftTeco"/>
        <s v="Alpha"/>
        <s v="ngStars"/>
        <s v="Titan" u="1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FS"/>
        <s v="FE"/>
        <s v="QA BA"/>
        <s v="QA Dev"/>
        <s v="BE"/>
      </sharedItems>
    </cacheField>
    <cacheField name="Utilization" numFmtId="9">
      <sharedItems containsSemiMixedTypes="0" containsString="0" containsNumber="1" minValue="0.15" maxValue="0.75"/>
    </cacheField>
    <cacheField name="R1" numFmtId="0">
      <sharedItems containsSemiMixedTypes="0" containsString="0" containsNumber="1" minValue="0.6" maxValue="3.0000000000000004"/>
    </cacheField>
    <cacheField name="R2" numFmtId="0">
      <sharedItems containsSemiMixedTypes="0" containsString="0" containsNumber="1" minValue="1.2" maxValue="6.0000000000000009"/>
    </cacheField>
    <cacheField name="R3" numFmtId="0">
      <sharedItems containsSemiMixedTypes="0" containsString="0" containsNumber="1" minValue="1.08" maxValue="6.0000000000000009"/>
    </cacheField>
    <cacheField name="R4" numFmtId="0">
      <sharedItems containsSemiMixedTypes="0" containsString="0" containsNumber="1" minValue="1.2" maxValue="6.0000000000000009"/>
    </cacheField>
    <cacheField name="R5" numFmtId="0">
      <sharedItems containsSemiMixedTypes="0" containsString="0" containsNumber="1" minValue="1.2" maxValue="6.0000000000000009"/>
    </cacheField>
    <cacheField name="R6" numFmtId="0">
      <sharedItems containsSemiMixedTypes="0" containsString="0" containsNumber="1" minValue="0.84" maxValue="4.8000000000000007"/>
    </cacheField>
    <cacheField name="R7" numFmtId="0">
      <sharedItems containsSemiMixedTypes="0" containsString="0" containsNumber="1" minValue="1.08" maxValue="6.0000000000000009"/>
    </cacheField>
    <cacheField name="R8" numFmtId="0">
      <sharedItems containsSemiMixedTypes="0" containsString="0" containsNumber="1" minValue="0.6" maxValue="3.0000000000000004"/>
    </cacheField>
    <cacheField name="Remaining" numFmtId="0">
      <sharedItems containsSemiMixedTypes="0" containsString="0" containsNumber="1" minValue="7.92" maxValue="40.200000000000003"/>
    </cacheField>
    <cacheField name="R" numFmtId="0" formula="R1+R2+R3+R4+R5+R6+R7+R8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s v="Albert Wong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Aleksandr Pototskiy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Aleksandr Yashyn"/>
    <x v="1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Aleksey Glushchenko"/>
    <x v="1"/>
    <s v="Belarus"/>
    <s v="QA"/>
    <x v="3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Alexander Groman"/>
    <x v="2"/>
    <s v="Canada"/>
    <s v="Dev"/>
    <x v="4"/>
    <n v="0.5"/>
    <n v="2"/>
    <n v="4"/>
    <n v="4"/>
    <n v="4"/>
    <n v="4"/>
    <n v="2.8000000000000003"/>
    <n v="4"/>
    <n v="2"/>
    <n v="26.8"/>
  </r>
  <r>
    <s v="Alexander Simanovich"/>
    <x v="0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Alexander Utkin "/>
    <x v="3"/>
    <s v="Canada"/>
    <s v="Team Lead"/>
    <x v="0"/>
    <n v="0.2"/>
    <n v="0.80000000000000016"/>
    <n v="1.6000000000000003"/>
    <n v="1.6000000000000003"/>
    <n v="1.6000000000000003"/>
    <n v="1.6000000000000003"/>
    <n v="1.1200000000000001"/>
    <n v="1.6000000000000003"/>
    <n v="0.80000000000000016"/>
    <n v="10.720000000000002"/>
  </r>
  <r>
    <s v="Anna Kalimouline"/>
    <x v="3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Anna Shchemel"/>
    <x v="1"/>
    <s v="Belarus"/>
    <s v="QA Lead"/>
    <x v="2"/>
    <n v="0.6"/>
    <n v="2.4"/>
    <n v="4.8"/>
    <n v="4.32"/>
    <n v="4.8"/>
    <n v="4.8"/>
    <n v="3.84"/>
    <n v="4.32"/>
    <n v="2.4"/>
    <n v="31.68"/>
  </r>
  <r>
    <s v="Anton Trinkunas 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Areag Osman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Chris Just"/>
    <x v="0"/>
    <s v="Canada"/>
    <s v="QA"/>
    <x v="3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Daniil Morozov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Darya Kovalevskaya"/>
    <x v="1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Dmitri Golovenkin"/>
    <x v="0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Dmitry Agapitov"/>
    <x v="2"/>
    <s v="Canada"/>
    <s v="Manager"/>
    <x v="0"/>
    <n v="0.2"/>
    <n v="0.80000000000000016"/>
    <n v="1.6000000000000003"/>
    <n v="1.6000000000000003"/>
    <n v="1.6000000000000003"/>
    <n v="1.6000000000000003"/>
    <n v="1.1200000000000001"/>
    <n v="1.6000000000000003"/>
    <n v="0.80000000000000016"/>
    <n v="10.720000000000002"/>
  </r>
  <r>
    <s v="Dmitry Lopyrev"/>
    <x v="3"/>
    <s v="Canada"/>
    <s v="Team Lead"/>
    <x v="0"/>
    <n v="0.5"/>
    <n v="2"/>
    <n v="4"/>
    <n v="4"/>
    <n v="4"/>
    <n v="4"/>
    <n v="2.8000000000000003"/>
    <n v="4"/>
    <n v="2"/>
    <n v="26.8"/>
  </r>
  <r>
    <s v="Elena Rabko"/>
    <x v="3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Eugen Goroluov"/>
    <x v="1"/>
    <s v="Belarus"/>
    <s v="BE Lead"/>
    <x v="4"/>
    <n v="0.6"/>
    <n v="2.4"/>
    <n v="4.8"/>
    <n v="4.32"/>
    <n v="4.8"/>
    <n v="4.8"/>
    <n v="3.84"/>
    <n v="4.32"/>
    <n v="2.4"/>
    <n v="31.68"/>
  </r>
  <r>
    <s v="Fabio Gallo"/>
    <x v="2"/>
    <s v="Canada"/>
    <s v="Dev"/>
    <x v="1"/>
    <n v="0.5"/>
    <n v="2"/>
    <n v="4"/>
    <n v="4"/>
    <n v="4"/>
    <n v="4"/>
    <n v="2.8000000000000003"/>
    <n v="4"/>
    <n v="2"/>
    <n v="26.8"/>
  </r>
  <r>
    <s v="Glen Stone"/>
    <x v="2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Guy Geles 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Irina Gribushkina"/>
    <x v="1"/>
    <s v="Belarus"/>
    <s v="QA Lead"/>
    <x v="2"/>
    <n v="0.6"/>
    <n v="2.4"/>
    <n v="4.8"/>
    <n v="4.32"/>
    <n v="4.8"/>
    <n v="4.8"/>
    <n v="3.84"/>
    <n v="4.32"/>
    <n v="2.4"/>
    <n v="31.68"/>
  </r>
  <r>
    <s v="Joon Kim"/>
    <x v="3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Makar Bougaev "/>
    <x v="3"/>
    <s v="Canada"/>
    <s v="Dev"/>
    <x v="1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Matthew Ellwood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Maxim Yakushkin"/>
    <x v="1"/>
    <s v="Belarus"/>
    <s v="Dev"/>
    <x v="4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May Lam"/>
    <x v="3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Michael Talis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Michail Tolmats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Mohammed Akbar"/>
    <x v="0"/>
    <s v="Canada"/>
    <s v="Team Lead"/>
    <x v="0"/>
    <n v="0.15"/>
    <n v="0.6"/>
    <n v="1.2"/>
    <n v="1.2"/>
    <n v="1.2"/>
    <n v="1.2"/>
    <n v="0.84"/>
    <n v="1.2"/>
    <n v="0.6"/>
    <n v="8.0399999999999991"/>
  </r>
  <r>
    <s v="Nikita Pliassounov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Olga Matsiuk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Olga Zimina"/>
    <x v="0"/>
    <s v="Belarus"/>
    <s v="QA"/>
    <x v="2"/>
    <n v="0.15"/>
    <n v="0.6"/>
    <n v="1.2"/>
    <n v="1.08"/>
    <n v="1.2"/>
    <n v="1.2"/>
    <n v="0.96"/>
    <n v="1.08"/>
    <n v="0.6"/>
    <n v="7.92"/>
  </r>
  <r>
    <s v="Roman Dolgov"/>
    <x v="1"/>
    <s v="Canada"/>
    <s v="Team Lead"/>
    <x v="0"/>
    <n v="0.2"/>
    <n v="0.80000000000000016"/>
    <n v="1.6000000000000003"/>
    <n v="1.6000000000000003"/>
    <n v="1.6000000000000003"/>
    <n v="1.6000000000000003"/>
    <n v="1.1200000000000001"/>
    <n v="1.6000000000000003"/>
    <n v="0.80000000000000016"/>
    <n v="10.720000000000002"/>
  </r>
  <r>
    <s v="Roman Ogolikhin"/>
    <x v="1"/>
    <s v="Belarus"/>
    <s v="Dev"/>
    <x v="4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Steven Snowdon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Susan Lu"/>
    <x v="2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Tally Bechard"/>
    <x v="0"/>
    <s v="Canada"/>
    <s v="Dev"/>
    <x v="4"/>
    <n v="0.4"/>
    <n v="1.6000000000000003"/>
    <n v="3.2000000000000006"/>
    <n v="3.2000000000000006"/>
    <n v="3.2000000000000006"/>
    <n v="3.2000000000000006"/>
    <n v="2.2400000000000002"/>
    <n v="3.2000000000000006"/>
    <n v="1.6000000000000003"/>
    <n v="21.440000000000005"/>
  </r>
  <r>
    <s v="Val Romashkin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40.200000000000003"/>
  </r>
  <r>
    <s v="Valentina Alekseeva"/>
    <x v="3"/>
    <s v="Canada"/>
    <s v="QA"/>
    <x v="3"/>
    <n v="0.375"/>
    <n v="1.5000000000000002"/>
    <n v="3.0000000000000004"/>
    <n v="3.0000000000000004"/>
    <n v="3.0000000000000004"/>
    <n v="3.0000000000000004"/>
    <n v="2.1000000000000005"/>
    <n v="3.0000000000000004"/>
    <n v="1.5000000000000002"/>
    <n v="20.100000000000001"/>
  </r>
  <r>
    <s v="Valentina Alekseeva"/>
    <x v="3"/>
    <s v="Canada"/>
    <s v="QA"/>
    <x v="2"/>
    <n v="0.375"/>
    <n v="1.5000000000000002"/>
    <n v="3.0000000000000004"/>
    <n v="3.0000000000000004"/>
    <n v="3.0000000000000004"/>
    <n v="3.0000000000000004"/>
    <n v="2.1000000000000005"/>
    <n v="3.0000000000000004"/>
    <n v="1.5000000000000002"/>
    <n v="20.100000000000001"/>
  </r>
  <r>
    <s v="Vitaliy Kotov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39.600000000000009"/>
  </r>
  <r>
    <s v="Yegor Kozlov"/>
    <x v="1"/>
    <s v="Belarus"/>
    <s v="FE Lead"/>
    <x v="1"/>
    <n v="0.6"/>
    <n v="2.4"/>
    <n v="4.8"/>
    <n v="4.32"/>
    <n v="4.8"/>
    <n v="4.8"/>
    <n v="3.84"/>
    <n v="4.32"/>
    <n v="2.4"/>
    <n v="31.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J6" firstHeaderRow="0" firstDataRow="1" firstDataCol="1"/>
  <pivotFields count="16">
    <pivotField subtotalTop="0" showAll="0"/>
    <pivotField axis="axisRow" subtotalTop="0" showAll="0">
      <items count="6">
        <item sd="0" x="2"/>
        <item sd="0" x="3"/>
        <item sd="0" x="0"/>
        <item sd="0" x="1"/>
        <item sd="0" m="1" x="4"/>
        <item t="default" sd="0"/>
      </items>
    </pivotField>
    <pivotField subtotalTop="0" showAll="0"/>
    <pivotField subtotalTop="0" showAll="0"/>
    <pivotField axis="axisRow" subtotalTop="0" showAll="0">
      <items count="6">
        <item x="4"/>
        <item x="1"/>
        <item x="0"/>
        <item x="2"/>
        <item x="3"/>
        <item t="default"/>
      </items>
    </pivotField>
    <pivotField numFmtId="9" subtotalTop="0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 R1" fld="6" baseField="0" baseItem="0"/>
    <dataField name=" R2" fld="7" baseField="0" baseItem="0"/>
    <dataField name=" R3" fld="8" baseField="0" baseItem="0"/>
    <dataField name=" R4" fld="9" baseField="0" baseItem="0"/>
    <dataField name=" R5" fld="10" baseField="0" baseItem="0"/>
    <dataField name=" R6" fld="11" baseField="0" baseItem="0"/>
    <dataField name=" R7" fld="12" baseField="0" baseItem="0"/>
    <dataField name=" R8" fld="13" baseField="0" baseItem="0"/>
    <dataField name=" R" fld="15" baseField="1" baseItem="0"/>
  </dataFields>
  <formats count="3">
    <format dxfId="12">
      <pivotArea outline="0" collapsedLevelsAreSubtotals="1" fieldPosition="0"/>
    </format>
    <format dxfId="11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2" totalsRowShown="0" headerRowDxfId="48" headerRowBorderDxfId="47" tableBorderDxfId="46" totalsRowBorderDxfId="45">
  <autoFilter ref="A1:B2" xr:uid="{00000000-0009-0000-0100-000001000000}">
    <filterColumn colId="0" hiddenButton="1"/>
    <filterColumn colId="1" hiddenButton="1"/>
  </autoFilter>
  <tableColumns count="2">
    <tableColumn id="1" xr3:uid="{00000000-0010-0000-0000-000001000000}" name="Holiday" dataDxfId="44"/>
    <tableColumn id="2" xr3:uid="{00000000-0010-0000-0000-000002000000}" name="Date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E1:G2" headerRowCount="0" totalsRowShown="0" headerRowDxfId="42" tableBorderDxfId="41" totalsRowBorderDxfId="40">
  <tableColumns count="3">
    <tableColumn id="1" xr3:uid="{00000000-0010-0000-0100-000001000000}" name="Column1" dataDxfId="39"/>
    <tableColumn id="2" xr3:uid="{00000000-0010-0000-0100-000002000000}" name="Column2" dataDxfId="38"/>
    <tableColumn id="3" xr3:uid="{00000000-0010-0000-0100-000003000000}" name="Column3" dataDxfId="37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anadaHolidays" displayName="CanadaHolidays" ref="A5:B14" totalsRowShown="0" headerRowDxfId="36" dataDxfId="34" headerRowBorderDxfId="35" tableBorderDxfId="33" totalsRowBorderDxfId="32">
  <autoFilter ref="A5:B14" xr:uid="{00000000-0009-0000-0100-000004000000}">
    <filterColumn colId="0" hiddenButton="1"/>
    <filterColumn colId="1" hiddenButton="1"/>
  </autoFilter>
  <tableColumns count="2">
    <tableColumn id="1" xr3:uid="{00000000-0010-0000-0200-000001000000}" name="Canada Holiday" dataDxfId="31"/>
    <tableColumn id="2" xr3:uid="{00000000-0010-0000-0200-000002000000}" name="Date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BelarusHolidays" displayName="BelarusHolidays" ref="A17:B26" totalsRowShown="0" headerRowDxfId="29" dataDxfId="27" headerRowBorderDxfId="28" tableBorderDxfId="26" totalsRowBorderDxfId="25">
  <autoFilter ref="A17:B26" xr:uid="{00000000-0009-0000-0100-000005000000}">
    <filterColumn colId="0" hiddenButton="1"/>
    <filterColumn colId="1" hiddenButton="1"/>
  </autoFilter>
  <tableColumns count="2">
    <tableColumn id="1" xr3:uid="{00000000-0010-0000-0300-000001000000}" name="Belarus Holiday" dataDxfId="24"/>
    <tableColumn id="2" xr3:uid="{00000000-0010-0000-0300-000002000000}" name="Date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dTeam" displayName="RdTeam" ref="A1:O45" totalsRowShown="0">
  <sortState ref="A2:O45">
    <sortCondition ref="A1"/>
  </sortState>
  <tableColumns count="15">
    <tableColumn id="1" xr3:uid="{00000000-0010-0000-0400-000001000000}" name="Name"/>
    <tableColumn id="2" xr3:uid="{00000000-0010-0000-0400-000002000000}" name="Team"/>
    <tableColumn id="3" xr3:uid="{00000000-0010-0000-0400-000003000000}" name="Location"/>
    <tableColumn id="4" xr3:uid="{00000000-0010-0000-0400-000004000000}" name="Role"/>
    <tableColumn id="11" xr3:uid="{00000000-0010-0000-0400-00000B000000}" name="Specialization"/>
    <tableColumn id="5" xr3:uid="{00000000-0010-0000-0400-000005000000}" name="Utilization" dataDxfId="22"/>
    <tableColumn id="6" xr3:uid="{00000000-0010-0000-0400-000006000000}" name="R1" dataDxfId="21">
      <calculatedColumnFormula array="1">Sheet3!$W$2*$F2*(NETWORKDAYS(VLOOKUP(G$1,Sprints[],2,FALSE), VLOOKUP(G$1,Sprints[],3,FALSE))-SUMPRODUCT((OFFSET(INDIRECT(CELL("address",INDEX('Leave Tracker'!$A$8:$A$92,MATCH($A2,'Leave Tracker'!$A$8:$A$92,0)))),0,31*(VLOOKUP(G$1,Sprints[],5,FALSE))+DAY(VLOOKUP(G$1,Sprints[],2,FALSE)),1,VLOOKUP(G$1,Sprints[],4,FALSE))&lt;&gt;"")*(IF(OFFSET(INDIRECT(CELL("address",INDEX('Leave Tracker'!$A$8:$A$92,MATCH($A2,'Leave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calculatedColumnFormula>
    </tableColumn>
    <tableColumn id="7" xr3:uid="{00000000-0010-0000-0400-000007000000}" name="R2" dataDxfId="20">
      <calculatedColumnFormula array="1">Sheet3!$W$2*$F2*(NETWORKDAYS(VLOOKUP(H$1,Sprints[],2,FALSE), VLOOKUP(H$1,Sprints[],3,FALSE))-SUMPRODUCT((OFFSET(INDIRECT(CELL("address",INDEX('Leave Tracker'!$A$8:$A$92,MATCH($A2,'Leave Tracker'!$A$8:$A$92,0)))),0,31*(VLOOKUP(H$1,Sprints[],5,FALSE))+DAY(VLOOKUP(H$1,Sprints[],2,FALSE)),1,VLOOKUP(H$1,Sprints[],4,FALSE))&lt;&gt;"")*(IF(OFFSET(INDIRECT(CELL("address",INDEX('Leave Tracker'!$A$8:$A$92,MATCH($A2,'Leave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calculatedColumnFormula>
    </tableColumn>
    <tableColumn id="8" xr3:uid="{00000000-0010-0000-0400-000008000000}" name="R3" dataDxfId="19">
      <calculatedColumnFormula array="1">Sheet3!$W$2*$F2*(NETWORKDAYS(VLOOKUP(I$1,Sprints[],2,FALSE), VLOOKUP(I$1,Sprints[],3,FALSE))-SUMPRODUCT((OFFSET(INDIRECT(CELL("address",INDEX('Leave Tracker'!$A$8:$A$92,MATCH($A2,'Leave Tracker'!$A$8:$A$92,0)))),0,31*(VLOOKUP(I$1,Sprints[],5,FALSE))+DAY(VLOOKUP(I$1,Sprints[],2,FALSE)),1,VLOOKUP(I$1,Sprints[],4,FALSE))&lt;&gt;"")*(IF(OFFSET(INDIRECT(CELL("address",INDEX('Leave Tracker'!$A$8:$A$92,MATCH($A2,'Leave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calculatedColumnFormula>
    </tableColumn>
    <tableColumn id="9" xr3:uid="{00000000-0010-0000-0400-000009000000}" name="R4" dataDxfId="18">
      <calculatedColumnFormula array="1">Sheet3!$W$2*$F2*(NETWORKDAYS(VLOOKUP(J$1,Sprints[],2,FALSE), VLOOKUP(J$1,Sprints[],3,FALSE))-SUMPRODUCT((OFFSET(INDIRECT(CELL("address",INDEX('Leave Tracker'!$A$8:$A$92,MATCH($A2,'Leave Tracker'!$A$8:$A$92,0)))),0,31*(VLOOKUP(J$1,Sprints[],5,FALSE))+DAY(VLOOKUP(J$1,Sprints[],2,FALSE)),1,VLOOKUP(J$1,Sprints[],4,FALSE))&lt;&gt;"")*(IF(OFFSET(INDIRECT(CELL("address",INDEX('Leave Tracker'!$A$8:$A$92,MATCH($A2,'Leave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calculatedColumnFormula>
    </tableColumn>
    <tableColumn id="10" xr3:uid="{00000000-0010-0000-0400-00000A000000}" name="R5" dataDxfId="17">
      <calculatedColumnFormula array="1">Sheet3!$W$2*$F2*(NETWORKDAYS(VLOOKUP(K$1,Sprints[],2,FALSE), VLOOKUP(K$1,Sprints[],3,FALSE))-SUMPRODUCT((OFFSET(INDIRECT(CELL("address",INDEX('Leave Tracker'!$A$8:$A$92,MATCH($A2,'Leave Tracker'!$A$8:$A$92,0)))),0,31*(VLOOKUP(K$1,Sprints[],5,FALSE))+DAY(VLOOKUP(K$1,Sprints[],2,FALSE)),1,VLOOKUP(K$1,Sprints[],4,FALSE))&lt;&gt;"")*(IF(OFFSET(INDIRECT(CELL("address",INDEX('Leave Tracker'!$A$8:$A$92,MATCH($A2,'Leave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calculatedColumnFormula>
    </tableColumn>
    <tableColumn id="12" xr3:uid="{00000000-0010-0000-0400-00000C000000}" name="R6" dataDxfId="16">
      <calculatedColumnFormula array="1">Sheet3!$W$2*$F2*(NETWORKDAYS(VLOOKUP(L$1,Sprints[],2,FALSE), VLOOKUP(L$1,Sprints[],3,FALSE))-SUMPRODUCT((OFFSET(INDIRECT(CELL("address",INDEX('Leave Tracker'!$A$8:$A$92,MATCH($A2,'Leave Tracker'!$A$8:$A$92,0)))),0,31*(VLOOKUP(L$1,Sprints[],5,FALSE))+DAY(VLOOKUP(L$1,Sprints[],2,FALSE)),1,VLOOKUP(L$1,Sprints[],4,FALSE))&lt;&gt;"")*(IF(OFFSET(INDIRECT(CELL("address",INDEX('Leave Tracker'!$A$8:$A$92,MATCH($A2,'Leave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calculatedColumnFormula>
    </tableColumn>
    <tableColumn id="13" xr3:uid="{00000000-0010-0000-0400-00000D000000}" name="R7" dataDxfId="15">
      <calculatedColumnFormula array="1">Sheet3!$W$2*$F2*(NETWORKDAYS(VLOOKUP(M$1,Sprints[],2,FALSE), VLOOKUP(M$1,Sprints[],3,FALSE))-SUMPRODUCT((OFFSET(INDIRECT(CELL("address",INDEX('Leave Tracker'!$A$8:$A$92,MATCH($A2,'Leave Tracker'!$A$8:$A$92,0)))),0,31*(VLOOKUP(M$1,Sprints[],5,FALSE))+DAY(VLOOKUP(M$1,Sprints[],2,FALSE)),1,VLOOKUP(M$1,Sprints[],4,FALSE))&lt;&gt;"")*(IF(OFFSET(INDIRECT(CELL("address",INDEX('Leave Tracker'!$A$8:$A$92,MATCH($A2,'Leave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calculatedColumnFormula>
    </tableColumn>
    <tableColumn id="14" xr3:uid="{00000000-0010-0000-0400-00000E000000}" name="R8" dataDxfId="14">
      <calculatedColumnFormula array="1">Sheet3!$W$2*$F2*(NETWORKDAYS(VLOOKUP(N$1,Sprints[],2,FALSE), VLOOKUP(N$1,Sprints[],3,FALSE))-SUMPRODUCT((OFFSET(INDIRECT(CELL("address",INDEX('Leave Tracker'!$A$8:$A$92,MATCH($A2,'Leave Tracker'!$A$8:$A$92,0)))),0,31*(VLOOKUP(N$1,Sprints[],5,FALSE))+DAY(VLOOKUP(N$1,Sprints[],2,FALSE)),1,VLOOKUP(N$1,Sprints[],4,FALSE))&lt;&gt;"")*(IF(OFFSET(INDIRECT(CELL("address",INDEX('Leave Tracker'!$A$8:$A$92,MATCH($A2,'Leave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calculatedColumnFormula>
    </tableColumn>
    <tableColumn id="21" xr3:uid="{00000000-0010-0000-0400-000015000000}" name="Remaining" dataDxfId="13">
      <calculatedColumnFormula array="1">Sheet3!$W$2*$F2*(NETWORKDAYS(VLOOKUP(O$1,Sprints[],2,FALSE), VLOOKUP(O$1,Sprints[],3,FALSE))-SUMPRODUCT((OFFSET(INDIRECT(CELL("address",INDEX('Leave Tracker'!$A$8:$A$92,MATCH($A2,'Leave Tracker'!$A$8:$A$92,0)))),0,31*(VLOOKUP(O$1,Sprints[],5,FALSE))+DAY(VLOOKUP(O$1,Sprints[],2,FALSE)),1,VLOOKUP(O$1,Sprints[],4,FALSE))&lt;&gt;"")*(IF(OFFSET(INDIRECT(CELL("address",INDEX('Leave Tracker'!$A$8:$A$92,MATCH($A2,'Leave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Table12" displayName="Table12" ref="R2:AA7">
  <autoFilter ref="R2:AA7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500-000001000000}" name="Team" totalsRowLabel="Total"/>
    <tableColumn id="2" xr3:uid="{00000000-0010-0000-0500-000002000000}" name="R1" totalsRowFunction="sum"/>
    <tableColumn id="3" xr3:uid="{00000000-0010-0000-0500-000003000000}" name="R2"/>
    <tableColumn id="4" xr3:uid="{00000000-0010-0000-0500-000004000000}" name="R3"/>
    <tableColumn id="5" xr3:uid="{00000000-0010-0000-0500-000005000000}" name="R4"/>
    <tableColumn id="6" xr3:uid="{00000000-0010-0000-0500-000006000000}" name="R5"/>
    <tableColumn id="7" xr3:uid="{00000000-0010-0000-0500-000007000000}" name="R6" dataDxfId="9">
      <calculatedColumnFormula>G2</calculatedColumnFormula>
    </tableColumn>
    <tableColumn id="8" xr3:uid="{00000000-0010-0000-0500-000008000000}" name="R7" dataDxfId="8">
      <calculatedColumnFormula>H1</calculatedColumnFormula>
    </tableColumn>
    <tableColumn id="13" xr3:uid="{00000000-0010-0000-0500-00000D000000}" name="R8" dataDxfId="7">
      <calculatedColumnFormula>I2</calculatedColumnFormula>
    </tableColumn>
    <tableColumn id="15" xr3:uid="{00000000-0010-0000-0500-00000F000000}" name="R" totalsRowFunction="count" dataDxfId="6">
      <calculatedColumnFormula>SUM(S3:Z3)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eams" displayName="Teams" ref="I1:I6" totalsRowShown="0">
  <autoFilter ref="I1:I6" xr:uid="{00000000-0009-0000-0100-000006000000}">
    <filterColumn colId="0" hiddenButton="1"/>
  </autoFilter>
  <tableColumns count="1">
    <tableColumn id="1" xr3:uid="{00000000-0010-0000-0600-000001000000}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7" displayName="Table7" ref="K1:K3" totalsRowShown="0">
  <autoFilter ref="K1:K3" xr:uid="{00000000-0009-0000-0100-000007000000}">
    <filterColumn colId="0" hiddenButton="1"/>
  </autoFilter>
  <tableColumns count="1">
    <tableColumn id="1" xr3:uid="{00000000-0010-0000-0700-000001000000}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8" displayName="Table8" ref="M1:M11" totalsRowShown="0">
  <autoFilter ref="M1:M11" xr:uid="{00000000-0009-0000-0100-000008000000}">
    <filterColumn colId="0" hiddenButton="1"/>
  </autoFilter>
  <tableColumns count="1">
    <tableColumn id="1" xr3:uid="{00000000-0010-0000-0800-000001000000}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O1:O6" totalsRowShown="0">
  <autoFilter ref="O1:O6" xr:uid="{00000000-0009-0000-0100-000009000000}">
    <filterColumn colId="0" hiddenButton="1"/>
  </autoFilter>
  <tableColumns count="1">
    <tableColumn id="1" xr3:uid="{00000000-0010-0000-0900-000001000000}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Sprints" displayName="Sprints" ref="Q1:U10" totalsRowShown="0">
  <autoFilter ref="Q1:U10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Dev Sprint"/>
    <tableColumn id="2" xr3:uid="{00000000-0010-0000-0A00-000002000000}" name="Start Date" dataDxfId="5"/>
    <tableColumn id="3" xr3:uid="{00000000-0010-0000-0A00-000003000000}" name="End Date" dataDxfId="4"/>
    <tableColumn id="4" xr3:uid="{00000000-0010-0000-0A00-000004000000}" name="Days (with 31 Days per Month)" dataDxfId="3">
      <calculatedColumnFormula>DATEDIF(R2,S2,"d") + 1 + (DATEDIF(DATE(YEAR(R2),MONTH(R2),1),DATE(YEAR(S2),MONTH(S2),1),"m")*31 - DATEDIF(DATE(YEAR(R2),MONTH(R2),1),DATE(YEAR(S2),MONTH(S2),1),"d"))</calculatedColumnFormula>
    </tableColumn>
    <tableColumn id="5" xr3:uid="{00000000-0010-0000-0A00-000005000000}" name="Month Shift" dataDxfId="2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e10" displayName="Table10" ref="W1:W2" totalsRowShown="0" dataDxfId="1">
  <autoFilter ref="W1:W2" xr:uid="{00000000-0009-0000-0100-00000A000000}">
    <filterColumn colId="0" hiddenButton="1"/>
  </autoFilter>
  <tableColumns count="1">
    <tableColumn id="1" xr3:uid="{00000000-0010-0000-0B00-000001000000}" name="Capacity Buffer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/>
  <dimension ref="A1:ACG52"/>
  <sheetViews>
    <sheetView showGridLines="0" showWhiteSpace="0" zoomScale="60" zoomScaleNormal="60" zoomScaleSheetLayoutView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NZ39" sqref="NZ39"/>
    </sheetView>
  </sheetViews>
  <sheetFormatPr defaultColWidth="8.796875" defaultRowHeight="14.25" x14ac:dyDescent="0.45"/>
  <cols>
    <col min="1" max="1" width="19.6640625" customWidth="1"/>
    <col min="2" max="32" width="3.59765625" customWidth="1"/>
    <col min="33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84" width="6.46484375" style="45" customWidth="1"/>
    <col min="385" max="385" width="8.33203125" style="45" customWidth="1"/>
    <col min="386" max="386" width="6.59765625" customWidth="1"/>
    <col min="387" max="387" width="14.46484375" bestFit="1" customWidth="1"/>
    <col min="388" max="388" width="10.06640625" bestFit="1" customWidth="1"/>
  </cols>
  <sheetData>
    <row r="1" spans="1:761" ht="15.75" x14ac:dyDescent="0.5">
      <c r="A1" s="9">
        <v>10</v>
      </c>
      <c r="B1" s="21"/>
      <c r="NK1" s="6"/>
    </row>
    <row r="2" spans="1:761" ht="15.75" x14ac:dyDescent="0.5">
      <c r="A2" s="9">
        <v>2018</v>
      </c>
      <c r="B2" s="21"/>
      <c r="NJ2" s="6"/>
    </row>
    <row r="3" spans="1:761" ht="41.25" customHeight="1" x14ac:dyDescent="0.45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0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AND(NOT(ISNUMBER(MATCH(DATE($A$2,INT((COLUMN()-1)/31.001)+$A$1,ROUNDUP(MOD(COLUMN()-1,31.001),0)),HolidayList[Date],0))),(VLOOKUP(VLOOKUP(WEEKDAY(DATE($A$2,INT((COLUMN()-1)/31.001)+$A$1,ROUNDUP(MOD(COLUMN()-1,31.001),0)),2),Sheet3!$D$1:$E$7,2,0),$NW$17:$NX$23,2,0)="Yes"))</f>
        <v>1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</row>
    <row r="4" spans="1:761" x14ac:dyDescent="0.45">
      <c r="A4" s="32">
        <f>DATEDIF(DATE($A$2,$A$1,1),DATE(YEAR(Holidays!E2),MONTH(Holidays!E2),1),"m")</f>
        <v>0</v>
      </c>
      <c r="B4" s="15" t="b">
        <f>IFERROR(IF(AND(VLOOKUP(B6,$NW$17:$NX$23,2,0)="Yes",NOT(ISNUMBER(VLOOKUP(DATE($A$2,$A$3+$A$1-1,B5),HolidayList[Date],1,0)))),TRUE,FALSE),FALSE)</f>
        <v>1</v>
      </c>
      <c r="C4" s="15" t="b">
        <f>IFERROR(IF(AND(VLOOKUP(C6,$NW$17:$NX$23,2,0)="Yes",NOT(ISNUMBER(VLOOKUP(DATE($A$2,$A$3+$A$1-1,C5),HolidayList[Date],1,0)))),TRUE,FALSE),FALSE)</f>
        <v>1</v>
      </c>
      <c r="D4" s="15" t="b">
        <f>IFERROR(IF(AND(VLOOKUP(D6,$NW$17:$NX$23,2,0)="Yes",NOT(ISNUMBER(VLOOKUP(DATE($A$2,$A$3+$A$1-1,D5),HolidayList[Date],1,0)))),TRUE,FALSE),FALSE)</f>
        <v>1</v>
      </c>
      <c r="E4" s="15" t="b">
        <f>IFERROR(IF(AND(VLOOKUP(E6,$NW$17:$NX$23,2,0)="Yes",NOT(ISNUMBER(VLOOKUP(DATE($A$2,$A$3+$A$1-1,E5),HolidayList[Date],1,0)))),TRUE,FALSE),FALSE)</f>
        <v>1</v>
      </c>
      <c r="F4" s="15" t="b">
        <f>IFERROR(IF(AND(VLOOKUP(F6,$NW$17:$NX$23,2,0)="Yes",NOT(ISNUMBER(VLOOKUP(DATE($A$2,$A$3+$A$1-1,F5),HolidayList[Date],1,0)))),TRUE,FALSE),FALSE)</f>
        <v>1</v>
      </c>
      <c r="G4" s="15" t="b">
        <f>IFERROR(IF(AND(VLOOKUP(G6,$NW$17:$NX$23,2,0)="Yes",NOT(ISNUMBER(VLOOKUP(DATE($A$2,$A$3+$A$1-1,G5),HolidayList[Date],1,0)))),TRUE,FALSE),FALSE)</f>
        <v>0</v>
      </c>
      <c r="H4" s="15" t="b">
        <f>IFERROR(IF(AND(VLOOKUP(H6,$NW$17:$NX$23,2,0)="Yes",NOT(ISNUMBER(VLOOKUP(DATE($A$2,$A$3+$A$1-1,H5),HolidayList[Date],1,0)))),TRUE,FALSE),FALSE)</f>
        <v>0</v>
      </c>
      <c r="I4" s="15" t="b">
        <f>IFERROR(IF(AND(VLOOKUP(I6,$NW$17:$NX$23,2,0)="Yes",NOT(ISNUMBER(VLOOKUP(DATE($A$2,$A$3+$A$1-1,I5),HolidayList[Date],1,0)))),TRUE,FALSE),FALSE)</f>
        <v>1</v>
      </c>
      <c r="J4" s="15" t="b">
        <f>IFERROR(IF(AND(VLOOKUP(J6,$NW$17:$NX$23,2,0)="Yes",NOT(ISNUMBER(VLOOKUP(DATE($A$2,$A$3+$A$1-1,J5),HolidayList[Date],1,0)))),TRUE,FALSE),FALSE)</f>
        <v>1</v>
      </c>
      <c r="K4" s="15" t="b">
        <f>IFERROR(IF(AND(VLOOKUP(K6,$NW$17:$NX$23,2,0)="Yes",NOT(ISNUMBER(VLOOKUP(DATE($A$2,$A$3+$A$1-1,K5),HolidayList[Date],1,0)))),TRUE,FALSE),FALSE)</f>
        <v>1</v>
      </c>
      <c r="L4" s="15" t="b">
        <f>IFERROR(IF(AND(VLOOKUP(L6,$NW$17:$NX$23,2,0)="Yes",NOT(ISNUMBER(VLOOKUP(DATE($A$2,$A$3+$A$1-1,L5),HolidayList[Date],1,0)))),TRUE,FALSE),FALSE)</f>
        <v>1</v>
      </c>
      <c r="M4" s="15" t="b">
        <f>IFERROR(IF(AND(VLOOKUP(M6,$NW$17:$NX$23,2,0)="Yes",NOT(ISNUMBER(VLOOKUP(DATE($A$2,$A$3+$A$1-1,M5),HolidayList[Date],1,0)))),TRUE,FALSE),FALSE)</f>
        <v>1</v>
      </c>
      <c r="N4" s="15" t="b">
        <f>IFERROR(IF(AND(VLOOKUP(N6,$NW$17:$NX$23,2,0)="Yes",NOT(ISNUMBER(VLOOKUP(DATE($A$2,$A$3+$A$1-1,N5),HolidayList[Date],1,0)))),TRUE,FALSE),FALSE)</f>
        <v>0</v>
      </c>
      <c r="O4" s="15" t="b">
        <f>IFERROR(IF(AND(VLOOKUP(O6,$NW$17:$NX$23,2,0)="Yes",NOT(ISNUMBER(VLOOKUP(DATE($A$2,$A$3+$A$1-1,O5),HolidayList[Date],1,0)))),TRUE,FALSE),FALSE)</f>
        <v>0</v>
      </c>
      <c r="P4" s="15" t="b">
        <f>IFERROR(IF(AND(VLOOKUP(P6,$NW$17:$NX$23,2,0)="Yes",NOT(ISNUMBER(VLOOKUP(DATE($A$2,$A$3+$A$1-1,P5),HolidayList[Date],1,0)))),TRUE,FALSE),FALSE)</f>
        <v>1</v>
      </c>
      <c r="Q4" s="15" t="b">
        <f>IFERROR(IF(AND(VLOOKUP(Q6,$NW$17:$NX$23,2,0)="Yes",NOT(ISNUMBER(VLOOKUP(DATE($A$2,$A$3+$A$1-1,Q5),HolidayList[Date],1,0)))),TRUE,FALSE),FALSE)</f>
        <v>1</v>
      </c>
      <c r="R4" s="15" t="b">
        <f>IFERROR(IF(AND(VLOOKUP(R6,$NW$17:$NX$23,2,0)="Yes",NOT(ISNUMBER(VLOOKUP(DATE($A$2,$A$3+$A$1-1,R5),HolidayList[Date],1,0)))),TRUE,FALSE),FALSE)</f>
        <v>1</v>
      </c>
      <c r="S4" s="15" t="b">
        <f>IFERROR(IF(AND(VLOOKUP(S6,$NW$17:$NX$23,2,0)="Yes",NOT(ISNUMBER(VLOOKUP(DATE($A$2,$A$3+$A$1-1,S5),HolidayList[Date],1,0)))),TRUE,FALSE),FALSE)</f>
        <v>1</v>
      </c>
      <c r="T4" s="15" t="b">
        <f>IFERROR(IF(AND(VLOOKUP(T6,$NW$17:$NX$23,2,0)="Yes",NOT(ISNUMBER(VLOOKUP(DATE($A$2,$A$3+$A$1-1,T5),HolidayList[Date],1,0)))),TRUE,FALSE),FALSE)</f>
        <v>1</v>
      </c>
      <c r="U4" s="15" t="b">
        <f>IFERROR(IF(AND(VLOOKUP(U6,$NW$17:$NX$23,2,0)="Yes",NOT(ISNUMBER(VLOOKUP(DATE($A$2,$A$3+$A$1-1,U5),HolidayList[Date],1,0)))),TRUE,FALSE),FALSE)</f>
        <v>0</v>
      </c>
      <c r="V4" s="15" t="b">
        <f>IFERROR(IF(AND(VLOOKUP(V6,$NW$17:$NX$23,2,0)="Yes",NOT(ISNUMBER(VLOOKUP(DATE($A$2,$A$3+$A$1-1,V5),HolidayList[Date],1,0)))),TRUE,FALSE),FALSE)</f>
        <v>0</v>
      </c>
      <c r="W4" s="15" t="b">
        <f>IFERROR(IF(AND(VLOOKUP(W6,$NW$17:$NX$23,2,0)="Yes",NOT(ISNUMBER(VLOOKUP(DATE($A$2,$A$3+$A$1-1,W5),HolidayList[Date],1,0)))),TRUE,FALSE),FALSE)</f>
        <v>1</v>
      </c>
      <c r="X4" s="15" t="b">
        <f>IFERROR(IF(AND(VLOOKUP(X6,$NW$17:$NX$23,2,0)="Yes",NOT(ISNUMBER(VLOOKUP(DATE($A$2,$A$3+$A$1-1,X5),HolidayList[Date],1,0)))),TRUE,FALSE),FALSE)</f>
        <v>1</v>
      </c>
      <c r="Y4" s="15" t="b">
        <f>IFERROR(IF(AND(VLOOKUP(Y6,$NW$17:$NX$23,2,0)="Yes",NOT(ISNUMBER(VLOOKUP(DATE($A$2,$A$3+$A$1-1,Y5),HolidayList[Date],1,0)))),TRUE,FALSE),FALSE)</f>
        <v>1</v>
      </c>
      <c r="Z4" s="15" t="b">
        <f>IFERROR(IF(AND(VLOOKUP(Z6,$NW$17:$NX$23,2,0)="Yes",NOT(ISNUMBER(VLOOKUP(DATE($A$2,$A$3+$A$1-1,Z5),HolidayList[Date],1,0)))),TRUE,FALSE),FALSE)</f>
        <v>1</v>
      </c>
      <c r="AA4" s="49" t="b">
        <f>IFERROR(IF(AND(VLOOKUP(AA6,$NW$17:$NX$23,2,0)="Yes",NOT(ISNUMBER(VLOOKUP(DATE($A$2,$A$3+$A$1-1,AA5),HolidayList[Date],1,0)))),TRUE,FALSE),FALSE)</f>
        <v>1</v>
      </c>
      <c r="AB4" s="48" t="b">
        <f>IFERROR(IF(AND(VLOOKUP(AB6,$NW$17:$NX$23,2,0)="Yes",NOT(ISNUMBER(VLOOKUP(DATE($A$2,$A$3+$A$1-1,AB5),HolidayList[Date],1,0)))),TRUE,FALSE),FALSE)</f>
        <v>0</v>
      </c>
      <c r="AC4" s="15" t="b">
        <f>IFERROR(IF(AND(VLOOKUP(AC6,$NW$17:$NX$23,2,0)="Yes",NOT(ISNUMBER(VLOOKUP(DATE($A$2,$A$3+$A$1-1,AC5),HolidayList[Date],1,0)))),TRUE,FALSE),FALSE)</f>
        <v>0</v>
      </c>
      <c r="AD4" s="15" t="b">
        <f>IFERROR(IF(AND(VLOOKUP(AD6,$NW$17:$NX$23,2,0)="Yes",NOT(ISNUMBER(VLOOKUP(DATE($A$2,$A$3+$A$1-1,AD5),HolidayList[Date],1,0)))),TRUE,FALSE),FALSE)</f>
        <v>1</v>
      </c>
      <c r="AE4" s="15" t="b">
        <f>IFERROR(IF(AND(VLOOKUP(AE6,$NW$17:$NX$23,2,0)="Yes",NOT(ISNUMBER(VLOOKUP(DATE($A$2,$A$3+$A$1-1,AE5),HolidayList[Date],1,0)))),TRUE,FALSE),FALSE)</f>
        <v>1</v>
      </c>
      <c r="AF4" s="15" t="b">
        <f>IFERROR(IF(AND(VLOOKUP(AF6,$NW$17:$NX$23,2,0)="Yes",NOT(ISNUMBER(VLOOKUP(DATE($A$2,$A$3+$A$1-1,AF5),HolidayList[Date],1,0)))),TRUE,FALSE),FALSE)</f>
        <v>1</v>
      </c>
      <c r="AG4" s="15" t="b">
        <f>IFERROR(IF(AND(VLOOKUP(AG6,$NW$17:$NX$23,2,0)="Yes",NOT(ISNUMBER(VLOOKUP(DATE($A$2,$A$3+$A$1-1,AG5),HolidayList[Date],1,0)))),TRUE,FALSE),FALSE)</f>
        <v>0</v>
      </c>
      <c r="AH4" s="15" t="b">
        <f>IFERROR(IF(AND(VLOOKUP(AH6,$NW$17:$NX$23,2,0)="Yes",NOT(ISNUMBER(VLOOKUP(DATE($A$2,$A$3+$A$1-1,AH5),HolidayList[Date],1,0)))),TRUE,FALSE),FALSE)</f>
        <v>0</v>
      </c>
      <c r="AI4" s="15" t="b">
        <f>IFERROR(IF(AND(VLOOKUP(AI6,$NW$17:$NX$23,2,0)="Yes",NOT(ISNUMBER(VLOOKUP(DATE($A$2,$A$3+$A$1-1,AI5),HolidayList[Date],1,0)))),TRUE,FALSE),FALSE)</f>
        <v>0</v>
      </c>
      <c r="AJ4" s="15" t="b">
        <f>IFERROR(IF(AND(VLOOKUP(AJ6,$NW$17:$NX$23,2,0)="Yes",NOT(ISNUMBER(VLOOKUP(DATE($A$2,$A$3+$A$1-1,AJ5),HolidayList[Date],1,0)))),TRUE,FALSE),FALSE)</f>
        <v>0</v>
      </c>
      <c r="AK4" s="15" t="b">
        <f>IFERROR(IF(AND(VLOOKUP(AK6,$NW$17:$NX$23,2,0)="Yes",NOT(ISNUMBER(VLOOKUP(DATE($A$2,$A$3+$A$1-1,AK5),HolidayList[Date],1,0)))),TRUE,FALSE),FALSE)</f>
        <v>0</v>
      </c>
      <c r="AL4" s="15" t="b">
        <f>IFERROR(IF(AND(VLOOKUP(AL6,$NW$17:$NX$23,2,0)="Yes",NOT(ISNUMBER(VLOOKUP(DATE($A$2,$A$3+$A$1-1,AL5),HolidayList[Date],1,0)))),TRUE,FALSE),FALSE)</f>
        <v>0</v>
      </c>
      <c r="AM4" s="15" t="b">
        <f>IFERROR(IF(AND(VLOOKUP(AM6,$NW$17:$NX$23,2,0)="Yes",NOT(ISNUMBER(VLOOKUP(DATE($A$2,$A$3+$A$1-1,AM5),HolidayList[Date],1,0)))),TRUE,FALSE),FALSE)</f>
        <v>0</v>
      </c>
      <c r="AN4" s="15" t="b">
        <f>IFERROR(IF(AND(VLOOKUP(AN6,$NW$17:$NX$23,2,0)="Yes",NOT(ISNUMBER(VLOOKUP(DATE($A$2,$A$3+$A$1-1,AN5),HolidayList[Date],1,0)))),TRUE,FALSE),FALSE)</f>
        <v>0</v>
      </c>
      <c r="AO4" s="15" t="b">
        <f>IFERROR(IF(AND(VLOOKUP(AO6,$NW$17:$NX$23,2,0)="Yes",NOT(ISNUMBER(VLOOKUP(DATE($A$2,$A$3+$A$1-1,AO5),HolidayList[Date],1,0)))),TRUE,FALSE),FALSE)</f>
        <v>0</v>
      </c>
      <c r="AP4" s="15" t="b">
        <f>IFERROR(IF(AND(VLOOKUP(AP6,$NW$17:$NX$23,2,0)="Yes",NOT(ISNUMBER(VLOOKUP(DATE($A$2,$A$3+$A$1-1,AP5),HolidayList[Date],1,0)))),TRUE,FALSE),FALSE)</f>
        <v>0</v>
      </c>
      <c r="AQ4" s="15" t="b">
        <f>IFERROR(IF(AND(VLOOKUP(AQ6,$NW$17:$NX$23,2,0)="Yes",NOT(ISNUMBER(VLOOKUP(DATE($A$2,$A$3+$A$1-1,AQ5),HolidayList[Date],1,0)))),TRUE,FALSE),FALSE)</f>
        <v>0</v>
      </c>
      <c r="AR4" s="15" t="b">
        <f>IFERROR(IF(AND(VLOOKUP(AR6,$NW$17:$NX$23,2,0)="Yes",NOT(ISNUMBER(VLOOKUP(DATE($A$2,$A$3+$A$1-1,AR5),HolidayList[Date],1,0)))),TRUE,FALSE),FALSE)</f>
        <v>0</v>
      </c>
      <c r="AS4" s="15" t="b">
        <f>IFERROR(IF(AND(VLOOKUP(AS6,$NW$17:$NX$23,2,0)="Yes",NOT(ISNUMBER(VLOOKUP(DATE($A$2,$A$3+$A$1-1,AS5),HolidayList[Date],1,0)))),TRUE,FALSE),FALSE)</f>
        <v>0</v>
      </c>
      <c r="AT4" s="15" t="b">
        <f>IFERROR(IF(AND(VLOOKUP(AT6,$NW$17:$NX$23,2,0)="Yes",NOT(ISNUMBER(VLOOKUP(DATE($A$2,$A$3+$A$1-1,AT5),HolidayList[Date],1,0)))),TRUE,FALSE),FALSE)</f>
        <v>0</v>
      </c>
      <c r="AU4" s="15" t="b">
        <f>IFERROR(IF(AND(VLOOKUP(AU6,$NW$17:$NX$23,2,0)="Yes",NOT(ISNUMBER(VLOOKUP(DATE($A$2,$A$3+$A$1-1,AU5),HolidayList[Date],1,0)))),TRUE,FALSE),FALSE)</f>
        <v>0</v>
      </c>
      <c r="AV4" s="15" t="b">
        <f>IFERROR(IF(AND(VLOOKUP(AV6,$NW$17:$NX$23,2,0)="Yes",NOT(ISNUMBER(VLOOKUP(DATE($A$2,$A$3+$A$1-1,AV5),HolidayList[Date],1,0)))),TRUE,FALSE),FALSE)</f>
        <v>0</v>
      </c>
      <c r="AW4" s="15" t="b">
        <f>IFERROR(IF(AND(VLOOKUP(AW6,$NW$17:$NX$23,2,0)="Yes",NOT(ISNUMBER(VLOOKUP(DATE($A$2,$A$3+$A$1-1,AW5),HolidayList[Date],1,0)))),TRUE,FALSE),FALSE)</f>
        <v>0</v>
      </c>
      <c r="AX4" s="15" t="b">
        <f>IFERROR(IF(AND(VLOOKUP(AX6,$NW$17:$NX$23,2,0)="Yes",NOT(ISNUMBER(VLOOKUP(DATE($A$2,$A$3+$A$1-1,AX5),HolidayList[Date],1,0)))),TRUE,FALSE),FALSE)</f>
        <v>0</v>
      </c>
      <c r="AY4" s="15" t="b">
        <f>IFERROR(IF(AND(VLOOKUP(AY6,$NW$17:$NX$23,2,0)="Yes",NOT(ISNUMBER(VLOOKUP(DATE($A$2,$A$3+$A$1-1,AY5),HolidayList[Date],1,0)))),TRUE,FALSE),FALSE)</f>
        <v>0</v>
      </c>
      <c r="AZ4" s="15" t="b">
        <f>IFERROR(IF(AND(VLOOKUP(AZ6,$NW$17:$NX$23,2,0)="Yes",NOT(ISNUMBER(VLOOKUP(DATE($A$2,$A$3+$A$1-1,AZ5),HolidayList[Date],1,0)))),TRUE,FALSE),FALSE)</f>
        <v>0</v>
      </c>
      <c r="BA4" s="15" t="b">
        <f>IFERROR(IF(AND(VLOOKUP(BA6,$NW$17:$NX$23,2,0)="Yes",NOT(ISNUMBER(VLOOKUP(DATE($A$2,$A$3+$A$1-1,BA5),HolidayList[Date],1,0)))),TRUE,FALSE),FALSE)</f>
        <v>0</v>
      </c>
      <c r="BB4" s="15" t="b">
        <f>IFERROR(IF(AND(VLOOKUP(BB6,$NW$17:$NX$23,2,0)="Yes",NOT(ISNUMBER(VLOOKUP(DATE($A$2,$A$3+$A$1-1,BB5),HolidayList[Date],1,0)))),TRUE,FALSE),FALSE)</f>
        <v>0</v>
      </c>
      <c r="BC4" s="15" t="b">
        <f>IFERROR(IF(AND(VLOOKUP(BC6,$NW$17:$NX$23,2,0)="Yes",NOT(ISNUMBER(VLOOKUP(DATE($A$2,$A$3+$A$1-1,BC5),HolidayList[Date],1,0)))),TRUE,FALSE),FALSE)</f>
        <v>0</v>
      </c>
      <c r="BD4" s="15" t="b">
        <f>IFERROR(IF(AND(VLOOKUP(BD6,$NW$17:$NX$23,2,0)="Yes",NOT(ISNUMBER(VLOOKUP(DATE($A$2,$A$3+$A$1-1,BD5),HolidayList[Date],1,0)))),TRUE,FALSE),FALSE)</f>
        <v>0</v>
      </c>
      <c r="BE4" s="15" t="b">
        <f>IFERROR(IF(AND(VLOOKUP(BE6,$NW$17:$NX$23,2,0)="Yes",NOT(ISNUMBER(VLOOKUP(DATE($A$2,$A$3+$A$1-1,BE5),HolidayList[Date],1,0)))),TRUE,FALSE),FALSE)</f>
        <v>0</v>
      </c>
      <c r="BF4" s="15" t="b">
        <f>IFERROR(IF(AND(VLOOKUP(BF6,$NW$17:$NX$23,2,0)="Yes",NOT(ISNUMBER(VLOOKUP(DATE($A$2,$A$3+$A$1-1,BF5),HolidayList[Date],1,0)))),TRUE,FALSE),FALSE)</f>
        <v>0</v>
      </c>
      <c r="BG4" s="15" t="b">
        <f>IFERROR(IF(AND(VLOOKUP(BG6,$NW$17:$NX$23,2,0)="Yes",NOT(ISNUMBER(VLOOKUP(DATE($A$2,$A$3+$A$1-1,BG5),HolidayList[Date],1,0)))),TRUE,FALSE),FALSE)</f>
        <v>0</v>
      </c>
      <c r="BH4" s="15" t="b">
        <f>IFERROR(IF(AND(VLOOKUP(BH6,$NW$17:$NX$23,2,0)="Yes",NOT(ISNUMBER(VLOOKUP(DATE($A$2,$A$3+$A$1-1,BH5),HolidayList[Date],1,0)))),TRUE,FALSE),FALSE)</f>
        <v>0</v>
      </c>
      <c r="BI4" s="15" t="b">
        <f>IFERROR(IF(AND(VLOOKUP(BI6,$NW$17:$NX$23,2,0)="Yes",NOT(ISNUMBER(VLOOKUP(DATE($A$2,$A$3+$A$1-1,BI5),HolidayList[Date],1,0)))),TRUE,FALSE),FALSE)</f>
        <v>0</v>
      </c>
      <c r="BJ4" s="15" t="b">
        <f>IFERROR(IF(AND(VLOOKUP(BJ6,$NW$17:$NX$23,2,0)="Yes",NOT(ISNUMBER(VLOOKUP(DATE($A$2,$A$3+$A$1-1,BJ5),HolidayList[Date],1,0)))),TRUE,FALSE),FALSE)</f>
        <v>0</v>
      </c>
      <c r="BK4" s="15" t="b">
        <f>IFERROR(IF(AND(VLOOKUP(BK6,$NW$17:$NX$23,2,0)="Yes",NOT(ISNUMBER(VLOOKUP(DATE($A$2,$A$3+$A$1-1,BK5),HolidayList[Date],1,0)))),TRUE,FALSE),FALSE)</f>
        <v>0</v>
      </c>
      <c r="BL4" s="15" t="b">
        <f>IFERROR(IF(AND(VLOOKUP(BL6,$NW$17:$NX$23,2,0)="Yes",NOT(ISNUMBER(VLOOKUP(DATE($A$2,$A$3+$A$1-1,BL5),HolidayList[Date],1,0)))),TRUE,FALSE),FALSE)</f>
        <v>0</v>
      </c>
      <c r="BM4" s="15" t="b">
        <f>IFERROR(IF(AND(VLOOKUP(BM6,$NW$17:$NX$23,2,0)="Yes",NOT(ISNUMBER(VLOOKUP(DATE($A$2,$A$3+$A$1-1,BM5),HolidayList[Date],1,0)))),TRUE,FALSE),FALSE)</f>
        <v>0</v>
      </c>
      <c r="BN4" s="15" t="b">
        <f>IFERROR(IF(AND(VLOOKUP(BN6,$NW$17:$NX$23,2,0)="Yes",NOT(ISNUMBER(VLOOKUP(DATE($A$2,$A$3+$A$1-1,BN5),HolidayList[Date],1,0)))),TRUE,FALSE),FALSE)</f>
        <v>0</v>
      </c>
      <c r="BO4" s="15" t="b">
        <f>IFERROR(IF(AND(VLOOKUP(BO6,$NW$17:$NX$23,2,0)="Yes",NOT(ISNUMBER(VLOOKUP(DATE($A$2,$A$3+$A$1-1,BO5),HolidayList[Date],1,0)))),TRUE,FALSE),FALSE)</f>
        <v>0</v>
      </c>
      <c r="BP4" s="15" t="b">
        <f>IFERROR(IF(AND(VLOOKUP(BP6,$NW$17:$NX$23,2,0)="Yes",NOT(ISNUMBER(VLOOKUP(DATE($A$2,$A$3+$A$1-1,BP5),HolidayList[Date],1,0)))),TRUE,FALSE),FALSE)</f>
        <v>0</v>
      </c>
      <c r="BQ4" s="15" t="b">
        <f>IFERROR(IF(AND(VLOOKUP(BQ6,$NW$17:$NX$23,2,0)="Yes",NOT(ISNUMBER(VLOOKUP(DATE($A$2,$A$3+$A$1-1,BQ5),HolidayList[Date],1,0)))),TRUE,FALSE),FALSE)</f>
        <v>0</v>
      </c>
      <c r="BR4" s="15" t="b">
        <f>IFERROR(IF(AND(VLOOKUP(BR6,$NW$17:$NX$23,2,0)="Yes",NOT(ISNUMBER(VLOOKUP(DATE($A$2,$A$3+$A$1-1,BR5),HolidayList[Date],1,0)))),TRUE,FALSE),FALSE)</f>
        <v>0</v>
      </c>
      <c r="BS4" s="15" t="b">
        <f>IFERROR(IF(AND(VLOOKUP(BS6,$NW$17:$NX$23,2,0)="Yes",NOT(ISNUMBER(VLOOKUP(DATE($A$2,$A$3+$A$1-1,BS5),HolidayList[Date],1,0)))),TRUE,FALSE),FALSE)</f>
        <v>0</v>
      </c>
      <c r="BT4" s="15" t="b">
        <f>IFERROR(IF(AND(VLOOKUP(BT6,$NW$17:$NX$23,2,0)="Yes",NOT(ISNUMBER(VLOOKUP(DATE($A$2,$A$3+$A$1-1,BT5),HolidayList[Date],1,0)))),TRUE,FALSE),FALSE)</f>
        <v>0</v>
      </c>
      <c r="BU4" s="15" t="b">
        <f>IFERROR(IF(AND(VLOOKUP(BU6,$NW$17:$NX$23,2,0)="Yes",NOT(ISNUMBER(VLOOKUP(DATE($A$2,$A$3+$A$1-1,BU5),HolidayList[Date],1,0)))),TRUE,FALSE),FALSE)</f>
        <v>0</v>
      </c>
      <c r="BV4" s="15" t="b">
        <f>IFERROR(IF(AND(VLOOKUP(BV6,$NW$17:$NX$23,2,0)="Yes",NOT(ISNUMBER(VLOOKUP(DATE($A$2,$A$3+$A$1-1,BV5),HolidayList[Date],1,0)))),TRUE,FALSE),FALSE)</f>
        <v>0</v>
      </c>
      <c r="BW4" s="15" t="b">
        <f>IFERROR(IF(AND(VLOOKUP(BW6,$NW$17:$NX$23,2,0)="Yes",NOT(ISNUMBER(VLOOKUP(DATE($A$2,$A$3+$A$1-1,BW5),HolidayList[Date],1,0)))),TRUE,FALSE),FALSE)</f>
        <v>0</v>
      </c>
      <c r="BX4" s="15" t="b">
        <f>IFERROR(IF(AND(VLOOKUP(BX6,$NW$17:$NX$23,2,0)="Yes",NOT(ISNUMBER(VLOOKUP(DATE($A$2,$A$3+$A$1-1,BX5),HolidayList[Date],1,0)))),TRUE,FALSE),FALSE)</f>
        <v>0</v>
      </c>
      <c r="BY4" s="15" t="b">
        <f>IFERROR(IF(AND(VLOOKUP(BY6,$NW$17:$NX$23,2,0)="Yes",NOT(ISNUMBER(VLOOKUP(DATE($A$2,$A$3+$A$1-1,BY5),HolidayList[Date],1,0)))),TRUE,FALSE),FALSE)</f>
        <v>0</v>
      </c>
      <c r="BZ4" s="15" t="b">
        <f>IFERROR(IF(AND(VLOOKUP(BZ6,$NW$17:$NX$23,2,0)="Yes",NOT(ISNUMBER(VLOOKUP(DATE($A$2,$A$3+$A$1-1,BZ5),HolidayList[Date],1,0)))),TRUE,FALSE),FALSE)</f>
        <v>0</v>
      </c>
      <c r="CA4" s="15" t="b">
        <f>IFERROR(IF(AND(VLOOKUP(CA6,$NW$17:$NX$23,2,0)="Yes",NOT(ISNUMBER(VLOOKUP(DATE($A$2,$A$3+$A$1-1,CA5),HolidayList[Date],1,0)))),TRUE,FALSE),FALSE)</f>
        <v>0</v>
      </c>
      <c r="CB4" s="15" t="b">
        <f>IFERROR(IF(AND(VLOOKUP(CB6,$NW$17:$NX$23,2,0)="Yes",NOT(ISNUMBER(VLOOKUP(DATE($A$2,$A$3+$A$1-1,CB5),HolidayList[Date],1,0)))),TRUE,FALSE),FALSE)</f>
        <v>0</v>
      </c>
      <c r="CC4" s="15" t="b">
        <f>IFERROR(IF(AND(VLOOKUP(CC6,$NW$17:$NX$23,2,0)="Yes",NOT(ISNUMBER(VLOOKUP(DATE($A$2,$A$3+$A$1-1,CC5),HolidayList[Date],1,0)))),TRUE,FALSE),FALSE)</f>
        <v>0</v>
      </c>
      <c r="CD4" s="15" t="b">
        <f>IFERROR(IF(AND(VLOOKUP(CD6,$NW$17:$NX$23,2,0)="Yes",NOT(ISNUMBER(VLOOKUP(DATE($A$2,$A$3+$A$1-1,CD5),HolidayList[Date],1,0)))),TRUE,FALSE),FALSE)</f>
        <v>0</v>
      </c>
      <c r="CE4" s="15" t="b">
        <f>IFERROR(IF(AND(VLOOKUP(CE6,$NW$17:$NX$23,2,0)="Yes",NOT(ISNUMBER(VLOOKUP(DATE($A$2,$A$3+$A$1-1,CE5),HolidayList[Date],1,0)))),TRUE,FALSE),FALSE)</f>
        <v>0</v>
      </c>
      <c r="CF4" s="15" t="b">
        <f>IFERROR(IF(AND(VLOOKUP(CF6,$NW$17:$NX$23,2,0)="Yes",NOT(ISNUMBER(VLOOKUP(DATE($A$2,$A$3+$A$1-1,CF5),HolidayList[Date],1,0)))),TRUE,FALSE),FALSE)</f>
        <v>0</v>
      </c>
      <c r="CG4" s="15" t="b">
        <f>IFERROR(IF(AND(VLOOKUP(CG6,$NW$17:$NX$23,2,0)="Yes",NOT(ISNUMBER(VLOOKUP(DATE($A$2,$A$3+$A$1-1,CG5),HolidayList[Date],1,0)))),TRUE,FALSE),FALSE)</f>
        <v>0</v>
      </c>
      <c r="CH4" s="15" t="b">
        <f>IFERROR(IF(AND(VLOOKUP(CH6,$NW$17:$NX$23,2,0)="Yes",NOT(ISNUMBER(VLOOKUP(DATE($A$2,$A$3+$A$1-1,CH5),HolidayList[Date],1,0)))),TRUE,FALSE),FALSE)</f>
        <v>0</v>
      </c>
      <c r="CI4" s="15" t="b">
        <f>IFERROR(IF(AND(VLOOKUP(CI6,$NW$17:$NX$23,2,0)="Yes",NOT(ISNUMBER(VLOOKUP(DATE($A$2,$A$3+$A$1-1,CI5),HolidayList[Date],1,0)))),TRUE,FALSE),FALSE)</f>
        <v>0</v>
      </c>
      <c r="CJ4" s="15" t="b">
        <f>IFERROR(IF(AND(VLOOKUP(CJ6,$NW$17:$NX$23,2,0)="Yes",NOT(ISNUMBER(VLOOKUP(DATE($A$2,$A$3+$A$1-1,CJ5),HolidayList[Date],1,0)))),TRUE,FALSE),FALSE)</f>
        <v>0</v>
      </c>
      <c r="CK4" s="15" t="b">
        <f>IFERROR(IF(AND(VLOOKUP(CK6,$NW$17:$NX$23,2,0)="Yes",NOT(ISNUMBER(VLOOKUP(DATE($A$2,$A$3+$A$1-1,CK5),HolidayList[Date],1,0)))),TRUE,FALSE),FALSE)</f>
        <v>0</v>
      </c>
      <c r="CL4" s="15" t="b">
        <f>IFERROR(IF(AND(VLOOKUP(CL6,$NW$17:$NX$23,2,0)="Yes",NOT(ISNUMBER(VLOOKUP(DATE($A$2,$A$3+$A$1-1,CL5),HolidayList[Date],1,0)))),TRUE,FALSE),FALSE)</f>
        <v>0</v>
      </c>
      <c r="CM4" s="15" t="b">
        <f>IFERROR(IF(AND(VLOOKUP(CM6,$NW$17:$NX$23,2,0)="Yes",NOT(ISNUMBER(VLOOKUP(DATE($A$2,$A$3+$A$1-1,CM5),HolidayList[Date],1,0)))),TRUE,FALSE),FALSE)</f>
        <v>0</v>
      </c>
      <c r="CN4" s="15" t="b">
        <f>IFERROR(IF(AND(VLOOKUP(CN6,$NW$17:$NX$23,2,0)="Yes",NOT(ISNUMBER(VLOOKUP(DATE($A$2,$A$3+$A$1-1,CN5),HolidayList[Date],1,0)))),TRUE,FALSE),FALSE)</f>
        <v>0</v>
      </c>
      <c r="CO4" s="15" t="b">
        <f>IFERROR(IF(AND(VLOOKUP(CO6,$NW$17:$NX$23,2,0)="Yes",NOT(ISNUMBER(VLOOKUP(DATE($A$2,$A$3+$A$1-1,CO5),HolidayList[Date],1,0)))),TRUE,FALSE),FALSE)</f>
        <v>0</v>
      </c>
      <c r="CP4" s="15" t="b">
        <f>IFERROR(IF(AND(VLOOKUP(CP6,$NW$17:$NX$23,2,0)="Yes",NOT(ISNUMBER(VLOOKUP(DATE($A$2,$A$3+$A$1-1,CP5),HolidayList[Date],1,0)))),TRUE,FALSE),FALSE)</f>
        <v>0</v>
      </c>
      <c r="CQ4" s="15" t="b">
        <f>IFERROR(IF(AND(VLOOKUP(CQ6,$NW$17:$NX$23,2,0)="Yes",NOT(ISNUMBER(VLOOKUP(DATE($A$2,$A$3+$A$1-1,CQ5),HolidayList[Date],1,0)))),TRUE,FALSE),FALSE)</f>
        <v>0</v>
      </c>
      <c r="CR4" s="15" t="b">
        <f>IFERROR(IF(AND(VLOOKUP(CR6,$NW$17:$NX$23,2,0)="Yes",NOT(ISNUMBER(VLOOKUP(DATE($A$2,$A$3+$A$1-1,CR5),HolidayList[Date],1,0)))),TRUE,FALSE),FALSE)</f>
        <v>0</v>
      </c>
      <c r="CS4" s="15" t="b">
        <f>IFERROR(IF(AND(VLOOKUP(CS6,$NW$17:$NX$23,2,0)="Yes",NOT(ISNUMBER(VLOOKUP(DATE($A$2,$A$3+$A$1-1,CS5),HolidayList[Date],1,0)))),TRUE,FALSE),FALSE)</f>
        <v>0</v>
      </c>
      <c r="CT4" s="15" t="b">
        <f>IFERROR(IF(AND(VLOOKUP(CT6,$NW$17:$NX$23,2,0)="Yes",NOT(ISNUMBER(VLOOKUP(DATE($A$2,$A$3+$A$1-1,CT5),HolidayList[Date],1,0)))),TRUE,FALSE),FALSE)</f>
        <v>0</v>
      </c>
      <c r="CU4" s="15" t="b">
        <f>IFERROR(IF(AND(VLOOKUP(CU6,$NW$17:$NX$23,2,0)="Yes",NOT(ISNUMBER(VLOOKUP(DATE($A$2,$A$3+$A$1-1,CU5),HolidayList[Date],1,0)))),TRUE,FALSE),FALSE)</f>
        <v>0</v>
      </c>
      <c r="CV4" s="15" t="b">
        <f>IFERROR(IF(AND(VLOOKUP(CV6,$NW$17:$NX$23,2,0)="Yes",NOT(ISNUMBER(VLOOKUP(DATE($A$2,$A$3+$A$1-1,CV5),HolidayList[Date],1,0)))),TRUE,FALSE),FALSE)</f>
        <v>0</v>
      </c>
      <c r="CW4" s="15" t="b">
        <f>IFERROR(IF(AND(VLOOKUP(CW6,$NW$17:$NX$23,2,0)="Yes",NOT(ISNUMBER(VLOOKUP(DATE($A$2,$A$3+$A$1-1,CW5),HolidayList[Date],1,0)))),TRUE,FALSE),FALSE)</f>
        <v>0</v>
      </c>
      <c r="CX4" s="15" t="b">
        <f>IFERROR(IF(AND(VLOOKUP(CX6,$NW$17:$NX$23,2,0)="Yes",NOT(ISNUMBER(VLOOKUP(DATE($A$2,$A$3+$A$1-1,CX5),HolidayList[Date],1,0)))),TRUE,FALSE),FALSE)</f>
        <v>0</v>
      </c>
      <c r="CY4" s="15" t="b">
        <f>IFERROR(IF(AND(VLOOKUP(CY6,$NW$17:$NX$23,2,0)="Yes",NOT(ISNUMBER(VLOOKUP(DATE($A$2,$A$3+$A$1-1,CY5),HolidayList[Date],1,0)))),TRUE,FALSE),FALSE)</f>
        <v>0</v>
      </c>
      <c r="CZ4" s="15" t="b">
        <f>IFERROR(IF(AND(VLOOKUP(CZ6,$NW$17:$NX$23,2,0)="Yes",NOT(ISNUMBER(VLOOKUP(DATE($A$2,$A$3+$A$1-1,CZ5),HolidayList[Date],1,0)))),TRUE,FALSE),FALSE)</f>
        <v>0</v>
      </c>
      <c r="DA4" s="15" t="b">
        <f>IFERROR(IF(AND(VLOOKUP(DA6,$NW$17:$NX$23,2,0)="Yes",NOT(ISNUMBER(VLOOKUP(DATE($A$2,$A$3+$A$1-1,DA5),HolidayList[Date],1,0)))),TRUE,FALSE),FALSE)</f>
        <v>0</v>
      </c>
      <c r="DB4" s="15" t="b">
        <f>IFERROR(IF(AND(VLOOKUP(DB6,$NW$17:$NX$23,2,0)="Yes",NOT(ISNUMBER(VLOOKUP(DATE($A$2,$A$3+$A$1-1,DB5),HolidayList[Date],1,0)))),TRUE,FALSE),FALSE)</f>
        <v>0</v>
      </c>
      <c r="DC4" s="15" t="b">
        <f>IFERROR(IF(AND(VLOOKUP(DC6,$NW$17:$NX$23,2,0)="Yes",NOT(ISNUMBER(VLOOKUP(DATE($A$2,$A$3+$A$1-1,DC5),HolidayList[Date],1,0)))),TRUE,FALSE),FALSE)</f>
        <v>0</v>
      </c>
      <c r="DD4" s="15" t="b">
        <f>IFERROR(IF(AND(VLOOKUP(DD6,$NW$17:$NX$23,2,0)="Yes",NOT(ISNUMBER(VLOOKUP(DATE($A$2,$A$3+$A$1-1,DD5),HolidayList[Date],1,0)))),TRUE,FALSE),FALSE)</f>
        <v>0</v>
      </c>
      <c r="DE4" s="15" t="b">
        <f>IFERROR(IF(AND(VLOOKUP(DE6,$NW$17:$NX$23,2,0)="Yes",NOT(ISNUMBER(VLOOKUP(DATE($A$2,$A$3+$A$1-1,DE5),HolidayList[Date],1,0)))),TRUE,FALSE),FALSE)</f>
        <v>0</v>
      </c>
      <c r="DF4" s="15" t="b">
        <f>IFERROR(IF(AND(VLOOKUP(DF6,$NW$17:$NX$23,2,0)="Yes",NOT(ISNUMBER(VLOOKUP(DATE($A$2,$A$3+$A$1-1,DF5),HolidayList[Date],1,0)))),TRUE,FALSE),FALSE)</f>
        <v>0</v>
      </c>
      <c r="DG4" s="15" t="b">
        <f>IFERROR(IF(AND(VLOOKUP(DG6,$NW$17:$NX$23,2,0)="Yes",NOT(ISNUMBER(VLOOKUP(DATE($A$2,$A$3+$A$1-1,DG5),HolidayList[Date],1,0)))),TRUE,FALSE),FALSE)</f>
        <v>0</v>
      </c>
      <c r="DH4" s="15" t="b">
        <f>IFERROR(IF(AND(VLOOKUP(DH6,$NW$17:$NX$23,2,0)="Yes",NOT(ISNUMBER(VLOOKUP(DATE($A$2,$A$3+$A$1-1,DH5),HolidayList[Date],1,0)))),TRUE,FALSE),FALSE)</f>
        <v>0</v>
      </c>
      <c r="DI4" s="15" t="b">
        <f>IFERROR(IF(AND(VLOOKUP(DI6,$NW$17:$NX$23,2,0)="Yes",NOT(ISNUMBER(VLOOKUP(DATE($A$2,$A$3+$A$1-1,DI5),HolidayList[Date],1,0)))),TRUE,FALSE),FALSE)</f>
        <v>0</v>
      </c>
      <c r="DJ4" s="15" t="b">
        <f>IFERROR(IF(AND(VLOOKUP(DJ6,$NW$17:$NX$23,2,0)="Yes",NOT(ISNUMBER(VLOOKUP(DATE($A$2,$A$3+$A$1-1,DJ5),HolidayList[Date],1,0)))),TRUE,FALSE),FALSE)</f>
        <v>0</v>
      </c>
      <c r="DK4" s="15" t="b">
        <f>IFERROR(IF(AND(VLOOKUP(DK6,$NW$17:$NX$23,2,0)="Yes",NOT(ISNUMBER(VLOOKUP(DATE($A$2,$A$3+$A$1-1,DK5),HolidayList[Date],1,0)))),TRUE,FALSE),FALSE)</f>
        <v>0</v>
      </c>
      <c r="DL4" s="15" t="b">
        <f>IFERROR(IF(AND(VLOOKUP(DL6,$NW$17:$NX$23,2,0)="Yes",NOT(ISNUMBER(VLOOKUP(DATE($A$2,$A$3+$A$1-1,DL5),HolidayList[Date],1,0)))),TRUE,FALSE),FALSE)</f>
        <v>0</v>
      </c>
      <c r="DM4" s="15" t="b">
        <f>IFERROR(IF(AND(VLOOKUP(DM6,$NW$17:$NX$23,2,0)="Yes",NOT(ISNUMBER(VLOOKUP(DATE($A$2,$A$3+$A$1-1,DM5),HolidayList[Date],1,0)))),TRUE,FALSE),FALSE)</f>
        <v>0</v>
      </c>
      <c r="DN4" s="15" t="b">
        <f>IFERROR(IF(AND(VLOOKUP(DN6,$NW$17:$NX$23,2,0)="Yes",NOT(ISNUMBER(VLOOKUP(DATE($A$2,$A$3+$A$1-1,DN5),HolidayList[Date],1,0)))),TRUE,FALSE),FALSE)</f>
        <v>0</v>
      </c>
      <c r="DO4" s="15" t="b">
        <f>IFERROR(IF(AND(VLOOKUP(DO6,$NW$17:$NX$23,2,0)="Yes",NOT(ISNUMBER(VLOOKUP(DATE($A$2,$A$3+$A$1-1,DO5),HolidayList[Date],1,0)))),TRUE,FALSE),FALSE)</f>
        <v>0</v>
      </c>
      <c r="DP4" s="15" t="b">
        <f>IFERROR(IF(AND(VLOOKUP(DP6,$NW$17:$NX$23,2,0)="Yes",NOT(ISNUMBER(VLOOKUP(DATE($A$2,$A$3+$A$1-1,DP5),HolidayList[Date],1,0)))),TRUE,FALSE),FALSE)</f>
        <v>0</v>
      </c>
      <c r="DQ4" s="15" t="b">
        <f>IFERROR(IF(AND(VLOOKUP(DQ6,$NW$17:$NX$23,2,0)="Yes",NOT(ISNUMBER(VLOOKUP(DATE($A$2,$A$3+$A$1-1,DQ5),HolidayList[Date],1,0)))),TRUE,FALSE),FALSE)</f>
        <v>0</v>
      </c>
      <c r="DR4" s="15" t="b">
        <f>IFERROR(IF(AND(VLOOKUP(DR6,$NW$17:$NX$23,2,0)="Yes",NOT(ISNUMBER(VLOOKUP(DATE($A$2,$A$3+$A$1-1,DR5),HolidayList[Date],1,0)))),TRUE,FALSE),FALSE)</f>
        <v>0</v>
      </c>
      <c r="DS4" s="15" t="b">
        <f>IFERROR(IF(AND(VLOOKUP(DS6,$NW$17:$NX$23,2,0)="Yes",NOT(ISNUMBER(VLOOKUP(DATE($A$2,$A$3+$A$1-1,DS5),HolidayList[Date],1,0)))),TRUE,FALSE),FALSE)</f>
        <v>0</v>
      </c>
      <c r="DT4" s="15" t="b">
        <f>IFERROR(IF(AND(VLOOKUP(DT6,$NW$17:$NX$23,2,0)="Yes",NOT(ISNUMBER(VLOOKUP(DATE($A$2,$A$3+$A$1-1,DT5),HolidayList[Date],1,0)))),TRUE,FALSE),FALSE)</f>
        <v>0</v>
      </c>
      <c r="DU4" s="15" t="b">
        <f>IFERROR(IF(AND(VLOOKUP(DU6,$NW$17:$NX$23,2,0)="Yes",NOT(ISNUMBER(VLOOKUP(DATE($A$2,$A$3+$A$1-1,DU5),HolidayList[Date],1,0)))),TRUE,FALSE),FALSE)</f>
        <v>0</v>
      </c>
      <c r="DV4" s="15" t="b">
        <f>IFERROR(IF(AND(VLOOKUP(DV6,$NW$17:$NX$23,2,0)="Yes",NOT(ISNUMBER(VLOOKUP(DATE($A$2,$A$3+$A$1-1,DV5),HolidayList[Date],1,0)))),TRUE,FALSE),FALSE)</f>
        <v>0</v>
      </c>
      <c r="DW4" s="15" t="b">
        <f>IFERROR(IF(AND(VLOOKUP(DW6,$NW$17:$NX$23,2,0)="Yes",NOT(ISNUMBER(VLOOKUP(DATE($A$2,$A$3+$A$1-1,DW5),HolidayList[Date],1,0)))),TRUE,FALSE),FALSE)</f>
        <v>0</v>
      </c>
      <c r="DX4" s="15" t="b">
        <f>IFERROR(IF(AND(VLOOKUP(DX6,$NW$17:$NX$23,2,0)="Yes",NOT(ISNUMBER(VLOOKUP(DATE($A$2,$A$3+$A$1-1,DX5),HolidayList[Date],1,0)))),TRUE,FALSE),FALSE)</f>
        <v>0</v>
      </c>
      <c r="DY4" s="15" t="b">
        <f>IFERROR(IF(AND(VLOOKUP(DY6,$NW$17:$NX$23,2,0)="Yes",NOT(ISNUMBER(VLOOKUP(DATE($A$2,$A$3+$A$1-1,DY5),HolidayList[Date],1,0)))),TRUE,FALSE),FALSE)</f>
        <v>0</v>
      </c>
      <c r="DZ4" s="15" t="b">
        <f>IFERROR(IF(AND(VLOOKUP(DZ6,$NW$17:$NX$23,2,0)="Yes",NOT(ISNUMBER(VLOOKUP(DATE($A$2,$A$3+$A$1-1,DZ5),HolidayList[Date],1,0)))),TRUE,FALSE),FALSE)</f>
        <v>0</v>
      </c>
      <c r="EA4" s="15" t="b">
        <f>IFERROR(IF(AND(VLOOKUP(EA6,$NW$17:$NX$23,2,0)="Yes",NOT(ISNUMBER(VLOOKUP(DATE($A$2,$A$3+$A$1-1,EA5),HolidayList[Date],1,0)))),TRUE,FALSE),FALSE)</f>
        <v>0</v>
      </c>
      <c r="EB4" s="15" t="b">
        <f>IFERROR(IF(AND(VLOOKUP(EB6,$NW$17:$NX$23,2,0)="Yes",NOT(ISNUMBER(VLOOKUP(DATE($A$2,$A$3+$A$1-1,EB5),HolidayList[Date],1,0)))),TRUE,FALSE),FALSE)</f>
        <v>0</v>
      </c>
      <c r="EC4" s="15" t="b">
        <f>IFERROR(IF(AND(VLOOKUP(EC6,$NW$17:$NX$23,2,0)="Yes",NOT(ISNUMBER(VLOOKUP(DATE($A$2,$A$3+$A$1-1,EC5),HolidayList[Date],1,0)))),TRUE,FALSE),FALSE)</f>
        <v>0</v>
      </c>
      <c r="ED4" s="15" t="b">
        <f>IFERROR(IF(AND(VLOOKUP(ED6,$NW$17:$NX$23,2,0)="Yes",NOT(ISNUMBER(VLOOKUP(DATE($A$2,$A$3+$A$1-1,ED5),HolidayList[Date],1,0)))),TRUE,FALSE),FALSE)</f>
        <v>0</v>
      </c>
      <c r="EE4" s="15" t="b">
        <f>IFERROR(IF(AND(VLOOKUP(EE6,$NW$17:$NX$23,2,0)="Yes",NOT(ISNUMBER(VLOOKUP(DATE($A$2,$A$3+$A$1-1,EE5),HolidayList[Date],1,0)))),TRUE,FALSE),FALSE)</f>
        <v>0</v>
      </c>
      <c r="EF4" s="15" t="b">
        <f>IFERROR(IF(AND(VLOOKUP(EF6,$NW$17:$NX$23,2,0)="Yes",NOT(ISNUMBER(VLOOKUP(DATE($A$2,$A$3+$A$1-1,EF5),HolidayList[Date],1,0)))),TRUE,FALSE),FALSE)</f>
        <v>0</v>
      </c>
      <c r="EG4" s="15" t="b">
        <f>IFERROR(IF(AND(VLOOKUP(EG6,$NW$17:$NX$23,2,0)="Yes",NOT(ISNUMBER(VLOOKUP(DATE($A$2,$A$3+$A$1-1,EG5),HolidayList[Date],1,0)))),TRUE,FALSE),FALSE)</f>
        <v>0</v>
      </c>
      <c r="EH4" s="15" t="b">
        <f>IFERROR(IF(AND(VLOOKUP(EH6,$NW$17:$NX$23,2,0)="Yes",NOT(ISNUMBER(VLOOKUP(DATE($A$2,$A$3+$A$1-1,EH5),HolidayList[Date],1,0)))),TRUE,FALSE),FALSE)</f>
        <v>0</v>
      </c>
      <c r="EI4" s="15" t="b">
        <f>IFERROR(IF(AND(VLOOKUP(EI6,$NW$17:$NX$23,2,0)="Yes",NOT(ISNUMBER(VLOOKUP(DATE($A$2,$A$3+$A$1-1,EI5),HolidayList[Date],1,0)))),TRUE,FALSE),FALSE)</f>
        <v>0</v>
      </c>
      <c r="EJ4" s="15" t="b">
        <f>IFERROR(IF(AND(VLOOKUP(EJ6,$NW$17:$NX$23,2,0)="Yes",NOT(ISNUMBER(VLOOKUP(DATE($A$2,$A$3+$A$1-1,EJ5),HolidayList[Date],1,0)))),TRUE,FALSE),FALSE)</f>
        <v>0</v>
      </c>
      <c r="EK4" s="15" t="b">
        <f>IFERROR(IF(AND(VLOOKUP(EK6,$NW$17:$NX$23,2,0)="Yes",NOT(ISNUMBER(VLOOKUP(DATE($A$2,$A$3+$A$1-1,EK5),HolidayList[Date],1,0)))),TRUE,FALSE),FALSE)</f>
        <v>0</v>
      </c>
      <c r="EL4" s="15" t="b">
        <f>IFERROR(IF(AND(VLOOKUP(EL6,$NW$17:$NX$23,2,0)="Yes",NOT(ISNUMBER(VLOOKUP(DATE($A$2,$A$3+$A$1-1,EL5),HolidayList[Date],1,0)))),TRUE,FALSE),FALSE)</f>
        <v>0</v>
      </c>
      <c r="EM4" s="15" t="b">
        <f>IFERROR(IF(AND(VLOOKUP(EM6,$NW$17:$NX$23,2,0)="Yes",NOT(ISNUMBER(VLOOKUP(DATE($A$2,$A$3+$A$1-1,EM5),HolidayList[Date],1,0)))),TRUE,FALSE),FALSE)</f>
        <v>0</v>
      </c>
      <c r="EN4" s="15" t="b">
        <f>IFERROR(IF(AND(VLOOKUP(EN6,$NW$17:$NX$23,2,0)="Yes",NOT(ISNUMBER(VLOOKUP(DATE($A$2,$A$3+$A$1-1,EN5),HolidayList[Date],1,0)))),TRUE,FALSE),FALSE)</f>
        <v>0</v>
      </c>
      <c r="EO4" s="15" t="b">
        <f>IFERROR(IF(AND(VLOOKUP(EO6,$NW$17:$NX$23,2,0)="Yes",NOT(ISNUMBER(VLOOKUP(DATE($A$2,$A$3+$A$1-1,EO5),HolidayList[Date],1,0)))),TRUE,FALSE),FALSE)</f>
        <v>0</v>
      </c>
      <c r="EP4" s="15" t="b">
        <f>IFERROR(IF(AND(VLOOKUP(EP6,$NW$17:$NX$23,2,0)="Yes",NOT(ISNUMBER(VLOOKUP(DATE($A$2,$A$3+$A$1-1,EP5),HolidayList[Date],1,0)))),TRUE,FALSE),FALSE)</f>
        <v>0</v>
      </c>
      <c r="EQ4" s="15" t="b">
        <f>IFERROR(IF(AND(VLOOKUP(EQ6,$NW$17:$NX$23,2,0)="Yes",NOT(ISNUMBER(VLOOKUP(DATE($A$2,$A$3+$A$1-1,EQ5),HolidayList[Date],1,0)))),TRUE,FALSE),FALSE)</f>
        <v>0</v>
      </c>
      <c r="ER4" s="15" t="b">
        <f>IFERROR(IF(AND(VLOOKUP(ER6,$NW$17:$NX$23,2,0)="Yes",NOT(ISNUMBER(VLOOKUP(DATE($A$2,$A$3+$A$1-1,ER5),HolidayList[Date],1,0)))),TRUE,FALSE),FALSE)</f>
        <v>0</v>
      </c>
      <c r="ES4" s="15" t="b">
        <f>IFERROR(IF(AND(VLOOKUP(ES6,$NW$17:$NX$23,2,0)="Yes",NOT(ISNUMBER(VLOOKUP(DATE($A$2,$A$3+$A$1-1,ES5),HolidayList[Date],1,0)))),TRUE,FALSE),FALSE)</f>
        <v>0</v>
      </c>
      <c r="ET4" s="15" t="b">
        <f>IFERROR(IF(AND(VLOOKUP(ET6,$NW$17:$NX$23,2,0)="Yes",NOT(ISNUMBER(VLOOKUP(DATE($A$2,$A$3+$A$1-1,ET5),HolidayList[Date],1,0)))),TRUE,FALSE),FALSE)</f>
        <v>0</v>
      </c>
      <c r="EU4" s="15" t="b">
        <f>IFERROR(IF(AND(VLOOKUP(EU6,$NW$17:$NX$23,2,0)="Yes",NOT(ISNUMBER(VLOOKUP(DATE($A$2,$A$3+$A$1-1,EU5),HolidayList[Date],1,0)))),TRUE,FALSE),FALSE)</f>
        <v>0</v>
      </c>
      <c r="EV4" s="15" t="b">
        <f>IFERROR(IF(AND(VLOOKUP(EV6,$NW$17:$NX$23,2,0)="Yes",NOT(ISNUMBER(VLOOKUP(DATE($A$2,$A$3+$A$1-1,EV5),HolidayList[Date],1,0)))),TRUE,FALSE),FALSE)</f>
        <v>0</v>
      </c>
      <c r="EW4" s="15" t="b">
        <f>IFERROR(IF(AND(VLOOKUP(EW6,$NW$17:$NX$23,2,0)="Yes",NOT(ISNUMBER(VLOOKUP(DATE($A$2,$A$3+$A$1-1,EW5),HolidayList[Date],1,0)))),TRUE,FALSE),FALSE)</f>
        <v>0</v>
      </c>
      <c r="EX4" s="15" t="b">
        <f>IFERROR(IF(AND(VLOOKUP(EX6,$NW$17:$NX$23,2,0)="Yes",NOT(ISNUMBER(VLOOKUP(DATE($A$2,$A$3+$A$1-1,EX5),HolidayList[Date],1,0)))),TRUE,FALSE),FALSE)</f>
        <v>0</v>
      </c>
      <c r="EY4" s="15" t="b">
        <f>IFERROR(IF(AND(VLOOKUP(EY6,$NW$17:$NX$23,2,0)="Yes",NOT(ISNUMBER(VLOOKUP(DATE($A$2,$A$3+$A$1-1,EY5),HolidayList[Date],1,0)))),TRUE,FALSE),FALSE)</f>
        <v>0</v>
      </c>
      <c r="EZ4" s="15" t="b">
        <f>IFERROR(IF(AND(VLOOKUP(EZ6,$NW$17:$NX$23,2,0)="Yes",NOT(ISNUMBER(VLOOKUP(DATE($A$2,$A$3+$A$1-1,EZ5),HolidayList[Date],1,0)))),TRUE,FALSE),FALSE)</f>
        <v>0</v>
      </c>
      <c r="FA4" s="15" t="b">
        <f>IFERROR(IF(AND(VLOOKUP(FA6,$NW$17:$NX$23,2,0)="Yes",NOT(ISNUMBER(VLOOKUP(DATE($A$2,$A$3+$A$1-1,FA5),HolidayList[Date],1,0)))),TRUE,FALSE),FALSE)</f>
        <v>0</v>
      </c>
      <c r="FB4" s="15" t="b">
        <f>IFERROR(IF(AND(VLOOKUP(FB6,$NW$17:$NX$23,2,0)="Yes",NOT(ISNUMBER(VLOOKUP(DATE($A$2,$A$3+$A$1-1,FB5),HolidayList[Date],1,0)))),TRUE,FALSE),FALSE)</f>
        <v>0</v>
      </c>
      <c r="FC4" s="15" t="b">
        <f>IFERROR(IF(AND(VLOOKUP(FC6,$NW$17:$NX$23,2,0)="Yes",NOT(ISNUMBER(VLOOKUP(DATE($A$2,$A$3+$A$1-1,FC5),HolidayList[Date],1,0)))),TRUE,FALSE),FALSE)</f>
        <v>0</v>
      </c>
      <c r="FD4" s="15" t="b">
        <f>IFERROR(IF(AND(VLOOKUP(FD6,$NW$17:$NX$23,2,0)="Yes",NOT(ISNUMBER(VLOOKUP(DATE($A$2,$A$3+$A$1-1,FD5),HolidayList[Date],1,0)))),TRUE,FALSE),FALSE)</f>
        <v>0</v>
      </c>
      <c r="FE4" s="15" t="b">
        <f>IFERROR(IF(AND(VLOOKUP(FE6,$NW$17:$NX$23,2,0)="Yes",NOT(ISNUMBER(VLOOKUP(DATE($A$2,$A$3+$A$1-1,FE5),HolidayList[Date],1,0)))),TRUE,FALSE),FALSE)</f>
        <v>0</v>
      </c>
      <c r="FF4" s="15" t="b">
        <f>IFERROR(IF(AND(VLOOKUP(FF6,$NW$17:$NX$23,2,0)="Yes",NOT(ISNUMBER(VLOOKUP(DATE($A$2,$A$3+$A$1-1,FF5),HolidayList[Date],1,0)))),TRUE,FALSE),FALSE)</f>
        <v>0</v>
      </c>
      <c r="FG4" s="15" t="b">
        <f>IFERROR(IF(AND(VLOOKUP(FG6,$NW$17:$NX$23,2,0)="Yes",NOT(ISNUMBER(VLOOKUP(DATE($A$2,$A$3+$A$1-1,FG5),HolidayList[Date],1,0)))),TRUE,FALSE),FALSE)</f>
        <v>0</v>
      </c>
      <c r="FH4" s="15" t="b">
        <f>IFERROR(IF(AND(VLOOKUP(FH6,$NW$17:$NX$23,2,0)="Yes",NOT(ISNUMBER(VLOOKUP(DATE($A$2,$A$3+$A$1-1,FH5),HolidayList[Date],1,0)))),TRUE,FALSE),FALSE)</f>
        <v>0</v>
      </c>
      <c r="FI4" s="15" t="b">
        <f>IFERROR(IF(AND(VLOOKUP(FI6,$NW$17:$NX$23,2,0)="Yes",NOT(ISNUMBER(VLOOKUP(DATE($A$2,$A$3+$A$1-1,FI5),HolidayList[Date],1,0)))),TRUE,FALSE),FALSE)</f>
        <v>0</v>
      </c>
      <c r="FJ4" s="15" t="b">
        <f>IFERROR(IF(AND(VLOOKUP(FJ6,$NW$17:$NX$23,2,0)="Yes",NOT(ISNUMBER(VLOOKUP(DATE($A$2,$A$3+$A$1-1,FJ5),HolidayList[Date],1,0)))),TRUE,FALSE),FALSE)</f>
        <v>0</v>
      </c>
      <c r="FK4" s="15" t="b">
        <f>IFERROR(IF(AND(VLOOKUP(FK6,$NW$17:$NX$23,2,0)="Yes",NOT(ISNUMBER(VLOOKUP(DATE($A$2,$A$3+$A$1-1,FK5),HolidayList[Date],1,0)))),TRUE,FALSE),FALSE)</f>
        <v>0</v>
      </c>
      <c r="FL4" s="15" t="b">
        <f>IFERROR(IF(AND(VLOOKUP(FL6,$NW$17:$NX$23,2,0)="Yes",NOT(ISNUMBER(VLOOKUP(DATE($A$2,$A$3+$A$1-1,FL5),HolidayList[Date],1,0)))),TRUE,FALSE),FALSE)</f>
        <v>0</v>
      </c>
      <c r="FM4" s="15" t="b">
        <f>IFERROR(IF(AND(VLOOKUP(FM6,$NW$17:$NX$23,2,0)="Yes",NOT(ISNUMBER(VLOOKUP(DATE($A$2,$A$3+$A$1-1,FM5),HolidayList[Date],1,0)))),TRUE,FALSE),FALSE)</f>
        <v>0</v>
      </c>
      <c r="FN4" s="15" t="b">
        <f>IFERROR(IF(AND(VLOOKUP(FN6,$NW$17:$NX$23,2,0)="Yes",NOT(ISNUMBER(VLOOKUP(DATE($A$2,$A$3+$A$1-1,FN5),HolidayList[Date],1,0)))),TRUE,FALSE),FALSE)</f>
        <v>0</v>
      </c>
      <c r="FO4" s="15" t="b">
        <f>IFERROR(IF(AND(VLOOKUP(FO6,$NW$17:$NX$23,2,0)="Yes",NOT(ISNUMBER(VLOOKUP(DATE($A$2,$A$3+$A$1-1,FO5),HolidayList[Date],1,0)))),TRUE,FALSE),FALSE)</f>
        <v>0</v>
      </c>
      <c r="FP4" s="15" t="b">
        <f>IFERROR(IF(AND(VLOOKUP(FP6,$NW$17:$NX$23,2,0)="Yes",NOT(ISNUMBER(VLOOKUP(DATE($A$2,$A$3+$A$1-1,FP5),HolidayList[Date],1,0)))),TRUE,FALSE),FALSE)</f>
        <v>0</v>
      </c>
      <c r="FQ4" s="15" t="b">
        <f>IFERROR(IF(AND(VLOOKUP(FQ6,$NW$17:$NX$23,2,0)="Yes",NOT(ISNUMBER(VLOOKUP(DATE($A$2,$A$3+$A$1-1,FQ5),HolidayList[Date],1,0)))),TRUE,FALSE),FALSE)</f>
        <v>0</v>
      </c>
      <c r="FR4" s="15" t="b">
        <f>IFERROR(IF(AND(VLOOKUP(FR6,$NW$17:$NX$23,2,0)="Yes",NOT(ISNUMBER(VLOOKUP(DATE($A$2,$A$3+$A$1-1,FR5),HolidayList[Date],1,0)))),TRUE,FALSE),FALSE)</f>
        <v>0</v>
      </c>
      <c r="FS4" s="15" t="b">
        <f>IFERROR(IF(AND(VLOOKUP(FS6,$NW$17:$NX$23,2,0)="Yes",NOT(ISNUMBER(VLOOKUP(DATE($A$2,$A$3+$A$1-1,FS5),HolidayList[Date],1,0)))),TRUE,FALSE),FALSE)</f>
        <v>0</v>
      </c>
      <c r="FT4" s="15" t="b">
        <f>IFERROR(IF(AND(VLOOKUP(FT6,$NW$17:$NX$23,2,0)="Yes",NOT(ISNUMBER(VLOOKUP(DATE($A$2,$A$3+$A$1-1,FT5),HolidayList[Date],1,0)))),TRUE,FALSE),FALSE)</f>
        <v>0</v>
      </c>
      <c r="FU4" s="15" t="b">
        <f>IFERROR(IF(AND(VLOOKUP(FU6,$NW$17:$NX$23,2,0)="Yes",NOT(ISNUMBER(VLOOKUP(DATE($A$2,$A$3+$A$1-1,FU5),HolidayList[Date],1,0)))),TRUE,FALSE),FALSE)</f>
        <v>0</v>
      </c>
      <c r="FV4" s="15" t="b">
        <f>IFERROR(IF(AND(VLOOKUP(FV6,$NW$17:$NX$23,2,0)="Yes",NOT(ISNUMBER(VLOOKUP(DATE($A$2,$A$3+$A$1-1,FV5),HolidayList[Date],1,0)))),TRUE,FALSE),FALSE)</f>
        <v>0</v>
      </c>
      <c r="FW4" s="15" t="b">
        <f>IFERROR(IF(AND(VLOOKUP(FW6,$NW$17:$NX$23,2,0)="Yes",NOT(ISNUMBER(VLOOKUP(DATE($A$2,$A$3+$A$1-1,FW5),HolidayList[Date],1,0)))),TRUE,FALSE),FALSE)</f>
        <v>0</v>
      </c>
      <c r="FX4" s="15" t="b">
        <f>IFERROR(IF(AND(VLOOKUP(FX6,$NW$17:$NX$23,2,0)="Yes",NOT(ISNUMBER(VLOOKUP(DATE($A$2,$A$3+$A$1-1,FX5),HolidayList[Date],1,0)))),TRUE,FALSE),FALSE)</f>
        <v>0</v>
      </c>
      <c r="FY4" s="15" t="b">
        <f>IFERROR(IF(AND(VLOOKUP(FY6,$NW$17:$NX$23,2,0)="Yes",NOT(ISNUMBER(VLOOKUP(DATE($A$2,$A$3+$A$1-1,FY5),HolidayList[Date],1,0)))),TRUE,FALSE),FALSE)</f>
        <v>0</v>
      </c>
      <c r="FZ4" s="15" t="b">
        <f>IFERROR(IF(AND(VLOOKUP(FZ6,$NW$17:$NX$23,2,0)="Yes",NOT(ISNUMBER(VLOOKUP(DATE($A$2,$A$3+$A$1-1,FZ5),HolidayList[Date],1,0)))),TRUE,FALSE),FALSE)</f>
        <v>0</v>
      </c>
      <c r="GA4" s="15" t="b">
        <f>IFERROR(IF(AND(VLOOKUP(GA6,$NW$17:$NX$23,2,0)="Yes",NOT(ISNUMBER(VLOOKUP(DATE($A$2,$A$3+$A$1-1,GA5),HolidayList[Date],1,0)))),TRUE,FALSE),FALSE)</f>
        <v>0</v>
      </c>
      <c r="GB4" s="15" t="b">
        <f>IFERROR(IF(AND(VLOOKUP(GB6,$NW$17:$NX$23,2,0)="Yes",NOT(ISNUMBER(VLOOKUP(DATE($A$2,$A$3+$A$1-1,GB5),HolidayList[Date],1,0)))),TRUE,FALSE),FALSE)</f>
        <v>0</v>
      </c>
      <c r="GC4" s="15" t="b">
        <f>IFERROR(IF(AND(VLOOKUP(GC6,$NW$17:$NX$23,2,0)="Yes",NOT(ISNUMBER(VLOOKUP(DATE($A$2,$A$3+$A$1-1,GC5),HolidayList[Date],1,0)))),TRUE,FALSE),FALSE)</f>
        <v>0</v>
      </c>
      <c r="GD4" s="15" t="b">
        <f>IFERROR(IF(AND(VLOOKUP(GD6,$NW$17:$NX$23,2,0)="Yes",NOT(ISNUMBER(VLOOKUP(DATE($A$2,$A$3+$A$1-1,GD5),HolidayList[Date],1,0)))),TRUE,FALSE),FALSE)</f>
        <v>0</v>
      </c>
      <c r="GE4" s="15" t="b">
        <f>IFERROR(IF(AND(VLOOKUP(GE6,$NW$17:$NX$23,2,0)="Yes",NOT(ISNUMBER(VLOOKUP(DATE($A$2,$A$3+$A$1-1,GE5),HolidayList[Date],1,0)))),TRUE,FALSE),FALSE)</f>
        <v>0</v>
      </c>
      <c r="GF4" s="15" t="b">
        <f>IFERROR(IF(AND(VLOOKUP(GF6,$NW$17:$NX$23,2,0)="Yes",NOT(ISNUMBER(VLOOKUP(DATE($A$2,$A$3+$A$1-1,GF5),HolidayList[Date],1,0)))),TRUE,FALSE),FALSE)</f>
        <v>0</v>
      </c>
      <c r="GG4" s="15" t="b">
        <f>IFERROR(IF(AND(VLOOKUP(GG6,$NW$17:$NX$23,2,0)="Yes",NOT(ISNUMBER(VLOOKUP(DATE($A$2,$A$3+$A$1-1,GG5),HolidayList[Date],1,0)))),TRUE,FALSE),FALSE)</f>
        <v>0</v>
      </c>
      <c r="GH4" s="15" t="b">
        <f>IFERROR(IF(AND(VLOOKUP(GH6,$NW$17:$NX$23,2,0)="Yes",NOT(ISNUMBER(VLOOKUP(DATE($A$2,$A$3+$A$1-1,GH5),HolidayList[Date],1,0)))),TRUE,FALSE),FALSE)</f>
        <v>0</v>
      </c>
      <c r="GI4" s="15" t="b">
        <f>IFERROR(IF(AND(VLOOKUP(GI6,$NW$17:$NX$23,2,0)="Yes",NOT(ISNUMBER(VLOOKUP(DATE($A$2,$A$3+$A$1-1,GI5),HolidayList[Date],1,0)))),TRUE,FALSE),FALSE)</f>
        <v>0</v>
      </c>
      <c r="GJ4" s="15" t="b">
        <f>IFERROR(IF(AND(VLOOKUP(GJ6,$NW$17:$NX$23,2,0)="Yes",NOT(ISNUMBER(VLOOKUP(DATE($A$2,$A$3+$A$1-1,GJ5),HolidayList[Date],1,0)))),TRUE,FALSE),FALSE)</f>
        <v>0</v>
      </c>
      <c r="GK4" s="15" t="b">
        <f>IFERROR(IF(AND(VLOOKUP(GK6,$NW$17:$NX$23,2,0)="Yes",NOT(ISNUMBER(VLOOKUP(DATE($A$2,$A$3+$A$1-1,GK5),HolidayList[Date],1,0)))),TRUE,FALSE),FALSE)</f>
        <v>0</v>
      </c>
      <c r="GL4" s="15" t="b">
        <f>IFERROR(IF(AND(VLOOKUP(GL6,$NW$17:$NX$23,2,0)="Yes",NOT(ISNUMBER(VLOOKUP(DATE($A$2,$A$3+$A$1-1,GL5),HolidayList[Date],1,0)))),TRUE,FALSE),FALSE)</f>
        <v>0</v>
      </c>
      <c r="GM4" s="15" t="b">
        <f>IFERROR(IF(AND(VLOOKUP(GM6,$NW$17:$NX$23,2,0)="Yes",NOT(ISNUMBER(VLOOKUP(DATE($A$2,$A$3+$A$1-1,GM5),HolidayList[Date],1,0)))),TRUE,FALSE),FALSE)</f>
        <v>0</v>
      </c>
      <c r="GN4" s="15" t="b">
        <f>IFERROR(IF(AND(VLOOKUP(GN6,$NW$17:$NX$23,2,0)="Yes",NOT(ISNUMBER(VLOOKUP(DATE($A$2,$A$3+$A$1-1,GN5),HolidayList[Date],1,0)))),TRUE,FALSE),FALSE)</f>
        <v>0</v>
      </c>
      <c r="GO4" s="15" t="b">
        <f>IFERROR(IF(AND(VLOOKUP(GO6,$NW$17:$NX$23,2,0)="Yes",NOT(ISNUMBER(VLOOKUP(DATE($A$2,$A$3+$A$1-1,GO5),HolidayList[Date],1,0)))),TRUE,FALSE),FALSE)</f>
        <v>0</v>
      </c>
      <c r="GP4" s="15" t="b">
        <f>IFERROR(IF(AND(VLOOKUP(GP6,$NW$17:$NX$23,2,0)="Yes",NOT(ISNUMBER(VLOOKUP(DATE($A$2,$A$3+$A$1-1,GP5),HolidayList[Date],1,0)))),TRUE,FALSE),FALSE)</f>
        <v>0</v>
      </c>
      <c r="GQ4" s="15" t="b">
        <f>IFERROR(IF(AND(VLOOKUP(GQ6,$NW$17:$NX$23,2,0)="Yes",NOT(ISNUMBER(VLOOKUP(DATE($A$2,$A$3+$A$1-1,GQ5),HolidayList[Date],1,0)))),TRUE,FALSE),FALSE)</f>
        <v>0</v>
      </c>
      <c r="GR4" s="15" t="b">
        <f>IFERROR(IF(AND(VLOOKUP(GR6,$NW$17:$NX$23,2,0)="Yes",NOT(ISNUMBER(VLOOKUP(DATE($A$2,$A$3+$A$1-1,GR5),HolidayList[Date],1,0)))),TRUE,FALSE),FALSE)</f>
        <v>0</v>
      </c>
      <c r="GS4" s="15" t="b">
        <f>IFERROR(IF(AND(VLOOKUP(GS6,$NW$17:$NX$23,2,0)="Yes",NOT(ISNUMBER(VLOOKUP(DATE($A$2,$A$3+$A$1-1,GS5),HolidayList[Date],1,0)))),TRUE,FALSE),FALSE)</f>
        <v>0</v>
      </c>
      <c r="GT4" s="15" t="b">
        <f>IFERROR(IF(AND(VLOOKUP(GT6,$NW$17:$NX$23,2,0)="Yes",NOT(ISNUMBER(VLOOKUP(DATE($A$2,$A$3+$A$1-1,GT5),HolidayList[Date],1,0)))),TRUE,FALSE),FALSE)</f>
        <v>0</v>
      </c>
      <c r="GU4" s="15" t="b">
        <f>IFERROR(IF(AND(VLOOKUP(GU6,$NW$17:$NX$23,2,0)="Yes",NOT(ISNUMBER(VLOOKUP(DATE($A$2,$A$3+$A$1-1,GU5),HolidayList[Date],1,0)))),TRUE,FALSE),FALSE)</f>
        <v>0</v>
      </c>
      <c r="GV4" s="15" t="b">
        <f>IFERROR(IF(AND(VLOOKUP(GV6,$NW$17:$NX$23,2,0)="Yes",NOT(ISNUMBER(VLOOKUP(DATE($A$2,$A$3+$A$1-1,GV5),HolidayList[Date],1,0)))),TRUE,FALSE),FALSE)</f>
        <v>0</v>
      </c>
      <c r="GW4" s="15" t="b">
        <f>IFERROR(IF(AND(VLOOKUP(GW6,$NW$17:$NX$23,2,0)="Yes",NOT(ISNUMBER(VLOOKUP(DATE($A$2,$A$3+$A$1-1,GW5),HolidayList[Date],1,0)))),TRUE,FALSE),FALSE)</f>
        <v>0</v>
      </c>
      <c r="GX4" s="15" t="b">
        <f>IFERROR(IF(AND(VLOOKUP(GX6,$NW$17:$NX$23,2,0)="Yes",NOT(ISNUMBER(VLOOKUP(DATE($A$2,$A$3+$A$1-1,GX5),HolidayList[Date],1,0)))),TRUE,FALSE),FALSE)</f>
        <v>0</v>
      </c>
      <c r="GY4" s="15" t="b">
        <f>IFERROR(IF(AND(VLOOKUP(GY6,$NW$17:$NX$23,2,0)="Yes",NOT(ISNUMBER(VLOOKUP(DATE($A$2,$A$3+$A$1-1,GY5),HolidayList[Date],1,0)))),TRUE,FALSE),FALSE)</f>
        <v>0</v>
      </c>
      <c r="GZ4" s="15" t="b">
        <f>IFERROR(IF(AND(VLOOKUP(GZ6,$NW$17:$NX$23,2,0)="Yes",NOT(ISNUMBER(VLOOKUP(DATE($A$2,$A$3+$A$1-1,GZ5),HolidayList[Date],1,0)))),TRUE,FALSE),FALSE)</f>
        <v>0</v>
      </c>
      <c r="HA4" s="15" t="b">
        <f>IFERROR(IF(AND(VLOOKUP(HA6,$NW$17:$NX$23,2,0)="Yes",NOT(ISNUMBER(VLOOKUP(DATE($A$2,$A$3+$A$1-1,HA5),HolidayList[Date],1,0)))),TRUE,FALSE),FALSE)</f>
        <v>0</v>
      </c>
      <c r="HB4" s="15" t="b">
        <f>IFERROR(IF(AND(VLOOKUP(HB6,$NW$17:$NX$23,2,0)="Yes",NOT(ISNUMBER(VLOOKUP(DATE($A$2,$A$3+$A$1-1,HB5),HolidayList[Date],1,0)))),TRUE,FALSE),FALSE)</f>
        <v>0</v>
      </c>
      <c r="HC4" s="15" t="b">
        <f>IFERROR(IF(AND(VLOOKUP(HC6,$NW$17:$NX$23,2,0)="Yes",NOT(ISNUMBER(VLOOKUP(DATE($A$2,$A$3+$A$1-1,HC5),HolidayList[Date],1,0)))),TRUE,FALSE),FALSE)</f>
        <v>0</v>
      </c>
      <c r="HD4" s="15" t="b">
        <f>IFERROR(IF(AND(VLOOKUP(HD6,$NW$17:$NX$23,2,0)="Yes",NOT(ISNUMBER(VLOOKUP(DATE($A$2,$A$3+$A$1-1,HD5),HolidayList[Date],1,0)))),TRUE,FALSE),FALSE)</f>
        <v>0</v>
      </c>
      <c r="HE4" s="15" t="b">
        <f>IFERROR(IF(AND(VLOOKUP(HE6,$NW$17:$NX$23,2,0)="Yes",NOT(ISNUMBER(VLOOKUP(DATE($A$2,$A$3+$A$1-1,HE5),HolidayList[Date],1,0)))),TRUE,FALSE),FALSE)</f>
        <v>0</v>
      </c>
      <c r="HF4" s="15" t="b">
        <f>IFERROR(IF(AND(VLOOKUP(HF6,$NW$17:$NX$23,2,0)="Yes",NOT(ISNUMBER(VLOOKUP(DATE($A$2,$A$3+$A$1-1,HF5),HolidayList[Date],1,0)))),TRUE,FALSE),FALSE)</f>
        <v>0</v>
      </c>
      <c r="HG4" s="15" t="b">
        <f>IFERROR(IF(AND(VLOOKUP(HG6,$NW$17:$NX$23,2,0)="Yes",NOT(ISNUMBER(VLOOKUP(DATE($A$2,$A$3+$A$1-1,HG5),HolidayList[Date],1,0)))),TRUE,FALSE),FALSE)</f>
        <v>0</v>
      </c>
      <c r="HH4" s="15" t="b">
        <f>IFERROR(IF(AND(VLOOKUP(HH6,$NW$17:$NX$23,2,0)="Yes",NOT(ISNUMBER(VLOOKUP(DATE($A$2,$A$3+$A$1-1,HH5),HolidayList[Date],1,0)))),TRUE,FALSE),FALSE)</f>
        <v>0</v>
      </c>
      <c r="HI4" s="15" t="b">
        <f>IFERROR(IF(AND(VLOOKUP(HI6,$NW$17:$NX$23,2,0)="Yes",NOT(ISNUMBER(VLOOKUP(DATE($A$2,$A$3+$A$1-1,HI5),HolidayList[Date],1,0)))),TRUE,FALSE),FALSE)</f>
        <v>0</v>
      </c>
      <c r="HJ4" s="15" t="b">
        <f>IFERROR(IF(AND(VLOOKUP(HJ6,$NW$17:$NX$23,2,0)="Yes",NOT(ISNUMBER(VLOOKUP(DATE($A$2,$A$3+$A$1-1,HJ5),HolidayList[Date],1,0)))),TRUE,FALSE),FALSE)</f>
        <v>0</v>
      </c>
      <c r="HK4" s="15" t="b">
        <f>IFERROR(IF(AND(VLOOKUP(HK6,$NW$17:$NX$23,2,0)="Yes",NOT(ISNUMBER(VLOOKUP(DATE($A$2,$A$3+$A$1-1,HK5),HolidayList[Date],1,0)))),TRUE,FALSE),FALSE)</f>
        <v>0</v>
      </c>
      <c r="HL4" s="15" t="b">
        <f>IFERROR(IF(AND(VLOOKUP(HL6,$NW$17:$NX$23,2,0)="Yes",NOT(ISNUMBER(VLOOKUP(DATE($A$2,$A$3+$A$1-1,HL5),HolidayList[Date],1,0)))),TRUE,FALSE),FALSE)</f>
        <v>0</v>
      </c>
      <c r="HM4" s="15" t="b">
        <f>IFERROR(IF(AND(VLOOKUP(HM6,$NW$17:$NX$23,2,0)="Yes",NOT(ISNUMBER(VLOOKUP(DATE($A$2,$A$3+$A$1-1,HM5),HolidayList[Date],1,0)))),TRUE,FALSE),FALSE)</f>
        <v>0</v>
      </c>
      <c r="HN4" s="15" t="b">
        <f>IFERROR(IF(AND(VLOOKUP(HN6,$NW$17:$NX$23,2,0)="Yes",NOT(ISNUMBER(VLOOKUP(DATE($A$2,$A$3+$A$1-1,HN5),HolidayList[Date],1,0)))),TRUE,FALSE),FALSE)</f>
        <v>0</v>
      </c>
      <c r="HO4" s="15" t="b">
        <f>IFERROR(IF(AND(VLOOKUP(HO6,$NW$17:$NX$23,2,0)="Yes",NOT(ISNUMBER(VLOOKUP(DATE($A$2,$A$3+$A$1-1,HO5),HolidayList[Date],1,0)))),TRUE,FALSE),FALSE)</f>
        <v>0</v>
      </c>
      <c r="HP4" s="15" t="b">
        <f>IFERROR(IF(AND(VLOOKUP(HP6,$NW$17:$NX$23,2,0)="Yes",NOT(ISNUMBER(VLOOKUP(DATE($A$2,$A$3+$A$1-1,HP5),HolidayList[Date],1,0)))),TRUE,FALSE),FALSE)</f>
        <v>0</v>
      </c>
      <c r="HQ4" s="15" t="b">
        <f>IFERROR(IF(AND(VLOOKUP(HQ6,$NW$17:$NX$23,2,0)="Yes",NOT(ISNUMBER(VLOOKUP(DATE($A$2,$A$3+$A$1-1,HQ5),HolidayList[Date],1,0)))),TRUE,FALSE),FALSE)</f>
        <v>0</v>
      </c>
      <c r="HR4" s="15" t="b">
        <f>IFERROR(IF(AND(VLOOKUP(HR6,$NW$17:$NX$23,2,0)="Yes",NOT(ISNUMBER(VLOOKUP(DATE($A$2,$A$3+$A$1-1,HR5),HolidayList[Date],1,0)))),TRUE,FALSE),FALSE)</f>
        <v>0</v>
      </c>
      <c r="HS4" s="15" t="b">
        <f>IFERROR(IF(AND(VLOOKUP(HS6,$NW$17:$NX$23,2,0)="Yes",NOT(ISNUMBER(VLOOKUP(DATE($A$2,$A$3+$A$1-1,HS5),HolidayList[Date],1,0)))),TRUE,FALSE),FALSE)</f>
        <v>0</v>
      </c>
      <c r="HT4" s="15" t="b">
        <f>IFERROR(IF(AND(VLOOKUP(HT6,$NW$17:$NX$23,2,0)="Yes",NOT(ISNUMBER(VLOOKUP(DATE($A$2,$A$3+$A$1-1,HT5),HolidayList[Date],1,0)))),TRUE,FALSE),FALSE)</f>
        <v>0</v>
      </c>
      <c r="HU4" s="15" t="b">
        <f>IFERROR(IF(AND(VLOOKUP(HU6,$NW$17:$NX$23,2,0)="Yes",NOT(ISNUMBER(VLOOKUP(DATE($A$2,$A$3+$A$1-1,HU5),HolidayList[Date],1,0)))),TRUE,FALSE),FALSE)</f>
        <v>0</v>
      </c>
      <c r="HV4" s="15" t="b">
        <f>IFERROR(IF(AND(VLOOKUP(HV6,$NW$17:$NX$23,2,0)="Yes",NOT(ISNUMBER(VLOOKUP(DATE($A$2,$A$3+$A$1-1,HV5),HolidayList[Date],1,0)))),TRUE,FALSE),FALSE)</f>
        <v>0</v>
      </c>
      <c r="HW4" s="15" t="b">
        <f>IFERROR(IF(AND(VLOOKUP(HW6,$NW$17:$NX$23,2,0)="Yes",NOT(ISNUMBER(VLOOKUP(DATE($A$2,$A$3+$A$1-1,HW5),HolidayList[Date],1,0)))),TRUE,FALSE),FALSE)</f>
        <v>0</v>
      </c>
      <c r="HX4" s="15" t="b">
        <f>IFERROR(IF(AND(VLOOKUP(HX6,$NW$17:$NX$23,2,0)="Yes",NOT(ISNUMBER(VLOOKUP(DATE($A$2,$A$3+$A$1-1,HX5),HolidayList[Date],1,0)))),TRUE,FALSE),FALSE)</f>
        <v>0</v>
      </c>
      <c r="HY4" s="15" t="b">
        <f>IFERROR(IF(AND(VLOOKUP(HY6,$NW$17:$NX$23,2,0)="Yes",NOT(ISNUMBER(VLOOKUP(DATE($A$2,$A$3+$A$1-1,HY5),HolidayList[Date],1,0)))),TRUE,FALSE),FALSE)</f>
        <v>0</v>
      </c>
      <c r="HZ4" s="15" t="b">
        <f>IFERROR(IF(AND(VLOOKUP(HZ6,$NW$17:$NX$23,2,0)="Yes",NOT(ISNUMBER(VLOOKUP(DATE($A$2,$A$3+$A$1-1,HZ5),HolidayList[Date],1,0)))),TRUE,FALSE),FALSE)</f>
        <v>0</v>
      </c>
      <c r="IA4" s="15" t="b">
        <f>IFERROR(IF(AND(VLOOKUP(IA6,$NW$17:$NX$23,2,0)="Yes",NOT(ISNUMBER(VLOOKUP(DATE($A$2,$A$3+$A$1-1,IA5),HolidayList[Date],1,0)))),TRUE,FALSE),FALSE)</f>
        <v>0</v>
      </c>
      <c r="IB4" s="15" t="b">
        <f>IFERROR(IF(AND(VLOOKUP(IB6,$NW$17:$NX$23,2,0)="Yes",NOT(ISNUMBER(VLOOKUP(DATE($A$2,$A$3+$A$1-1,IB5),HolidayList[Date],1,0)))),TRUE,FALSE),FALSE)</f>
        <v>0</v>
      </c>
      <c r="IC4" s="15" t="b">
        <f>IFERROR(IF(AND(VLOOKUP(IC6,$NW$17:$NX$23,2,0)="Yes",NOT(ISNUMBER(VLOOKUP(DATE($A$2,$A$3+$A$1-1,IC5),HolidayList[Date],1,0)))),TRUE,FALSE),FALSE)</f>
        <v>0</v>
      </c>
      <c r="ID4" s="15" t="b">
        <f>IFERROR(IF(AND(VLOOKUP(ID6,$NW$17:$NX$23,2,0)="Yes",NOT(ISNUMBER(VLOOKUP(DATE($A$2,$A$3+$A$1-1,ID5),HolidayList[Date],1,0)))),TRUE,FALSE),FALSE)</f>
        <v>0</v>
      </c>
      <c r="IE4" s="15" t="b">
        <f>IFERROR(IF(AND(VLOOKUP(IE6,$NW$17:$NX$23,2,0)="Yes",NOT(ISNUMBER(VLOOKUP(DATE($A$2,$A$3+$A$1-1,IE5),HolidayList[Date],1,0)))),TRUE,FALSE),FALSE)</f>
        <v>0</v>
      </c>
      <c r="IF4" s="15" t="b">
        <f>IFERROR(IF(AND(VLOOKUP(IF6,$NW$17:$NX$23,2,0)="Yes",NOT(ISNUMBER(VLOOKUP(DATE($A$2,$A$3+$A$1-1,IF5),HolidayList[Date],1,0)))),TRUE,FALSE),FALSE)</f>
        <v>0</v>
      </c>
      <c r="IG4" s="15" t="b">
        <f>IFERROR(IF(AND(VLOOKUP(IG6,$NW$17:$NX$23,2,0)="Yes",NOT(ISNUMBER(VLOOKUP(DATE($A$2,$A$3+$A$1-1,IG5),HolidayList[Date],1,0)))),TRUE,FALSE),FALSE)</f>
        <v>0</v>
      </c>
      <c r="IH4" s="15" t="b">
        <f>IFERROR(IF(AND(VLOOKUP(IH6,$NW$17:$NX$23,2,0)="Yes",NOT(ISNUMBER(VLOOKUP(DATE($A$2,$A$3+$A$1-1,IH5),HolidayList[Date],1,0)))),TRUE,FALSE),FALSE)</f>
        <v>0</v>
      </c>
      <c r="II4" s="15" t="b">
        <f>IFERROR(IF(AND(VLOOKUP(II6,$NW$17:$NX$23,2,0)="Yes",NOT(ISNUMBER(VLOOKUP(DATE($A$2,$A$3+$A$1-1,II5),HolidayList[Date],1,0)))),TRUE,FALSE),FALSE)</f>
        <v>0</v>
      </c>
      <c r="IJ4" s="15" t="b">
        <f>IFERROR(IF(AND(VLOOKUP(IJ6,$NW$17:$NX$23,2,0)="Yes",NOT(ISNUMBER(VLOOKUP(DATE($A$2,$A$3+$A$1-1,IJ5),HolidayList[Date],1,0)))),TRUE,FALSE),FALSE)</f>
        <v>0</v>
      </c>
      <c r="IK4" s="15" t="b">
        <f>IFERROR(IF(AND(VLOOKUP(IK6,$NW$17:$NX$23,2,0)="Yes",NOT(ISNUMBER(VLOOKUP(DATE($A$2,$A$3+$A$1-1,IK5),HolidayList[Date],1,0)))),TRUE,FALSE),FALSE)</f>
        <v>0</v>
      </c>
      <c r="IL4" s="15" t="b">
        <f>IFERROR(IF(AND(VLOOKUP(IL6,$NW$17:$NX$23,2,0)="Yes",NOT(ISNUMBER(VLOOKUP(DATE($A$2,$A$3+$A$1-1,IL5),HolidayList[Date],1,0)))),TRUE,FALSE),FALSE)</f>
        <v>0</v>
      </c>
      <c r="IM4" s="15" t="b">
        <f>IFERROR(IF(AND(VLOOKUP(IM6,$NW$17:$NX$23,2,0)="Yes",NOT(ISNUMBER(VLOOKUP(DATE($A$2,$A$3+$A$1-1,IM5),HolidayList[Date],1,0)))),TRUE,FALSE),FALSE)</f>
        <v>0</v>
      </c>
      <c r="IN4" s="15" t="b">
        <f>IFERROR(IF(AND(VLOOKUP(IN6,$NW$17:$NX$23,2,0)="Yes",NOT(ISNUMBER(VLOOKUP(DATE($A$2,$A$3+$A$1-1,IN5),HolidayList[Date],1,0)))),TRUE,FALSE),FALSE)</f>
        <v>0</v>
      </c>
      <c r="IO4" s="15" t="b">
        <f>IFERROR(IF(AND(VLOOKUP(IO6,$NW$17:$NX$23,2,0)="Yes",NOT(ISNUMBER(VLOOKUP(DATE($A$2,$A$3+$A$1-1,IO5),HolidayList[Date],1,0)))),TRUE,FALSE),FALSE)</f>
        <v>0</v>
      </c>
      <c r="IP4" s="15" t="b">
        <f>IFERROR(IF(AND(VLOOKUP(IP6,$NW$17:$NX$23,2,0)="Yes",NOT(ISNUMBER(VLOOKUP(DATE($A$2,$A$3+$A$1-1,IP5),HolidayList[Date],1,0)))),TRUE,FALSE),FALSE)</f>
        <v>0</v>
      </c>
      <c r="IQ4" s="15" t="b">
        <f>IFERROR(IF(AND(VLOOKUP(IQ6,$NW$17:$NX$23,2,0)="Yes",NOT(ISNUMBER(VLOOKUP(DATE($A$2,$A$3+$A$1-1,IQ5),HolidayList[Date],1,0)))),TRUE,FALSE),FALSE)</f>
        <v>0</v>
      </c>
      <c r="IR4" s="15" t="b">
        <f>IFERROR(IF(AND(VLOOKUP(IR6,$NW$17:$NX$23,2,0)="Yes",NOT(ISNUMBER(VLOOKUP(DATE($A$2,$A$3+$A$1-1,IR5),HolidayList[Date],1,0)))),TRUE,FALSE),FALSE)</f>
        <v>0</v>
      </c>
      <c r="IS4" s="15" t="b">
        <f>IFERROR(IF(AND(VLOOKUP(IS6,$NW$17:$NX$23,2,0)="Yes",NOT(ISNUMBER(VLOOKUP(DATE($A$2,$A$3+$A$1-1,IS5),HolidayList[Date],1,0)))),TRUE,FALSE),FALSE)</f>
        <v>0</v>
      </c>
      <c r="IT4" s="15" t="b">
        <f>IFERROR(IF(AND(VLOOKUP(IT6,$NW$17:$NX$23,2,0)="Yes",NOT(ISNUMBER(VLOOKUP(DATE($A$2,$A$3+$A$1-1,IT5),HolidayList[Date],1,0)))),TRUE,FALSE),FALSE)</f>
        <v>0</v>
      </c>
      <c r="IU4" s="15" t="b">
        <f>IFERROR(IF(AND(VLOOKUP(IU6,$NW$17:$NX$23,2,0)="Yes",NOT(ISNUMBER(VLOOKUP(DATE($A$2,$A$3+$A$1-1,IU5),HolidayList[Date],1,0)))),TRUE,FALSE),FALSE)</f>
        <v>0</v>
      </c>
      <c r="IV4" s="15" t="b">
        <f>IFERROR(IF(AND(VLOOKUP(IV6,$NW$17:$NX$23,2,0)="Yes",NOT(ISNUMBER(VLOOKUP(DATE($A$2,$A$3+$A$1-1,IV5),HolidayList[Date],1,0)))),TRUE,FALSE),FALSE)</f>
        <v>0</v>
      </c>
      <c r="IW4" s="15" t="b">
        <f>IFERROR(IF(AND(VLOOKUP(IW6,$NW$17:$NX$23,2,0)="Yes",NOT(ISNUMBER(VLOOKUP(DATE($A$2,$A$3+$A$1-1,IW5),HolidayList[Date],1,0)))),TRUE,FALSE),FALSE)</f>
        <v>0</v>
      </c>
      <c r="IX4" s="15" t="b">
        <f>IFERROR(IF(AND(VLOOKUP(IX6,$NW$17:$NX$23,2,0)="Yes",NOT(ISNUMBER(VLOOKUP(DATE($A$2,$A$3+$A$1-1,IX5),HolidayList[Date],1,0)))),TRUE,FALSE),FALSE)</f>
        <v>0</v>
      </c>
      <c r="IY4" s="15" t="b">
        <f>IFERROR(IF(AND(VLOOKUP(IY6,$NW$17:$NX$23,2,0)="Yes",NOT(ISNUMBER(VLOOKUP(DATE($A$2,$A$3+$A$1-1,IY5),HolidayList[Date],1,0)))),TRUE,FALSE),FALSE)</f>
        <v>0</v>
      </c>
      <c r="IZ4" s="15" t="b">
        <f>IFERROR(IF(AND(VLOOKUP(IZ6,$NW$17:$NX$23,2,0)="Yes",NOT(ISNUMBER(VLOOKUP(DATE($A$2,$A$3+$A$1-1,IZ5),HolidayList[Date],1,0)))),TRUE,FALSE),FALSE)</f>
        <v>0</v>
      </c>
      <c r="JA4" s="15" t="b">
        <f>IFERROR(IF(AND(VLOOKUP(JA6,$NW$17:$NX$23,2,0)="Yes",NOT(ISNUMBER(VLOOKUP(DATE($A$2,$A$3+$A$1-1,JA5),HolidayList[Date],1,0)))),TRUE,FALSE),FALSE)</f>
        <v>0</v>
      </c>
      <c r="JB4" s="15" t="b">
        <f>IFERROR(IF(AND(VLOOKUP(JB6,$NW$17:$NX$23,2,0)="Yes",NOT(ISNUMBER(VLOOKUP(DATE($A$2,$A$3+$A$1-1,JB5),HolidayList[Date],1,0)))),TRUE,FALSE),FALSE)</f>
        <v>0</v>
      </c>
      <c r="JC4" s="15" t="b">
        <f>IFERROR(IF(AND(VLOOKUP(JC6,$NW$17:$NX$23,2,0)="Yes",NOT(ISNUMBER(VLOOKUP(DATE($A$2,$A$3+$A$1-1,JC5),HolidayList[Date],1,0)))),TRUE,FALSE),FALSE)</f>
        <v>0</v>
      </c>
      <c r="JD4" s="15" t="b">
        <f>IFERROR(IF(AND(VLOOKUP(JD6,$NW$17:$NX$23,2,0)="Yes",NOT(ISNUMBER(VLOOKUP(DATE($A$2,$A$3+$A$1-1,JD5),HolidayList[Date],1,0)))),TRUE,FALSE),FALSE)</f>
        <v>0</v>
      </c>
      <c r="JE4" s="15" t="b">
        <f>IFERROR(IF(AND(VLOOKUP(JE6,$NW$17:$NX$23,2,0)="Yes",NOT(ISNUMBER(VLOOKUP(DATE($A$2,$A$3+$A$1-1,JE5),HolidayList[Date],1,0)))),TRUE,FALSE),FALSE)</f>
        <v>0</v>
      </c>
      <c r="JF4" s="15" t="b">
        <f>IFERROR(IF(AND(VLOOKUP(JF6,$NW$17:$NX$23,2,0)="Yes",NOT(ISNUMBER(VLOOKUP(DATE($A$2,$A$3+$A$1-1,JF5),HolidayList[Date],1,0)))),TRUE,FALSE),FALSE)</f>
        <v>0</v>
      </c>
      <c r="JG4" s="15" t="b">
        <f>IFERROR(IF(AND(VLOOKUP(JG6,$NW$17:$NX$23,2,0)="Yes",NOT(ISNUMBER(VLOOKUP(DATE($A$2,$A$3+$A$1-1,JG5),HolidayList[Date],1,0)))),TRUE,FALSE),FALSE)</f>
        <v>0</v>
      </c>
      <c r="JH4" s="15" t="b">
        <f>IFERROR(IF(AND(VLOOKUP(JH6,$NW$17:$NX$23,2,0)="Yes",NOT(ISNUMBER(VLOOKUP(DATE($A$2,$A$3+$A$1-1,JH5),HolidayList[Date],1,0)))),TRUE,FALSE),FALSE)</f>
        <v>0</v>
      </c>
      <c r="JI4" s="15" t="b">
        <f>IFERROR(IF(AND(VLOOKUP(JI6,$NW$17:$NX$23,2,0)="Yes",NOT(ISNUMBER(VLOOKUP(DATE($A$2,$A$3+$A$1-1,JI5),HolidayList[Date],1,0)))),TRUE,FALSE),FALSE)</f>
        <v>0</v>
      </c>
      <c r="JJ4" s="15" t="b">
        <f>IFERROR(IF(AND(VLOOKUP(JJ6,$NW$17:$NX$23,2,0)="Yes",NOT(ISNUMBER(VLOOKUP(DATE($A$2,$A$3+$A$1-1,JJ5),HolidayList[Date],1,0)))),TRUE,FALSE),FALSE)</f>
        <v>0</v>
      </c>
      <c r="JK4" s="15" t="b">
        <f>IFERROR(IF(AND(VLOOKUP(JK6,$NW$17:$NX$23,2,0)="Yes",NOT(ISNUMBER(VLOOKUP(DATE($A$2,$A$3+$A$1-1,JK5),HolidayList[Date],1,0)))),TRUE,FALSE),FALSE)</f>
        <v>0</v>
      </c>
      <c r="JL4" s="15" t="b">
        <f>IFERROR(IF(AND(VLOOKUP(JL6,$NW$17:$NX$23,2,0)="Yes",NOT(ISNUMBER(VLOOKUP(DATE($A$2,$A$3+$A$1-1,JL5),HolidayList[Date],1,0)))),TRUE,FALSE),FALSE)</f>
        <v>0</v>
      </c>
      <c r="JM4" s="15" t="b">
        <f>IFERROR(IF(AND(VLOOKUP(JM6,$NW$17:$NX$23,2,0)="Yes",NOT(ISNUMBER(VLOOKUP(DATE($A$2,$A$3+$A$1-1,JM5),HolidayList[Date],1,0)))),TRUE,FALSE),FALSE)</f>
        <v>0</v>
      </c>
      <c r="JN4" s="15" t="b">
        <f>IFERROR(IF(AND(VLOOKUP(JN6,$NW$17:$NX$23,2,0)="Yes",NOT(ISNUMBER(VLOOKUP(DATE($A$2,$A$3+$A$1-1,JN5),HolidayList[Date],1,0)))),TRUE,FALSE),FALSE)</f>
        <v>0</v>
      </c>
      <c r="JO4" s="15" t="b">
        <f>IFERROR(IF(AND(VLOOKUP(JO6,$NW$17:$NX$23,2,0)="Yes",NOT(ISNUMBER(VLOOKUP(DATE($A$2,$A$3+$A$1-1,JO5),HolidayList[Date],1,0)))),TRUE,FALSE),FALSE)</f>
        <v>0</v>
      </c>
      <c r="JP4" s="15" t="b">
        <f>IFERROR(IF(AND(VLOOKUP(JP6,$NW$17:$NX$23,2,0)="Yes",NOT(ISNUMBER(VLOOKUP(DATE($A$2,$A$3+$A$1-1,JP5),HolidayList[Date],1,0)))),TRUE,FALSE),FALSE)</f>
        <v>0</v>
      </c>
      <c r="JQ4" s="15" t="b">
        <f>IFERROR(IF(AND(VLOOKUP(JQ6,$NW$17:$NX$23,2,0)="Yes",NOT(ISNUMBER(VLOOKUP(DATE($A$2,$A$3+$A$1-1,JQ5),HolidayList[Date],1,0)))),TRUE,FALSE),FALSE)</f>
        <v>0</v>
      </c>
      <c r="JR4" s="15" t="b">
        <f>IFERROR(IF(AND(VLOOKUP(JR6,$NW$17:$NX$23,2,0)="Yes",NOT(ISNUMBER(VLOOKUP(DATE($A$2,$A$3+$A$1-1,JR5),HolidayList[Date],1,0)))),TRUE,FALSE),FALSE)</f>
        <v>0</v>
      </c>
      <c r="JS4" s="15" t="b">
        <f>IFERROR(IF(AND(VLOOKUP(JS6,$NW$17:$NX$23,2,0)="Yes",NOT(ISNUMBER(VLOOKUP(DATE($A$2,$A$3+$A$1-1,JS5),HolidayList[Date],1,0)))),TRUE,FALSE),FALSE)</f>
        <v>0</v>
      </c>
      <c r="JT4" s="15" t="b">
        <f>IFERROR(IF(AND(VLOOKUP(JT6,$NW$17:$NX$23,2,0)="Yes",NOT(ISNUMBER(VLOOKUP(DATE($A$2,$A$3+$A$1-1,JT5),HolidayList[Date],1,0)))),TRUE,FALSE),FALSE)</f>
        <v>0</v>
      </c>
      <c r="JU4" s="15" t="b">
        <f>IFERROR(IF(AND(VLOOKUP(JU6,$NW$17:$NX$23,2,0)="Yes",NOT(ISNUMBER(VLOOKUP(DATE($A$2,$A$3+$A$1-1,JU5),HolidayList[Date],1,0)))),TRUE,FALSE),FALSE)</f>
        <v>0</v>
      </c>
      <c r="JV4" s="15" t="b">
        <f>IFERROR(IF(AND(VLOOKUP(JV6,$NW$17:$NX$23,2,0)="Yes",NOT(ISNUMBER(VLOOKUP(DATE($A$2,$A$3+$A$1-1,JV5),HolidayList[Date],1,0)))),TRUE,FALSE),FALSE)</f>
        <v>0</v>
      </c>
      <c r="JW4" s="15" t="b">
        <f>IFERROR(IF(AND(VLOOKUP(JW6,$NW$17:$NX$23,2,0)="Yes",NOT(ISNUMBER(VLOOKUP(DATE($A$2,$A$3+$A$1-1,JW5),HolidayList[Date],1,0)))),TRUE,FALSE),FALSE)</f>
        <v>0</v>
      </c>
      <c r="JX4" s="15" t="b">
        <f>IFERROR(IF(AND(VLOOKUP(JX6,$NW$17:$NX$23,2,0)="Yes",NOT(ISNUMBER(VLOOKUP(DATE($A$2,$A$3+$A$1-1,JX5),HolidayList[Date],1,0)))),TRUE,FALSE),FALSE)</f>
        <v>0</v>
      </c>
      <c r="JY4" s="15" t="b">
        <f>IFERROR(IF(AND(VLOOKUP(JY6,$NW$17:$NX$23,2,0)="Yes",NOT(ISNUMBER(VLOOKUP(DATE($A$2,$A$3+$A$1-1,JY5),HolidayList[Date],1,0)))),TRUE,FALSE),FALSE)</f>
        <v>0</v>
      </c>
      <c r="JZ4" s="15" t="b">
        <f>IFERROR(IF(AND(VLOOKUP(JZ6,$NW$17:$NX$23,2,0)="Yes",NOT(ISNUMBER(VLOOKUP(DATE($A$2,$A$3+$A$1-1,JZ5),HolidayList[Date],1,0)))),TRUE,FALSE),FALSE)</f>
        <v>0</v>
      </c>
      <c r="KA4" s="15" t="b">
        <f>IFERROR(IF(AND(VLOOKUP(KA6,$NW$17:$NX$23,2,0)="Yes",NOT(ISNUMBER(VLOOKUP(DATE($A$2,$A$3+$A$1-1,KA5),HolidayList[Date],1,0)))),TRUE,FALSE),FALSE)</f>
        <v>0</v>
      </c>
      <c r="KB4" s="15" t="b">
        <f>IFERROR(IF(AND(VLOOKUP(KB6,$NW$17:$NX$23,2,0)="Yes",NOT(ISNUMBER(VLOOKUP(DATE($A$2,$A$3+$A$1-1,KB5),HolidayList[Date],1,0)))),TRUE,FALSE),FALSE)</f>
        <v>0</v>
      </c>
      <c r="KC4" s="15" t="b">
        <f>IFERROR(IF(AND(VLOOKUP(KC6,$NW$17:$NX$23,2,0)="Yes",NOT(ISNUMBER(VLOOKUP(DATE($A$2,$A$3+$A$1-1,KC5),HolidayList[Date],1,0)))),TRUE,FALSE),FALSE)</f>
        <v>0</v>
      </c>
      <c r="KD4" s="15" t="b">
        <f>IFERROR(IF(AND(VLOOKUP(KD6,$NW$17:$NX$23,2,0)="Yes",NOT(ISNUMBER(VLOOKUP(DATE($A$2,$A$3+$A$1-1,KD5),HolidayList[Date],1,0)))),TRUE,FALSE),FALSE)</f>
        <v>0</v>
      </c>
      <c r="KE4" s="15" t="b">
        <f>IFERROR(IF(AND(VLOOKUP(KE6,$NW$17:$NX$23,2,0)="Yes",NOT(ISNUMBER(VLOOKUP(DATE($A$2,$A$3+$A$1-1,KE5),HolidayList[Date],1,0)))),TRUE,FALSE),FALSE)</f>
        <v>0</v>
      </c>
      <c r="KF4" s="15" t="b">
        <f>IFERROR(IF(AND(VLOOKUP(KF6,$NW$17:$NX$23,2,0)="Yes",NOT(ISNUMBER(VLOOKUP(DATE($A$2,$A$3+$A$1-1,KF5),HolidayList[Date],1,0)))),TRUE,FALSE),FALSE)</f>
        <v>0</v>
      </c>
      <c r="KG4" s="15" t="b">
        <f>IFERROR(IF(AND(VLOOKUP(KG6,$NW$17:$NX$23,2,0)="Yes",NOT(ISNUMBER(VLOOKUP(DATE($A$2,$A$3+$A$1-1,KG5),HolidayList[Date],1,0)))),TRUE,FALSE),FALSE)</f>
        <v>0</v>
      </c>
      <c r="KH4" s="15" t="b">
        <f>IFERROR(IF(AND(VLOOKUP(KH6,$NW$17:$NX$23,2,0)="Yes",NOT(ISNUMBER(VLOOKUP(DATE($A$2,$A$3+$A$1-1,KH5),HolidayList[Date],1,0)))),TRUE,FALSE),FALSE)</f>
        <v>0</v>
      </c>
      <c r="KI4" s="15" t="b">
        <f>IFERROR(IF(AND(VLOOKUP(KI6,$NW$17:$NX$23,2,0)="Yes",NOT(ISNUMBER(VLOOKUP(DATE($A$2,$A$3+$A$1-1,KI5),HolidayList[Date],1,0)))),TRUE,FALSE),FALSE)</f>
        <v>0</v>
      </c>
      <c r="KJ4" s="15" t="b">
        <f>IFERROR(IF(AND(VLOOKUP(KJ6,$NW$17:$NX$23,2,0)="Yes",NOT(ISNUMBER(VLOOKUP(DATE($A$2,$A$3+$A$1-1,KJ5),HolidayList[Date],1,0)))),TRUE,FALSE),FALSE)</f>
        <v>0</v>
      </c>
      <c r="KK4" s="15" t="b">
        <f>IFERROR(IF(AND(VLOOKUP(KK6,$NW$17:$NX$23,2,0)="Yes",NOT(ISNUMBER(VLOOKUP(DATE($A$2,$A$3+$A$1-1,KK5),HolidayList[Date],1,0)))),TRUE,FALSE),FALSE)</f>
        <v>0</v>
      </c>
      <c r="KL4" s="15" t="b">
        <f>IFERROR(IF(AND(VLOOKUP(KL6,$NW$17:$NX$23,2,0)="Yes",NOT(ISNUMBER(VLOOKUP(DATE($A$2,$A$3+$A$1-1,KL5),HolidayList[Date],1,0)))),TRUE,FALSE),FALSE)</f>
        <v>0</v>
      </c>
      <c r="KM4" s="15" t="b">
        <f>IFERROR(IF(AND(VLOOKUP(KM6,$NW$17:$NX$23,2,0)="Yes",NOT(ISNUMBER(VLOOKUP(DATE($A$2,$A$3+$A$1-1,KM5),HolidayList[Date],1,0)))),TRUE,FALSE),FALSE)</f>
        <v>0</v>
      </c>
      <c r="KN4" s="15" t="b">
        <f>IFERROR(IF(AND(VLOOKUP(KN6,$NW$17:$NX$23,2,0)="Yes",NOT(ISNUMBER(VLOOKUP(DATE($A$2,$A$3+$A$1-1,KN5),HolidayList[Date],1,0)))),TRUE,FALSE),FALSE)</f>
        <v>0</v>
      </c>
      <c r="KO4" s="15" t="b">
        <f>IFERROR(IF(AND(VLOOKUP(KO6,$NW$17:$NX$23,2,0)="Yes",NOT(ISNUMBER(VLOOKUP(DATE($A$2,$A$3+$A$1-1,KO5),HolidayList[Date],1,0)))),TRUE,FALSE),FALSE)</f>
        <v>0</v>
      </c>
      <c r="KP4" s="15" t="b">
        <f>IFERROR(IF(AND(VLOOKUP(KP6,$NW$17:$NX$23,2,0)="Yes",NOT(ISNUMBER(VLOOKUP(DATE($A$2,$A$3+$A$1-1,KP5),HolidayList[Date],1,0)))),TRUE,FALSE),FALSE)</f>
        <v>0</v>
      </c>
      <c r="KQ4" s="15" t="b">
        <f>IFERROR(IF(AND(VLOOKUP(KQ6,$NW$17:$NX$23,2,0)="Yes",NOT(ISNUMBER(VLOOKUP(DATE($A$2,$A$3+$A$1-1,KQ5),HolidayList[Date],1,0)))),TRUE,FALSE),FALSE)</f>
        <v>0</v>
      </c>
      <c r="KR4" s="15" t="b">
        <f>IFERROR(IF(AND(VLOOKUP(KR6,$NW$17:$NX$23,2,0)="Yes",NOT(ISNUMBER(VLOOKUP(DATE($A$2,$A$3+$A$1-1,KR5),HolidayList[Date],1,0)))),TRUE,FALSE),FALSE)</f>
        <v>0</v>
      </c>
      <c r="KS4" s="15" t="b">
        <f>IFERROR(IF(AND(VLOOKUP(KS6,$NW$17:$NX$23,2,0)="Yes",NOT(ISNUMBER(VLOOKUP(DATE($A$2,$A$3+$A$1-1,KS5),HolidayList[Date],1,0)))),TRUE,FALSE),FALSE)</f>
        <v>0</v>
      </c>
      <c r="KT4" s="15" t="b">
        <f>IFERROR(IF(AND(VLOOKUP(KT6,$NW$17:$NX$23,2,0)="Yes",NOT(ISNUMBER(VLOOKUP(DATE($A$2,$A$3+$A$1-1,KT5),HolidayList[Date],1,0)))),TRUE,FALSE),FALSE)</f>
        <v>0</v>
      </c>
      <c r="KU4" s="15" t="b">
        <f>IFERROR(IF(AND(VLOOKUP(KU6,$NW$17:$NX$23,2,0)="Yes",NOT(ISNUMBER(VLOOKUP(DATE($A$2,$A$3+$A$1-1,KU5),HolidayList[Date],1,0)))),TRUE,FALSE),FALSE)</f>
        <v>0</v>
      </c>
      <c r="KV4" s="15" t="b">
        <f>IFERROR(IF(AND(VLOOKUP(KV6,$NW$17:$NX$23,2,0)="Yes",NOT(ISNUMBER(VLOOKUP(DATE($A$2,$A$3+$A$1-1,KV5),HolidayList[Date],1,0)))),TRUE,FALSE),FALSE)</f>
        <v>0</v>
      </c>
      <c r="KW4" s="15" t="b">
        <f>IFERROR(IF(AND(VLOOKUP(KW6,$NW$17:$NX$23,2,0)="Yes",NOT(ISNUMBER(VLOOKUP(DATE($A$2,$A$3+$A$1-1,KW5),HolidayList[Date],1,0)))),TRUE,FALSE),FALSE)</f>
        <v>0</v>
      </c>
      <c r="KX4" s="15" t="b">
        <f>IFERROR(IF(AND(VLOOKUP(KX6,$NW$17:$NX$23,2,0)="Yes",NOT(ISNUMBER(VLOOKUP(DATE($A$2,$A$3+$A$1-1,KX5),HolidayList[Date],1,0)))),TRUE,FALSE),FALSE)</f>
        <v>0</v>
      </c>
      <c r="KY4" s="15" t="b">
        <f>IFERROR(IF(AND(VLOOKUP(KY6,$NW$17:$NX$23,2,0)="Yes",NOT(ISNUMBER(VLOOKUP(DATE($A$2,$A$3+$A$1-1,KY5),HolidayList[Date],1,0)))),TRUE,FALSE),FALSE)</f>
        <v>0</v>
      </c>
      <c r="KZ4" s="15" t="b">
        <f>IFERROR(IF(AND(VLOOKUP(KZ6,$NW$17:$NX$23,2,0)="Yes",NOT(ISNUMBER(VLOOKUP(DATE($A$2,$A$3+$A$1-1,KZ5),HolidayList[Date],1,0)))),TRUE,FALSE),FALSE)</f>
        <v>0</v>
      </c>
      <c r="LA4" s="15" t="b">
        <f>IFERROR(IF(AND(VLOOKUP(LA6,$NW$17:$NX$23,2,0)="Yes",NOT(ISNUMBER(VLOOKUP(DATE($A$2,$A$3+$A$1-1,LA5),HolidayList[Date],1,0)))),TRUE,FALSE),FALSE)</f>
        <v>0</v>
      </c>
      <c r="LB4" s="15" t="b">
        <f>IFERROR(IF(AND(VLOOKUP(LB6,$NW$17:$NX$23,2,0)="Yes",NOT(ISNUMBER(VLOOKUP(DATE($A$2,$A$3+$A$1-1,LB5),HolidayList[Date],1,0)))),TRUE,FALSE),FALSE)</f>
        <v>0</v>
      </c>
      <c r="LC4" s="15" t="b">
        <f>IFERROR(IF(AND(VLOOKUP(LC6,$NW$17:$NX$23,2,0)="Yes",NOT(ISNUMBER(VLOOKUP(DATE($A$2,$A$3+$A$1-1,LC5),HolidayList[Date],1,0)))),TRUE,FALSE),FALSE)</f>
        <v>0</v>
      </c>
      <c r="LD4" s="15" t="b">
        <f>IFERROR(IF(AND(VLOOKUP(LD6,$NW$17:$NX$23,2,0)="Yes",NOT(ISNUMBER(VLOOKUP(DATE($A$2,$A$3+$A$1-1,LD5),HolidayList[Date],1,0)))),TRUE,FALSE),FALSE)</f>
        <v>0</v>
      </c>
      <c r="LE4" s="15" t="b">
        <f>IFERROR(IF(AND(VLOOKUP(LE6,$NW$17:$NX$23,2,0)="Yes",NOT(ISNUMBER(VLOOKUP(DATE($A$2,$A$3+$A$1-1,LE5),HolidayList[Date],1,0)))),TRUE,FALSE),FALSE)</f>
        <v>0</v>
      </c>
      <c r="LF4" s="15" t="b">
        <f>IFERROR(IF(AND(VLOOKUP(LF6,$NW$17:$NX$23,2,0)="Yes",NOT(ISNUMBER(VLOOKUP(DATE($A$2,$A$3+$A$1-1,LF5),HolidayList[Date],1,0)))),TRUE,FALSE),FALSE)</f>
        <v>0</v>
      </c>
      <c r="LG4" s="15" t="b">
        <f>IFERROR(IF(AND(VLOOKUP(LG6,$NW$17:$NX$23,2,0)="Yes",NOT(ISNUMBER(VLOOKUP(DATE($A$2,$A$3+$A$1-1,LG5),HolidayList[Date],1,0)))),TRUE,FALSE),FALSE)</f>
        <v>0</v>
      </c>
      <c r="LH4" s="15" t="b">
        <f>IFERROR(IF(AND(VLOOKUP(LH6,$NW$17:$NX$23,2,0)="Yes",NOT(ISNUMBER(VLOOKUP(DATE($A$2,$A$3+$A$1-1,LH5),HolidayList[Date],1,0)))),TRUE,FALSE),FALSE)</f>
        <v>0</v>
      </c>
      <c r="LI4" s="15" t="b">
        <f>IFERROR(IF(AND(VLOOKUP(LI6,$NW$17:$NX$23,2,0)="Yes",NOT(ISNUMBER(VLOOKUP(DATE($A$2,$A$3+$A$1-1,LI5),HolidayList[Date],1,0)))),TRUE,FALSE),FALSE)</f>
        <v>0</v>
      </c>
      <c r="LJ4" s="15" t="b">
        <f>IFERROR(IF(AND(VLOOKUP(LJ6,$NW$17:$NX$23,2,0)="Yes",NOT(ISNUMBER(VLOOKUP(DATE($A$2,$A$3+$A$1-1,LJ5),HolidayList[Date],1,0)))),TRUE,FALSE),FALSE)</f>
        <v>0</v>
      </c>
      <c r="LK4" s="15" t="b">
        <f>IFERROR(IF(AND(VLOOKUP(LK6,$NW$17:$NX$23,2,0)="Yes",NOT(ISNUMBER(VLOOKUP(DATE($A$2,$A$3+$A$1-1,LK5),HolidayList[Date],1,0)))),TRUE,FALSE),FALSE)</f>
        <v>0</v>
      </c>
      <c r="LL4" s="15" t="b">
        <f>IFERROR(IF(AND(VLOOKUP(LL6,$NW$17:$NX$23,2,0)="Yes",NOT(ISNUMBER(VLOOKUP(DATE($A$2,$A$3+$A$1-1,LL5),HolidayList[Date],1,0)))),TRUE,FALSE),FALSE)</f>
        <v>0</v>
      </c>
      <c r="LM4" s="15" t="b">
        <f>IFERROR(IF(AND(VLOOKUP(LM6,$NW$17:$NX$23,2,0)="Yes",NOT(ISNUMBER(VLOOKUP(DATE($A$2,$A$3+$A$1-1,LM5),HolidayList[Date],1,0)))),TRUE,FALSE),FALSE)</f>
        <v>0</v>
      </c>
      <c r="LN4" s="15" t="b">
        <f>IFERROR(IF(AND(VLOOKUP(LN6,$NW$17:$NX$23,2,0)="Yes",NOT(ISNUMBER(VLOOKUP(DATE($A$2,$A$3+$A$1-1,LN5),HolidayList[Date],1,0)))),TRUE,FALSE),FALSE)</f>
        <v>0</v>
      </c>
      <c r="LO4" s="15" t="b">
        <f>IFERROR(IF(AND(VLOOKUP(LO6,$NW$17:$NX$23,2,0)="Yes",NOT(ISNUMBER(VLOOKUP(DATE($A$2,$A$3+$A$1-1,LO5),HolidayList[Date],1,0)))),TRUE,FALSE),FALSE)</f>
        <v>0</v>
      </c>
      <c r="LP4" s="15" t="b">
        <f>IFERROR(IF(AND(VLOOKUP(LP6,$NW$17:$NX$23,2,0)="Yes",NOT(ISNUMBER(VLOOKUP(DATE($A$2,$A$3+$A$1-1,LP5),HolidayList[Date],1,0)))),TRUE,FALSE),FALSE)</f>
        <v>0</v>
      </c>
      <c r="LQ4" s="15" t="b">
        <f>IFERROR(IF(AND(VLOOKUP(LQ6,$NW$17:$NX$23,2,0)="Yes",NOT(ISNUMBER(VLOOKUP(DATE($A$2,$A$3+$A$1-1,LQ5),HolidayList[Date],1,0)))),TRUE,FALSE),FALSE)</f>
        <v>0</v>
      </c>
      <c r="LR4" s="15" t="b">
        <f>IFERROR(IF(AND(VLOOKUP(LR6,$NW$17:$NX$23,2,0)="Yes",NOT(ISNUMBER(VLOOKUP(DATE($A$2,$A$3+$A$1-1,LR5),HolidayList[Date],1,0)))),TRUE,FALSE),FALSE)</f>
        <v>0</v>
      </c>
      <c r="LS4" s="15" t="b">
        <f>IFERROR(IF(AND(VLOOKUP(LS6,$NW$17:$NX$23,2,0)="Yes",NOT(ISNUMBER(VLOOKUP(DATE($A$2,$A$3+$A$1-1,LS5),HolidayList[Date],1,0)))),TRUE,FALSE),FALSE)</f>
        <v>0</v>
      </c>
      <c r="LT4" s="15" t="b">
        <f>IFERROR(IF(AND(VLOOKUP(LT6,$NW$17:$NX$23,2,0)="Yes",NOT(ISNUMBER(VLOOKUP(DATE($A$2,$A$3+$A$1-1,LT5),HolidayList[Date],1,0)))),TRUE,FALSE),FALSE)</f>
        <v>0</v>
      </c>
      <c r="LU4" s="15" t="b">
        <f>IFERROR(IF(AND(VLOOKUP(LU6,$NW$17:$NX$23,2,0)="Yes",NOT(ISNUMBER(VLOOKUP(DATE($A$2,$A$3+$A$1-1,LU5),HolidayList[Date],1,0)))),TRUE,FALSE),FALSE)</f>
        <v>0</v>
      </c>
      <c r="LV4" s="15" t="b">
        <f>IFERROR(IF(AND(VLOOKUP(LV6,$NW$17:$NX$23,2,0)="Yes",NOT(ISNUMBER(VLOOKUP(DATE($A$2,$A$3+$A$1-1,LV5),HolidayList[Date],1,0)))),TRUE,FALSE),FALSE)</f>
        <v>0</v>
      </c>
      <c r="LW4" s="15" t="b">
        <f>IFERROR(IF(AND(VLOOKUP(LW6,$NW$17:$NX$23,2,0)="Yes",NOT(ISNUMBER(VLOOKUP(DATE($A$2,$A$3+$A$1-1,LW5),HolidayList[Date],1,0)))),TRUE,FALSE),FALSE)</f>
        <v>0</v>
      </c>
      <c r="LX4" s="15" t="b">
        <f>IFERROR(IF(AND(VLOOKUP(LX6,$NW$17:$NX$23,2,0)="Yes",NOT(ISNUMBER(VLOOKUP(DATE($A$2,$A$3+$A$1-1,LX5),HolidayList[Date],1,0)))),TRUE,FALSE),FALSE)</f>
        <v>0</v>
      </c>
      <c r="LY4" s="15" t="b">
        <f>IFERROR(IF(AND(VLOOKUP(LY6,$NW$17:$NX$23,2,0)="Yes",NOT(ISNUMBER(VLOOKUP(DATE($A$2,$A$3+$A$1-1,LY5),HolidayList[Date],1,0)))),TRUE,FALSE),FALSE)</f>
        <v>0</v>
      </c>
      <c r="LZ4" s="15" t="b">
        <f>IFERROR(IF(AND(VLOOKUP(LZ6,$NW$17:$NX$23,2,0)="Yes",NOT(ISNUMBER(VLOOKUP(DATE($A$2,$A$3+$A$1-1,LZ5),HolidayList[Date],1,0)))),TRUE,FALSE),FALSE)</f>
        <v>0</v>
      </c>
      <c r="MA4" s="15" t="b">
        <f>IFERROR(IF(AND(VLOOKUP(MA6,$NW$17:$NX$23,2,0)="Yes",NOT(ISNUMBER(VLOOKUP(DATE($A$2,$A$3+$A$1-1,MA5),HolidayList[Date],1,0)))),TRUE,FALSE),FALSE)</f>
        <v>0</v>
      </c>
      <c r="MB4" s="15" t="b">
        <f>IFERROR(IF(AND(VLOOKUP(MB6,$NW$17:$NX$23,2,0)="Yes",NOT(ISNUMBER(VLOOKUP(DATE($A$2,$A$3+$A$1-1,MB5),HolidayList[Date],1,0)))),TRUE,FALSE),FALSE)</f>
        <v>0</v>
      </c>
      <c r="MC4" s="15" t="b">
        <f>IFERROR(IF(AND(VLOOKUP(MC6,$NW$17:$NX$23,2,0)="Yes",NOT(ISNUMBER(VLOOKUP(DATE($A$2,$A$3+$A$1-1,MC5),HolidayList[Date],1,0)))),TRUE,FALSE),FALSE)</f>
        <v>0</v>
      </c>
      <c r="MD4" s="15" t="b">
        <f>IFERROR(IF(AND(VLOOKUP(MD6,$NW$17:$NX$23,2,0)="Yes",NOT(ISNUMBER(VLOOKUP(DATE($A$2,$A$3+$A$1-1,MD5),HolidayList[Date],1,0)))),TRUE,FALSE),FALSE)</f>
        <v>0</v>
      </c>
      <c r="ME4" s="15" t="b">
        <f>IFERROR(IF(AND(VLOOKUP(ME6,$NW$17:$NX$23,2,0)="Yes",NOT(ISNUMBER(VLOOKUP(DATE($A$2,$A$3+$A$1-1,ME5),HolidayList[Date],1,0)))),TRUE,FALSE),FALSE)</f>
        <v>0</v>
      </c>
      <c r="MF4" s="15" t="b">
        <f>IFERROR(IF(AND(VLOOKUP(MF6,$NW$17:$NX$23,2,0)="Yes",NOT(ISNUMBER(VLOOKUP(DATE($A$2,$A$3+$A$1-1,MF5),HolidayList[Date],1,0)))),TRUE,FALSE),FALSE)</f>
        <v>0</v>
      </c>
      <c r="MG4" s="15" t="b">
        <f>IFERROR(IF(AND(VLOOKUP(MG6,$NW$17:$NX$23,2,0)="Yes",NOT(ISNUMBER(VLOOKUP(DATE($A$2,$A$3+$A$1-1,MG5),HolidayList[Date],1,0)))),TRUE,FALSE),FALSE)</f>
        <v>0</v>
      </c>
      <c r="MH4" s="15" t="b">
        <f>IFERROR(IF(AND(VLOOKUP(MH6,$NW$17:$NX$23,2,0)="Yes",NOT(ISNUMBER(VLOOKUP(DATE($A$2,$A$3+$A$1-1,MH5),HolidayList[Date],1,0)))),TRUE,FALSE),FALSE)</f>
        <v>0</v>
      </c>
      <c r="MI4" s="15" t="b">
        <f>IFERROR(IF(AND(VLOOKUP(MI6,$NW$17:$NX$23,2,0)="Yes",NOT(ISNUMBER(VLOOKUP(DATE($A$2,$A$3+$A$1-1,MI5),HolidayList[Date],1,0)))),TRUE,FALSE),FALSE)</f>
        <v>0</v>
      </c>
      <c r="MJ4" s="15" t="b">
        <f>IFERROR(IF(AND(VLOOKUP(MJ6,$NW$17:$NX$23,2,0)="Yes",NOT(ISNUMBER(VLOOKUP(DATE($A$2,$A$3+$A$1-1,MJ5),HolidayList[Date],1,0)))),TRUE,FALSE),FALSE)</f>
        <v>0</v>
      </c>
      <c r="MK4" s="15" t="b">
        <f>IFERROR(IF(AND(VLOOKUP(MK6,$NW$17:$NX$23,2,0)="Yes",NOT(ISNUMBER(VLOOKUP(DATE($A$2,$A$3+$A$1-1,MK5),HolidayList[Date],1,0)))),TRUE,FALSE),FALSE)</f>
        <v>0</v>
      </c>
      <c r="ML4" s="15" t="b">
        <f>IFERROR(IF(AND(VLOOKUP(ML6,$NW$17:$NX$23,2,0)="Yes",NOT(ISNUMBER(VLOOKUP(DATE($A$2,$A$3+$A$1-1,ML5),HolidayList[Date],1,0)))),TRUE,FALSE),FALSE)</f>
        <v>0</v>
      </c>
      <c r="MM4" s="15" t="b">
        <f>IFERROR(IF(AND(VLOOKUP(MM6,$NW$17:$NX$23,2,0)="Yes",NOT(ISNUMBER(VLOOKUP(DATE($A$2,$A$3+$A$1-1,MM5),HolidayList[Date],1,0)))),TRUE,FALSE),FALSE)</f>
        <v>0</v>
      </c>
      <c r="MN4" s="15" t="b">
        <f>IFERROR(IF(AND(VLOOKUP(MN6,$NW$17:$NX$23,2,0)="Yes",NOT(ISNUMBER(VLOOKUP(DATE($A$2,$A$3+$A$1-1,MN5),HolidayList[Date],1,0)))),TRUE,FALSE),FALSE)</f>
        <v>0</v>
      </c>
      <c r="MO4" s="15" t="b">
        <f>IFERROR(IF(AND(VLOOKUP(MO6,$NW$17:$NX$23,2,0)="Yes",NOT(ISNUMBER(VLOOKUP(DATE($A$2,$A$3+$A$1-1,MO5),HolidayList[Date],1,0)))),TRUE,FALSE),FALSE)</f>
        <v>0</v>
      </c>
      <c r="MP4" s="15" t="b">
        <f>IFERROR(IF(AND(VLOOKUP(MP6,$NW$17:$NX$23,2,0)="Yes",NOT(ISNUMBER(VLOOKUP(DATE($A$2,$A$3+$A$1-1,MP5),HolidayList[Date],1,0)))),TRUE,FALSE),FALSE)</f>
        <v>0</v>
      </c>
      <c r="MQ4" s="15" t="b">
        <f>IFERROR(IF(AND(VLOOKUP(MQ6,$NW$17:$NX$23,2,0)="Yes",NOT(ISNUMBER(VLOOKUP(DATE($A$2,$A$3+$A$1-1,MQ5),HolidayList[Date],1,0)))),TRUE,FALSE),FALSE)</f>
        <v>0</v>
      </c>
      <c r="MR4" s="15" t="b">
        <f>IFERROR(IF(AND(VLOOKUP(MR6,$NW$17:$NX$23,2,0)="Yes",NOT(ISNUMBER(VLOOKUP(DATE($A$2,$A$3+$A$1-1,MR5),HolidayList[Date],1,0)))),TRUE,FALSE),FALSE)</f>
        <v>0</v>
      </c>
      <c r="MS4" s="15" t="b">
        <f>IFERROR(IF(AND(VLOOKUP(MS6,$NW$17:$NX$23,2,0)="Yes",NOT(ISNUMBER(VLOOKUP(DATE($A$2,$A$3+$A$1-1,MS5),HolidayList[Date],1,0)))),TRUE,FALSE),FALSE)</f>
        <v>0</v>
      </c>
      <c r="MT4" s="15" t="b">
        <f>IFERROR(IF(AND(VLOOKUP(MT6,$NW$17:$NX$23,2,0)="Yes",NOT(ISNUMBER(VLOOKUP(DATE($A$2,$A$3+$A$1-1,MT5),HolidayList[Date],1,0)))),TRUE,FALSE),FALSE)</f>
        <v>0</v>
      </c>
      <c r="MU4" s="15" t="b">
        <f>IFERROR(IF(AND(VLOOKUP(MU6,$NW$17:$NX$23,2,0)="Yes",NOT(ISNUMBER(VLOOKUP(DATE($A$2,$A$3+$A$1-1,MU5),HolidayList[Date],1,0)))),TRUE,FALSE),FALSE)</f>
        <v>0</v>
      </c>
      <c r="MV4" s="15" t="b">
        <f>IFERROR(IF(AND(VLOOKUP(MV6,$NW$17:$NX$23,2,0)="Yes",NOT(ISNUMBER(VLOOKUP(DATE($A$2,$A$3+$A$1-1,MV5),HolidayList[Date],1,0)))),TRUE,FALSE),FALSE)</f>
        <v>0</v>
      </c>
      <c r="MW4" s="15" t="b">
        <f>IFERROR(IF(AND(VLOOKUP(MW6,$NW$17:$NX$23,2,0)="Yes",NOT(ISNUMBER(VLOOKUP(DATE($A$2,$A$3+$A$1-1,MW5),HolidayList[Date],1,0)))),TRUE,FALSE),FALSE)</f>
        <v>0</v>
      </c>
      <c r="MX4" s="15" t="b">
        <f>IFERROR(IF(AND(VLOOKUP(MX6,$NW$17:$NX$23,2,0)="Yes",NOT(ISNUMBER(VLOOKUP(DATE($A$2,$A$3+$A$1-1,MX5),HolidayList[Date],1,0)))),TRUE,FALSE),FALSE)</f>
        <v>0</v>
      </c>
      <c r="MY4" s="15" t="b">
        <f>IFERROR(IF(AND(VLOOKUP(MY6,$NW$17:$NX$23,2,0)="Yes",NOT(ISNUMBER(VLOOKUP(DATE($A$2,$A$3+$A$1-1,MY5),HolidayList[Date],1,0)))),TRUE,FALSE),FALSE)</f>
        <v>0</v>
      </c>
      <c r="MZ4" s="15" t="b">
        <f>IFERROR(IF(AND(VLOOKUP(MZ6,$NW$17:$NX$23,2,0)="Yes",NOT(ISNUMBER(VLOOKUP(DATE($A$2,$A$3+$A$1-1,MZ5),HolidayList[Date],1,0)))),TRUE,FALSE),FALSE)</f>
        <v>0</v>
      </c>
      <c r="NA4" s="15" t="b">
        <f>IFERROR(IF(AND(VLOOKUP(NA6,$NW$17:$NX$23,2,0)="Yes",NOT(ISNUMBER(VLOOKUP(DATE($A$2,$A$3+$A$1-1,NA5),HolidayList[Date],1,0)))),TRUE,FALSE),FALSE)</f>
        <v>0</v>
      </c>
      <c r="NB4" s="15" t="b">
        <f>IFERROR(IF(AND(VLOOKUP(NB6,$NW$17:$NX$23,2,0)="Yes",NOT(ISNUMBER(VLOOKUP(DATE($A$2,$A$3+$A$1-1,NB5),HolidayList[Date],1,0)))),TRUE,FALSE),FALSE)</f>
        <v>0</v>
      </c>
      <c r="NC4" s="15" t="b">
        <f>IFERROR(IF(AND(VLOOKUP(NC6,$NW$17:$NX$23,2,0)="Yes",NOT(ISNUMBER(VLOOKUP(DATE($A$2,$A$3+$A$1-1,NC5),HolidayList[Date],1,0)))),TRUE,FALSE),FALSE)</f>
        <v>0</v>
      </c>
      <c r="ND4" s="15" t="b">
        <f>IFERROR(IF(AND(VLOOKUP(ND6,$NW$17:$NX$23,2,0)="Yes",NOT(ISNUMBER(VLOOKUP(DATE($A$2,$A$3+$A$1-1,ND5),HolidayList[Date],1,0)))),TRUE,FALSE),FALSE)</f>
        <v>0</v>
      </c>
      <c r="NE4" s="15" t="b">
        <f>IFERROR(IF(AND(VLOOKUP(NE6,$NW$17:$NX$23,2,0)="Yes",NOT(ISNUMBER(VLOOKUP(DATE($A$2,$A$3+$A$1-1,NE5),HolidayList[Date],1,0)))),TRUE,FALSE),FALSE)</f>
        <v>0</v>
      </c>
      <c r="NF4" s="15" t="b">
        <f>IFERROR(IF(AND(VLOOKUP(NF6,$NW$17:$NX$23,2,0)="Yes",NOT(ISNUMBER(VLOOKUP(DATE($A$2,$A$3+$A$1-1,NF5),HolidayList[Date],1,0)))),TRUE,FALSE),FALSE)</f>
        <v>0</v>
      </c>
      <c r="NG4" s="15" t="b">
        <f>IFERROR(IF(AND(VLOOKUP(NG6,$NW$17:$NX$23,2,0)="Yes",NOT(ISNUMBER(VLOOKUP(DATE($A$2,$A$3+$A$1-1,NG5),HolidayList[Date],1,0)))),TRUE,FALSE),FALSE)</f>
        <v>0</v>
      </c>
      <c r="NH4" s="15" t="b">
        <f>IFERROR(IF(AND(VLOOKUP(NH6,$NW$17:$NX$23,2,0)="Yes",NOT(ISNUMBER(VLOOKUP(DATE($A$2,$A$3+$A$1-1,NH5),HolidayList[Date],1,0)))),TRUE,FALSE),FALSE)</f>
        <v>0</v>
      </c>
      <c r="NI4" s="15" t="b">
        <f>IFERROR(IF(AND(VLOOKUP(NI6,$NW$17:$NX$23,2,0)="Yes",NOT(ISNUMBER(VLOOKUP(DATE($A$2,$A$3+$A$1-1,NI5),HolidayList[Date],1,0)))),TRUE,FALSE),FALSE)</f>
        <v>1</v>
      </c>
    </row>
    <row r="5" spans="1:761" x14ac:dyDescent="0.45">
      <c r="A5" s="1"/>
      <c r="B5" s="7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7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7">
        <f t="shared" si="0"/>
        <v>3</v>
      </c>
      <c r="E5" s="7">
        <f t="shared" si="0"/>
        <v>4</v>
      </c>
      <c r="F5" s="7">
        <f t="shared" si="0"/>
        <v>5</v>
      </c>
      <c r="G5" s="7">
        <f t="shared" si="0"/>
        <v>6</v>
      </c>
      <c r="H5" s="7">
        <f t="shared" si="0"/>
        <v>7</v>
      </c>
      <c r="I5" s="7">
        <f t="shared" si="0"/>
        <v>8</v>
      </c>
      <c r="J5" s="7">
        <f t="shared" si="0"/>
        <v>9</v>
      </c>
      <c r="K5" s="7">
        <f t="shared" si="0"/>
        <v>10</v>
      </c>
      <c r="L5" s="7">
        <f t="shared" si="0"/>
        <v>11</v>
      </c>
      <c r="M5" s="7">
        <f t="shared" si="0"/>
        <v>12</v>
      </c>
      <c r="N5" s="7">
        <f t="shared" si="0"/>
        <v>13</v>
      </c>
      <c r="O5" s="7">
        <f t="shared" si="0"/>
        <v>14</v>
      </c>
      <c r="P5" s="7">
        <f t="shared" si="0"/>
        <v>15</v>
      </c>
      <c r="Q5" s="7">
        <f t="shared" si="0"/>
        <v>16</v>
      </c>
      <c r="R5" s="7">
        <f t="shared" si="0"/>
        <v>17</v>
      </c>
      <c r="S5" s="7">
        <f t="shared" si="0"/>
        <v>18</v>
      </c>
      <c r="T5" s="7">
        <f t="shared" si="0"/>
        <v>19</v>
      </c>
      <c r="U5" s="7">
        <f t="shared" si="0"/>
        <v>20</v>
      </c>
      <c r="V5" s="7">
        <f t="shared" si="0"/>
        <v>21</v>
      </c>
      <c r="W5" s="7">
        <f t="shared" si="0"/>
        <v>22</v>
      </c>
      <c r="X5" s="7">
        <f t="shared" si="0"/>
        <v>23</v>
      </c>
      <c r="Y5" s="7">
        <f t="shared" si="0"/>
        <v>24</v>
      </c>
      <c r="Z5" s="7">
        <f t="shared" si="0"/>
        <v>25</v>
      </c>
      <c r="AA5" s="7">
        <f t="shared" si="0"/>
        <v>26</v>
      </c>
      <c r="AB5" s="7">
        <f t="shared" si="0"/>
        <v>27</v>
      </c>
      <c r="AC5" s="7">
        <f t="shared" si="0"/>
        <v>28</v>
      </c>
      <c r="AD5" s="7">
        <f t="shared" si="0"/>
        <v>29</v>
      </c>
      <c r="AE5" s="7">
        <f t="shared" si="0"/>
        <v>30</v>
      </c>
      <c r="AF5" s="7">
        <f t="shared" si="0"/>
        <v>31</v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 t="str">
        <f t="shared" si="1"/>
        <v/>
      </c>
      <c r="DW5" s="7" t="str">
        <f t="shared" si="1"/>
        <v/>
      </c>
      <c r="DX5" s="7" t="str">
        <f t="shared" si="1"/>
        <v/>
      </c>
      <c r="DY5" s="7" t="str">
        <f t="shared" si="1"/>
        <v/>
      </c>
      <c r="DZ5" s="7" t="str">
        <f t="shared" si="1"/>
        <v/>
      </c>
      <c r="EA5" s="7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7" t="str">
        <f t="shared" si="2"/>
        <v/>
      </c>
      <c r="EC5" s="7" t="str">
        <f t="shared" si="2"/>
        <v/>
      </c>
      <c r="ED5" s="7" t="str">
        <f t="shared" si="2"/>
        <v/>
      </c>
      <c r="EE5" s="7" t="str">
        <f t="shared" si="2"/>
        <v/>
      </c>
      <c r="EF5" s="7" t="str">
        <f t="shared" si="2"/>
        <v/>
      </c>
      <c r="EG5" s="7" t="str">
        <f t="shared" si="2"/>
        <v/>
      </c>
      <c r="EH5" s="7" t="str">
        <f t="shared" si="2"/>
        <v/>
      </c>
      <c r="EI5" s="7" t="str">
        <f t="shared" si="2"/>
        <v/>
      </c>
      <c r="EJ5" s="7" t="str">
        <f t="shared" si="2"/>
        <v/>
      </c>
      <c r="EK5" s="7" t="str">
        <f t="shared" si="2"/>
        <v/>
      </c>
      <c r="EL5" s="7" t="str">
        <f t="shared" si="2"/>
        <v/>
      </c>
      <c r="EM5" s="7" t="str">
        <f t="shared" si="2"/>
        <v/>
      </c>
      <c r="EN5" s="7" t="str">
        <f t="shared" si="2"/>
        <v/>
      </c>
      <c r="EO5" s="7" t="str">
        <f t="shared" si="2"/>
        <v/>
      </c>
      <c r="EP5" s="7" t="str">
        <f t="shared" si="2"/>
        <v/>
      </c>
      <c r="EQ5" s="7" t="str">
        <f t="shared" si="2"/>
        <v/>
      </c>
      <c r="ER5" s="7" t="str">
        <f t="shared" si="2"/>
        <v/>
      </c>
      <c r="ES5" s="7" t="str">
        <f t="shared" si="2"/>
        <v/>
      </c>
      <c r="ET5" s="7" t="str">
        <f t="shared" si="2"/>
        <v/>
      </c>
      <c r="EU5" s="7" t="str">
        <f t="shared" si="2"/>
        <v/>
      </c>
      <c r="EV5" s="7" t="str">
        <f t="shared" si="2"/>
        <v/>
      </c>
      <c r="EW5" s="7" t="str">
        <f t="shared" si="2"/>
        <v/>
      </c>
      <c r="EX5" s="7" t="str">
        <f t="shared" si="2"/>
        <v/>
      </c>
      <c r="EY5" s="7" t="str">
        <f t="shared" si="2"/>
        <v/>
      </c>
      <c r="EZ5" s="7" t="str">
        <f t="shared" si="2"/>
        <v/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>
        <f t="shared" si="5"/>
        <v>31</v>
      </c>
      <c r="NJ5" s="89" t="s">
        <v>26</v>
      </c>
      <c r="NK5" s="91" t="s">
        <v>27</v>
      </c>
      <c r="NL5" s="93" t="str">
        <f>"Leaves between " &amp; TEXT(Holidays!E2, "MM/DD/YYYY") &amp; " - " &amp; TEXT(Holidays!F2, "MM/DD/YYYY")</f>
        <v>Leaves between 10/10/2018 - 01/22/2019</v>
      </c>
      <c r="NM5" s="87" t="s">
        <v>140</v>
      </c>
      <c r="NN5" s="87" t="s">
        <v>141</v>
      </c>
      <c r="NO5" s="87" t="s">
        <v>142</v>
      </c>
      <c r="NP5" s="87" t="s">
        <v>143</v>
      </c>
      <c r="NQ5" s="87" t="s">
        <v>144</v>
      </c>
      <c r="NR5" s="87" t="s">
        <v>145</v>
      </c>
      <c r="NS5" s="87" t="s">
        <v>146</v>
      </c>
      <c r="NT5" s="87" t="s">
        <v>147</v>
      </c>
      <c r="NU5" s="87" t="s">
        <v>134</v>
      </c>
    </row>
    <row r="6" spans="1:761" x14ac:dyDescent="0.45">
      <c r="A6" s="4" t="s">
        <v>22</v>
      </c>
      <c r="B6" s="8" t="str">
        <f>IF(B$5="","",VLOOKUP(WEEKDAY(DATE($A$2,$A$3+$A$1-1,B5),2),Sheet3!$D$1:$E$7,2,0))</f>
        <v>Mon</v>
      </c>
      <c r="C6" s="8" t="str">
        <f>IF(C$5="","",VLOOKUP(WEEKDAY(DATE($A$2,$A$3+$A$1-1,C5),2),Sheet3!$D$1:$E$7,2,0))</f>
        <v>Tue</v>
      </c>
      <c r="D6" s="8" t="str">
        <f>IF(D$5="","",VLOOKUP(WEEKDAY(DATE($A$2,$A$3+$A$1-1,D5),2),Sheet3!$D$1:$E$7,2,0))</f>
        <v>Wed</v>
      </c>
      <c r="E6" s="8" t="str">
        <f>IF(E$5="","",VLOOKUP(WEEKDAY(DATE($A$2,$A$3+$A$1-1,E5),2),Sheet3!$D$1:$E$7,2,0))</f>
        <v>Thu</v>
      </c>
      <c r="F6" s="8" t="str">
        <f>IF(F$5="","",VLOOKUP(WEEKDAY(DATE($A$2,$A$3+$A$1-1,F5),2),Sheet3!$D$1:$E$7,2,0))</f>
        <v>Fri</v>
      </c>
      <c r="G6" s="8" t="str">
        <f>IF(G$5="","",VLOOKUP(WEEKDAY(DATE($A$2,$A$3+$A$1-1,G5),2),Sheet3!$D$1:$E$7,2,0))</f>
        <v>Sat</v>
      </c>
      <c r="H6" s="8" t="str">
        <f>IF(H$5="","",VLOOKUP(WEEKDAY(DATE($A$2,$A$3+$A$1-1,H5),2),Sheet3!$D$1:$E$7,2,0))</f>
        <v>Sun</v>
      </c>
      <c r="I6" s="8" t="str">
        <f>IF(I$5="","",VLOOKUP(WEEKDAY(DATE($A$2,$A$3+$A$1-1,I5),2),Sheet3!$D$1:$E$7,2,0))</f>
        <v>Mon</v>
      </c>
      <c r="J6" s="8" t="str">
        <f>IF(J$5="","",VLOOKUP(WEEKDAY(DATE($A$2,$A$3+$A$1-1,J5),2),Sheet3!$D$1:$E$7,2,0))</f>
        <v>Tue</v>
      </c>
      <c r="K6" s="8" t="str">
        <f>IF(K$5="","",VLOOKUP(WEEKDAY(DATE($A$2,$A$3+$A$1-1,K5),2),Sheet3!$D$1:$E$7,2,0))</f>
        <v>Wed</v>
      </c>
      <c r="L6" s="8" t="str">
        <f>IF(L$5="","",VLOOKUP(WEEKDAY(DATE($A$2,$A$3+$A$1-1,L5),2),Sheet3!$D$1:$E$7,2,0))</f>
        <v>Thu</v>
      </c>
      <c r="M6" s="8" t="str">
        <f>IF(M$5="","",VLOOKUP(WEEKDAY(DATE($A$2,$A$3+$A$1-1,M5),2),Sheet3!$D$1:$E$7,2,0))</f>
        <v>Fri</v>
      </c>
      <c r="N6" s="8" t="str">
        <f>IF(N$5="","",VLOOKUP(WEEKDAY(DATE($A$2,$A$3+$A$1-1,N5),2),Sheet3!$D$1:$E$7,2,0))</f>
        <v>Sat</v>
      </c>
      <c r="O6" s="8" t="str">
        <f>IF(O$5="","",VLOOKUP(WEEKDAY(DATE($A$2,$A$3+$A$1-1,O5),2),Sheet3!$D$1:$E$7,2,0))</f>
        <v>Sun</v>
      </c>
      <c r="P6" s="8" t="str">
        <f>IF(P$5="","",VLOOKUP(WEEKDAY(DATE($A$2,$A$3+$A$1-1,P5),2),Sheet3!$D$1:$E$7,2,0))</f>
        <v>Mon</v>
      </c>
      <c r="Q6" s="8" t="str">
        <f>IF(Q$5="","",VLOOKUP(WEEKDAY(DATE($A$2,$A$3+$A$1-1,Q5),2),Sheet3!$D$1:$E$7,2,0))</f>
        <v>Tue</v>
      </c>
      <c r="R6" s="8" t="str">
        <f>IF(R$5="","",VLOOKUP(WEEKDAY(DATE($A$2,$A$3+$A$1-1,R5),2),Sheet3!$D$1:$E$7,2,0))</f>
        <v>Wed</v>
      </c>
      <c r="S6" s="8" t="str">
        <f>IF(S$5="","",VLOOKUP(WEEKDAY(DATE($A$2,$A$3+$A$1-1,S5),2),Sheet3!$D$1:$E$7,2,0))</f>
        <v>Thu</v>
      </c>
      <c r="T6" s="8" t="str">
        <f>IF(T$5="","",VLOOKUP(WEEKDAY(DATE($A$2,$A$3+$A$1-1,T5),2),Sheet3!$D$1:$E$7,2,0))</f>
        <v>Fri</v>
      </c>
      <c r="U6" s="8" t="str">
        <f>IF(U$5="","",VLOOKUP(WEEKDAY(DATE($A$2,$A$3+$A$1-1,U5),2),Sheet3!$D$1:$E$7,2,0))</f>
        <v>Sat</v>
      </c>
      <c r="V6" s="8" t="str">
        <f>IF(V$5="","",VLOOKUP(WEEKDAY(DATE($A$2,$A$3+$A$1-1,V5),2),Sheet3!$D$1:$E$7,2,0))</f>
        <v>Sun</v>
      </c>
      <c r="W6" s="8" t="str">
        <f>IF(W$5="","",VLOOKUP(WEEKDAY(DATE($A$2,$A$3+$A$1-1,W5),2),Sheet3!$D$1:$E$7,2,0))</f>
        <v>Mon</v>
      </c>
      <c r="X6" s="8" t="str">
        <f>IF(X$5="","",VLOOKUP(WEEKDAY(DATE($A$2,$A$3+$A$1-1,X5),2),Sheet3!$D$1:$E$7,2,0))</f>
        <v>Tue</v>
      </c>
      <c r="Y6" s="8" t="str">
        <f>IF(Y$5="","",VLOOKUP(WEEKDAY(DATE($A$2,$A$3+$A$1-1,Y5),2),Sheet3!$D$1:$E$7,2,0))</f>
        <v>Wed</v>
      </c>
      <c r="Z6" s="8" t="str">
        <f>IF(Z$5="","",VLOOKUP(WEEKDAY(DATE($A$2,$A$3+$A$1-1,Z5),2),Sheet3!$D$1:$E$7,2,0))</f>
        <v>Thu</v>
      </c>
      <c r="AA6" s="8" t="str">
        <f>IF(AA$5="","",VLOOKUP(WEEKDAY(DATE($A$2,$A$3+$A$1-1,AA5),2),Sheet3!$D$1:$E$7,2,0))</f>
        <v>Fri</v>
      </c>
      <c r="AB6" s="8" t="str">
        <f>IF(AB$5="","",VLOOKUP(WEEKDAY(DATE($A$2,$A$3+$A$1-1,AB5),2),Sheet3!$D$1:$E$7,2,0))</f>
        <v>Sat</v>
      </c>
      <c r="AC6" s="8" t="str">
        <f>IF(AC$5="","",VLOOKUP(WEEKDAY(DATE($A$2,$A$3+$A$1-1,AC5),2),Sheet3!$D$1:$E$7,2,0))</f>
        <v>Sun</v>
      </c>
      <c r="AD6" s="8" t="str">
        <f>IF(AD$5="","",VLOOKUP(WEEKDAY(DATE($A$2,$A$3+$A$1-1,AD5),2),Sheet3!$D$1:$E$7,2,0))</f>
        <v>Mon</v>
      </c>
      <c r="AE6" s="8" t="str">
        <f>IF(AE$5="","",VLOOKUP(WEEKDAY(DATE($A$2,$A$3+$A$1-1,AE5),2),Sheet3!$D$1:$E$7,2,0))</f>
        <v>Tue</v>
      </c>
      <c r="AF6" s="8" t="str">
        <f>IF(AF$5="","",VLOOKUP(WEEKDAY(DATE($A$2,$A$3+$A$1-1,AF5),2),Sheet3!$D$1:$E$7,2,0))</f>
        <v>Wed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>Wed</v>
      </c>
      <c r="NJ6" s="90"/>
      <c r="NK6" s="92"/>
      <c r="NL6" s="94"/>
      <c r="NM6" s="88"/>
      <c r="NN6" s="88"/>
      <c r="NO6" s="88"/>
      <c r="NP6" s="88"/>
      <c r="NQ6" s="88"/>
      <c r="NR6" s="88"/>
      <c r="NS6" s="88"/>
      <c r="NT6" s="88"/>
      <c r="NU6" s="88"/>
      <c r="NW6" s="26" t="s">
        <v>28</v>
      </c>
      <c r="NX6" s="26" t="s">
        <v>29</v>
      </c>
    </row>
    <row r="7" spans="1:761" hidden="1" x14ac:dyDescent="0.45">
      <c r="A7" s="4" t="s">
        <v>18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73"/>
      <c r="NW7" s="1"/>
      <c r="NX7" s="1"/>
    </row>
    <row r="8" spans="1:761" x14ac:dyDescent="0.45">
      <c r="A8" s="5" t="s">
        <v>71</v>
      </c>
      <c r="B8" s="2"/>
      <c r="C8" s="2"/>
      <c r="D8" s="2"/>
      <c r="E8" s="2"/>
      <c r="F8" s="2"/>
      <c r="G8" s="2"/>
      <c r="H8" s="2"/>
      <c r="I8" s="2" t="s">
        <v>35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 t="s">
        <v>35</v>
      </c>
      <c r="CK8" s="2" t="s">
        <v>35</v>
      </c>
      <c r="CL8" s="2"/>
      <c r="CM8" s="1"/>
      <c r="CN8" s="2"/>
      <c r="CO8" s="2"/>
      <c r="CP8" s="2"/>
      <c r="CQ8" s="2" t="s">
        <v>35</v>
      </c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 t="s">
        <v>35</v>
      </c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SUMPRODUCT((OFFSET($A8,0,31*($A$3-1)+1,1,31)&lt;&gt;"")*(IF(OFFSET($A8,0,31*($A$3-1)+1,1,31)=$NX$12,0.5,1)*(OFFSET($A$4,0,31*($A$3-1)+1,1,31))))</f>
        <v>1</v>
      </c>
      <c r="NK8" s="20">
        <f t="array" aca="1" ref="NK8" ca="1">SUMPRODUCT((OFFSET($A8,0,1,1,372)&lt;&gt;"")*(IF(OFFSET($A8,0,1,1,372)=$NX$12,0.5,1)*(OFFSET($A$3,0,1,1,372))))</f>
        <v>5</v>
      </c>
      <c r="NL8" s="28">
        <f t="array" aca="1" ref="NL8" ca="1">SUMPRODUCT((OFFSET($A8,0,31*($A$4)+DAY(Holidays!$E$2),1,Holidays!$G$2)&lt;&gt;"")*(IF(OFFSET($A8,0,31*($A$4)+DAY(Holidays!$E$2),1,Holidays!$G$2)=$NX$12,0.5,1)*(OFFSET($A$3,0,31*($A$4)+DAY(Holidays!$E$2),1,Holidays!$G$2))))</f>
        <v>3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NX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NX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8" s="24" t="s">
        <v>32</v>
      </c>
      <c r="NX8" s="25" t="s">
        <v>33</v>
      </c>
    </row>
    <row r="9" spans="1:761" x14ac:dyDescent="0.45">
      <c r="A9" s="5" t="s">
        <v>42</v>
      </c>
      <c r="B9" s="2"/>
      <c r="C9" s="2"/>
      <c r="D9" s="2"/>
      <c r="E9" s="2"/>
      <c r="F9" s="2"/>
      <c r="G9" s="2"/>
      <c r="H9" s="2"/>
      <c r="I9" s="2" t="s">
        <v>35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 t="s">
        <v>35</v>
      </c>
      <c r="CK9" s="2" t="s">
        <v>35</v>
      </c>
      <c r="CL9" s="2"/>
      <c r="CM9" s="2"/>
      <c r="CN9" s="2"/>
      <c r="CO9" s="2"/>
      <c r="CP9" s="2"/>
      <c r="CQ9" s="2" t="s">
        <v>35</v>
      </c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 t="s">
        <v>35</v>
      </c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SUMPRODUCT((OFFSET($A9,0,31*($A$3-1)+1,1,31)&lt;&gt;"")*(IF(OFFSET($A9,0,31*($A$3-1)+1,1,31)=$NX$12,0.5,1)*(OFFSET($A$4,0,31*($A$3-1)+1,1,31))))</f>
        <v>1</v>
      </c>
      <c r="NK9" s="20">
        <f t="array" aca="1" ref="NK9" ca="1">SUMPRODUCT((OFFSET($A9,0,1,1,372)&lt;&gt;"")*(IF(OFFSET($A9,0,1,1,372)=$NX$12,0.5,1)*(OFFSET($A$3,0,1,1,372))))</f>
        <v>5</v>
      </c>
      <c r="NL9" s="28">
        <f t="array" aca="1" ref="NL9" ca="1">SUMPRODUCT((OFFSET($A9,0,31*($A$4)+DAY(Holidays!$E$2),1,Holidays!$G$2)&lt;&gt;"")*(IF(OFFSET($A9,0,31*($A$4)+DAY(Holidays!$E$2),1,Holidays!$G$2)=$NX$12,0.5,1)*(OFFSET($A$3,0,31*($A$4)+DAY(Holidays!$E$2),1,Holidays!$G$2))))</f>
        <v>3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NX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NX$12,0.5,1)*(OFFSET($A$3,0,31*($A$4)+DAY(VLOOKUP(NN$5,Sprints[],2,FALSE)),1,VLOOKUP(NN$5,Sprints[],4,FALSE)))))</f>
        <v>0</v>
      </c>
      <c r="NO9" s="52">
        <f t="array" aca="1" ref="NO9" ca="1">SUMPRODUCT((OFFSET($A9,0,31*(VLOOKUP(NO$5,Sprints[],5,FALSE))+DAY(VLOOKUP(NO$5,Sprints[],2,FALSE)),1,VLOOKUP(NO$5,Sprints[],4,FALSE))&lt;&gt;"")*(IF(OFFSET($A9,0,31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9" s="18" t="s">
        <v>45</v>
      </c>
      <c r="NX9" s="25" t="s">
        <v>46</v>
      </c>
    </row>
    <row r="10" spans="1:761" x14ac:dyDescent="0.45">
      <c r="A10" s="5" t="s">
        <v>64</v>
      </c>
      <c r="B10" s="2"/>
      <c r="C10" s="2"/>
      <c r="D10" s="2"/>
      <c r="E10" s="2"/>
      <c r="F10" s="2"/>
      <c r="G10" s="2"/>
      <c r="H10" s="2"/>
      <c r="I10" s="2" t="s">
        <v>35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 t="s">
        <v>35</v>
      </c>
      <c r="CK10" s="2" t="s">
        <v>35</v>
      </c>
      <c r="CL10" s="2"/>
      <c r="CM10" s="2"/>
      <c r="CN10" s="2"/>
      <c r="CO10" s="2"/>
      <c r="CP10" s="2"/>
      <c r="CQ10" s="2" t="s">
        <v>35</v>
      </c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 t="s">
        <v>35</v>
      </c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SUMPRODUCT((OFFSET($A10,0,31*($A$3-1)+1,1,31)&lt;&gt;"")*(IF(OFFSET($A10,0,31*($A$3-1)+1,1,31)=$NX$12,0.5,1)*(OFFSET($A$4,0,31*($A$3-1)+1,1,31))))</f>
        <v>1</v>
      </c>
      <c r="NK10" s="20">
        <f t="array" aca="1" ref="NK10" ca="1">SUMPRODUCT((OFFSET($A10,0,1,1,372)&lt;&gt;"")*(IF(OFFSET($A10,0,1,1,372)=$NX$12,0.5,1)*(OFFSET($A$3,0,1,1,372))))</f>
        <v>5</v>
      </c>
      <c r="NL10" s="28">
        <f t="array" aca="1" ref="NL10" ca="1">SUMPRODUCT((OFFSET($A10,0,31*($A$4)+DAY(Holidays!$E$2),1,Holidays!$G$2)&lt;&gt;"")*(IF(OFFSET($A10,0,31*($A$4)+DAY(Holidays!$E$2),1,Holidays!$G$2)=$NX$12,0.5,1)*(OFFSET($A$3,0,31*($A$4)+DAY(Holidays!$E$2),1,Holidays!$G$2))))</f>
        <v>3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NX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NX$12,0.5,1)*(OFFSET($A$3,0,31*($A$4)+DAY(VLOOKUP(NN$5,Sprints[],2,FALSE)),1,VLOOKUP(NN$5,Sprints[],4,FALSE)))))</f>
        <v>0</v>
      </c>
      <c r="NO10" s="52">
        <f t="array" aca="1" ref="NO10" ca="1">SUMPRODUCT((OFFSET($A10,0,31*(VLOOKUP(NO$5,Sprints[],5,FALSE))+DAY(VLOOKUP(NO$5,Sprints[],2,FALSE)),1,VLOOKUP(NO$5,Sprints[],4,FALSE))&lt;&gt;"")*(IF(OFFSET($A10,0,31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10" s="18" t="s">
        <v>48</v>
      </c>
      <c r="NX10" s="25" t="s">
        <v>47</v>
      </c>
    </row>
    <row r="11" spans="1:761" x14ac:dyDescent="0.45">
      <c r="A11" s="5" t="s">
        <v>81</v>
      </c>
      <c r="B11" s="2"/>
      <c r="C11" s="2"/>
      <c r="D11" s="2"/>
      <c r="E11" s="2"/>
      <c r="F11" s="2"/>
      <c r="G11" s="2"/>
      <c r="H11" s="2"/>
      <c r="I11" s="2" t="s">
        <v>35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 t="s">
        <v>35</v>
      </c>
      <c r="CK11" s="2" t="s">
        <v>35</v>
      </c>
      <c r="CL11" s="2"/>
      <c r="CM11" s="2"/>
      <c r="CN11" s="2"/>
      <c r="CO11" s="2"/>
      <c r="CP11" s="2"/>
      <c r="CQ11" s="2" t="s">
        <v>35</v>
      </c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 t="s">
        <v>35</v>
      </c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SUMPRODUCT((OFFSET($A11,0,31*($A$3-1)+1,1,31)&lt;&gt;"")*(IF(OFFSET($A11,0,31*($A$3-1)+1,1,31)=$NX$12,0.5,1)*(OFFSET($A$4,0,31*($A$3-1)+1,1,31))))</f>
        <v>1</v>
      </c>
      <c r="NK11" s="20">
        <f t="array" aca="1" ref="NK11" ca="1">SUMPRODUCT((OFFSET($A11,0,1,1,372)&lt;&gt;"")*(IF(OFFSET($A11,0,1,1,372)=$NX$12,0.5,1)*(OFFSET($A$3,0,1,1,372))))</f>
        <v>5</v>
      </c>
      <c r="NL11" s="28">
        <f t="array" aca="1" ref="NL11" ca="1">SUMPRODUCT((OFFSET($A11,0,31*($A$4)+DAY(Holidays!$E$2),1,Holidays!$G$2)&lt;&gt;"")*(IF(OFFSET($A11,0,31*($A$4)+DAY(Holidays!$E$2),1,Holidays!$G$2)=$NX$12,0.5,1)*(OFFSET($A$3,0,31*($A$4)+DAY(Holidays!$E$2),1,Holidays!$G$2))))</f>
        <v>3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NX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NX$12,0.5,1)*(OFFSET($A$3,0,31*($A$4)+DAY(VLOOKUP(NN$5,Sprints[],2,FALSE)),1,VLOOKUP(NN$5,Sprints[],4,FALSE)))))</f>
        <v>0</v>
      </c>
      <c r="NO11" s="52">
        <f t="array" aca="1" ref="NO11" ca="1">SUMPRODUCT((OFFSET($A11,0,31*(VLOOKUP(NO$5,Sprints[],5,FALSE))+DAY(VLOOKUP(NO$5,Sprints[],2,FALSE)),1,VLOOKUP(NO$5,Sprints[],4,FALSE))&lt;&gt;"")*(IF(OFFSET($A11,0,31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11" s="24" t="s">
        <v>34</v>
      </c>
      <c r="NX11" s="25" t="s">
        <v>35</v>
      </c>
    </row>
    <row r="12" spans="1:761" x14ac:dyDescent="0.45">
      <c r="A12" s="5" t="s">
        <v>65</v>
      </c>
      <c r="B12" s="2"/>
      <c r="C12" s="2"/>
      <c r="D12" s="2"/>
      <c r="E12" s="2"/>
      <c r="F12" s="2"/>
      <c r="G12" s="2"/>
      <c r="H12" s="2"/>
      <c r="I12" s="2" t="s">
        <v>35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 t="s">
        <v>35</v>
      </c>
      <c r="CK12" s="2" t="s">
        <v>35</v>
      </c>
      <c r="CL12" s="2"/>
      <c r="CM12" s="2"/>
      <c r="CN12" s="2"/>
      <c r="CO12" s="2"/>
      <c r="CP12" s="2"/>
      <c r="CQ12" s="2" t="s">
        <v>35</v>
      </c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 t="s">
        <v>35</v>
      </c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SUMPRODUCT((OFFSET($A12,0,31*($A$3-1)+1,1,31)&lt;&gt;"")*(IF(OFFSET($A12,0,31*($A$3-1)+1,1,31)=$NX$12,0.5,1)*(OFFSET($A$4,0,31*($A$3-1)+1,1,31))))</f>
        <v>1</v>
      </c>
      <c r="NK12" s="20">
        <f t="array" aca="1" ref="NK12" ca="1">SUMPRODUCT((OFFSET($A12,0,1,1,372)&lt;&gt;"")*(IF(OFFSET($A12,0,1,1,372)=$NX$12,0.5,1)*(OFFSET($A$3,0,1,1,372))))</f>
        <v>5</v>
      </c>
      <c r="NL12" s="28">
        <f t="array" aca="1" ref="NL12" ca="1">SUMPRODUCT((OFFSET($A12,0,31*($A$4)+DAY(Holidays!$E$2),1,Holidays!$G$2)&lt;&gt;"")*(IF(OFFSET($A12,0,31*($A$4)+DAY(Holidays!$E$2),1,Holidays!$G$2)=$NX$12,0.5,1)*(OFFSET($A$3,0,31*($A$4)+DAY(Holidays!$E$2),1,Holidays!$G$2))))</f>
        <v>3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NX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NX$12,0.5,1)*(OFFSET($A$3,0,31*($A$4)+DAY(VLOOKUP(NN$5,Sprints[],2,FALSE)),1,VLOOKUP(NN$5,Sprints[],4,FALSE)))))</f>
        <v>0</v>
      </c>
      <c r="NO12" s="52">
        <f t="array" aca="1" ref="NO12" ca="1">SUMPRODUCT((OFFSET($A12,0,31*(VLOOKUP(NO$5,Sprints[],5,FALSE))+DAY(VLOOKUP(NO$5,Sprints[],2,FALSE)),1,VLOOKUP(NO$5,Sprints[],4,FALSE))&lt;&gt;"")*(IF(OFFSET($A12,0,31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12" s="18" t="s">
        <v>30</v>
      </c>
      <c r="NX12" s="25" t="s">
        <v>31</v>
      </c>
    </row>
    <row r="13" spans="1:761" s="45" customFormat="1" x14ac:dyDescent="0.45">
      <c r="A13" s="5" t="s">
        <v>77</v>
      </c>
      <c r="B13" s="2"/>
      <c r="C13" s="2"/>
      <c r="D13" s="2"/>
      <c r="E13" s="2"/>
      <c r="F13" s="2"/>
      <c r="G13" s="2"/>
      <c r="H13" s="2"/>
      <c r="I13" s="2" t="s">
        <v>35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 t="s">
        <v>35</v>
      </c>
      <c r="CK13" s="2" t="s">
        <v>35</v>
      </c>
      <c r="CL13" s="2"/>
      <c r="CM13" s="2"/>
      <c r="CN13" s="2"/>
      <c r="CO13" s="2"/>
      <c r="CP13" s="2"/>
      <c r="CQ13" s="2" t="s">
        <v>35</v>
      </c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 t="s">
        <v>35</v>
      </c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SUMPRODUCT((OFFSET($A13,0,31*($A$3-1)+1,1,31)&lt;&gt;"")*(IF(OFFSET($A13,0,31*($A$3-1)+1,1,31)=$NX$12,0.5,1)*(OFFSET($A$4,0,31*($A$3-1)+1,1,31))))</f>
        <v>1</v>
      </c>
      <c r="NK13" s="20">
        <f t="array" aca="1" ref="NK13" ca="1">SUMPRODUCT((OFFSET($A13,0,1,1,372)&lt;&gt;"")*(IF(OFFSET($A13,0,1,1,372)=$NX$12,0.5,1)*(OFFSET($A$3,0,1,1,372))))</f>
        <v>5</v>
      </c>
      <c r="NL13" s="28">
        <f t="array" aca="1" ref="NL13" ca="1">SUMPRODUCT((OFFSET($A13,0,31*($A$4)+DAY(Holidays!$E$2),1,Holidays!$G$2)&lt;&gt;"")*(IF(OFFSET($A13,0,31*($A$4)+DAY(Holidays!$E$2),1,Holidays!$G$2)=$NX$12,0.5,1)*(OFFSET($A$3,0,31*($A$4)+DAY(Holidays!$E$2),1,Holidays!$G$2))))</f>
        <v>3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NX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NX$12,0.5,1)*(OFFSET($A$3,0,31*($A$4)+DAY(VLOOKUP(NN$5,Sprints[],2,FALSE)),1,VLOOKUP(NN$5,Sprints[],4,FALSE)))))</f>
        <v>0</v>
      </c>
      <c r="NO13" s="52">
        <f t="array" aca="1" ref="NO13" ca="1">SUMPRODUCT((OFFSET($A13,0,31*(VLOOKUP(NO$5,Sprints[],5,FALSE))+DAY(VLOOKUP(NO$5,Sprints[],2,FALSE)),1,VLOOKUP(NO$5,Sprints[],4,FALSE))&lt;&gt;"")*(IF(OFFSET($A13,0,31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13" s="61"/>
      <c r="NX13" s="62"/>
    </row>
    <row r="14" spans="1:761" x14ac:dyDescent="0.45">
      <c r="A14" s="5" t="s">
        <v>78</v>
      </c>
      <c r="B14" s="2"/>
      <c r="C14" s="2"/>
      <c r="D14" s="2"/>
      <c r="E14" s="2"/>
      <c r="F14" s="2"/>
      <c r="G14" s="2"/>
      <c r="H14" s="2"/>
      <c r="I14" s="2" t="s">
        <v>35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 t="s">
        <v>35</v>
      </c>
      <c r="CK14" s="2" t="s">
        <v>35</v>
      </c>
      <c r="CL14" s="2"/>
      <c r="CM14" s="2"/>
      <c r="CN14" s="2"/>
      <c r="CO14" s="2"/>
      <c r="CP14" s="2"/>
      <c r="CQ14" s="2" t="s">
        <v>35</v>
      </c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 t="s">
        <v>35</v>
      </c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SUMPRODUCT((OFFSET($A14,0,31*($A$3-1)+1,1,31)&lt;&gt;"")*(IF(OFFSET($A14,0,31*($A$3-1)+1,1,31)=$NX$12,0.5,1)*(OFFSET($A$4,0,31*($A$3-1)+1,1,31))))</f>
        <v>1</v>
      </c>
      <c r="NK14" s="20">
        <f t="array" aca="1" ref="NK14" ca="1">SUMPRODUCT((OFFSET($A14,0,1,1,372)&lt;&gt;"")*(IF(OFFSET($A14,0,1,1,372)=$NX$12,0.5,1)*(OFFSET($A$3,0,1,1,372))))</f>
        <v>5</v>
      </c>
      <c r="NL14" s="28">
        <f t="array" aca="1" ref="NL14" ca="1">SUMPRODUCT((OFFSET($A14,0,31*($A$4)+DAY(Holidays!$E$2),1,Holidays!$G$2)&lt;&gt;"")*(IF(OFFSET($A14,0,31*($A$4)+DAY(Holidays!$E$2),1,Holidays!$G$2)=$NX$12,0.5,1)*(OFFSET($A$3,0,31*($A$4)+DAY(Holidays!$E$2),1,Holidays!$G$2))))</f>
        <v>3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NX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NX$12,0.5,1)*(OFFSET($A$3,0,31*($A$4)+DAY(VLOOKUP(NN$5,Sprints[],2,FALSE)),1,VLOOKUP(NN$5,Sprints[],4,FALSE)))))</f>
        <v>0</v>
      </c>
      <c r="NO14" s="52">
        <f t="array" aca="1" ref="NO14" ca="1">SUMPRODUCT((OFFSET($A14,0,31*(VLOOKUP(NO$5,Sprints[],5,FALSE))+DAY(VLOOKUP(NO$5,Sprints[],2,FALSE)),1,VLOOKUP(NO$5,Sprints[],4,FALSE))&lt;&gt;"")*(IF(OFFSET($A14,0,31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15" spans="1:761" x14ac:dyDescent="0.45">
      <c r="A15" s="5" t="s">
        <v>80</v>
      </c>
      <c r="B15" s="2"/>
      <c r="C15" s="2"/>
      <c r="D15" s="2"/>
      <c r="E15" s="2"/>
      <c r="F15" s="2"/>
      <c r="G15" s="2"/>
      <c r="H15" s="2"/>
      <c r="I15" s="2" t="s">
        <v>35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 t="s">
        <v>35</v>
      </c>
      <c r="CK15" s="2" t="s">
        <v>35</v>
      </c>
      <c r="CL15" s="2"/>
      <c r="CM15" s="2"/>
      <c r="CN15" s="2"/>
      <c r="CO15" s="2"/>
      <c r="CP15" s="2"/>
      <c r="CQ15" s="2" t="s">
        <v>35</v>
      </c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 t="s">
        <v>35</v>
      </c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SUMPRODUCT((OFFSET($A15,0,31*($A$3-1)+1,1,31)&lt;&gt;"")*(IF(OFFSET($A15,0,31*($A$3-1)+1,1,31)=$NX$12,0.5,1)*(OFFSET($A$4,0,31*($A$3-1)+1,1,31))))</f>
        <v>1</v>
      </c>
      <c r="NK15" s="20">
        <f t="array" aca="1" ref="NK15" ca="1">SUMPRODUCT((OFFSET($A15,0,1,1,372)&lt;&gt;"")*(IF(OFFSET($A15,0,1,1,372)=$NX$12,0.5,1)*(OFFSET($A$3,0,1,1,372))))</f>
        <v>5</v>
      </c>
      <c r="NL15" s="28">
        <f t="array" aca="1" ref="NL15" ca="1">SUMPRODUCT((OFFSET($A15,0,31*($A$4)+DAY(Holidays!$E$2),1,Holidays!$G$2)&lt;&gt;"")*(IF(OFFSET($A15,0,31*($A$4)+DAY(Holidays!$E$2),1,Holidays!$G$2)=$NX$12,0.5,1)*(OFFSET($A$3,0,31*($A$4)+DAY(Holidays!$E$2),1,Holidays!$G$2))))</f>
        <v>3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NX$12,0.5,1)*(OFFSET($A$3,0,31*($A$4)+DAY(VLOOKUP(NM$5,Sprints[],2,FALSE)),1,VLOOKUP(NM$5,Sprints[],4,FALSE)))))</f>
        <v>0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NX$12,0.5,1)*(OFFSET($A$3,0,31*($A$4)+DAY(VLOOKUP(NN$5,Sprints[],2,FALSE)),1,VLOOKUP(NN$5,Sprints[],4,FALSE)))))</f>
        <v>0</v>
      </c>
      <c r="NO15" s="52">
        <f t="array" aca="1" ref="NO15" ca="1">SUMPRODUCT((OFFSET($A15,0,31*(VLOOKUP(NO$5,Sprints[],5,FALSE))+DAY(VLOOKUP(NO$5,Sprints[],2,FALSE)),1,VLOOKUP(NO$5,Sprints[],4,FALSE))&lt;&gt;"")*(IF(OFFSET($A15,0,31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16" spans="1:761" x14ac:dyDescent="0.45">
      <c r="A16" s="1" t="s">
        <v>41</v>
      </c>
      <c r="B16" s="2"/>
      <c r="C16" s="2"/>
      <c r="D16" s="2"/>
      <c r="E16" s="2"/>
      <c r="F16" s="2"/>
      <c r="G16" s="2"/>
      <c r="H16" s="2"/>
      <c r="I16" s="2" t="s">
        <v>35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35</v>
      </c>
      <c r="CK16" s="2" t="s">
        <v>35</v>
      </c>
      <c r="CL16" s="2"/>
      <c r="CM16" s="2"/>
      <c r="CN16" s="2"/>
      <c r="CO16" s="2"/>
      <c r="CP16" s="2"/>
      <c r="CQ16" s="2" t="s">
        <v>35</v>
      </c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 t="s">
        <v>35</v>
      </c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SUMPRODUCT((OFFSET($A16,0,31*($A$3-1)+1,1,31)&lt;&gt;"")*(IF(OFFSET($A16,0,31*($A$3-1)+1,1,31)=$NX$12,0.5,1)*(OFFSET($A$4,0,31*($A$3-1)+1,1,31))))</f>
        <v>1</v>
      </c>
      <c r="NK16" s="20">
        <f t="array" aca="1" ref="NK16" ca="1">SUMPRODUCT((OFFSET($A16,0,1,1,372)&lt;&gt;"")*(IF(OFFSET($A16,0,1,1,372)=$NX$12,0.5,1)*(OFFSET($A$3,0,1,1,372))))</f>
        <v>5</v>
      </c>
      <c r="NL16" s="28">
        <f t="array" aca="1" ref="NL16" ca="1">SUMPRODUCT((OFFSET($A16,0,31*($A$4)+DAY(Holidays!$E$2),1,Holidays!$G$2)&lt;&gt;"")*(IF(OFFSET($A16,0,31*($A$4)+DAY(Holidays!$E$2),1,Holidays!$G$2)=$NX$12,0.5,1)*(OFFSET($A$3,0,31*($A$4)+DAY(Holidays!$E$2),1,Holidays!$G$2))))</f>
        <v>3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NX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NX$12,0.5,1)*(OFFSET($A$3,0,31*($A$4)+DAY(VLOOKUP(NN$5,Sprints[],2,FALSE)),1,VLOOKUP(NN$5,Sprints[],4,FALSE)))))</f>
        <v>0</v>
      </c>
      <c r="NO16" s="52">
        <f t="array" aca="1" ref="NO16" ca="1">SUMPRODUCT((OFFSET($A16,0,31*(VLOOKUP(NO$5,Sprints[],5,FALSE))+DAY(VLOOKUP(NO$5,Sprints[],2,FALSE)),1,VLOOKUP(NO$5,Sprints[],4,FALSE))&lt;&gt;"")*(IF(OFFSET($A16,0,31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16" s="17" t="s">
        <v>23</v>
      </c>
      <c r="NX16" s="17"/>
    </row>
    <row r="17" spans="1:388" x14ac:dyDescent="0.45">
      <c r="A17" s="1" t="s">
        <v>75</v>
      </c>
      <c r="B17" s="2"/>
      <c r="C17" s="2"/>
      <c r="D17" s="2"/>
      <c r="E17" s="2"/>
      <c r="F17" s="2"/>
      <c r="G17" s="2"/>
      <c r="H17" s="2"/>
      <c r="I17" s="2" t="s">
        <v>35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 t="s">
        <v>35</v>
      </c>
      <c r="CK17" s="2" t="s">
        <v>35</v>
      </c>
      <c r="CL17" s="2"/>
      <c r="CM17" s="2"/>
      <c r="CN17" s="2"/>
      <c r="CO17" s="2"/>
      <c r="CP17" s="2"/>
      <c r="CQ17" s="2" t="s">
        <v>35</v>
      </c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 t="s">
        <v>35</v>
      </c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SUMPRODUCT((OFFSET($A17,0,31*($A$3-1)+1,1,31)&lt;&gt;"")*(IF(OFFSET($A17,0,31*($A$3-1)+1,1,31)=$NX$12,0.5,1)*(OFFSET($A$4,0,31*($A$3-1)+1,1,31))))</f>
        <v>1</v>
      </c>
      <c r="NK17" s="20">
        <f t="array" aca="1" ref="NK17" ca="1">SUMPRODUCT((OFFSET($A17,0,1,1,372)&lt;&gt;"")*(IF(OFFSET($A17,0,1,1,372)=$NX$12,0.5,1)*(OFFSET($A$3,0,1,1,372))))</f>
        <v>5</v>
      </c>
      <c r="NL17" s="28">
        <f t="array" aca="1" ref="NL17" ca="1">SUMPRODUCT((OFFSET($A17,0,31*($A$4)+DAY(Holidays!$E$2),1,Holidays!$G$2)&lt;&gt;"")*(IF(OFFSET($A17,0,31*($A$4)+DAY(Holidays!$E$2),1,Holidays!$G$2)=$NX$12,0.5,1)*(OFFSET($A$3,0,31*($A$4)+DAY(Holidays!$E$2),1,Holidays!$G$2))))</f>
        <v>3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NX$12,0.5,1)*(OFFSET($A$3,0,31*($A$4)+DAY(VLOOKUP(NM$5,Sprints[],2,FALSE)),1,VLOOKUP(NM$5,Sprints[],4,FALSE)))))</f>
        <v>0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NX$12,0.5,1)*(OFFSET($A$3,0,31*($A$4)+DAY(VLOOKUP(NN$5,Sprints[],2,FALSE)),1,VLOOKUP(NN$5,Sprints[],4,FALSE)))))</f>
        <v>0</v>
      </c>
      <c r="NO17" s="52">
        <f t="array" aca="1" ref="NO17" ca="1">SUMPRODUCT((OFFSET($A17,0,31*(VLOOKUP(NO$5,Sprints[],5,FALSE))+DAY(VLOOKUP(NO$5,Sprints[],2,FALSE)),1,VLOOKUP(NO$5,Sprints[],4,FALSE))&lt;&gt;"")*(IF(OFFSET($A17,0,31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17" s="16" t="s">
        <v>11</v>
      </c>
      <c r="NX17" s="16" t="s">
        <v>25</v>
      </c>
    </row>
    <row r="18" spans="1:388" x14ac:dyDescent="0.45">
      <c r="A18" s="1" t="s">
        <v>126</v>
      </c>
      <c r="B18" s="2"/>
      <c r="C18" s="2"/>
      <c r="D18" s="2"/>
      <c r="E18" s="2"/>
      <c r="F18" s="2"/>
      <c r="G18" s="2"/>
      <c r="H18" s="2"/>
      <c r="I18" s="2" t="s">
        <v>35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 t="s">
        <v>35</v>
      </c>
      <c r="CK18" s="2" t="s">
        <v>35</v>
      </c>
      <c r="CL18" s="2"/>
      <c r="CM18" s="2"/>
      <c r="CN18" s="2"/>
      <c r="CO18" s="2"/>
      <c r="CP18" s="2"/>
      <c r="CQ18" s="2" t="s">
        <v>35</v>
      </c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 t="s">
        <v>35</v>
      </c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SUMPRODUCT((OFFSET($A18,0,31*($A$3-1)+1,1,31)&lt;&gt;"")*(IF(OFFSET($A18,0,31*($A$3-1)+1,1,31)=$NX$12,0.5,1)*(OFFSET($A$4,0,31*($A$3-1)+1,1,31))))</f>
        <v>1</v>
      </c>
      <c r="NK18" s="20">
        <f t="array" aca="1" ref="NK18" ca="1">SUMPRODUCT((OFFSET($A18,0,1,1,372)&lt;&gt;"")*(IF(OFFSET($A18,0,1,1,372)=$NX$12,0.5,1)*(OFFSET($A$3,0,1,1,372))))</f>
        <v>5</v>
      </c>
      <c r="NL18" s="28">
        <f t="array" aca="1" ref="NL18" ca="1">SUMPRODUCT((OFFSET($A18,0,31*($A$4)+DAY(Holidays!$E$2),1,Holidays!$G$2)&lt;&gt;"")*(IF(OFFSET($A18,0,31*($A$4)+DAY(Holidays!$E$2),1,Holidays!$G$2)=$NX$12,0.5,1)*(OFFSET($A$3,0,31*($A$4)+DAY(Holidays!$E$2),1,Holidays!$G$2))))</f>
        <v>3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NX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NX$12,0.5,1)*(OFFSET($A$3,0,31*($A$4)+DAY(VLOOKUP(NN$5,Sprints[],2,FALSE)),1,VLOOKUP(NN$5,Sprints[],4,FALSE)))))</f>
        <v>0</v>
      </c>
      <c r="NO18" s="52">
        <f t="array" aca="1" ref="NO18" ca="1">SUMPRODUCT((OFFSET($A18,0,31*(VLOOKUP(NO$5,Sprints[],5,FALSE))+DAY(VLOOKUP(NO$5,Sprints[],2,FALSE)),1,VLOOKUP(NO$5,Sprints[],4,FALSE))&lt;&gt;"")*(IF(OFFSET($A18,0,31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18" s="16" t="s">
        <v>12</v>
      </c>
      <c r="NX18" s="16" t="s">
        <v>25</v>
      </c>
    </row>
    <row r="19" spans="1:388" x14ac:dyDescent="0.45">
      <c r="A19" s="1" t="s">
        <v>43</v>
      </c>
      <c r="B19" s="2"/>
      <c r="C19" s="2"/>
      <c r="D19" s="2"/>
      <c r="E19" s="2"/>
      <c r="F19" s="2"/>
      <c r="G19" s="2"/>
      <c r="H19" s="2"/>
      <c r="I19" s="2" t="s">
        <v>35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 t="s">
        <v>35</v>
      </c>
      <c r="CK19" s="2" t="s">
        <v>35</v>
      </c>
      <c r="CL19" s="1"/>
      <c r="CM19" s="1"/>
      <c r="CN19" s="2"/>
      <c r="CO19" s="2"/>
      <c r="CP19" s="2"/>
      <c r="CQ19" s="2" t="s">
        <v>35</v>
      </c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 t="s">
        <v>35</v>
      </c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SUMPRODUCT((OFFSET($A19,0,31*($A$3-1)+1,1,31)&lt;&gt;"")*(IF(OFFSET($A19,0,31*($A$3-1)+1,1,31)=$NX$12,0.5,1)*(OFFSET($A$4,0,31*($A$3-1)+1,1,31))))</f>
        <v>1</v>
      </c>
      <c r="NK19" s="20">
        <f t="array" aca="1" ref="NK19" ca="1">SUMPRODUCT((OFFSET($A19,0,1,1,372)&lt;&gt;"")*(IF(OFFSET($A19,0,1,1,372)=$NX$12,0.5,1)*(OFFSET($A$3,0,1,1,372))))</f>
        <v>5</v>
      </c>
      <c r="NL19" s="28">
        <f t="array" aca="1" ref="NL19" ca="1">SUMPRODUCT((OFFSET($A19,0,31*($A$4)+DAY(Holidays!$E$2),1,Holidays!$G$2)&lt;&gt;"")*(IF(OFFSET($A19,0,31*($A$4)+DAY(Holidays!$E$2),1,Holidays!$G$2)=$NX$12,0.5,1)*(OFFSET($A$3,0,31*($A$4)+DAY(Holidays!$E$2),1,Holidays!$G$2))))</f>
        <v>3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NX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NX$12,0.5,1)*(OFFSET($A$3,0,31*($A$4)+DAY(VLOOKUP(NN$5,Sprints[],2,FALSE)),1,VLOOKUP(NN$5,Sprints[],4,FALSE)))))</f>
        <v>0</v>
      </c>
      <c r="NO19" s="52">
        <f t="array" aca="1" ref="NO19" ca="1">SUMPRODUCT((OFFSET($A19,0,31*(VLOOKUP(NO$5,Sprints[],5,FALSE))+DAY(VLOOKUP(NO$5,Sprints[],2,FALSE)),1,VLOOKUP(NO$5,Sprints[],4,FALSE))&lt;&gt;"")*(IF(OFFSET($A19,0,31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19" s="16" t="s">
        <v>13</v>
      </c>
      <c r="NX19" s="16" t="s">
        <v>25</v>
      </c>
    </row>
    <row r="20" spans="1:388" x14ac:dyDescent="0.45">
      <c r="A20" s="1" t="s">
        <v>66</v>
      </c>
      <c r="B20" s="2"/>
      <c r="C20" s="2"/>
      <c r="D20" s="2"/>
      <c r="E20" s="2"/>
      <c r="F20" s="2"/>
      <c r="G20" s="2"/>
      <c r="H20" s="2"/>
      <c r="I20" s="2" t="s">
        <v>35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 t="s">
        <v>35</v>
      </c>
      <c r="CK20" s="2" t="s">
        <v>35</v>
      </c>
      <c r="CL20" s="2"/>
      <c r="CM20" s="2"/>
      <c r="CN20" s="2"/>
      <c r="CO20" s="2"/>
      <c r="CP20" s="2"/>
      <c r="CQ20" s="2" t="s">
        <v>35</v>
      </c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 t="s">
        <v>35</v>
      </c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SUMPRODUCT((OFFSET($A20,0,31*($A$3-1)+1,1,31)&lt;&gt;"")*(IF(OFFSET($A20,0,31*($A$3-1)+1,1,31)=$NX$12,0.5,1)*(OFFSET($A$4,0,31*($A$3-1)+1,1,31))))</f>
        <v>1</v>
      </c>
      <c r="NK20" s="20">
        <f t="array" aca="1" ref="NK20" ca="1">SUMPRODUCT((OFFSET($A20,0,1,1,372)&lt;&gt;"")*(IF(OFFSET($A20,0,1,1,372)=$NX$12,0.5,1)*(OFFSET($A$3,0,1,1,372))))</f>
        <v>5</v>
      </c>
      <c r="NL20" s="28">
        <f t="array" aca="1" ref="NL20" ca="1">SUMPRODUCT((OFFSET($A20,0,31*($A$4)+DAY(Holidays!$E$2),1,Holidays!$G$2)&lt;&gt;"")*(IF(OFFSET($A20,0,31*($A$4)+DAY(Holidays!$E$2),1,Holidays!$G$2)=$NX$12,0.5,1)*(OFFSET($A$3,0,31*($A$4)+DAY(Holidays!$E$2),1,Holidays!$G$2))))</f>
        <v>3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NX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NX$12,0.5,1)*(OFFSET($A$3,0,31*($A$4)+DAY(VLOOKUP(NN$5,Sprints[],2,FALSE)),1,VLOOKUP(NN$5,Sprints[],4,FALSE)))))</f>
        <v>0</v>
      </c>
      <c r="NO20" s="52">
        <f t="array" aca="1" ref="NO20" ca="1">SUMPRODUCT((OFFSET($A20,0,31*(VLOOKUP(NO$5,Sprints[],5,FALSE))+DAY(VLOOKUP(NO$5,Sprints[],2,FALSE)),1,VLOOKUP(NO$5,Sprints[],4,FALSE))&lt;&gt;"")*(IF(OFFSET($A20,0,31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20" s="16" t="s">
        <v>14</v>
      </c>
      <c r="NX20" s="16" t="s">
        <v>25</v>
      </c>
    </row>
    <row r="21" spans="1:388" x14ac:dyDescent="0.45">
      <c r="A21" s="1" t="s">
        <v>158</v>
      </c>
      <c r="B21" s="2"/>
      <c r="C21" s="2"/>
      <c r="D21" s="2"/>
      <c r="E21" s="2"/>
      <c r="F21" s="2"/>
      <c r="G21" s="2"/>
      <c r="H21" s="2"/>
      <c r="I21" s="2" t="s">
        <v>35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 t="s">
        <v>35</v>
      </c>
      <c r="CK21" s="2" t="s">
        <v>35</v>
      </c>
      <c r="CL21" s="2"/>
      <c r="CM21" s="2"/>
      <c r="CN21" s="2"/>
      <c r="CO21" s="2"/>
      <c r="CP21" s="2"/>
      <c r="CQ21" s="2" t="s">
        <v>35</v>
      </c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 t="s">
        <v>35</v>
      </c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SUMPRODUCT((OFFSET($A21,0,31*($A$3-1)+1,1,31)&lt;&gt;"")*(IF(OFFSET($A21,0,31*($A$3-1)+1,1,31)=$NX$12,0.5,1)*(OFFSET($A$4,0,31*($A$3-1)+1,1,31))))</f>
        <v>1</v>
      </c>
      <c r="NK21" s="20">
        <f t="array" aca="1" ref="NK21" ca="1">SUMPRODUCT((OFFSET($A21,0,1,1,372)&lt;&gt;"")*(IF(OFFSET($A21,0,1,1,372)=$NX$12,0.5,1)*(OFFSET($A$3,0,1,1,372))))</f>
        <v>5</v>
      </c>
      <c r="NL21" s="28">
        <f t="array" aca="1" ref="NL21" ca="1">SUMPRODUCT((OFFSET($A21,0,31*($A$4)+DAY(Holidays!$E$2),1,Holidays!$G$2)&lt;&gt;"")*(IF(OFFSET($A21,0,31*($A$4)+DAY(Holidays!$E$2),1,Holidays!$G$2)=$NX$12,0.5,1)*(OFFSET($A$3,0,31*($A$4)+DAY(Holidays!$E$2),1,Holidays!$G$2))))</f>
        <v>3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NX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NX$12,0.5,1)*(OFFSET($A$3,0,31*($A$4)+DAY(VLOOKUP(NN$5,Sprints[],2,FALSE)),1,VLOOKUP(NN$5,Sprints[],4,FALSE)))))</f>
        <v>0</v>
      </c>
      <c r="NO21" s="52">
        <f t="array" aca="1" ref="NO21" ca="1">SUMPRODUCT((OFFSET($A21,0,31*(VLOOKUP(NO$5,Sprints[],5,FALSE))+DAY(VLOOKUP(NO$5,Sprints[],2,FALSE)),1,VLOOKUP(NO$5,Sprints[],4,FALSE))&lt;&gt;"")*(IF(OFFSET($A21,0,31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21" s="16" t="s">
        <v>15</v>
      </c>
      <c r="NX21" s="16" t="s">
        <v>25</v>
      </c>
    </row>
    <row r="22" spans="1:388" x14ac:dyDescent="0.45">
      <c r="A22" s="1" t="s">
        <v>68</v>
      </c>
      <c r="B22" s="2"/>
      <c r="C22" s="2"/>
      <c r="D22" s="2"/>
      <c r="E22" s="2"/>
      <c r="F22" s="2"/>
      <c r="G22" s="2"/>
      <c r="H22" s="2"/>
      <c r="I22" s="2" t="s">
        <v>35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 t="s">
        <v>35</v>
      </c>
      <c r="CK22" s="2" t="s">
        <v>35</v>
      </c>
      <c r="CL22" s="2"/>
      <c r="CM22" s="2"/>
      <c r="CN22" s="2"/>
      <c r="CO22" s="2"/>
      <c r="CP22" s="2"/>
      <c r="CQ22" s="2" t="s">
        <v>35</v>
      </c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 t="s">
        <v>35</v>
      </c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SUMPRODUCT((OFFSET($A22,0,31*($A$3-1)+1,1,31)&lt;&gt;"")*(IF(OFFSET($A22,0,31*($A$3-1)+1,1,31)=$NX$12,0.5,1)*(OFFSET($A$4,0,31*($A$3-1)+1,1,31))))</f>
        <v>1</v>
      </c>
      <c r="NK22" s="20">
        <f t="array" aca="1" ref="NK22" ca="1">SUMPRODUCT((OFFSET($A22,0,1,1,372)&lt;&gt;"")*(IF(OFFSET($A22,0,1,1,372)=$NX$12,0.5,1)*(OFFSET($A$3,0,1,1,372))))</f>
        <v>5</v>
      </c>
      <c r="NL22" s="28">
        <f t="array" aca="1" ref="NL22" ca="1">SUMPRODUCT((OFFSET($A22,0,31*($A$4)+DAY(Holidays!$E$2),1,Holidays!$G$2)&lt;&gt;"")*(IF(OFFSET($A22,0,31*($A$4)+DAY(Holidays!$E$2),1,Holidays!$G$2)=$NX$12,0.5,1)*(OFFSET($A$3,0,31*($A$4)+DAY(Holidays!$E$2),1,Holidays!$G$2))))</f>
        <v>3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NX$12,0.5,1)*(OFFSET($A$3,0,31*($A$4)+DAY(VLOOKUP(NM$5,Sprints[],2,FALSE)),1,VLOOKUP(NM$5,Sprints[],4,FALSE)))))</f>
        <v>0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NX$12,0.5,1)*(OFFSET($A$3,0,31*($A$4)+DAY(VLOOKUP(NN$5,Sprints[],2,FALSE)),1,VLOOKUP(NN$5,Sprints[],4,FALSE)))))</f>
        <v>0</v>
      </c>
      <c r="NO22" s="52">
        <f t="array" aca="1" ref="NO22" ca="1">SUMPRODUCT((OFFSET($A22,0,31*(VLOOKUP(NO$5,Sprints[],5,FALSE))+DAY(VLOOKUP(NO$5,Sprints[],2,FALSE)),1,VLOOKUP(NO$5,Sprints[],4,FALSE))&lt;&gt;"")*(IF(OFFSET($A22,0,31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22" s="16" t="s">
        <v>16</v>
      </c>
      <c r="NX22" s="16" t="s">
        <v>24</v>
      </c>
    </row>
    <row r="23" spans="1:388" x14ac:dyDescent="0.45">
      <c r="A23" s="1" t="s">
        <v>67</v>
      </c>
      <c r="B23" s="2"/>
      <c r="C23" s="2"/>
      <c r="D23" s="2"/>
      <c r="E23" s="2"/>
      <c r="F23" s="2"/>
      <c r="G23" s="2"/>
      <c r="H23" s="2"/>
      <c r="I23" s="2" t="s">
        <v>35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 t="s">
        <v>35</v>
      </c>
      <c r="CK23" s="2" t="s">
        <v>35</v>
      </c>
      <c r="CL23" s="2"/>
      <c r="CM23" s="2"/>
      <c r="CN23" s="2"/>
      <c r="CO23" s="2"/>
      <c r="CP23" s="2"/>
      <c r="CQ23" s="2" t="s">
        <v>35</v>
      </c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 t="s">
        <v>35</v>
      </c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SUMPRODUCT((OFFSET($A23,0,31*($A$3-1)+1,1,31)&lt;&gt;"")*(IF(OFFSET($A23,0,31*($A$3-1)+1,1,31)=$NX$12,0.5,1)*(OFFSET($A$4,0,31*($A$3-1)+1,1,31))))</f>
        <v>1</v>
      </c>
      <c r="NK23" s="20">
        <f t="array" aca="1" ref="NK23" ca="1">SUMPRODUCT((OFFSET($A23,0,1,1,372)&lt;&gt;"")*(IF(OFFSET($A23,0,1,1,372)=$NX$12,0.5,1)*(OFFSET($A$3,0,1,1,372))))</f>
        <v>5</v>
      </c>
      <c r="NL23" s="28">
        <f t="array" aca="1" ref="NL23" ca="1">SUMPRODUCT((OFFSET($A23,0,31*($A$4)+DAY(Holidays!$E$2),1,Holidays!$G$2)&lt;&gt;"")*(IF(OFFSET($A23,0,31*($A$4)+DAY(Holidays!$E$2),1,Holidays!$G$2)=$NX$12,0.5,1)*(OFFSET($A$3,0,31*($A$4)+DAY(Holidays!$E$2),1,Holidays!$G$2))))</f>
        <v>3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NX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NX$12,0.5,1)*(OFFSET($A$3,0,31*($A$4)+DAY(VLOOKUP(NN$5,Sprints[],2,FALSE)),1,VLOOKUP(NN$5,Sprints[],4,FALSE)))))</f>
        <v>0</v>
      </c>
      <c r="NO23" s="52">
        <f t="array" aca="1" ref="NO23" ca="1">SUMPRODUCT((OFFSET($A23,0,31*(VLOOKUP(NO$5,Sprints[],5,FALSE))+DAY(VLOOKUP(NO$5,Sprints[],2,FALSE)),1,VLOOKUP(NO$5,Sprints[],4,FALSE))&lt;&gt;"")*(IF(OFFSET($A23,0,31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  <c r="NW23" s="16" t="s">
        <v>17</v>
      </c>
      <c r="NX23" s="16" t="s">
        <v>24</v>
      </c>
    </row>
    <row r="24" spans="1:388" x14ac:dyDescent="0.45">
      <c r="A24" s="1" t="s">
        <v>69</v>
      </c>
      <c r="B24" s="2"/>
      <c r="C24" s="2"/>
      <c r="D24" s="2"/>
      <c r="E24" s="2"/>
      <c r="F24" s="2"/>
      <c r="G24" s="2"/>
      <c r="H24" s="2"/>
      <c r="I24" s="2" t="s">
        <v>35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 t="s">
        <v>35</v>
      </c>
      <c r="CK24" s="2" t="s">
        <v>35</v>
      </c>
      <c r="CL24" s="2"/>
      <c r="CM24" s="2"/>
      <c r="CN24" s="2"/>
      <c r="CO24" s="2"/>
      <c r="CP24" s="2"/>
      <c r="CQ24" s="2" t="s">
        <v>35</v>
      </c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 t="s">
        <v>35</v>
      </c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SUMPRODUCT((OFFSET($A24,0,31*($A$3-1)+1,1,31)&lt;&gt;"")*(IF(OFFSET($A24,0,31*($A$3-1)+1,1,31)=$NX$12,0.5,1)*(OFFSET($A$4,0,31*($A$3-1)+1,1,31))))</f>
        <v>1</v>
      </c>
      <c r="NK24" s="20">
        <f t="array" aca="1" ref="NK24" ca="1">SUMPRODUCT((OFFSET($A24,0,1,1,372)&lt;&gt;"")*(IF(OFFSET($A24,0,1,1,372)=$NX$12,0.5,1)*(OFFSET($A$3,0,1,1,372))))</f>
        <v>5</v>
      </c>
      <c r="NL24" s="28">
        <f t="array" aca="1" ref="NL24" ca="1">SUMPRODUCT((OFFSET($A24,0,31*($A$4)+DAY(Holidays!$E$2),1,Holidays!$G$2)&lt;&gt;"")*(IF(OFFSET($A24,0,31*($A$4)+DAY(Holidays!$E$2),1,Holidays!$G$2)=$NX$12,0.5,1)*(OFFSET($A$3,0,31*($A$4)+DAY(Holidays!$E$2),1,Holidays!$G$2))))</f>
        <v>3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NX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NX$12,0.5,1)*(OFFSET($A$3,0,31*($A$4)+DAY(VLOOKUP(NN$5,Sprints[],2,FALSE)),1,VLOOKUP(NN$5,Sprints[],4,FALSE)))))</f>
        <v>0</v>
      </c>
      <c r="NO24" s="52">
        <f t="array" aca="1" ref="NO24" ca="1">SUMPRODUCT((OFFSET($A24,0,31*(VLOOKUP(NO$5,Sprints[],5,FALSE))+DAY(VLOOKUP(NO$5,Sprints[],2,FALSE)),1,VLOOKUP(NO$5,Sprints[],4,FALSE))&lt;&gt;"")*(IF(OFFSET($A24,0,31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25" spans="1:388" ht="14.75" customHeight="1" x14ac:dyDescent="0.45">
      <c r="A25" s="1" t="s">
        <v>73</v>
      </c>
      <c r="B25" s="2"/>
      <c r="C25" s="2"/>
      <c r="D25" s="2"/>
      <c r="E25" s="2"/>
      <c r="F25" s="2"/>
      <c r="G25" s="2"/>
      <c r="H25" s="2"/>
      <c r="I25" s="2" t="s">
        <v>35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 t="s">
        <v>35</v>
      </c>
      <c r="CK25" s="2" t="s">
        <v>35</v>
      </c>
      <c r="CL25" s="2"/>
      <c r="CM25" s="2"/>
      <c r="CN25" s="2"/>
      <c r="CO25" s="2"/>
      <c r="CP25" s="2"/>
      <c r="CQ25" s="2" t="s">
        <v>35</v>
      </c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 t="s">
        <v>35</v>
      </c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SUMPRODUCT((OFFSET($A25,0,31*($A$3-1)+1,1,31)&lt;&gt;"")*(IF(OFFSET($A25,0,31*($A$3-1)+1,1,31)=$NX$12,0.5,1)*(OFFSET($A$4,0,31*($A$3-1)+1,1,31))))</f>
        <v>1</v>
      </c>
      <c r="NK25" s="20">
        <f t="array" aca="1" ref="NK25" ca="1">SUMPRODUCT((OFFSET($A25,0,1,1,372)&lt;&gt;"")*(IF(OFFSET($A25,0,1,1,372)=$NX$12,0.5,1)*(OFFSET($A$3,0,1,1,372))))</f>
        <v>5</v>
      </c>
      <c r="NL25" s="28">
        <f t="array" aca="1" ref="NL25" ca="1">SUMPRODUCT((OFFSET($A25,0,31*($A$4)+DAY(Holidays!$E$2),1,Holidays!$G$2)&lt;&gt;"")*(IF(OFFSET($A25,0,31*($A$4)+DAY(Holidays!$E$2),1,Holidays!$G$2)=$NX$12,0.5,1)*(OFFSET($A$3,0,31*($A$4)+DAY(Holidays!$E$2),1,Holidays!$G$2))))</f>
        <v>3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NX$12,0.5,1)*(OFFSET($A$3,0,31*($A$4)+DAY(VLOOKUP(NM$5,Sprints[],2,FALSE)),1,VLOOKUP(NM$5,Sprints[],4,FALSE)))))</f>
        <v>0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NX$12,0.5,1)*(OFFSET($A$3,0,31*($A$4)+DAY(VLOOKUP(NN$5,Sprints[],2,FALSE)),1,VLOOKUP(NN$5,Sprints[],4,FALSE)))))</f>
        <v>0</v>
      </c>
      <c r="NO25" s="52">
        <f t="array" aca="1" ref="NO25" ca="1">SUMPRODUCT((OFFSET($A25,0,31*(VLOOKUP(NO$5,Sprints[],5,FALSE))+DAY(VLOOKUP(NO$5,Sprints[],2,FALSE)),1,VLOOKUP(NO$5,Sprints[],4,FALSE))&lt;&gt;"")*(IF(OFFSET($A25,0,31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26" spans="1:388" x14ac:dyDescent="0.45">
      <c r="A26" s="5" t="s">
        <v>70</v>
      </c>
      <c r="B26" s="2"/>
      <c r="C26" s="2"/>
      <c r="D26" s="2"/>
      <c r="E26" s="2"/>
      <c r="F26" s="2"/>
      <c r="G26" s="2"/>
      <c r="H26" s="2"/>
      <c r="I26" s="2" t="s">
        <v>35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1"/>
      <c r="CD26" s="1"/>
      <c r="CE26" s="1"/>
      <c r="CF26" s="2"/>
      <c r="CG26" s="2"/>
      <c r="CH26" s="2"/>
      <c r="CI26" s="2"/>
      <c r="CJ26" s="2" t="s">
        <v>35</v>
      </c>
      <c r="CK26" s="2" t="s">
        <v>35</v>
      </c>
      <c r="CL26" s="2"/>
      <c r="CM26" s="2"/>
      <c r="CN26" s="2"/>
      <c r="CO26" s="2"/>
      <c r="CP26" s="2"/>
      <c r="CQ26" s="2" t="s">
        <v>35</v>
      </c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 t="s">
        <v>35</v>
      </c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SUMPRODUCT((OFFSET($A26,0,31*($A$3-1)+1,1,31)&lt;&gt;"")*(IF(OFFSET($A26,0,31*($A$3-1)+1,1,31)=$NX$12,0.5,1)*(OFFSET($A$4,0,31*($A$3-1)+1,1,31))))</f>
        <v>1</v>
      </c>
      <c r="NK26" s="20">
        <f t="array" aca="1" ref="NK26" ca="1">SUMPRODUCT((OFFSET($A26,0,1,1,372)&lt;&gt;"")*(IF(OFFSET($A26,0,1,1,372)=$NX$12,0.5,1)*(OFFSET($A$3,0,1,1,372))))</f>
        <v>5</v>
      </c>
      <c r="NL26" s="28">
        <f t="array" aca="1" ref="NL26" ca="1">SUMPRODUCT((OFFSET($A26,0,31*($A$4)+DAY(Holidays!$E$2),1,Holidays!$G$2)&lt;&gt;"")*(IF(OFFSET($A26,0,31*($A$4)+DAY(Holidays!$E$2),1,Holidays!$G$2)=$NX$12,0.5,1)*(OFFSET($A$3,0,31*($A$4)+DAY(Holidays!$E$2),1,Holidays!$G$2))))</f>
        <v>3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NX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NX$12,0.5,1)*(OFFSET($A$3,0,31*($A$4)+DAY(VLOOKUP(NN$5,Sprints[],2,FALSE)),1,VLOOKUP(NN$5,Sprints[],4,FALSE)))))</f>
        <v>0</v>
      </c>
      <c r="NO26" s="52">
        <f t="array" aca="1" ref="NO26" ca="1">SUMPRODUCT((OFFSET($A26,0,31*(VLOOKUP(NO$5,Sprints[],5,FALSE))+DAY(VLOOKUP(NO$5,Sprints[],2,FALSE)),1,VLOOKUP(NO$5,Sprints[],4,FALSE))&lt;&gt;"")*(IF(OFFSET($A26,0,31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27" spans="1:388" x14ac:dyDescent="0.45">
      <c r="A27" s="1" t="s">
        <v>76</v>
      </c>
      <c r="B27" s="2"/>
      <c r="C27" s="2"/>
      <c r="D27" s="2"/>
      <c r="E27" s="2"/>
      <c r="F27" s="2"/>
      <c r="G27" s="2"/>
      <c r="H27" s="2"/>
      <c r="I27" s="2" t="s">
        <v>35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 t="s">
        <v>35</v>
      </c>
      <c r="CK27" s="2" t="s">
        <v>35</v>
      </c>
      <c r="CL27" s="2"/>
      <c r="CM27" s="2"/>
      <c r="CN27" s="2"/>
      <c r="CO27" s="2"/>
      <c r="CP27" s="2"/>
      <c r="CQ27" s="2" t="s">
        <v>35</v>
      </c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 t="s">
        <v>35</v>
      </c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SUMPRODUCT((OFFSET($A27,0,31*($A$3-1)+1,1,31)&lt;&gt;"")*(IF(OFFSET($A27,0,31*($A$3-1)+1,1,31)=$NX$12,0.5,1)*(OFFSET($A$4,0,31*($A$3-1)+1,1,31))))</f>
        <v>1</v>
      </c>
      <c r="NK27" s="20">
        <f t="array" aca="1" ref="NK27" ca="1">SUMPRODUCT((OFFSET($A27,0,1,1,372)&lt;&gt;"")*(IF(OFFSET($A27,0,1,1,372)=$NX$12,0.5,1)*(OFFSET($A$3,0,1,1,372))))</f>
        <v>5</v>
      </c>
      <c r="NL27" s="28">
        <f t="array" aca="1" ref="NL27" ca="1">SUMPRODUCT((OFFSET($A27,0,31*($A$4)+DAY(Holidays!$E$2),1,Holidays!$G$2)&lt;&gt;"")*(IF(OFFSET($A27,0,31*($A$4)+DAY(Holidays!$E$2),1,Holidays!$G$2)=$NX$12,0.5,1)*(OFFSET($A$3,0,31*($A$4)+DAY(Holidays!$E$2),1,Holidays!$G$2))))</f>
        <v>3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NX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NX$12,0.5,1)*(OFFSET($A$3,0,31*($A$4)+DAY(VLOOKUP(NN$5,Sprints[],2,FALSE)),1,VLOOKUP(NN$5,Sprints[],4,FALSE)))))</f>
        <v>0</v>
      </c>
      <c r="NO27" s="52">
        <f t="array" aca="1" ref="NO27" ca="1">SUMPRODUCT((OFFSET($A27,0,31*(VLOOKUP(NO$5,Sprints[],5,FALSE))+DAY(VLOOKUP(NO$5,Sprints[],2,FALSE)),1,VLOOKUP(NO$5,Sprints[],4,FALSE))&lt;&gt;"")*(IF(OFFSET($A27,0,31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28" spans="1:388" x14ac:dyDescent="0.45">
      <c r="A28" s="1" t="s">
        <v>82</v>
      </c>
      <c r="B28" s="2"/>
      <c r="C28" s="2"/>
      <c r="D28" s="2"/>
      <c r="E28" s="2"/>
      <c r="F28" s="2"/>
      <c r="G28" s="2"/>
      <c r="H28" s="2"/>
      <c r="I28" s="2" t="s">
        <v>35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 t="s">
        <v>35</v>
      </c>
      <c r="CK28" s="2" t="s">
        <v>35</v>
      </c>
      <c r="CL28" s="2"/>
      <c r="CM28" s="2"/>
      <c r="CN28" s="2"/>
      <c r="CO28" s="2"/>
      <c r="CP28" s="2"/>
      <c r="CQ28" s="2" t="s">
        <v>35</v>
      </c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 t="s">
        <v>35</v>
      </c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SUMPRODUCT((OFFSET($A28,0,31*($A$3-1)+1,1,31)&lt;&gt;"")*(IF(OFFSET($A28,0,31*($A$3-1)+1,1,31)=$NX$12,0.5,1)*(OFFSET($A$4,0,31*($A$3-1)+1,1,31))))</f>
        <v>1</v>
      </c>
      <c r="NK28" s="20">
        <f t="array" aca="1" ref="NK28" ca="1">SUMPRODUCT((OFFSET($A28,0,1,1,372)&lt;&gt;"")*(IF(OFFSET($A28,0,1,1,372)=$NX$12,0.5,1)*(OFFSET($A$3,0,1,1,372))))</f>
        <v>5</v>
      </c>
      <c r="NL28" s="28">
        <f t="array" aca="1" ref="NL28" ca="1">SUMPRODUCT((OFFSET($A28,0,31*($A$4)+DAY(Holidays!$E$2),1,Holidays!$G$2)&lt;&gt;"")*(IF(OFFSET($A28,0,31*($A$4)+DAY(Holidays!$E$2),1,Holidays!$G$2)=$NX$12,0.5,1)*(OFFSET($A$3,0,31*($A$4)+DAY(Holidays!$E$2),1,Holidays!$G$2))))</f>
        <v>3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NX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NX$12,0.5,1)*(OFFSET($A$3,0,31*($A$4)+DAY(VLOOKUP(NN$5,Sprints[],2,FALSE)),1,VLOOKUP(NN$5,Sprints[],4,FALSE)))))</f>
        <v>0</v>
      </c>
      <c r="NO28" s="52">
        <f t="array" aca="1" ref="NO28" ca="1">SUMPRODUCT((OFFSET($A28,0,31*(VLOOKUP(NO$5,Sprints[],5,FALSE))+DAY(VLOOKUP(NO$5,Sprints[],2,FALSE)),1,VLOOKUP(NO$5,Sprints[],4,FALSE))&lt;&gt;"")*(IF(OFFSET($A28,0,31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29" spans="1:388" x14ac:dyDescent="0.45">
      <c r="A29" s="1" t="s">
        <v>74</v>
      </c>
      <c r="B29" s="2"/>
      <c r="C29" s="2"/>
      <c r="D29" s="2"/>
      <c r="E29" s="2"/>
      <c r="F29" s="2"/>
      <c r="G29" s="2"/>
      <c r="H29" s="2"/>
      <c r="I29" s="2" t="s">
        <v>35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 t="s">
        <v>35</v>
      </c>
      <c r="CK29" s="2" t="s">
        <v>35</v>
      </c>
      <c r="CL29" s="2"/>
      <c r="CM29" s="2"/>
      <c r="CN29" s="2"/>
      <c r="CO29" s="2"/>
      <c r="CP29" s="2"/>
      <c r="CQ29" s="2" t="s">
        <v>35</v>
      </c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 t="s">
        <v>35</v>
      </c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SUMPRODUCT((OFFSET($A29,0,31*($A$3-1)+1,1,31)&lt;&gt;"")*(IF(OFFSET($A29,0,31*($A$3-1)+1,1,31)=$NX$12,0.5,1)*(OFFSET($A$4,0,31*($A$3-1)+1,1,31))))</f>
        <v>1</v>
      </c>
      <c r="NK29" s="20">
        <f t="array" aca="1" ref="NK29" ca="1">SUMPRODUCT((OFFSET($A29,0,1,1,372)&lt;&gt;"")*(IF(OFFSET($A29,0,1,1,372)=$NX$12,0.5,1)*(OFFSET($A$3,0,1,1,372))))</f>
        <v>5</v>
      </c>
      <c r="NL29" s="28">
        <f t="array" aca="1" ref="NL29" ca="1">SUMPRODUCT((OFFSET($A29,0,31*($A$4)+DAY(Holidays!$E$2),1,Holidays!$G$2)&lt;&gt;"")*(IF(OFFSET($A29,0,31*($A$4)+DAY(Holidays!$E$2),1,Holidays!$G$2)=$NX$12,0.5,1)*(OFFSET($A$3,0,31*($A$4)+DAY(Holidays!$E$2),1,Holidays!$G$2))))</f>
        <v>3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NX$12,0.5,1)*(OFFSET($A$3,0,31*($A$4)+DAY(VLOOKUP(NM$5,Sprints[],2,FALSE)),1,VLOOKUP(NM$5,Sprints[],4,FALSE)))))</f>
        <v>0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NX$12,0.5,1)*(OFFSET($A$3,0,31*($A$4)+DAY(VLOOKUP(NN$5,Sprints[],2,FALSE)),1,VLOOKUP(NN$5,Sprints[],4,FALSE)))))</f>
        <v>0</v>
      </c>
      <c r="NO29" s="52">
        <f t="array" aca="1" ref="NO29" ca="1">SUMPRODUCT((OFFSET($A29,0,31*(VLOOKUP(NO$5,Sprints[],5,FALSE))+DAY(VLOOKUP(NO$5,Sprints[],2,FALSE)),1,VLOOKUP(NO$5,Sprints[],4,FALSE))&lt;&gt;"")*(IF(OFFSET($A29,0,31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30" spans="1:388" x14ac:dyDescent="0.45">
      <c r="A30" s="1" t="s">
        <v>44</v>
      </c>
      <c r="B30" s="2"/>
      <c r="C30" s="2"/>
      <c r="D30" s="2"/>
      <c r="E30" s="2"/>
      <c r="F30" s="2"/>
      <c r="G30" s="2"/>
      <c r="H30" s="2"/>
      <c r="I30" s="2" t="s">
        <v>35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 t="s">
        <v>35</v>
      </c>
      <c r="CK30" s="2" t="s">
        <v>35</v>
      </c>
      <c r="CL30" s="2"/>
      <c r="CM30" s="2"/>
      <c r="CN30" s="2"/>
      <c r="CO30" s="2"/>
      <c r="CP30" s="2"/>
      <c r="CQ30" s="2" t="s">
        <v>35</v>
      </c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 t="s">
        <v>35</v>
      </c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SUMPRODUCT((OFFSET($A30,0,31*($A$3-1)+1,1,31)&lt;&gt;"")*(IF(OFFSET($A30,0,31*($A$3-1)+1,1,31)=$NX$12,0.5,1)*(OFFSET($A$4,0,31*($A$3-1)+1,1,31))))</f>
        <v>1</v>
      </c>
      <c r="NK30" s="20">
        <f t="array" aca="1" ref="NK30" ca="1">SUMPRODUCT((OFFSET($A30,0,1,1,372)&lt;&gt;"")*(IF(OFFSET($A30,0,1,1,372)=$NX$12,0.5,1)*(OFFSET($A$3,0,1,1,372))))</f>
        <v>5</v>
      </c>
      <c r="NL30" s="28">
        <f t="array" aca="1" ref="NL30" ca="1">SUMPRODUCT((OFFSET($A30,0,31*($A$4)+DAY(Holidays!$E$2),1,Holidays!$G$2)&lt;&gt;"")*(IF(OFFSET($A30,0,31*($A$4)+DAY(Holidays!$E$2),1,Holidays!$G$2)=$NX$12,0.5,1)*(OFFSET($A$3,0,31*($A$4)+DAY(Holidays!$E$2),1,Holidays!$G$2))))</f>
        <v>3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NX$12,0.5,1)*(OFFSET($A$3,0,31*($A$4)+DAY(VLOOKUP(NM$5,Sprints[],2,FALSE)),1,VLOOKUP(NM$5,Sprints[],4,FALSE)))))</f>
        <v>0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NX$12,0.5,1)*(OFFSET($A$3,0,31*($A$4)+DAY(VLOOKUP(NN$5,Sprints[],2,FALSE)),1,VLOOKUP(NN$5,Sprints[],4,FALSE)))))</f>
        <v>0</v>
      </c>
      <c r="NO30" s="52">
        <f t="array" aca="1" ref="NO30" ca="1">SUMPRODUCT((OFFSET($A30,0,31*(VLOOKUP(NO$5,Sprints[],5,FALSE))+DAY(VLOOKUP(NO$5,Sprints[],2,FALSE)),1,VLOOKUP(NO$5,Sprints[],4,FALSE))&lt;&gt;"")*(IF(OFFSET($A30,0,31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31" spans="1:388" s="45" customFormat="1" x14ac:dyDescent="0.45">
      <c r="A31" s="66" t="s">
        <v>133</v>
      </c>
      <c r="B31" s="67"/>
      <c r="C31" s="2"/>
      <c r="D31" s="2"/>
      <c r="E31" s="2"/>
      <c r="F31" s="2"/>
      <c r="G31" s="2"/>
      <c r="H31" s="67"/>
      <c r="I31" s="2" t="s">
        <v>35</v>
      </c>
      <c r="J31" s="2"/>
      <c r="K31" s="2"/>
      <c r="L31" s="2"/>
      <c r="M31" s="2"/>
      <c r="N31" s="2"/>
      <c r="O31" s="67"/>
      <c r="P31" s="67"/>
      <c r="Q31" s="2"/>
      <c r="R31" s="2"/>
      <c r="S31" s="2"/>
      <c r="T31" s="2"/>
      <c r="U31" s="2"/>
      <c r="V31" s="67"/>
      <c r="W31" s="67"/>
      <c r="X31" s="2"/>
      <c r="Y31" s="2"/>
      <c r="Z31" s="2"/>
      <c r="AA31" s="2"/>
      <c r="AB31" s="2"/>
      <c r="AC31" s="67"/>
      <c r="AD31" s="67"/>
      <c r="AE31" s="2"/>
      <c r="AF31" s="2"/>
      <c r="AG31" s="2"/>
      <c r="AH31" s="2"/>
      <c r="AI31" s="2"/>
      <c r="AJ31" s="2"/>
      <c r="AK31" s="67"/>
      <c r="AL31" s="67"/>
      <c r="AM31" s="2"/>
      <c r="AN31" s="2"/>
      <c r="AO31" s="2"/>
      <c r="AP31" s="2"/>
      <c r="AQ31" s="2"/>
      <c r="AR31" s="67"/>
      <c r="AS31" s="67"/>
      <c r="AT31" s="2"/>
      <c r="AU31" s="2"/>
      <c r="AV31" s="2"/>
      <c r="AW31" s="2"/>
      <c r="AX31" s="2"/>
      <c r="AY31" s="67"/>
      <c r="AZ31" s="67"/>
      <c r="BA31" s="2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2"/>
      <c r="CG31" s="2"/>
      <c r="CH31" s="67"/>
      <c r="CI31" s="67"/>
      <c r="CJ31" s="2" t="s">
        <v>35</v>
      </c>
      <c r="CK31" s="2" t="s">
        <v>35</v>
      </c>
      <c r="CL31" s="67"/>
      <c r="CM31" s="67"/>
      <c r="CN31" s="67"/>
      <c r="CO31" s="67"/>
      <c r="CP31" s="67"/>
      <c r="CQ31" s="2" t="s">
        <v>35</v>
      </c>
      <c r="CR31" s="2"/>
      <c r="CS31" s="67"/>
      <c r="CT31" s="67"/>
      <c r="CU31" s="67"/>
      <c r="CV31" s="67"/>
      <c r="CW31" s="67"/>
      <c r="CX31" s="67"/>
      <c r="CY31" s="67"/>
      <c r="CZ31" s="67"/>
      <c r="DA31" s="67"/>
      <c r="DB31" s="67"/>
      <c r="DC31" s="67"/>
      <c r="DD31" s="67"/>
      <c r="DE31" s="67"/>
      <c r="DF31" s="67"/>
      <c r="DG31" s="67"/>
      <c r="DH31" s="67"/>
      <c r="DI31" s="67"/>
      <c r="DJ31" s="67"/>
      <c r="DK31" s="67"/>
      <c r="DL31" s="67"/>
      <c r="DM31" s="67"/>
      <c r="DN31" s="67"/>
      <c r="DO31" s="67"/>
      <c r="DP31" s="67"/>
      <c r="DQ31" s="67"/>
      <c r="DR31" s="67"/>
      <c r="DS31" s="67"/>
      <c r="DT31" s="67"/>
      <c r="DU31" s="67"/>
      <c r="DV31" s="67"/>
      <c r="DW31" s="67"/>
      <c r="DX31" s="67"/>
      <c r="DY31" s="67"/>
      <c r="DZ31" s="67"/>
      <c r="EA31" s="2"/>
      <c r="EB31" s="67"/>
      <c r="EC31" s="67"/>
      <c r="ED31" s="67"/>
      <c r="EE31" s="67"/>
      <c r="EF31" s="67"/>
      <c r="EG31" s="67"/>
      <c r="EH31" s="2"/>
      <c r="EI31" s="2"/>
      <c r="EJ31" s="2"/>
      <c r="EK31" s="2"/>
      <c r="EL31" s="2"/>
      <c r="EM31" s="2" t="s">
        <v>35</v>
      </c>
      <c r="EN31" s="67"/>
      <c r="EO31" s="67"/>
      <c r="EP31" s="67"/>
      <c r="EQ31" s="67"/>
      <c r="ER31" s="67"/>
      <c r="ES31" s="67"/>
      <c r="ET31" s="67"/>
      <c r="EU31" s="67"/>
      <c r="EV31" s="2"/>
      <c r="EW31" s="2"/>
      <c r="EX31" s="2"/>
      <c r="EY31" s="2"/>
      <c r="EZ31" s="2"/>
      <c r="FA31" s="67"/>
      <c r="FB31" s="67"/>
      <c r="FC31" s="2"/>
      <c r="FD31" s="2"/>
      <c r="FE31" s="2"/>
      <c r="FF31" s="2"/>
      <c r="FG31" s="2"/>
      <c r="FH31" s="67"/>
      <c r="FI31" s="67"/>
      <c r="FJ31" s="2"/>
      <c r="FK31" s="2"/>
      <c r="FL31" s="2"/>
      <c r="FM31" s="2"/>
      <c r="FN31" s="2"/>
      <c r="FO31" s="67"/>
      <c r="FP31" s="67"/>
      <c r="FQ31" s="2"/>
      <c r="FR31" s="2"/>
      <c r="FS31" s="2"/>
      <c r="FT31" s="2"/>
      <c r="FU31" s="2"/>
      <c r="FV31" s="67"/>
      <c r="FW31" s="67"/>
      <c r="FX31" s="2"/>
      <c r="FY31" s="2"/>
      <c r="FZ31" s="2"/>
      <c r="GA31" s="2"/>
      <c r="GB31" s="2"/>
      <c r="GC31" s="67"/>
      <c r="GD31" s="67"/>
      <c r="GE31" s="67"/>
      <c r="GF31" s="2"/>
      <c r="GG31" s="2"/>
      <c r="GH31" s="2"/>
      <c r="GI31" s="2"/>
      <c r="GJ31" s="2"/>
      <c r="GK31" s="67"/>
      <c r="GL31" s="67"/>
      <c r="GM31" s="2"/>
      <c r="GN31" s="2"/>
      <c r="GO31" s="2"/>
      <c r="GP31" s="2"/>
      <c r="GQ31" s="2"/>
      <c r="GR31" s="67"/>
      <c r="GS31" s="67"/>
      <c r="GT31" s="2"/>
      <c r="GU31" s="2"/>
      <c r="GV31" s="2"/>
      <c r="GW31" s="2"/>
      <c r="GX31" s="2"/>
      <c r="GY31" s="67"/>
      <c r="GZ31" s="67"/>
      <c r="HA31" s="2"/>
      <c r="HB31" s="2"/>
      <c r="HC31" s="2"/>
      <c r="HD31" s="2"/>
      <c r="HE31" s="2"/>
      <c r="HF31" s="67"/>
      <c r="HG31" s="67"/>
      <c r="HH31" s="2"/>
      <c r="HI31" s="2"/>
      <c r="HJ31" s="2"/>
      <c r="HK31" s="67"/>
      <c r="HL31" s="67"/>
      <c r="HM31" s="67"/>
      <c r="HN31" s="67"/>
      <c r="HO31" s="67"/>
      <c r="HP31" s="67"/>
      <c r="HQ31" s="67"/>
      <c r="HR31" s="67"/>
      <c r="HS31" s="67"/>
      <c r="HT31" s="67"/>
      <c r="HU31" s="67"/>
      <c r="HV31" s="67"/>
      <c r="HW31" s="67"/>
      <c r="HX31" s="67"/>
      <c r="HY31" s="67"/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2"/>
      <c r="JO31" s="2"/>
      <c r="JP31" s="67"/>
      <c r="JQ31" s="67"/>
      <c r="JR31" s="67"/>
      <c r="JS31" s="67"/>
      <c r="JT31" s="67"/>
      <c r="JU31" s="2"/>
      <c r="JV31" s="67"/>
      <c r="JW31" s="67"/>
      <c r="JX31" s="67"/>
      <c r="JY31" s="67"/>
      <c r="JZ31" s="67"/>
      <c r="KA31" s="67"/>
      <c r="KB31" s="67"/>
      <c r="KC31" s="67"/>
      <c r="KD31" s="67"/>
      <c r="KE31" s="67"/>
      <c r="KF31" s="67"/>
      <c r="KG31" s="67"/>
      <c r="KH31" s="67"/>
      <c r="KI31" s="67"/>
      <c r="KJ31" s="67"/>
      <c r="KK31" s="67"/>
      <c r="KL31" s="67"/>
      <c r="KM31" s="67"/>
      <c r="KN31" s="67"/>
      <c r="KO31" s="67"/>
      <c r="KP31" s="67"/>
      <c r="KQ31" s="67"/>
      <c r="KR31" s="67"/>
      <c r="KS31" s="67"/>
      <c r="KT31" s="67"/>
      <c r="KU31" s="67"/>
      <c r="KV31" s="67"/>
      <c r="KW31" s="67"/>
      <c r="KX31" s="67"/>
      <c r="KY31" s="67"/>
      <c r="KZ31" s="67"/>
      <c r="LA31" s="67"/>
      <c r="LB31" s="67"/>
      <c r="LC31" s="67"/>
      <c r="LD31" s="67"/>
      <c r="LE31" s="67"/>
      <c r="LF31" s="67"/>
      <c r="LG31" s="67"/>
      <c r="LH31" s="67"/>
      <c r="LI31" s="67"/>
      <c r="LJ31" s="67"/>
      <c r="LK31" s="67"/>
      <c r="LL31" s="67"/>
      <c r="LM31" s="67"/>
      <c r="LN31" s="67"/>
      <c r="LO31" s="67"/>
      <c r="LP31" s="67"/>
      <c r="LQ31" s="2"/>
      <c r="LR31" s="67"/>
      <c r="LS31" s="67"/>
      <c r="LT31" s="67"/>
      <c r="LU31" s="67"/>
      <c r="LV31" s="67"/>
      <c r="LW31" s="67"/>
      <c r="LX31" s="67"/>
      <c r="LY31" s="67"/>
      <c r="LZ31" s="67"/>
      <c r="MA31" s="67"/>
      <c r="MB31" s="67"/>
      <c r="MC31" s="67"/>
      <c r="MD31" s="67"/>
      <c r="ME31" s="67"/>
      <c r="MF31" s="67"/>
      <c r="MG31" s="67"/>
      <c r="MH31" s="67"/>
      <c r="MI31" s="67"/>
      <c r="MJ31" s="67"/>
      <c r="MK31" s="67"/>
      <c r="ML31" s="67"/>
      <c r="MM31" s="67"/>
      <c r="MN31" s="67"/>
      <c r="MO31" s="67"/>
      <c r="MP31" s="67"/>
      <c r="MQ31" s="67"/>
      <c r="MR31" s="67"/>
      <c r="MS31" s="67"/>
      <c r="MT31" s="67"/>
      <c r="MU31" s="67"/>
      <c r="MV31" s="67"/>
      <c r="MW31" s="67"/>
      <c r="MX31" s="67"/>
      <c r="MY31" s="67"/>
      <c r="MZ31" s="67"/>
      <c r="NA31" s="67"/>
      <c r="NB31" s="67"/>
      <c r="NC31" s="67"/>
      <c r="ND31" s="67"/>
      <c r="NE31" s="67"/>
      <c r="NF31" s="67"/>
      <c r="NG31" s="67"/>
      <c r="NH31" s="67"/>
      <c r="NI31" s="67"/>
      <c r="NJ31" s="68">
        <f t="array" aca="1" ref="NJ31" ca="1">SUMPRODUCT((OFFSET($A31,0,31*($A$3-1)+1,1,31)&lt;&gt;"")*(IF(OFFSET($A31,0,31*($A$3-1)+1,1,31)=$NX$12,0.5,1)*(OFFSET($A$4,0,31*($A$3-1)+1,1,31))))</f>
        <v>1</v>
      </c>
      <c r="NK31" s="69">
        <f t="array" aca="1" ref="NK31" ca="1">SUMPRODUCT((OFFSET($A31,0,1,1,372)&lt;&gt;"")*(IF(OFFSET($A31,0,1,1,372)=$NX$12,0.5,1)*(OFFSET($A$3,0,1,1,372))))</f>
        <v>5</v>
      </c>
      <c r="NL31" s="70">
        <f t="array" aca="1" ref="NL31" ca="1">SUMPRODUCT((OFFSET($A31,0,31*($A$4)+DAY(Holidays!$E$2),1,Holidays!$G$2)&lt;&gt;"")*(IF(OFFSET($A31,0,31*($A$4)+DAY(Holidays!$E$2),1,Holidays!$G$2)=$NX$12,0.5,1)*(OFFSET($A$3,0,31*($A$4)+DAY(Holidays!$E$2),1,Holidays!$G$2))))</f>
        <v>3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NX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NX$12,0.5,1)*(OFFSET($A$3,0,31*($A$4)+DAY(VLOOKUP(NN$5,Sprints[],2,FALSE)),1,VLOOKUP(NN$5,Sprints[],4,FALSE)))))</f>
        <v>0</v>
      </c>
      <c r="NO31" s="52">
        <f t="array" aca="1" ref="NO31" ca="1">SUMPRODUCT((OFFSET($A31,0,31*(VLOOKUP(NO$5,Sprints[],5,FALSE))+DAY(VLOOKUP(NO$5,Sprints[],2,FALSE)),1,VLOOKUP(NO$5,Sprints[],4,FALSE))&lt;&gt;"")*(IF(OFFSET($A31,0,31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32" spans="1:388" s="45" customFormat="1" x14ac:dyDescent="0.45">
      <c r="A32" s="66" t="s">
        <v>72</v>
      </c>
      <c r="B32" s="67"/>
      <c r="C32" s="2"/>
      <c r="D32" s="2"/>
      <c r="E32" s="2"/>
      <c r="F32" s="2"/>
      <c r="G32" s="2"/>
      <c r="H32" s="67"/>
      <c r="I32" s="2" t="s">
        <v>35</v>
      </c>
      <c r="J32" s="2"/>
      <c r="K32" s="2"/>
      <c r="L32" s="2"/>
      <c r="M32" s="2"/>
      <c r="N32" s="2"/>
      <c r="O32" s="67"/>
      <c r="P32" s="67"/>
      <c r="Q32" s="2"/>
      <c r="R32" s="2"/>
      <c r="S32" s="2"/>
      <c r="T32" s="2"/>
      <c r="U32" s="2"/>
      <c r="V32" s="67"/>
      <c r="W32" s="67"/>
      <c r="X32" s="2"/>
      <c r="Y32" s="2"/>
      <c r="Z32" s="2"/>
      <c r="AA32" s="2"/>
      <c r="AB32" s="2"/>
      <c r="AC32" s="67"/>
      <c r="AD32" s="67"/>
      <c r="AE32" s="2"/>
      <c r="AF32" s="2"/>
      <c r="AG32" s="2"/>
      <c r="AH32" s="2"/>
      <c r="AI32" s="2"/>
      <c r="AJ32" s="2"/>
      <c r="AK32" s="67"/>
      <c r="AL32" s="67"/>
      <c r="AM32" s="2"/>
      <c r="AN32" s="2"/>
      <c r="AO32" s="2"/>
      <c r="AP32" s="2"/>
      <c r="AQ32" s="2"/>
      <c r="AR32" s="67"/>
      <c r="AS32" s="67"/>
      <c r="AT32" s="2"/>
      <c r="AU32" s="2"/>
      <c r="AV32" s="2"/>
      <c r="AW32" s="2"/>
      <c r="AX32" s="2"/>
      <c r="AY32" s="67"/>
      <c r="AZ32" s="67"/>
      <c r="BA32" s="2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2"/>
      <c r="CG32" s="2"/>
      <c r="CH32" s="67"/>
      <c r="CI32" s="67"/>
      <c r="CJ32" s="2" t="s">
        <v>35</v>
      </c>
      <c r="CK32" s="2" t="s">
        <v>35</v>
      </c>
      <c r="CL32" s="67"/>
      <c r="CM32" s="67"/>
      <c r="CN32" s="67"/>
      <c r="CO32" s="67"/>
      <c r="CP32" s="67"/>
      <c r="CQ32" s="2" t="s">
        <v>35</v>
      </c>
      <c r="CR32" s="2"/>
      <c r="CS32" s="67"/>
      <c r="CT32" s="67"/>
      <c r="CU32" s="67"/>
      <c r="CV32" s="67"/>
      <c r="CW32" s="67"/>
      <c r="CX32" s="67"/>
      <c r="CY32" s="67"/>
      <c r="CZ32" s="67"/>
      <c r="DA32" s="67"/>
      <c r="DB32" s="67"/>
      <c r="DC32" s="67"/>
      <c r="DD32" s="67"/>
      <c r="DE32" s="67"/>
      <c r="DF32" s="67"/>
      <c r="DG32" s="67"/>
      <c r="DH32" s="67"/>
      <c r="DI32" s="67"/>
      <c r="DJ32" s="67"/>
      <c r="DK32" s="67"/>
      <c r="DL32" s="67"/>
      <c r="DM32" s="67"/>
      <c r="DN32" s="67"/>
      <c r="DO32" s="67"/>
      <c r="DP32" s="67"/>
      <c r="DQ32" s="67"/>
      <c r="DR32" s="67"/>
      <c r="DS32" s="67"/>
      <c r="DT32" s="67"/>
      <c r="DU32" s="67"/>
      <c r="DV32" s="67"/>
      <c r="DW32" s="67"/>
      <c r="DX32" s="67"/>
      <c r="DY32" s="67"/>
      <c r="DZ32" s="67"/>
      <c r="EA32" s="2"/>
      <c r="EB32" s="67"/>
      <c r="EC32" s="67"/>
      <c r="ED32" s="67"/>
      <c r="EE32" s="67"/>
      <c r="EF32" s="67"/>
      <c r="EG32" s="67"/>
      <c r="EH32" s="2"/>
      <c r="EI32" s="2"/>
      <c r="EJ32" s="2"/>
      <c r="EK32" s="2"/>
      <c r="EL32" s="2"/>
      <c r="EM32" s="2" t="s">
        <v>35</v>
      </c>
      <c r="EN32" s="67"/>
      <c r="EO32" s="67"/>
      <c r="EP32" s="67"/>
      <c r="EQ32" s="67"/>
      <c r="ER32" s="67"/>
      <c r="ES32" s="67"/>
      <c r="ET32" s="67"/>
      <c r="EU32" s="67"/>
      <c r="EV32" s="2"/>
      <c r="EW32" s="2"/>
      <c r="EX32" s="2"/>
      <c r="EY32" s="2"/>
      <c r="EZ32" s="2"/>
      <c r="FA32" s="67"/>
      <c r="FB32" s="67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67"/>
      <c r="GD32" s="67"/>
      <c r="GE32" s="67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67"/>
      <c r="HL32" s="67"/>
      <c r="HM32" s="67"/>
      <c r="HN32" s="67"/>
      <c r="HO32" s="67"/>
      <c r="HP32" s="67"/>
      <c r="HQ32" s="67"/>
      <c r="HR32" s="67"/>
      <c r="HS32" s="67"/>
      <c r="HT32" s="67"/>
      <c r="HU32" s="67"/>
      <c r="HV32" s="67"/>
      <c r="HW32" s="67"/>
      <c r="HX32" s="67"/>
      <c r="HY32" s="67"/>
      <c r="HZ32" s="67"/>
      <c r="IA32" s="67"/>
      <c r="IB32" s="67"/>
      <c r="IC32" s="67"/>
      <c r="ID32" s="67"/>
      <c r="IE32" s="67"/>
      <c r="IF32" s="67"/>
      <c r="IG32" s="67"/>
      <c r="IH32" s="67"/>
      <c r="II32" s="67"/>
      <c r="IJ32" s="67"/>
      <c r="IK32" s="67"/>
      <c r="IL32" s="67"/>
      <c r="IM32" s="67"/>
      <c r="IN32" s="67"/>
      <c r="IO32" s="67"/>
      <c r="IP32" s="67"/>
      <c r="IQ32" s="67"/>
      <c r="IR32" s="67"/>
      <c r="IS32" s="67"/>
      <c r="IT32" s="67"/>
      <c r="IU32" s="67"/>
      <c r="IV32" s="67"/>
      <c r="IW32" s="67"/>
      <c r="IX32" s="67"/>
      <c r="IY32" s="67"/>
      <c r="IZ32" s="67"/>
      <c r="JA32" s="67"/>
      <c r="JB32" s="67"/>
      <c r="JC32" s="67"/>
      <c r="JD32" s="67"/>
      <c r="JE32" s="67"/>
      <c r="JF32" s="67"/>
      <c r="JG32" s="67"/>
      <c r="JH32" s="67"/>
      <c r="JI32" s="67"/>
      <c r="JJ32" s="67"/>
      <c r="JK32" s="67"/>
      <c r="JL32" s="67"/>
      <c r="JM32" s="67"/>
      <c r="JN32" s="2"/>
      <c r="JO32" s="2"/>
      <c r="JP32" s="67"/>
      <c r="JQ32" s="67"/>
      <c r="JR32" s="67"/>
      <c r="JS32" s="67"/>
      <c r="JT32" s="67"/>
      <c r="JU32" s="2"/>
      <c r="JV32" s="67"/>
      <c r="JW32" s="67"/>
      <c r="JX32" s="67"/>
      <c r="JY32" s="67"/>
      <c r="JZ32" s="67"/>
      <c r="KA32" s="67"/>
      <c r="KB32" s="67"/>
      <c r="KC32" s="67"/>
      <c r="KD32" s="67"/>
      <c r="KE32" s="67"/>
      <c r="KF32" s="67"/>
      <c r="KG32" s="67"/>
      <c r="KH32" s="67"/>
      <c r="KI32" s="67"/>
      <c r="KJ32" s="67"/>
      <c r="KK32" s="67"/>
      <c r="KL32" s="67"/>
      <c r="KM32" s="67"/>
      <c r="KN32" s="67"/>
      <c r="KO32" s="67"/>
      <c r="KP32" s="67"/>
      <c r="KQ32" s="67"/>
      <c r="KR32" s="67"/>
      <c r="KS32" s="67"/>
      <c r="KT32" s="67"/>
      <c r="KU32" s="67"/>
      <c r="KV32" s="67"/>
      <c r="KW32" s="67"/>
      <c r="KX32" s="67"/>
      <c r="KY32" s="67"/>
      <c r="KZ32" s="67"/>
      <c r="LA32" s="67"/>
      <c r="LB32" s="67"/>
      <c r="LC32" s="67"/>
      <c r="LD32" s="67"/>
      <c r="LE32" s="67"/>
      <c r="LF32" s="67"/>
      <c r="LG32" s="67"/>
      <c r="LH32" s="67"/>
      <c r="LI32" s="67"/>
      <c r="LJ32" s="67"/>
      <c r="LK32" s="67"/>
      <c r="LL32" s="67"/>
      <c r="LM32" s="67"/>
      <c r="LN32" s="67"/>
      <c r="LO32" s="67"/>
      <c r="LP32" s="67"/>
      <c r="LQ32" s="2"/>
      <c r="LR32" s="67"/>
      <c r="LS32" s="67"/>
      <c r="LT32" s="67"/>
      <c r="LU32" s="67"/>
      <c r="LV32" s="67"/>
      <c r="LW32" s="67"/>
      <c r="LX32" s="67"/>
      <c r="LY32" s="67"/>
      <c r="LZ32" s="67"/>
      <c r="MA32" s="67"/>
      <c r="MB32" s="67"/>
      <c r="MC32" s="67"/>
      <c r="MD32" s="67"/>
      <c r="ME32" s="67"/>
      <c r="MF32" s="67"/>
      <c r="MG32" s="67"/>
      <c r="MH32" s="67"/>
      <c r="MI32" s="67"/>
      <c r="MJ32" s="67"/>
      <c r="MK32" s="67"/>
      <c r="ML32" s="67"/>
      <c r="MM32" s="67"/>
      <c r="MN32" s="67"/>
      <c r="MO32" s="67"/>
      <c r="MP32" s="67"/>
      <c r="MQ32" s="67"/>
      <c r="MR32" s="67"/>
      <c r="MS32" s="67"/>
      <c r="MT32" s="67"/>
      <c r="MU32" s="67"/>
      <c r="MV32" s="67"/>
      <c r="MW32" s="67"/>
      <c r="MX32" s="67"/>
      <c r="MY32" s="67"/>
      <c r="MZ32" s="67"/>
      <c r="NA32" s="67"/>
      <c r="NB32" s="67"/>
      <c r="NC32" s="67"/>
      <c r="ND32" s="67"/>
      <c r="NE32" s="67"/>
      <c r="NF32" s="67"/>
      <c r="NG32" s="67"/>
      <c r="NH32" s="67"/>
      <c r="NI32" s="67"/>
      <c r="NJ32" s="68">
        <f t="array" aca="1" ref="NJ32" ca="1">SUMPRODUCT((OFFSET($A32,0,31*($A$3-1)+1,1,31)&lt;&gt;"")*(IF(OFFSET($A32,0,31*($A$3-1)+1,1,31)=$NX$12,0.5,1)*(OFFSET($A$4,0,31*($A$3-1)+1,1,31))))</f>
        <v>1</v>
      </c>
      <c r="NK32" s="69">
        <f t="array" aca="1" ref="NK32" ca="1">SUMPRODUCT((OFFSET($A32,0,1,1,372)&lt;&gt;"")*(IF(OFFSET($A32,0,1,1,372)=$NX$12,0.5,1)*(OFFSET($A$3,0,1,1,372))))</f>
        <v>5</v>
      </c>
      <c r="NL32" s="70">
        <f t="array" aca="1" ref="NL32" ca="1">SUMPRODUCT((OFFSET($A32,0,31*($A$4)+DAY(Holidays!$E$2),1,Holidays!$G$2)&lt;&gt;"")*(IF(OFFSET($A32,0,31*($A$4)+DAY(Holidays!$E$2),1,Holidays!$G$2)=$NX$12,0.5,1)*(OFFSET($A$3,0,31*($A$4)+DAY(Holidays!$E$2),1,Holidays!$G$2))))</f>
        <v>3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NX$12,0.5,1)*(OFFSET($A$3,0,31*($A$4)+DAY(VLOOKUP(NM$5,Sprints[],2,FALSE)),1,VLOOKUP(NM$5,Sprints[],4,FALSE)))))</f>
        <v>0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NX$12,0.5,1)*(OFFSET($A$3,0,31*($A$4)+DAY(VLOOKUP(NN$5,Sprints[],2,FALSE)),1,VLOOKUP(NN$5,Sprints[],4,FALSE)))))</f>
        <v>0</v>
      </c>
      <c r="NO32" s="52">
        <f t="array" aca="1" ref="NO32" ca="1">SUMPRODUCT((OFFSET($A32,0,31*(VLOOKUP(NO$5,Sprints[],5,FALSE))+DAY(VLOOKUP(NO$5,Sprints[],2,FALSE)),1,VLOOKUP(NO$5,Sprints[],4,FALSE))&lt;&gt;"")*(IF(OFFSET($A32,0,31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33" spans="1:385" ht="14.65" thickBot="1" x14ac:dyDescent="0.5">
      <c r="A33" s="41" t="s">
        <v>79</v>
      </c>
      <c r="B33" s="37"/>
      <c r="C33" s="37"/>
      <c r="D33" s="37"/>
      <c r="E33" s="37"/>
      <c r="F33" s="37"/>
      <c r="G33" s="37"/>
      <c r="H33" s="37"/>
      <c r="I33" s="2" t="s">
        <v>35</v>
      </c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2" t="s">
        <v>35</v>
      </c>
      <c r="CK33" s="2" t="s">
        <v>35</v>
      </c>
      <c r="CL33" s="37"/>
      <c r="CM33" s="37"/>
      <c r="CN33" s="37"/>
      <c r="CO33" s="37"/>
      <c r="CP33" s="37"/>
      <c r="CQ33" s="2" t="s">
        <v>35</v>
      </c>
      <c r="CR33" s="2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2"/>
      <c r="EL33" s="2"/>
      <c r="EM33" s="2" t="s">
        <v>35</v>
      </c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2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58">
        <f t="array" aca="1" ref="NJ33" ca="1">SUMPRODUCT((OFFSET($A33,0,31*($A$3-1)+1,1,31)&lt;&gt;"")*(IF(OFFSET($A33,0,31*($A$3-1)+1,1,31)=$NX$12,0.5,1)*(OFFSET($A$4,0,31*($A$3-1)+1,1,31))))</f>
        <v>1</v>
      </c>
      <c r="NK33" s="55">
        <f t="array" aca="1" ref="NK33" ca="1">SUMPRODUCT((OFFSET($A33,0,1,1,372)&lt;&gt;"")*(IF(OFFSET($A33,0,1,1,372)=$NX$12,0.5,1)*(OFFSET($A$3,0,1,1,372))))</f>
        <v>5</v>
      </c>
      <c r="NL33" s="43">
        <f t="array" aca="1" ref="NL33" ca="1">SUMPRODUCT((OFFSET($A33,0,31*($A$4)+DAY(Holidays!$E$2),1,Holidays!$G$2)&lt;&gt;"")*(IF(OFFSET($A33,0,31*($A$4)+DAY(Holidays!$E$2),1,Holidays!$G$2)=$NX$12,0.5,1)*(OFFSET($A$3,0,31*($A$4)+DAY(Holidays!$E$2),1,Holidays!$G$2))))</f>
        <v>3</v>
      </c>
      <c r="NM33" s="53">
        <f t="array" aca="1" ref="NM33" ca="1">SUMPRODUCT((OFFSET($A33,0,31*($A$4)+DAY(VLOOKUP(NM$5,Sprints[],2,FALSE)),1,VLOOKUP(NM$5,Sprints[],4,FALSE))&lt;&gt;"")*(IF(OFFSET($A33,0,31*($A$4)+DAY(VLOOKUP(NM$5,Sprints[],2,FALSE)),1,VLOOKUP(NM$5,Sprints[],4,FALSE))=$NX$12,0.5,1)*(OFFSET($A$3,0,31*($A$4)+DAY(VLOOKUP(NM$5,Sprints[],2,FALSE)),1,VLOOKUP(NM$5,Sprints[],4,FALSE)))))</f>
        <v>0</v>
      </c>
      <c r="NN33" s="53">
        <f t="array" aca="1" ref="NN33" ca="1">SUMPRODUCT((OFFSET($A33,0,31*($A$4)+DAY(VLOOKUP(NN$5,Sprints[],2,FALSE)),1,VLOOKUP(NN$5,Sprints[],4,FALSE))&lt;&gt;"")*(IF(OFFSET($A33,0,31*($A$4)+DAY(VLOOKUP(NN$5,Sprints[],2,FALSE)),1,VLOOKUP(NN$5,Sprints[],4,FALSE))=$NX$12,0.5,1)*(OFFSET($A$3,0,31*($A$4)+DAY(VLOOKUP(NN$5,Sprints[],2,FALSE)),1,VLOOKUP(NN$5,Sprints[],4,FALSE)))))</f>
        <v>0</v>
      </c>
      <c r="NO33" s="53">
        <f t="array" aca="1" ref="NO33" ca="1">SUMPRODUCT((OFFSET($A33,0,31*(VLOOKUP(NO$5,Sprints[],5,FALSE))+DAY(VLOOKUP(NO$5,Sprints[],2,FALSE)),1,VLOOKUP(NO$5,Sprints[],4,FALSE))&lt;&gt;"")*(IF(OFFSET($A33,0,31*(VLOOKUP(NO$5,Sprints[],5,FALSE))+DAY(VLOOKUP(NO$5,Sprints[],2,FALSE)),1,VLOOKUP(NO$5,Sprints[],4,FALSE))=$NX$12,0.5,1)*(OFFSET($A$3,0,31*(VLOOKUP(NO$5,Sprints[],5,FALSE))+DAY(VLOOKUP(NO$5,Sprints[],2,FALSE)),1,VLOOKUP(NO$5,Sprints[],4,FALSE)))))</f>
        <v>0</v>
      </c>
      <c r="NP33" s="53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3" s="53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3" s="53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NX$12,0.5,1)*(OFFSET($A$3,0,31*(VLOOKUP(NR$5,Sprints[],5,FALSE))+DAY(VLOOKUP(NR$5,Sprints[],2,FALSE)),1,VLOOKUP(NR$5,Sprints[],4,FALSE)))))</f>
        <v>3</v>
      </c>
      <c r="NS33" s="53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NX$12,0.5,1)*(OFFSET($A$3,0,31*(VLOOKUP(NS$5,Sprints[],5,FALSE))+DAY(VLOOKUP(NS$5,Sprints[],2,FALSE)),1,VLOOKUP(NS$5,Sprints[],4,FALSE)))))</f>
        <v>0</v>
      </c>
      <c r="NT33" s="53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3" s="53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NX$12,0.5,1)*(OFFSET($A$3,0,31*(VLOOKUP(NU$5,Sprints[],5,FALSE))+DAY(VLOOKUP(NU$5,Sprints[],2,FALSE)),1,VLOOKUP(NU$5,Sprints[],4,FALSE)))))</f>
        <v>3</v>
      </c>
    </row>
    <row r="34" spans="1:385" ht="14.65" thickTop="1" x14ac:dyDescent="0.45">
      <c r="A34" s="46" t="s">
        <v>89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2" t="s">
        <v>35</v>
      </c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2" t="s">
        <v>35</v>
      </c>
      <c r="CK34" s="36"/>
      <c r="CL34" s="36"/>
      <c r="CM34" s="36"/>
      <c r="CN34" s="36"/>
      <c r="CO34" s="36"/>
      <c r="CP34" s="36"/>
      <c r="CQ34" s="2" t="s">
        <v>35</v>
      </c>
      <c r="CR34" s="36"/>
      <c r="CS34" s="2"/>
      <c r="CT34" s="36"/>
      <c r="CU34" s="36"/>
      <c r="CV34" s="36"/>
      <c r="CW34" s="2" t="s">
        <v>35</v>
      </c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2" t="s">
        <v>35</v>
      </c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2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2"/>
      <c r="JO34" s="36"/>
      <c r="JP34" s="36"/>
      <c r="JQ34" s="36"/>
      <c r="JR34" s="36"/>
      <c r="JS34" s="36"/>
      <c r="JT34" s="36"/>
      <c r="JU34" s="2"/>
      <c r="JV34" s="36"/>
      <c r="JW34" s="36"/>
      <c r="JX34" s="36"/>
      <c r="JY34" s="36"/>
      <c r="JZ34" s="36"/>
      <c r="KA34" s="2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2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57">
        <f t="array" aca="1" ref="NJ34" ca="1">SUMPRODUCT((OFFSET($A34,0,31*($A$3-1)+1,1,31)&lt;&gt;"")*(IF(OFFSET($A34,0,31*($A$3-1)+1,1,31)=$NX$12,0.5,1)*(OFFSET($A$4,0,31*($A$3-1)+1,1,31))))</f>
        <v>0</v>
      </c>
      <c r="NK34" s="56">
        <f t="array" aca="1" ref="NK34" ca="1">SUMPRODUCT((OFFSET($A34,0,1,1,372)&lt;&gt;"")*(IF(OFFSET($A34,0,1,1,372)=$NX$12,0.5,1)*(OFFSET($A$3,0,1,1,372))))</f>
        <v>5</v>
      </c>
      <c r="NL34" s="42">
        <f t="array" aca="1" ref="NL34" ca="1">SUMPRODUCT((OFFSET($A34,0,31*($A$4)+DAY(Holidays!$E$2),1,Holidays!$G$2)&lt;&gt;"")*(IF(OFFSET($A34,0,31*($A$4)+DAY(Holidays!$E$2),1,Holidays!$G$2)=$NX$12,0.5,1)*(OFFSET($A$3,0,31*($A$4)+DAY(Holidays!$E$2),1,Holidays!$G$2))))</f>
        <v>4</v>
      </c>
      <c r="NM34" s="54">
        <f t="array" aca="1" ref="NM34" ca="1">SUMPRODUCT((OFFSET($A34,0,31*($A$4)+DAY(VLOOKUP(NM$5,Sprints[],2,FALSE)),1,VLOOKUP(NM$5,Sprints[],4,FALSE))&lt;&gt;"")*(IF(OFFSET($A34,0,31*($A$4)+DAY(VLOOKUP(NM$5,Sprints[],2,FALSE)),1,VLOOKUP(NM$5,Sprints[],4,FALSE))=$NX$12,0.5,1)*(OFFSET($A$3,0,31*($A$4)+DAY(VLOOKUP(NM$5,Sprints[],2,FALSE)),1,VLOOKUP(NM$5,Sprints[],4,FALSE)))))</f>
        <v>0</v>
      </c>
      <c r="NN34" s="54">
        <f t="array" aca="1" ref="NN34" ca="1">SUMPRODUCT((OFFSET($A34,0,31*($A$4)+DAY(VLOOKUP(NN$5,Sprints[],2,FALSE)),1,VLOOKUP(NN$5,Sprints[],4,FALSE))&lt;&gt;"")*(IF(OFFSET($A34,0,31*($A$4)+DAY(VLOOKUP(NN$5,Sprints[],2,FALSE)),1,VLOOKUP(NN$5,Sprints[],4,FALSE))=$NX$12,0.5,1)*(OFFSET($A$3,0,31*($A$4)+DAY(VLOOKUP(NN$5,Sprints[],2,FALSE)),1,VLOOKUP(NN$5,Sprints[],4,FALSE)))))</f>
        <v>0</v>
      </c>
      <c r="NO34" s="52">
        <f t="array" aca="1" ref="NO34" ca="1">SUMPRODUCT((OFFSET($A34,0,31*(VLOOKUP(NO$5,Sprints[],5,FALSE))+DAY(VLOOKUP(NO$5,Sprints[],2,FALSE)),1,VLOOKUP(NO$5,Sprints[],4,FALSE))&lt;&gt;"")*(IF(OFFSET($A34,0,31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34" s="54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4" s="54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4" s="54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34" s="54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34" s="54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4" s="54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35" spans="1:385" x14ac:dyDescent="0.45">
      <c r="A35" s="44" t="s">
        <v>92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36"/>
      <c r="R35" s="36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36"/>
      <c r="AF35" s="2"/>
      <c r="AG35" s="36"/>
      <c r="AH35" s="2"/>
      <c r="AI35" s="2"/>
      <c r="AJ35" s="2"/>
      <c r="AK35" s="2"/>
      <c r="AL35" s="2"/>
      <c r="AM35" s="2" t="s">
        <v>35</v>
      </c>
      <c r="AN35" s="2"/>
      <c r="AO35" s="36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 t="s">
        <v>35</v>
      </c>
      <c r="CK35" s="2"/>
      <c r="CL35" s="2"/>
      <c r="CM35" s="2"/>
      <c r="CN35" s="2"/>
      <c r="CO35" s="2"/>
      <c r="CP35" s="2"/>
      <c r="CQ35" s="2" t="s">
        <v>35</v>
      </c>
      <c r="CR35" s="2"/>
      <c r="CS35" s="2"/>
      <c r="CT35" s="2"/>
      <c r="CU35" s="2"/>
      <c r="CV35" s="2"/>
      <c r="CW35" s="2" t="s">
        <v>35</v>
      </c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 t="s">
        <v>35</v>
      </c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SUMPRODUCT((OFFSET($A35,0,31*($A$3-1)+1,1,31)&lt;&gt;"")*(IF(OFFSET($A35,0,31*($A$3-1)+1,1,31)=$NX$12,0.5,1)*(OFFSET($A$4,0,31*($A$3-1)+1,1,31))))</f>
        <v>0</v>
      </c>
      <c r="NK35" s="20">
        <f t="array" aca="1" ref="NK35" ca="1">SUMPRODUCT((OFFSET($A35,0,1,1,372)&lt;&gt;"")*(IF(OFFSET($A35,0,1,1,372)=$NX$12,0.5,1)*(OFFSET($A$3,0,1,1,372))))</f>
        <v>5</v>
      </c>
      <c r="NL35" s="28">
        <f t="array" aca="1" ref="NL35" ca="1">SUMPRODUCT((OFFSET($A35,0,31*($A$4)+DAY(Holidays!$E$2),1,Holidays!$G$2)&lt;&gt;"")*(IF(OFFSET($A35,0,31*($A$4)+DAY(Holidays!$E$2),1,Holidays!$G$2)=$NX$12,0.5,1)*(OFFSET($A$3,0,31*($A$4)+DAY(Holidays!$E$2),1,Holidays!$G$2))))</f>
        <v>4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NX$12,0.5,1)*(OFFSET($A$3,0,31*($A$4)+DAY(VLOOKUP(NM$5,Sprints[],2,FALSE)),1,VLOOKUP(NM$5,Sprints[],4,FALSE)))))</f>
        <v>0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NX$12,0.5,1)*(OFFSET($A$3,0,31*($A$4)+DAY(VLOOKUP(NN$5,Sprints[],2,FALSE)),1,VLOOKUP(NN$5,Sprints[],4,FALSE)))))</f>
        <v>0</v>
      </c>
      <c r="NO35" s="52">
        <f t="array" aca="1" ref="NO35" ca="1">SUMPRODUCT((OFFSET($A35,0,31*(VLOOKUP(NO$5,Sprints[],5,FALSE))+DAY(VLOOKUP(NO$5,Sprints[],2,FALSE)),1,VLOOKUP(NO$5,Sprints[],4,FALSE))&lt;&gt;"")*(IF(OFFSET($A35,0,31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36" spans="1:385" x14ac:dyDescent="0.45">
      <c r="A36" s="44" t="s">
        <v>86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36"/>
      <c r="R36" s="36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36"/>
      <c r="AF36" s="2"/>
      <c r="AG36" s="36"/>
      <c r="AH36" s="2"/>
      <c r="AI36" s="2"/>
      <c r="AJ36" s="2"/>
      <c r="AK36" s="2"/>
      <c r="AL36" s="2"/>
      <c r="AM36" s="2" t="s">
        <v>35</v>
      </c>
      <c r="AN36" s="2"/>
      <c r="AO36" s="36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 t="s">
        <v>35</v>
      </c>
      <c r="CK36" s="2"/>
      <c r="CL36" s="2"/>
      <c r="CM36" s="2"/>
      <c r="CN36" s="2"/>
      <c r="CO36" s="2"/>
      <c r="CP36" s="2"/>
      <c r="CQ36" s="2" t="s">
        <v>35</v>
      </c>
      <c r="CR36" s="2"/>
      <c r="CS36" s="2"/>
      <c r="CT36" s="2"/>
      <c r="CU36" s="2"/>
      <c r="CV36" s="2"/>
      <c r="CW36" s="2" t="s">
        <v>35</v>
      </c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 t="s">
        <v>35</v>
      </c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SUMPRODUCT((OFFSET($A36,0,31*($A$3-1)+1,1,31)&lt;&gt;"")*(IF(OFFSET($A36,0,31*($A$3-1)+1,1,31)=$NX$12,0.5,1)*(OFFSET($A$4,0,31*($A$3-1)+1,1,31))))</f>
        <v>0</v>
      </c>
      <c r="NK36" s="20">
        <f t="array" aca="1" ref="NK36" ca="1">SUMPRODUCT((OFFSET($A36,0,1,1,372)&lt;&gt;"")*(IF(OFFSET($A36,0,1,1,372)=$NX$12,0.5,1)*(OFFSET($A$3,0,1,1,372))))</f>
        <v>5</v>
      </c>
      <c r="NL36" s="28">
        <f t="array" aca="1" ref="NL36" ca="1">SUMPRODUCT((OFFSET($A36,0,31*($A$4)+DAY(Holidays!$E$2),1,Holidays!$G$2)&lt;&gt;"")*(IF(OFFSET($A36,0,31*($A$4)+DAY(Holidays!$E$2),1,Holidays!$G$2)=$NX$12,0.5,1)*(OFFSET($A$3,0,31*($A$4)+DAY(Holidays!$E$2),1,Holidays!$G$2))))</f>
        <v>4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NX$12,0.5,1)*(OFFSET($A$3,0,31*($A$4)+DAY(VLOOKUP(NM$5,Sprints[],2,FALSE)),1,VLOOKUP(NM$5,Sprints[],4,FALSE)))))</f>
        <v>0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NX$12,0.5,1)*(OFFSET($A$3,0,31*($A$4)+DAY(VLOOKUP(NN$5,Sprints[],2,FALSE)),1,VLOOKUP(NN$5,Sprints[],4,FALSE)))))</f>
        <v>0</v>
      </c>
      <c r="NO36" s="52">
        <f t="array" aca="1" ref="NO36" ca="1">SUMPRODUCT((OFFSET($A36,0,31*(VLOOKUP(NO$5,Sprints[],5,FALSE))+DAY(VLOOKUP(NO$5,Sprints[],2,FALSE)),1,VLOOKUP(NO$5,Sprints[],4,FALSE))&lt;&gt;"")*(IF(OFFSET($A36,0,31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37" spans="1:385" x14ac:dyDescent="0.45">
      <c r="A37" s="44" t="s">
        <v>138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36"/>
      <c r="R37" s="36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36"/>
      <c r="AF37" s="2"/>
      <c r="AG37" s="36"/>
      <c r="AH37" s="2"/>
      <c r="AI37" s="2"/>
      <c r="AJ37" s="2"/>
      <c r="AK37" s="2"/>
      <c r="AL37" s="2"/>
      <c r="AM37" s="2" t="s">
        <v>35</v>
      </c>
      <c r="AN37" s="2"/>
      <c r="AO37" s="36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 t="s">
        <v>35</v>
      </c>
      <c r="CK37" s="2"/>
      <c r="CL37" s="2"/>
      <c r="CM37" s="2"/>
      <c r="CN37" s="2"/>
      <c r="CO37" s="2"/>
      <c r="CP37" s="2"/>
      <c r="CQ37" s="2" t="s">
        <v>35</v>
      </c>
      <c r="CR37" s="2"/>
      <c r="CS37" s="2"/>
      <c r="CT37" s="2"/>
      <c r="CU37" s="2"/>
      <c r="CV37" s="2"/>
      <c r="CW37" s="2" t="s">
        <v>35</v>
      </c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 t="s">
        <v>35</v>
      </c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SUMPRODUCT((OFFSET($A37,0,31*($A$3-1)+1,1,31)&lt;&gt;"")*(IF(OFFSET($A37,0,31*($A$3-1)+1,1,31)=$NX$12,0.5,1)*(OFFSET($A$4,0,31*($A$3-1)+1,1,31))))</f>
        <v>0</v>
      </c>
      <c r="NK37" s="20">
        <f t="array" aca="1" ref="NK37" ca="1">SUMPRODUCT((OFFSET($A37,0,1,1,372)&lt;&gt;"")*(IF(OFFSET($A37,0,1,1,372)=$NX$12,0.5,1)*(OFFSET($A$3,0,1,1,372))))</f>
        <v>5</v>
      </c>
      <c r="NL37" s="28">
        <f t="array" aca="1" ref="NL37" ca="1">SUMPRODUCT((OFFSET($A37,0,31*($A$4)+DAY(Holidays!$E$2),1,Holidays!$G$2)&lt;&gt;"")*(IF(OFFSET($A37,0,31*($A$4)+DAY(Holidays!$E$2),1,Holidays!$G$2)=$NX$12,0.5,1)*(OFFSET($A$3,0,31*($A$4)+DAY(Holidays!$E$2),1,Holidays!$G$2))))</f>
        <v>4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NX$12,0.5,1)*(OFFSET($A$3,0,31*($A$4)+DAY(VLOOKUP(NM$5,Sprints[],2,FALSE)),1,VLOOKUP(NM$5,Sprints[],4,FALSE)))))</f>
        <v>0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NX$12,0.5,1)*(OFFSET($A$3,0,31*($A$4)+DAY(VLOOKUP(NN$5,Sprints[],2,FALSE)),1,VLOOKUP(NN$5,Sprints[],4,FALSE)))))</f>
        <v>0</v>
      </c>
      <c r="NO37" s="52">
        <f t="array" aca="1" ref="NO37" ca="1">SUMPRODUCT((OFFSET($A37,0,31*(VLOOKUP(NO$5,Sprints[],5,FALSE))+DAY(VLOOKUP(NO$5,Sprints[],2,FALSE)),1,VLOOKUP(NO$5,Sprints[],4,FALSE))&lt;&gt;"")*(IF(OFFSET($A37,0,31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38" spans="1:385" x14ac:dyDescent="0.45">
      <c r="A38" s="44" t="s">
        <v>88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6"/>
      <c r="R38" s="36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36"/>
      <c r="AF38" s="2"/>
      <c r="AG38" s="36"/>
      <c r="AH38" s="2"/>
      <c r="AI38" s="2"/>
      <c r="AJ38" s="2"/>
      <c r="AK38" s="2"/>
      <c r="AL38" s="2"/>
      <c r="AM38" s="2" t="s">
        <v>35</v>
      </c>
      <c r="AN38" s="2"/>
      <c r="AO38" s="36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 t="s">
        <v>35</v>
      </c>
      <c r="CK38" s="2"/>
      <c r="CL38" s="2"/>
      <c r="CM38" s="2"/>
      <c r="CN38" s="2"/>
      <c r="CO38" s="2"/>
      <c r="CP38" s="2"/>
      <c r="CQ38" s="2" t="s">
        <v>35</v>
      </c>
      <c r="CR38" s="2"/>
      <c r="CS38" s="2"/>
      <c r="CT38" s="2"/>
      <c r="CU38" s="2"/>
      <c r="CV38" s="2"/>
      <c r="CW38" s="2" t="s">
        <v>35</v>
      </c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 t="s">
        <v>35</v>
      </c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SUMPRODUCT((OFFSET($A38,0,31*($A$3-1)+1,1,31)&lt;&gt;"")*(IF(OFFSET($A38,0,31*($A$3-1)+1,1,31)=$NX$12,0.5,1)*(OFFSET($A$4,0,31*($A$3-1)+1,1,31))))</f>
        <v>0</v>
      </c>
      <c r="NK38" s="20">
        <f t="array" aca="1" ref="NK38" ca="1">SUMPRODUCT((OFFSET($A38,0,1,1,372)&lt;&gt;"")*(IF(OFFSET($A38,0,1,1,372)=$NX$12,0.5,1)*(OFFSET($A$3,0,1,1,372))))</f>
        <v>5</v>
      </c>
      <c r="NL38" s="28">
        <f t="array" aca="1" ref="NL38" ca="1">SUMPRODUCT((OFFSET($A38,0,31*($A$4)+DAY(Holidays!$E$2),1,Holidays!$G$2)&lt;&gt;"")*(IF(OFFSET($A38,0,31*($A$4)+DAY(Holidays!$E$2),1,Holidays!$G$2)=$NX$12,0.5,1)*(OFFSET($A$3,0,31*($A$4)+DAY(Holidays!$E$2),1,Holidays!$G$2))))</f>
        <v>4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NX$12,0.5,1)*(OFFSET($A$3,0,31*($A$4)+DAY(VLOOKUP(NM$5,Sprints[],2,FALSE)),1,VLOOKUP(NM$5,Sprints[],4,FALSE)))))</f>
        <v>0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NX$12,0.5,1)*(OFFSET($A$3,0,31*($A$4)+DAY(VLOOKUP(NN$5,Sprints[],2,FALSE)),1,VLOOKUP(NN$5,Sprints[],4,FALSE)))))</f>
        <v>0</v>
      </c>
      <c r="NO38" s="52">
        <f t="array" aca="1" ref="NO38" ca="1">SUMPRODUCT((OFFSET($A38,0,31*(VLOOKUP(NO$5,Sprints[],5,FALSE))+DAY(VLOOKUP(NO$5,Sprints[],2,FALSE)),1,VLOOKUP(NO$5,Sprints[],4,FALSE))&lt;&gt;"")*(IF(OFFSET($A38,0,31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39" spans="1:385" x14ac:dyDescent="0.45">
      <c r="A39" s="44" t="s">
        <v>94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6"/>
      <c r="R39" s="36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36"/>
      <c r="AF39" s="2"/>
      <c r="AG39" s="36"/>
      <c r="AH39" s="2"/>
      <c r="AI39" s="2"/>
      <c r="AJ39" s="2"/>
      <c r="AK39" s="2"/>
      <c r="AL39" s="2"/>
      <c r="AM39" s="2" t="s">
        <v>35</v>
      </c>
      <c r="AN39" s="2"/>
      <c r="AO39" s="36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 t="s">
        <v>35</v>
      </c>
      <c r="CK39" s="2"/>
      <c r="CL39" s="2"/>
      <c r="CM39" s="2"/>
      <c r="CN39" s="2"/>
      <c r="CO39" s="2"/>
      <c r="CP39" s="2"/>
      <c r="CQ39" s="2" t="s">
        <v>35</v>
      </c>
      <c r="CR39" s="2"/>
      <c r="CS39" s="2"/>
      <c r="CT39" s="2"/>
      <c r="CU39" s="2"/>
      <c r="CV39" s="2"/>
      <c r="CW39" s="2" t="s">
        <v>35</v>
      </c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 t="s">
        <v>35</v>
      </c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SUMPRODUCT((OFFSET($A39,0,31*($A$3-1)+1,1,31)&lt;&gt;"")*(IF(OFFSET($A39,0,31*($A$3-1)+1,1,31)=$NX$12,0.5,1)*(OFFSET($A$4,0,31*($A$3-1)+1,1,31))))</f>
        <v>0</v>
      </c>
      <c r="NK39" s="20">
        <f t="array" aca="1" ref="NK39" ca="1">SUMPRODUCT((OFFSET($A39,0,1,1,372)&lt;&gt;"")*(IF(OFFSET($A39,0,1,1,372)=$NX$12,0.5,1)*(OFFSET($A$3,0,1,1,372))))</f>
        <v>5</v>
      </c>
      <c r="NL39" s="28">
        <f t="array" aca="1" ref="NL39" ca="1">SUMPRODUCT((OFFSET($A39,0,31*($A$4)+DAY(Holidays!$E$2),1,Holidays!$G$2)&lt;&gt;"")*(IF(OFFSET($A39,0,31*($A$4)+DAY(Holidays!$E$2),1,Holidays!$G$2)=$NX$12,0.5,1)*(OFFSET($A$3,0,31*($A$4)+DAY(Holidays!$E$2),1,Holidays!$G$2))))</f>
        <v>4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NX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NX$12,0.5,1)*(OFFSET($A$3,0,31*($A$4)+DAY(VLOOKUP(NN$5,Sprints[],2,FALSE)),1,VLOOKUP(NN$5,Sprints[],4,FALSE)))))</f>
        <v>0</v>
      </c>
      <c r="NO39" s="52">
        <f t="array" aca="1" ref="NO39" ca="1">SUMPRODUCT((OFFSET($A39,0,31*(VLOOKUP(NO$5,Sprints[],5,FALSE))+DAY(VLOOKUP(NO$5,Sprints[],2,FALSE)),1,VLOOKUP(NO$5,Sprints[],4,FALSE))&lt;&gt;"")*(IF(OFFSET($A39,0,31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0" spans="1:385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6"/>
      <c r="R40" s="36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36"/>
      <c r="AF40" s="2"/>
      <c r="AG40" s="36"/>
      <c r="AH40" s="2"/>
      <c r="AI40" s="2"/>
      <c r="AJ40" s="2"/>
      <c r="AK40" s="2"/>
      <c r="AL40" s="2"/>
      <c r="AM40" s="2" t="s">
        <v>35</v>
      </c>
      <c r="AN40" s="2"/>
      <c r="AO40" s="36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 t="s">
        <v>35</v>
      </c>
      <c r="CK40" s="2"/>
      <c r="CL40" s="2"/>
      <c r="CM40" s="2"/>
      <c r="CN40" s="2"/>
      <c r="CO40" s="2"/>
      <c r="CP40" s="2"/>
      <c r="CQ40" s="2" t="s">
        <v>35</v>
      </c>
      <c r="CR40" s="2"/>
      <c r="CS40" s="2"/>
      <c r="CT40" s="2"/>
      <c r="CU40" s="2"/>
      <c r="CV40" s="2"/>
      <c r="CW40" s="2" t="s">
        <v>35</v>
      </c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 t="s">
        <v>35</v>
      </c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SUMPRODUCT((OFFSET($A40,0,31*($A$3-1)+1,1,31)&lt;&gt;"")*(IF(OFFSET($A40,0,31*($A$3-1)+1,1,31)=$NX$12,0.5,1)*(OFFSET($A$4,0,31*($A$3-1)+1,1,31))))</f>
        <v>0</v>
      </c>
      <c r="NK40" s="20">
        <f t="array" aca="1" ref="NK40" ca="1">SUMPRODUCT((OFFSET($A40,0,1,1,372)&lt;&gt;"")*(IF(OFFSET($A40,0,1,1,372)=$NX$12,0.5,1)*(OFFSET($A$3,0,1,1,372))))</f>
        <v>5</v>
      </c>
      <c r="NL40" s="28">
        <f t="array" aca="1" ref="NL40" ca="1">SUMPRODUCT((OFFSET($A40,0,31*($A$4)+DAY(Holidays!$E$2),1,Holidays!$G$2)&lt;&gt;"")*(IF(OFFSET($A40,0,31*($A$4)+DAY(Holidays!$E$2),1,Holidays!$G$2)=$NX$12,0.5,1)*(OFFSET($A$3,0,31*($A$4)+DAY(Holidays!$E$2),1,Holidays!$G$2))))</f>
        <v>4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NX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NX$12,0.5,1)*(OFFSET($A$3,0,31*($A$4)+DAY(VLOOKUP(NN$5,Sprints[],2,FALSE)),1,VLOOKUP(NN$5,Sprints[],4,FALSE)))))</f>
        <v>0</v>
      </c>
      <c r="NO40" s="52">
        <f t="array" aca="1" ref="NO40" ca="1">SUMPRODUCT((OFFSET($A40,0,31*(VLOOKUP(NO$5,Sprints[],5,FALSE))+DAY(VLOOKUP(NO$5,Sprints[],2,FALSE)),1,VLOOKUP(NO$5,Sprints[],4,FALSE))&lt;&gt;"")*(IF(OFFSET($A40,0,31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1" spans="1:385" x14ac:dyDescent="0.45">
      <c r="A41" s="44" t="s">
        <v>139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6"/>
      <c r="R41" s="36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36"/>
      <c r="AF41" s="2"/>
      <c r="AG41" s="36"/>
      <c r="AH41" s="2"/>
      <c r="AI41" s="2"/>
      <c r="AJ41" s="2"/>
      <c r="AK41" s="2"/>
      <c r="AL41" s="2"/>
      <c r="AM41" s="2" t="s">
        <v>35</v>
      </c>
      <c r="AN41" s="2"/>
      <c r="AO41" s="36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 t="s">
        <v>35</v>
      </c>
      <c r="CK41" s="2"/>
      <c r="CL41" s="2"/>
      <c r="CM41" s="2"/>
      <c r="CN41" s="2"/>
      <c r="CO41" s="2"/>
      <c r="CP41" s="2"/>
      <c r="CQ41" s="2" t="s">
        <v>35</v>
      </c>
      <c r="CR41" s="2"/>
      <c r="CS41" s="2"/>
      <c r="CT41" s="2"/>
      <c r="CU41" s="2"/>
      <c r="CV41" s="2"/>
      <c r="CW41" s="2" t="s">
        <v>35</v>
      </c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 t="s">
        <v>35</v>
      </c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SUMPRODUCT((OFFSET($A41,0,31*($A$3-1)+1,1,31)&lt;&gt;"")*(IF(OFFSET($A41,0,31*($A$3-1)+1,1,31)=$NX$12,0.5,1)*(OFFSET($A$4,0,31*($A$3-1)+1,1,31))))</f>
        <v>0</v>
      </c>
      <c r="NK41" s="20">
        <f t="array" aca="1" ref="NK41" ca="1">SUMPRODUCT((OFFSET($A41,0,1,1,372)&lt;&gt;"")*(IF(OFFSET($A41,0,1,1,372)=$NX$12,0.5,1)*(OFFSET($A$3,0,1,1,372))))</f>
        <v>5</v>
      </c>
      <c r="NL41" s="28">
        <f t="array" aca="1" ref="NL41" ca="1">SUMPRODUCT((OFFSET($A41,0,31*($A$4)+DAY(Holidays!$E$2),1,Holidays!$G$2)&lt;&gt;"")*(IF(OFFSET($A41,0,31*($A$4)+DAY(Holidays!$E$2),1,Holidays!$G$2)=$NX$12,0.5,1)*(OFFSET($A$3,0,31*($A$4)+DAY(Holidays!$E$2),1,Holidays!$G$2))))</f>
        <v>4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NX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NX$12,0.5,1)*(OFFSET($A$3,0,31*($A$4)+DAY(VLOOKUP(NN$5,Sprints[],2,FALSE)),1,VLOOKUP(NN$5,Sprints[],4,FALSE)))))</f>
        <v>0</v>
      </c>
      <c r="NO41" s="52">
        <f t="array" aca="1" ref="NO41" ca="1">SUMPRODUCT((OFFSET($A41,0,31*(VLOOKUP(NO$5,Sprints[],5,FALSE))+DAY(VLOOKUP(NO$5,Sprints[],2,FALSE)),1,VLOOKUP(NO$5,Sprints[],4,FALSE))&lt;&gt;"")*(IF(OFFSET($A41,0,31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2" spans="1:385" x14ac:dyDescent="0.45">
      <c r="A42" s="44" t="s">
        <v>85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36"/>
      <c r="R42" s="36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36"/>
      <c r="AF42" s="2"/>
      <c r="AG42" s="36"/>
      <c r="AH42" s="2"/>
      <c r="AI42" s="2"/>
      <c r="AJ42" s="2"/>
      <c r="AK42" s="2"/>
      <c r="AL42" s="2"/>
      <c r="AM42" s="2" t="s">
        <v>35</v>
      </c>
      <c r="AN42" s="2"/>
      <c r="AO42" s="36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 t="s">
        <v>35</v>
      </c>
      <c r="CK42" s="2"/>
      <c r="CL42" s="2"/>
      <c r="CM42" s="2"/>
      <c r="CN42" s="2"/>
      <c r="CO42" s="2"/>
      <c r="CP42" s="2"/>
      <c r="CQ42" s="2" t="s">
        <v>35</v>
      </c>
      <c r="CR42" s="2"/>
      <c r="CS42" s="2"/>
      <c r="CT42" s="2"/>
      <c r="CU42" s="2"/>
      <c r="CV42" s="2"/>
      <c r="CW42" s="2" t="s">
        <v>35</v>
      </c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 t="s">
        <v>35</v>
      </c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14">
        <f t="array" aca="1" ref="NJ42" ca="1">SUMPRODUCT((OFFSET($A42,0,31*($A$3-1)+1,1,31)&lt;&gt;"")*(IF(OFFSET($A42,0,31*($A$3-1)+1,1,31)=$NX$12,0.5,1)*(OFFSET($A$4,0,31*($A$3-1)+1,1,31))))</f>
        <v>0</v>
      </c>
      <c r="NK42" s="20">
        <f t="array" aca="1" ref="NK42" ca="1">SUMPRODUCT((OFFSET($A42,0,1,1,372)&lt;&gt;"")*(IF(OFFSET($A42,0,1,1,372)=$NX$12,0.5,1)*(OFFSET($A$3,0,1,1,372))))</f>
        <v>5</v>
      </c>
      <c r="NL42" s="28">
        <f t="array" aca="1" ref="NL42" ca="1">SUMPRODUCT((OFFSET($A42,0,31*($A$4)+DAY(Holidays!$E$2),1,Holidays!$G$2)&lt;&gt;"")*(IF(OFFSET($A42,0,31*($A$4)+DAY(Holidays!$E$2),1,Holidays!$G$2)=$NX$12,0.5,1)*(OFFSET($A$3,0,31*($A$4)+DAY(Holidays!$E$2),1,Holidays!$G$2))))</f>
        <v>4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NX$12,0.5,1)*(OFFSET($A$3,0,31*($A$4)+DAY(VLOOKUP(NM$5,Sprints[],2,FALSE)),1,VLOOKUP(NM$5,Sprints[],4,FALSE)))))</f>
        <v>0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NX$12,0.5,1)*(OFFSET($A$3,0,31*($A$4)+DAY(VLOOKUP(NN$5,Sprints[],2,FALSE)),1,VLOOKUP(NN$5,Sprints[],4,FALSE)))))</f>
        <v>0</v>
      </c>
      <c r="NO42" s="52">
        <f t="array" aca="1" ref="NO42" ca="1">SUMPRODUCT((OFFSET($A42,0,31*(VLOOKUP(NO$5,Sprints[],5,FALSE))+DAY(VLOOKUP(NO$5,Sprints[],2,FALSE)),1,VLOOKUP(NO$5,Sprints[],4,FALSE))&lt;&gt;"")*(IF(OFFSET($A42,0,31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3" spans="1:385" x14ac:dyDescent="0.45">
      <c r="A43" s="44" t="s">
        <v>87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36"/>
      <c r="R43" s="36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36"/>
      <c r="AF43" s="2"/>
      <c r="AG43" s="36"/>
      <c r="AH43" s="2"/>
      <c r="AI43" s="2"/>
      <c r="AJ43" s="2"/>
      <c r="AK43" s="2"/>
      <c r="AL43" s="2"/>
      <c r="AM43" s="2" t="s">
        <v>35</v>
      </c>
      <c r="AN43" s="2"/>
      <c r="AO43" s="36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 t="s">
        <v>35</v>
      </c>
      <c r="CK43" s="2"/>
      <c r="CL43" s="2"/>
      <c r="CM43" s="2"/>
      <c r="CN43" s="2"/>
      <c r="CO43" s="2"/>
      <c r="CP43" s="2"/>
      <c r="CQ43" s="2" t="s">
        <v>35</v>
      </c>
      <c r="CR43" s="2"/>
      <c r="CS43" s="2"/>
      <c r="CT43" s="2"/>
      <c r="CU43" s="2"/>
      <c r="CV43" s="2"/>
      <c r="CW43" s="2" t="s">
        <v>35</v>
      </c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 t="s">
        <v>35</v>
      </c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14">
        <f t="array" aca="1" ref="NJ43" ca="1">SUMPRODUCT((OFFSET($A43,0,31*($A$3-1)+1,1,31)&lt;&gt;"")*(IF(OFFSET($A43,0,31*($A$3-1)+1,1,31)=$NX$12,0.5,1)*(OFFSET($A$4,0,31*($A$3-1)+1,1,31))))</f>
        <v>0</v>
      </c>
      <c r="NK43" s="20">
        <f t="array" aca="1" ref="NK43" ca="1">SUMPRODUCT((OFFSET($A43,0,1,1,372)&lt;&gt;"")*(IF(OFFSET($A43,0,1,1,372)=$NX$12,0.5,1)*(OFFSET($A$3,0,1,1,372))))</f>
        <v>5</v>
      </c>
      <c r="NL43" s="28">
        <f t="array" aca="1" ref="NL43" ca="1">SUMPRODUCT((OFFSET($A43,0,31*($A$4)+DAY(Holidays!$E$2),1,Holidays!$G$2)&lt;&gt;"")*(IF(OFFSET($A43,0,31*($A$4)+DAY(Holidays!$E$2),1,Holidays!$G$2)=$NX$12,0.5,1)*(OFFSET($A$3,0,31*($A$4)+DAY(Holidays!$E$2),1,Holidays!$G$2))))</f>
        <v>4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NX$12,0.5,1)*(OFFSET($A$3,0,31*($A$4)+DAY(VLOOKUP(NM$5,Sprints[],2,FALSE)),1,VLOOKUP(NM$5,Sprints[],4,FALSE)))))</f>
        <v>0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NX$12,0.5,1)*(OFFSET($A$3,0,31*($A$4)+DAY(VLOOKUP(NN$5,Sprints[],2,FALSE)),1,VLOOKUP(NN$5,Sprints[],4,FALSE)))))</f>
        <v>0</v>
      </c>
      <c r="NO43" s="52">
        <f t="array" aca="1" ref="NO43" ca="1">SUMPRODUCT((OFFSET($A43,0,31*(VLOOKUP(NO$5,Sprints[],5,FALSE))+DAY(VLOOKUP(NO$5,Sprints[],2,FALSE)),1,VLOOKUP(NO$5,Sprints[],4,FALSE))&lt;&gt;"")*(IF(OFFSET($A43,0,31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4" spans="1:385" x14ac:dyDescent="0.45">
      <c r="A44" s="44" t="s">
        <v>90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36"/>
      <c r="R44" s="36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36"/>
      <c r="AF44" s="2"/>
      <c r="AG44" s="36"/>
      <c r="AH44" s="2"/>
      <c r="AI44" s="2"/>
      <c r="AJ44" s="2"/>
      <c r="AK44" s="2"/>
      <c r="AL44" s="2"/>
      <c r="AM44" s="2" t="s">
        <v>35</v>
      </c>
      <c r="AN44" s="2"/>
      <c r="AO44" s="36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 t="s">
        <v>35</v>
      </c>
      <c r="CK44" s="2"/>
      <c r="CL44" s="2"/>
      <c r="CM44" s="2"/>
      <c r="CN44" s="2"/>
      <c r="CO44" s="2"/>
      <c r="CP44" s="2"/>
      <c r="CQ44" s="2" t="s">
        <v>35</v>
      </c>
      <c r="CR44" s="2"/>
      <c r="CS44" s="2"/>
      <c r="CT44" s="2"/>
      <c r="CU44" s="2"/>
      <c r="CV44" s="2"/>
      <c r="CW44" s="2" t="s">
        <v>35</v>
      </c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 t="s">
        <v>35</v>
      </c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14">
        <f t="array" aca="1" ref="NJ44" ca="1">SUMPRODUCT((OFFSET($A44,0,31*($A$3-1)+1,1,31)&lt;&gt;"")*(IF(OFFSET($A44,0,31*($A$3-1)+1,1,31)=$NX$12,0.5,1)*(OFFSET($A$4,0,31*($A$3-1)+1,1,31))))</f>
        <v>0</v>
      </c>
      <c r="NK44" s="20">
        <f t="array" aca="1" ref="NK44" ca="1">SUMPRODUCT((OFFSET($A44,0,1,1,372)&lt;&gt;"")*(IF(OFFSET($A44,0,1,1,372)=$NX$12,0.5,1)*(OFFSET($A$3,0,1,1,372))))</f>
        <v>5</v>
      </c>
      <c r="NL44" s="28">
        <f t="array" aca="1" ref="NL44" ca="1">SUMPRODUCT((OFFSET($A44,0,31*($A$4)+DAY(Holidays!$E$2),1,Holidays!$G$2)&lt;&gt;"")*(IF(OFFSET($A44,0,31*($A$4)+DAY(Holidays!$E$2),1,Holidays!$G$2)=$NX$12,0.5,1)*(OFFSET($A$3,0,31*($A$4)+DAY(Holidays!$E$2),1,Holidays!$G$2))))</f>
        <v>4</v>
      </c>
      <c r="NM44" s="52">
        <f t="array" aca="1" ref="NM44" ca="1">SUMPRODUCT((OFFSET($A44,0,31*($A$4)+DAY(VLOOKUP(NM$5,Sprints[],2,FALSE)),1,VLOOKUP(NM$5,Sprints[],4,FALSE))&lt;&gt;"")*(IF(OFFSET($A44,0,31*($A$4)+DAY(VLOOKUP(NM$5,Sprints[],2,FALSE)),1,VLOOKUP(NM$5,Sprints[],4,FALSE))=$NX$12,0.5,1)*(OFFSET($A$3,0,31*($A$4)+DAY(VLOOKUP(NM$5,Sprints[],2,FALSE)),1,VLOOKUP(NM$5,Sprints[],4,FALSE)))))</f>
        <v>0</v>
      </c>
      <c r="NN44" s="52">
        <f t="array" aca="1" ref="NN44" ca="1">SUMPRODUCT((OFFSET($A44,0,31*($A$4)+DAY(VLOOKUP(NN$5,Sprints[],2,FALSE)),1,VLOOKUP(NN$5,Sprints[],4,FALSE))&lt;&gt;"")*(IF(OFFSET($A44,0,31*($A$4)+DAY(VLOOKUP(NN$5,Sprints[],2,FALSE)),1,VLOOKUP(NN$5,Sprints[],4,FALSE))=$NX$12,0.5,1)*(OFFSET($A$3,0,31*($A$4)+DAY(VLOOKUP(NN$5,Sprints[],2,FALSE)),1,VLOOKUP(NN$5,Sprints[],4,FALSE)))))</f>
        <v>0</v>
      </c>
      <c r="NO44" s="52">
        <f t="array" aca="1" ref="NO44" ca="1">SUMPRODUCT((OFFSET($A44,0,31*(VLOOKUP(NO$5,Sprints[],5,FALSE))+DAY(VLOOKUP(NO$5,Sprints[],2,FALSE)),1,VLOOKUP(NO$5,Sprints[],4,FALSE))&lt;&gt;"")*(IF(OFFSET($A44,0,31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4" s="52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4" s="52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4" s="52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4" s="52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4" s="52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4" s="52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5" spans="1:385" x14ac:dyDescent="0.45">
      <c r="A45" s="44" t="s">
        <v>93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36"/>
      <c r="R45" s="36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36"/>
      <c r="AF45" s="2"/>
      <c r="AG45" s="36"/>
      <c r="AH45" s="2"/>
      <c r="AI45" s="2"/>
      <c r="AJ45" s="2"/>
      <c r="AK45" s="2"/>
      <c r="AL45" s="2"/>
      <c r="AM45" s="2" t="s">
        <v>35</v>
      </c>
      <c r="AN45" s="2"/>
      <c r="AO45" s="36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 t="s">
        <v>35</v>
      </c>
      <c r="CK45" s="2"/>
      <c r="CL45" s="2"/>
      <c r="CM45" s="2"/>
      <c r="CN45" s="2"/>
      <c r="CO45" s="2"/>
      <c r="CP45" s="2"/>
      <c r="CQ45" s="2" t="s">
        <v>35</v>
      </c>
      <c r="CR45" s="2"/>
      <c r="CS45" s="2"/>
      <c r="CT45" s="2"/>
      <c r="CU45" s="2"/>
      <c r="CV45" s="2"/>
      <c r="CW45" s="2" t="s">
        <v>35</v>
      </c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 t="s">
        <v>35</v>
      </c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14">
        <f t="array" aca="1" ref="NJ45" ca="1">SUMPRODUCT((OFFSET($A45,0,31*($A$3-1)+1,1,31)&lt;&gt;"")*(IF(OFFSET($A45,0,31*($A$3-1)+1,1,31)=$NX$12,0.5,1)*(OFFSET($A$4,0,31*($A$3-1)+1,1,31))))</f>
        <v>0</v>
      </c>
      <c r="NK45" s="20">
        <f t="array" aca="1" ref="NK45" ca="1">SUMPRODUCT((OFFSET($A45,0,1,1,372)&lt;&gt;"")*(IF(OFFSET($A45,0,1,1,372)=$NX$12,0.5,1)*(OFFSET($A$3,0,1,1,372))))</f>
        <v>5</v>
      </c>
      <c r="NL45" s="28">
        <f t="array" aca="1" ref="NL45" ca="1">SUMPRODUCT((OFFSET($A45,0,31*($A$4)+DAY(Holidays!$E$2),1,Holidays!$G$2)&lt;&gt;"")*(IF(OFFSET($A45,0,31*($A$4)+DAY(Holidays!$E$2),1,Holidays!$G$2)=$NX$12,0.5,1)*(OFFSET($A$3,0,31*($A$4)+DAY(Holidays!$E$2),1,Holidays!$G$2))))</f>
        <v>4</v>
      </c>
      <c r="NM45" s="52">
        <f t="array" aca="1" ref="NM45" ca="1">SUMPRODUCT((OFFSET($A45,0,31*($A$4)+DAY(VLOOKUP(NM$5,Sprints[],2,FALSE)),1,VLOOKUP(NM$5,Sprints[],4,FALSE))&lt;&gt;"")*(IF(OFFSET($A45,0,31*($A$4)+DAY(VLOOKUP(NM$5,Sprints[],2,FALSE)),1,VLOOKUP(NM$5,Sprints[],4,FALSE))=$NX$12,0.5,1)*(OFFSET($A$3,0,31*($A$4)+DAY(VLOOKUP(NM$5,Sprints[],2,FALSE)),1,VLOOKUP(NM$5,Sprints[],4,FALSE)))))</f>
        <v>0</v>
      </c>
      <c r="NN45" s="52">
        <f t="array" aca="1" ref="NN45" ca="1">SUMPRODUCT((OFFSET($A45,0,31*($A$4)+DAY(VLOOKUP(NN$5,Sprints[],2,FALSE)),1,VLOOKUP(NN$5,Sprints[],4,FALSE))&lt;&gt;"")*(IF(OFFSET($A45,0,31*($A$4)+DAY(VLOOKUP(NN$5,Sprints[],2,FALSE)),1,VLOOKUP(NN$5,Sprints[],4,FALSE))=$NX$12,0.5,1)*(OFFSET($A$3,0,31*($A$4)+DAY(VLOOKUP(NN$5,Sprints[],2,FALSE)),1,VLOOKUP(NN$5,Sprints[],4,FALSE)))))</f>
        <v>0</v>
      </c>
      <c r="NO45" s="52">
        <f t="array" aca="1" ref="NO45" ca="1">SUMPRODUCT((OFFSET($A45,0,31*(VLOOKUP(NO$5,Sprints[],5,FALSE))+DAY(VLOOKUP(NO$5,Sprints[],2,FALSE)),1,VLOOKUP(NO$5,Sprints[],4,FALSE))&lt;&gt;"")*(IF(OFFSET($A45,0,31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5" s="52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5" s="52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5" s="52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5" s="52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5" s="52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5" s="52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6" spans="1:385" x14ac:dyDescent="0.45">
      <c r="A46" s="44" t="s">
        <v>96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36"/>
      <c r="R46" s="36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36"/>
      <c r="AF46" s="2"/>
      <c r="AG46" s="36"/>
      <c r="AH46" s="2"/>
      <c r="AI46" s="2"/>
      <c r="AJ46" s="2"/>
      <c r="AK46" s="2"/>
      <c r="AL46" s="2"/>
      <c r="AM46" s="2" t="s">
        <v>35</v>
      </c>
      <c r="AN46" s="2"/>
      <c r="AO46" s="36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 t="s">
        <v>35</v>
      </c>
      <c r="CK46" s="2"/>
      <c r="CL46" s="2"/>
      <c r="CM46" s="2"/>
      <c r="CN46" s="2"/>
      <c r="CO46" s="2"/>
      <c r="CP46" s="2"/>
      <c r="CQ46" s="2" t="s">
        <v>35</v>
      </c>
      <c r="CR46" s="2"/>
      <c r="CS46" s="2"/>
      <c r="CT46" s="2"/>
      <c r="CU46" s="2"/>
      <c r="CV46" s="2"/>
      <c r="CW46" s="2" t="s">
        <v>35</v>
      </c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 t="s">
        <v>35</v>
      </c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14">
        <f t="array" aca="1" ref="NJ46" ca="1">SUMPRODUCT((OFFSET($A46,0,31*($A$3-1)+1,1,31)&lt;&gt;"")*(IF(OFFSET($A46,0,31*($A$3-1)+1,1,31)=$NX$12,0.5,1)*(OFFSET($A$4,0,31*($A$3-1)+1,1,31))))</f>
        <v>0</v>
      </c>
      <c r="NK46" s="20">
        <f t="array" aca="1" ref="NK46" ca="1">SUMPRODUCT((OFFSET($A46,0,1,1,372)&lt;&gt;"")*(IF(OFFSET($A46,0,1,1,372)=$NX$12,0.5,1)*(OFFSET($A$3,0,1,1,372))))</f>
        <v>5</v>
      </c>
      <c r="NL46" s="28">
        <f t="array" aca="1" ref="NL46" ca="1">SUMPRODUCT((OFFSET($A46,0,31*($A$4)+DAY(Holidays!$E$2),1,Holidays!$G$2)&lt;&gt;"")*(IF(OFFSET($A46,0,31*($A$4)+DAY(Holidays!$E$2),1,Holidays!$G$2)=$NX$12,0.5,1)*(OFFSET($A$3,0,31*($A$4)+DAY(Holidays!$E$2),1,Holidays!$G$2))))</f>
        <v>4</v>
      </c>
      <c r="NM46" s="52">
        <f t="array" aca="1" ref="NM46" ca="1">SUMPRODUCT((OFFSET($A46,0,31*($A$4)+DAY(VLOOKUP(NM$5,Sprints[],2,FALSE)),1,VLOOKUP(NM$5,Sprints[],4,FALSE))&lt;&gt;"")*(IF(OFFSET($A46,0,31*($A$4)+DAY(VLOOKUP(NM$5,Sprints[],2,FALSE)),1,VLOOKUP(NM$5,Sprints[],4,FALSE))=$NX$12,0.5,1)*(OFFSET($A$3,0,31*($A$4)+DAY(VLOOKUP(NM$5,Sprints[],2,FALSE)),1,VLOOKUP(NM$5,Sprints[],4,FALSE)))))</f>
        <v>0</v>
      </c>
      <c r="NN46" s="52">
        <f t="array" aca="1" ref="NN46" ca="1">SUMPRODUCT((OFFSET($A46,0,31*($A$4)+DAY(VLOOKUP(NN$5,Sprints[],2,FALSE)),1,VLOOKUP(NN$5,Sprints[],4,FALSE))&lt;&gt;"")*(IF(OFFSET($A46,0,31*($A$4)+DAY(VLOOKUP(NN$5,Sprints[],2,FALSE)),1,VLOOKUP(NN$5,Sprints[],4,FALSE))=$NX$12,0.5,1)*(OFFSET($A$3,0,31*($A$4)+DAY(VLOOKUP(NN$5,Sprints[],2,FALSE)),1,VLOOKUP(NN$5,Sprints[],4,FALSE)))))</f>
        <v>0</v>
      </c>
      <c r="NO46" s="52">
        <f t="array" aca="1" ref="NO46" ca="1">SUMPRODUCT((OFFSET($A46,0,31*(VLOOKUP(NO$5,Sprints[],5,FALSE))+DAY(VLOOKUP(NO$5,Sprints[],2,FALSE)),1,VLOOKUP(NO$5,Sprints[],4,FALSE))&lt;&gt;"")*(IF(OFFSET($A46,0,31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6" s="52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6" s="52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6" s="52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6" s="52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6" s="52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6" s="52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7" spans="1:385" x14ac:dyDescent="0.45">
      <c r="A47" s="44" t="s">
        <v>137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/>
      <c r="AH47" s="2"/>
      <c r="AI47" s="2"/>
      <c r="AJ47" s="2"/>
      <c r="AK47" s="2"/>
      <c r="AL47" s="2"/>
      <c r="AM47" s="2" t="s">
        <v>35</v>
      </c>
      <c r="AN47" s="2"/>
      <c r="AO47" s="36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 t="s">
        <v>35</v>
      </c>
      <c r="CK47" s="2"/>
      <c r="CL47" s="2"/>
      <c r="CM47" s="2"/>
      <c r="CN47" s="2"/>
      <c r="CO47" s="2"/>
      <c r="CP47" s="2"/>
      <c r="CQ47" s="2" t="s">
        <v>35</v>
      </c>
      <c r="CR47" s="2"/>
      <c r="CS47" s="2"/>
      <c r="CT47" s="2"/>
      <c r="CU47" s="2"/>
      <c r="CV47" s="2"/>
      <c r="CW47" s="2" t="s">
        <v>35</v>
      </c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 t="s">
        <v>35</v>
      </c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SUMPRODUCT((OFFSET($A47,0,31*($A$3-1)+1,1,31)&lt;&gt;"")*(IF(OFFSET($A47,0,31*($A$3-1)+1,1,31)=$NX$12,0.5,1)*(OFFSET($A$4,0,31*($A$3-1)+1,1,31))))</f>
        <v>0</v>
      </c>
      <c r="NK47" s="20">
        <f t="array" aca="1" ref="NK47" ca="1">SUMPRODUCT((OFFSET($A47,0,1,1,372)&lt;&gt;"")*(IF(OFFSET($A47,0,1,1,372)=$NX$12,0.5,1)*(OFFSET($A$3,0,1,1,372))))</f>
        <v>5</v>
      </c>
      <c r="NL47" s="28">
        <f t="array" aca="1" ref="NL47" ca="1">SUMPRODUCT((OFFSET($A47,0,31*($A$4)+DAY(Holidays!$E$2),1,Holidays!$G$2)&lt;&gt;"")*(IF(OFFSET($A47,0,31*($A$4)+DAY(Holidays!$E$2),1,Holidays!$G$2)=$NX$12,0.5,1)*(OFFSET($A$3,0,31*($A$4)+DAY(Holidays!$E$2),1,Holidays!$G$2))))</f>
        <v>4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NX$12,0.5,1)*(OFFSET($A$3,0,31*($A$4)+DAY(VLOOKUP(NM$5,Sprints[],2,FALSE)),1,VLOOKUP(NM$5,Sprints[],4,FALSE)))))</f>
        <v>0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NX$12,0.5,1)*(OFFSET($A$3,0,31*($A$4)+DAY(VLOOKUP(NN$5,Sprints[],2,FALSE)),1,VLOOKUP(NN$5,Sprints[],4,FALSE)))))</f>
        <v>0</v>
      </c>
      <c r="NO47" s="52">
        <f t="array" aca="1" ref="NO47" ca="1">SUMPRODUCT((OFFSET($A47,0,31*(VLOOKUP(NO$5,Sprints[],5,FALSE))+DAY(VLOOKUP(NO$5,Sprints[],2,FALSE)),1,VLOOKUP(NO$5,Sprints[],4,FALSE))&lt;&gt;"")*(IF(OFFSET($A47,0,31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8" spans="1:385" s="45" customFormat="1" x14ac:dyDescent="0.45">
      <c r="A48" s="44" t="s">
        <v>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36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36"/>
      <c r="AH48" s="2"/>
      <c r="AI48" s="2"/>
      <c r="AJ48" s="2"/>
      <c r="AK48" s="2"/>
      <c r="AL48" s="2"/>
      <c r="AM48" s="2" t="s">
        <v>35</v>
      </c>
      <c r="AN48" s="2"/>
      <c r="AO48" s="36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 t="s">
        <v>35</v>
      </c>
      <c r="CK48" s="2"/>
      <c r="CL48" s="2"/>
      <c r="CM48" s="2"/>
      <c r="CN48" s="2"/>
      <c r="CO48" s="2"/>
      <c r="CP48" s="2"/>
      <c r="CQ48" s="2" t="s">
        <v>35</v>
      </c>
      <c r="CR48" s="2"/>
      <c r="CS48" s="2"/>
      <c r="CT48" s="2"/>
      <c r="CU48" s="2"/>
      <c r="CV48" s="2"/>
      <c r="CW48" s="2" t="s">
        <v>35</v>
      </c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 t="s">
        <v>35</v>
      </c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SUMPRODUCT((OFFSET($A48,0,31*($A$3-1)+1,1,31)&lt;&gt;"")*(IF(OFFSET($A48,0,31*($A$3-1)+1,1,31)=$NX$12,0.5,1)*(OFFSET($A$4,0,31*($A$3-1)+1,1,31))))</f>
        <v>0</v>
      </c>
      <c r="NK48" s="20">
        <f t="array" aca="1" ref="NK48" ca="1">SUMPRODUCT((OFFSET($A48,0,1,1,372)&lt;&gt;"")*(IF(OFFSET($A48,0,1,1,372)=$NX$12,0.5,1)*(OFFSET($A$3,0,1,1,372))))</f>
        <v>5</v>
      </c>
      <c r="NL48" s="28">
        <f t="array" aca="1" ref="NL48" ca="1">SUMPRODUCT((OFFSET($A48,0,31*($A$4)+DAY(Holidays!$E$2),1,Holidays!$G$2)&lt;&gt;"")*(IF(OFFSET($A48,0,31*($A$4)+DAY(Holidays!$E$2),1,Holidays!$G$2)=$NX$12,0.5,1)*(OFFSET($A$3,0,31*($A$4)+DAY(Holidays!$E$2),1,Holidays!$G$2))))</f>
        <v>4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NX$12,0.5,1)*(OFFSET($A$3,0,31*($A$4)+DAY(VLOOKUP(NM$5,Sprints[],2,FALSE)),1,VLOOKUP(NM$5,Sprints[],4,FALSE)))))</f>
        <v>0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NX$12,0.5,1)*(OFFSET($A$3,0,31*($A$4)+DAY(VLOOKUP(NN$5,Sprints[],2,FALSE)),1,VLOOKUP(NN$5,Sprints[],4,FALSE)))))</f>
        <v>0</v>
      </c>
      <c r="NO48" s="52">
        <f t="array" aca="1" ref="NO48" ca="1">SUMPRODUCT((OFFSET($A48,0,31*(VLOOKUP(NO$5,Sprints[],5,FALSE))+DAY(VLOOKUP(NO$5,Sprints[],2,FALSE)),1,VLOOKUP(NO$5,Sprints[],4,FALSE))&lt;&gt;"")*(IF(OFFSET($A48,0,31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49" spans="1:385" s="45" customFormat="1" x14ac:dyDescent="0.45">
      <c r="A49" s="44" t="s">
        <v>84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36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36"/>
      <c r="AH49" s="2"/>
      <c r="AI49" s="2"/>
      <c r="AJ49" s="2"/>
      <c r="AK49" s="2"/>
      <c r="AL49" s="2"/>
      <c r="AM49" s="2" t="s">
        <v>35</v>
      </c>
      <c r="AN49" s="2"/>
      <c r="AO49" s="36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 t="s">
        <v>35</v>
      </c>
      <c r="CK49" s="2"/>
      <c r="CL49" s="2"/>
      <c r="CM49" s="2"/>
      <c r="CN49" s="2"/>
      <c r="CO49" s="2"/>
      <c r="CP49" s="2"/>
      <c r="CQ49" s="2" t="s">
        <v>35</v>
      </c>
      <c r="CR49" s="2"/>
      <c r="CS49" s="2"/>
      <c r="CT49" s="2"/>
      <c r="CU49" s="2"/>
      <c r="CV49" s="2"/>
      <c r="CW49" s="2" t="s">
        <v>35</v>
      </c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 t="s">
        <v>35</v>
      </c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SUMPRODUCT((OFFSET($A49,0,31*($A$3-1)+1,1,31)&lt;&gt;"")*(IF(OFFSET($A49,0,31*($A$3-1)+1,1,31)=$NX$12,0.5,1)*(OFFSET($A$4,0,31*($A$3-1)+1,1,31))))</f>
        <v>0</v>
      </c>
      <c r="NK49" s="20">
        <f t="array" aca="1" ref="NK49" ca="1">SUMPRODUCT((OFFSET($A49,0,1,1,372)&lt;&gt;"")*(IF(OFFSET($A49,0,1,1,372)=$NX$12,0.5,1)*(OFFSET($A$3,0,1,1,372))))</f>
        <v>5</v>
      </c>
      <c r="NL49" s="28">
        <f t="array" aca="1" ref="NL49" ca="1">SUMPRODUCT((OFFSET($A49,0,31*($A$4)+DAY(Holidays!$E$2),1,Holidays!$G$2)&lt;&gt;"")*(IF(OFFSET($A49,0,31*($A$4)+DAY(Holidays!$E$2),1,Holidays!$G$2)=$NX$12,0.5,1)*(OFFSET($A$3,0,31*($A$4)+DAY(Holidays!$E$2),1,Holidays!$G$2))))</f>
        <v>4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NX$12,0.5,1)*(OFFSET($A$3,0,31*($A$4)+DAY(VLOOKUP(NM$5,Sprints[],2,FALSE)),1,VLOOKUP(NM$5,Sprints[],4,FALSE)))))</f>
        <v>0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NX$12,0.5,1)*(OFFSET($A$3,0,31*($A$4)+DAY(VLOOKUP(NN$5,Sprints[],2,FALSE)),1,VLOOKUP(NN$5,Sprints[],4,FALSE)))))</f>
        <v>0</v>
      </c>
      <c r="NO49" s="52">
        <f t="array" aca="1" ref="NO49" ca="1">SUMPRODUCT((OFFSET($A49,0,31*(VLOOKUP(NO$5,Sprints[],5,FALSE))+DAY(VLOOKUP(NO$5,Sprints[],2,FALSE)),1,VLOOKUP(NO$5,Sprints[],4,FALSE))&lt;&gt;"")*(IF(OFFSET($A49,0,31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50" spans="1:385" s="45" customFormat="1" x14ac:dyDescent="0.45">
      <c r="A50" s="44" t="s">
        <v>83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6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36"/>
      <c r="AH50" s="2"/>
      <c r="AI50" s="2"/>
      <c r="AJ50" s="2"/>
      <c r="AK50" s="2"/>
      <c r="AL50" s="2"/>
      <c r="AM50" s="2" t="s">
        <v>35</v>
      </c>
      <c r="AN50" s="2"/>
      <c r="AO50" s="36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 t="s">
        <v>35</v>
      </c>
      <c r="CK50" s="2"/>
      <c r="CL50" s="2"/>
      <c r="CM50" s="2"/>
      <c r="CN50" s="2"/>
      <c r="CO50" s="2"/>
      <c r="CP50" s="2"/>
      <c r="CQ50" s="2" t="s">
        <v>35</v>
      </c>
      <c r="CR50" s="2"/>
      <c r="CS50" s="2"/>
      <c r="CT50" s="2"/>
      <c r="CU50" s="2"/>
      <c r="CV50" s="2"/>
      <c r="CW50" s="2" t="s">
        <v>35</v>
      </c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 t="s">
        <v>35</v>
      </c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SUMPRODUCT((OFFSET($A50,0,31*($A$3-1)+1,1,31)&lt;&gt;"")*(IF(OFFSET($A50,0,31*($A$3-1)+1,1,31)=$NX$12,0.5,1)*(OFFSET($A$4,0,31*($A$3-1)+1,1,31))))</f>
        <v>0</v>
      </c>
      <c r="NK50" s="20">
        <f t="array" aca="1" ref="NK50" ca="1">SUMPRODUCT((OFFSET($A50,0,1,1,372)&lt;&gt;"")*(IF(OFFSET($A50,0,1,1,372)=$NX$12,0.5,1)*(OFFSET($A$3,0,1,1,372))))</f>
        <v>5</v>
      </c>
      <c r="NL50" s="28">
        <f t="array" aca="1" ref="NL50" ca="1">SUMPRODUCT((OFFSET($A50,0,31*($A$4)+DAY(Holidays!$E$2),1,Holidays!$G$2)&lt;&gt;"")*(IF(OFFSET($A50,0,31*($A$4)+DAY(Holidays!$E$2),1,Holidays!$G$2)=$NX$12,0.5,1)*(OFFSET($A$3,0,31*($A$4)+DAY(Holidays!$E$2),1,Holidays!$G$2))))</f>
        <v>4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NX$12,0.5,1)*(OFFSET($A$3,0,31*($A$4)+DAY(VLOOKUP(NM$5,Sprints[],2,FALSE)),1,VLOOKUP(NM$5,Sprints[],4,FALSE)))))</f>
        <v>0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NX$12,0.5,1)*(OFFSET($A$3,0,31*($A$4)+DAY(VLOOKUP(NN$5,Sprints[],2,FALSE)),1,VLOOKUP(NN$5,Sprints[],4,FALSE)))))</f>
        <v>0</v>
      </c>
      <c r="NO50" s="52">
        <f t="array" aca="1" ref="NO50" ca="1">SUMPRODUCT((OFFSET($A50,0,31*(VLOOKUP(NO$5,Sprints[],5,FALSE))+DAY(VLOOKUP(NO$5,Sprints[],2,FALSE)),1,VLOOKUP(NO$5,Sprints[],4,FALSE))&lt;&gt;"")*(IF(OFFSET($A50,0,31*(VLOOKUP(NO$5,Sprints[],5,FALSE))+DAY(VLOOKUP(NO$5,Sprints[],2,FALSE)),1,VLOOKUP(NO$5,Sprints[],4,FALSE))=$NX$12,0.5,1)*(OFFSET($A$3,0,31*(VLOOKUP(NO$5,Sprints[],5,FALSE))+DAY(VLOOKUP(NO$5,Sprints[],2,FALSE)),1,VLOOKUP(NO$5,Sprints[],4,FALSE)))))</f>
        <v>1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NX$12,0.5,1)*(OFFSET($A$3,0,31*(VLOOKUP(NP$5,Sprints[],5,FALSE))+DAY(VLOOKUP(NP$5,Sprints[],2,FALSE)),1,VLOOKUP(NP$5,Sprints[],4,FALSE)))))</f>
        <v>0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NX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NX$12,0.5,1)*(OFFSET($A$3,0,31*(VLOOKUP(NR$5,Sprints[],5,FALSE))+DAY(VLOOKUP(NR$5,Sprints[],2,FALSE)),1,VLOOKUP(NR$5,Sprints[],4,FALSE)))))</f>
        <v>2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NX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NX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NX$12,0.5,1)*(OFFSET($A$3,0,31*(VLOOKUP(NU$5,Sprints[],5,FALSE))+DAY(VLOOKUP(NU$5,Sprints[],2,FALSE)),1,VLOOKUP(NU$5,Sprints[],4,FALSE)))))</f>
        <v>4</v>
      </c>
    </row>
    <row r="52" spans="1:385" x14ac:dyDescent="0.45">
      <c r="MT52">
        <f>COUNTBLANK(CQ5:JU5)</f>
        <v>187</v>
      </c>
    </row>
  </sheetData>
  <mergeCells count="12">
    <mergeCell ref="NU5:NU6"/>
    <mergeCell ref="NJ5:NJ6"/>
    <mergeCell ref="NK5:NK6"/>
    <mergeCell ref="NL5:NL6"/>
    <mergeCell ref="NM5:NM6"/>
    <mergeCell ref="NN5:NN6"/>
    <mergeCell ref="NT5:NT6"/>
    <mergeCell ref="NO5:NO6"/>
    <mergeCell ref="NP5:NP6"/>
    <mergeCell ref="NQ5:NQ6"/>
    <mergeCell ref="NR5:NR6"/>
    <mergeCell ref="NS5:NS6"/>
  </mergeCells>
  <conditionalFormatting sqref="NX17:NX23">
    <cfRule type="expression" dxfId="60" priority="1311">
      <formula>NX17="No"</formula>
    </cfRule>
  </conditionalFormatting>
  <conditionalFormatting sqref="B6:NI6">
    <cfRule type="expression" dxfId="59" priority="1355">
      <formula>IF(VLOOKUP(B6,$NW$17:$NX$23,2,0)="No",TRUE,FALSE)</formula>
    </cfRule>
  </conditionalFormatting>
  <conditionalFormatting sqref="CH8:CI8 B8:AW8 AY19:CC19 CH19:CI19 AW14:CI14 CH13:CI13 AW13:CF13 AX23:CI25 AX26:CB26 AW9:AW12 AX8:AX12 AY15:CI18 AY20:CI22 AY8:CE8 AY9:CI12 CF26:CI26 AX27:CI30 CN19:CP19 J31:CI33 J15:AX22 J23:AW30 J9:AV14 B34:CI50 CK34:CP50 CL8 CL20:CP33 B9:I33 CJ8:CJ50 CK8:CK33 CN8:CP8 CL9:CP18 CQ8:NI50">
    <cfRule type="expression" dxfId="58" priority="1806" stopIfTrue="1">
      <formula>AND(B$5&lt;&gt;"",VLOOKUP(B$6,$NW$17:$NX$23,2,0)&lt;&gt;"Yes")</formula>
    </cfRule>
    <cfRule type="expression" dxfId="57" priority="1807" stopIfTrue="1">
      <formula>ISNUMBER(MATCH(DATE($A$2,$A$1+$A$3-1,B$5),HolidayListNamedRange,0))</formula>
    </cfRule>
    <cfRule type="expression" dxfId="56" priority="1808">
      <formula>OR(B8=$NX$11)</formula>
    </cfRule>
    <cfRule type="expression" dxfId="55" priority="1809">
      <formula>OR(B8=$NX$8,B8=$NX$9,B8=$NX$10)</formula>
    </cfRule>
    <cfRule type="expression" dxfId="54" priority="1810">
      <formula>OR(B8=$NX$12)</formula>
    </cfRule>
  </conditionalFormatting>
  <conditionalFormatting sqref="CG13 CD19:CG19 CF8:CG8">
    <cfRule type="expression" dxfId="53" priority="1991" stopIfTrue="1">
      <formula>AND(CK$5&lt;&gt;"",VLOOKUP(CK$6,$NW$17:$NX$23,2,0)&lt;&gt;"Yes")</formula>
    </cfRule>
    <cfRule type="expression" dxfId="52" priority="1992" stopIfTrue="1">
      <formula>ISNUMBER(MATCH(DATE($A$2,$A$1+$A$3-1,CK$5),HolidayListNamedRange,0))</formula>
    </cfRule>
    <cfRule type="expression" dxfId="51" priority="1993">
      <formula>OR(CD8=$NX$11)</formula>
    </cfRule>
    <cfRule type="expression" dxfId="50" priority="1994">
      <formula>OR(CD8=$NX$8,CD8=$NX$9,CD8=$NX$10)</formula>
    </cfRule>
    <cfRule type="expression" dxfId="49" priority="1995">
      <formula>OR(CD8=$NX$12)</formula>
    </cfRule>
  </conditionalFormatting>
  <dataValidations count="4">
    <dataValidation type="list" allowBlank="1" showInputMessage="1" showErrorMessage="1" sqref="NX17:NX23" xr:uid="{00000000-0002-0000-0000-000000000000}">
      <formula1>"Yes, No"</formula1>
    </dataValidation>
    <dataValidation type="list" allowBlank="1" showInputMessage="1" showErrorMessage="1" sqref="A1" xr:uid="{00000000-0002-0000-0000-000001000000}">
      <formula1>"1,2,3,4,5,6,7,8,9,10,11,12"</formula1>
    </dataValidation>
    <dataValidation type="custom" allowBlank="1" showErrorMessage="1" errorTitle="Not a Valid Date" error="This isn't a valid Date" sqref="B8:CE8 CH19:CK19 I26:CB26 B25:H26 B19:CC19 J13:CF13 B9:I18 CH8:CL8 CN8:NI8 CN19:NI19 CH13:NI13 I25:NI25 CF26:NI26 J9:NI12 J14:NI18 B20:NI24 B27:NI50" xr:uid="{00000000-0002-0000-0000-000002000000}">
      <formula1>B$6&lt;&gt;""</formula1>
    </dataValidation>
    <dataValidation type="custom" allowBlank="1" showErrorMessage="1" errorTitle="Not a Valid Date" error="This isn't a valid Date" sqref="CF8:CG8 CG13 CD19:CG19" xr:uid="{00000000-0002-0000-0000-000003000000}">
      <formula1>CK$6&lt;&gt;""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6"/>
  <sheetViews>
    <sheetView showGridLines="0" zoomScale="115" zoomScaleNormal="115" workbookViewId="0">
      <selection activeCell="F2" sqref="F2"/>
    </sheetView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63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43383</v>
      </c>
      <c r="F2" s="29">
        <v>43487</v>
      </c>
      <c r="G2" s="30">
        <f>DATEDIF(E2,F2,"d") + 1 + (DATEDIF(DATE(YEAR(E2),MONTH(E2),1),DATE(YEAR(F2),MONTH(F2),1),"m")*31 - DATEDIF(DATE(YEAR(E2),MONTH(E2),1),DATE(YEAR(F2),MONTH(F2),1),"d"))</f>
        <v>106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49</v>
      </c>
      <c r="B6" s="19">
        <v>43241</v>
      </c>
      <c r="E6" s="31"/>
      <c r="F6" s="31"/>
      <c r="G6" s="31"/>
    </row>
    <row r="7" spans="1:7" x14ac:dyDescent="0.45">
      <c r="A7" s="40" t="s">
        <v>50</v>
      </c>
      <c r="B7" s="19">
        <v>43283</v>
      </c>
      <c r="E7" s="31"/>
      <c r="F7" s="31"/>
      <c r="G7" s="31"/>
    </row>
    <row r="8" spans="1:7" x14ac:dyDescent="0.45">
      <c r="A8" s="40" t="s">
        <v>51</v>
      </c>
      <c r="B8" s="19">
        <v>43318</v>
      </c>
      <c r="E8" s="31"/>
      <c r="F8" s="31"/>
      <c r="G8" s="31"/>
    </row>
    <row r="9" spans="1:7" x14ac:dyDescent="0.45">
      <c r="A9" s="40" t="s">
        <v>52</v>
      </c>
      <c r="B9" s="19">
        <v>43346</v>
      </c>
      <c r="E9" s="31"/>
      <c r="F9" s="31"/>
      <c r="G9" s="31"/>
    </row>
    <row r="10" spans="1:7" x14ac:dyDescent="0.45">
      <c r="A10" s="40" t="s">
        <v>53</v>
      </c>
      <c r="B10" s="19">
        <v>43381</v>
      </c>
      <c r="E10" s="31"/>
      <c r="F10" s="31"/>
      <c r="G10" s="31"/>
    </row>
    <row r="11" spans="1:7" x14ac:dyDescent="0.45">
      <c r="A11" s="18" t="s">
        <v>54</v>
      </c>
      <c r="B11" s="19">
        <v>43459</v>
      </c>
      <c r="E11" s="31"/>
      <c r="F11" s="31"/>
      <c r="G11" s="31"/>
    </row>
    <row r="12" spans="1:7" x14ac:dyDescent="0.45">
      <c r="A12" s="40" t="s">
        <v>55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56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57</v>
      </c>
      <c r="B18" s="19">
        <v>43207</v>
      </c>
    </row>
    <row r="19" spans="1:2" x14ac:dyDescent="0.45">
      <c r="A19" s="40" t="s">
        <v>52</v>
      </c>
      <c r="B19" s="19">
        <v>43221</v>
      </c>
    </row>
    <row r="20" spans="1:2" x14ac:dyDescent="0.45">
      <c r="A20" s="40" t="s">
        <v>58</v>
      </c>
      <c r="B20" s="19">
        <v>43229</v>
      </c>
    </row>
    <row r="21" spans="1:2" x14ac:dyDescent="0.45">
      <c r="A21" s="40" t="s">
        <v>59</v>
      </c>
      <c r="B21" s="19">
        <v>43284</v>
      </c>
    </row>
    <row r="22" spans="1:2" x14ac:dyDescent="0.45">
      <c r="A22" s="40" t="s">
        <v>60</v>
      </c>
      <c r="B22" s="19">
        <v>43411</v>
      </c>
    </row>
    <row r="23" spans="1:2" x14ac:dyDescent="0.45">
      <c r="A23" s="18" t="s">
        <v>54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61</v>
      </c>
      <c r="B25" s="19">
        <v>43472</v>
      </c>
    </row>
    <row r="26" spans="1:2" x14ac:dyDescent="0.45">
      <c r="A26" s="40" t="s">
        <v>62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58"/>
  <sheetViews>
    <sheetView showGridLines="0" zoomScale="80" zoomScaleNormal="80" workbookViewId="0">
      <selection activeCell="O1" sqref="O1"/>
    </sheetView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5" width="10.73046875" style="45" customWidth="1"/>
  </cols>
  <sheetData>
    <row r="1" spans="1:15" x14ac:dyDescent="0.45">
      <c r="A1" s="45" t="s">
        <v>22</v>
      </c>
      <c r="B1" s="45" t="s">
        <v>97</v>
      </c>
      <c r="C1" s="45" t="s">
        <v>98</v>
      </c>
      <c r="D1" s="45" t="s">
        <v>107</v>
      </c>
      <c r="E1" s="45" t="s">
        <v>118</v>
      </c>
      <c r="F1" s="45" t="s">
        <v>117</v>
      </c>
      <c r="G1" s="45" t="s">
        <v>140</v>
      </c>
      <c r="H1" s="45" t="s">
        <v>141</v>
      </c>
      <c r="I1" s="45" t="s">
        <v>142</v>
      </c>
      <c r="J1" s="45" t="s">
        <v>143</v>
      </c>
      <c r="K1" s="45" t="s">
        <v>144</v>
      </c>
      <c r="L1" t="s">
        <v>145</v>
      </c>
      <c r="M1" t="s">
        <v>146</v>
      </c>
      <c r="N1" t="s">
        <v>147</v>
      </c>
      <c r="O1" s="72" t="s">
        <v>134</v>
      </c>
    </row>
    <row r="2" spans="1:15" x14ac:dyDescent="0.45">
      <c r="A2" t="s">
        <v>71</v>
      </c>
      <c r="B2" s="45" t="s">
        <v>106</v>
      </c>
      <c r="C2" s="45" t="s">
        <v>104</v>
      </c>
      <c r="D2" s="45" t="s">
        <v>119</v>
      </c>
      <c r="E2" s="45" t="s">
        <v>113</v>
      </c>
      <c r="F2" s="47">
        <v>0.75</v>
      </c>
      <c r="G2" s="45">
        <f t="array" aca="1" ref="G2" ca="1">Sheet3!$W$2*$F2*(NETWORKDAYS(VLOOKUP(G$1,Sprints[],2,FALSE), VLOOKUP(G$1,Sprints[],3,FALSE))-SUMPRODUCT((OFFSET(INDIRECT(CELL("address",INDEX('Leave Tracker'!$A$8:$A$92,MATCH($A2,'Leave Tracker'!$A$8:$A$92,0)))),0,31*(VLOOKUP(G$1,Sprints[],5,FALSE))+DAY(VLOOKUP(G$1,Sprints[],2,FALSE)),1,VLOOKUP(G$1,Sprints[],4,FALSE))&lt;&gt;"")*(IF(OFFSET(INDIRECT(CELL("address",INDEX('Leave Tracker'!$A$8:$A$92,MATCH($A2,'Leave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2">
        <f t="array" aca="1" ref="H2" ca="1">Sheet3!$W$2*$F2*(NETWORKDAYS(VLOOKUP(H$1,Sprints[],2,FALSE), VLOOKUP(H$1,Sprints[],3,FALSE))-SUMPRODUCT((OFFSET(INDIRECT(CELL("address",INDEX('Leave Tracker'!$A$8:$A$92,MATCH($A2,'Leave Tracker'!$A$8:$A$92,0)))),0,31*(VLOOKUP(H$1,Sprints[],5,FALSE))+DAY(VLOOKUP(H$1,Sprints[],2,FALSE)),1,VLOOKUP(H$1,Sprints[],4,FALSE))&lt;&gt;"")*(IF(OFFSET(INDIRECT(CELL("address",INDEX('Leave Tracker'!$A$8:$A$92,MATCH($A2,'Leave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2">
        <f t="array" aca="1" ref="I2" ca="1">Sheet3!$W$2*$F2*(NETWORKDAYS(VLOOKUP(I$1,Sprints[],2,FALSE), VLOOKUP(I$1,Sprints[],3,FALSE))-SUMPRODUCT((OFFSET(INDIRECT(CELL("address",INDEX('Leave Tracker'!$A$8:$A$92,MATCH($A2,'Leave Tracker'!$A$8:$A$92,0)))),0,31*(VLOOKUP(I$1,Sprints[],5,FALSE))+DAY(VLOOKUP(I$1,Sprints[],2,FALSE)),1,VLOOKUP(I$1,Sprints[],4,FALSE))&lt;&gt;"")*(IF(OFFSET(INDIRECT(CELL("address",INDEX('Leave Tracker'!$A$8:$A$92,MATCH($A2,'Leave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2">
        <f t="array" aca="1" ref="J2" ca="1">Sheet3!$W$2*$F2*(NETWORKDAYS(VLOOKUP(J$1,Sprints[],2,FALSE), VLOOKUP(J$1,Sprints[],3,FALSE))-SUMPRODUCT((OFFSET(INDIRECT(CELL("address",INDEX('Leave Tracker'!$A$8:$A$92,MATCH($A2,'Leave Tracker'!$A$8:$A$92,0)))),0,31*(VLOOKUP(J$1,Sprints[],5,FALSE))+DAY(VLOOKUP(J$1,Sprints[],2,FALSE)),1,VLOOKUP(J$1,Sprints[],4,FALSE))&lt;&gt;"")*(IF(OFFSET(INDIRECT(CELL("address",INDEX('Leave Tracker'!$A$8:$A$92,MATCH($A2,'Leave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2">
        <f t="array" aca="1" ref="K2" ca="1">Sheet3!$W$2*$F2*(NETWORKDAYS(VLOOKUP(K$1,Sprints[],2,FALSE), VLOOKUP(K$1,Sprints[],3,FALSE))-SUMPRODUCT((OFFSET(INDIRECT(CELL("address",INDEX('Leave Tracker'!$A$8:$A$92,MATCH($A2,'Leave Tracker'!$A$8:$A$92,0)))),0,31*(VLOOKUP(K$1,Sprints[],5,FALSE))+DAY(VLOOKUP(K$1,Sprints[],2,FALSE)),1,VLOOKUP(K$1,Sprints[],4,FALSE))&lt;&gt;"")*(IF(OFFSET(INDIRECT(CELL("address",INDEX('Leave Tracker'!$A$8:$A$92,MATCH($A2,'Leave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2">
        <f t="array" aca="1" ref="L2" ca="1">Sheet3!$W$2*$F2*(NETWORKDAYS(VLOOKUP(L$1,Sprints[],2,FALSE), VLOOKUP(L$1,Sprints[],3,FALSE))-SUMPRODUCT((OFFSET(INDIRECT(CELL("address",INDEX('Leave Tracker'!$A$8:$A$92,MATCH($A2,'Leave Tracker'!$A$8:$A$92,0)))),0,31*(VLOOKUP(L$1,Sprints[],5,FALSE))+DAY(VLOOKUP(L$1,Sprints[],2,FALSE)),1,VLOOKUP(L$1,Sprints[],4,FALSE))&lt;&gt;"")*(IF(OFFSET(INDIRECT(CELL("address",INDEX('Leave Tracker'!$A$8:$A$92,MATCH($A2,'Leave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2" s="45">
        <f t="array" aca="1" ref="M2" ca="1">Sheet3!$W$2*$F2*(NETWORKDAYS(VLOOKUP(M$1,Sprints[],2,FALSE), VLOOKUP(M$1,Sprints[],3,FALSE))-SUMPRODUCT((OFFSET(INDIRECT(CELL("address",INDEX('Leave Tracker'!$A$8:$A$92,MATCH($A2,'Leave Tracker'!$A$8:$A$92,0)))),0,31*(VLOOKUP(M$1,Sprints[],5,FALSE))+DAY(VLOOKUP(M$1,Sprints[],2,FALSE)),1,VLOOKUP(M$1,Sprints[],4,FALSE))&lt;&gt;"")*(IF(OFFSET(INDIRECT(CELL("address",INDEX('Leave Tracker'!$A$8:$A$92,MATCH($A2,'Leave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2">
        <f t="array" aca="1" ref="N2" ca="1">Sheet3!$W$2*$F2*(NETWORKDAYS(VLOOKUP(N$1,Sprints[],2,FALSE), VLOOKUP(N$1,Sprints[],3,FALSE))-SUMPRODUCT((OFFSET(INDIRECT(CELL("address",INDEX('Leave Tracker'!$A$8:$A$92,MATCH($A2,'Leave Tracker'!$A$8:$A$92,0)))),0,31*(VLOOKUP(N$1,Sprints[],5,FALSE))+DAY(VLOOKUP(N$1,Sprints[],2,FALSE)),1,VLOOKUP(N$1,Sprints[],4,FALSE))&lt;&gt;"")*(IF(OFFSET(INDIRECT(CELL("address",INDEX('Leave Tracker'!$A$8:$A$92,MATCH($A2,'Leave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2" s="74">
        <f t="array" aca="1" ref="O2" ca="1">Sheet3!$W$2*$F2*(NETWORKDAYS(VLOOKUP(O$1,Sprints[],2,FALSE), VLOOKUP(O$1,Sprints[],3,FALSE))-SUMPRODUCT((OFFSET(INDIRECT(CELL("address",INDEX('Leave Tracker'!$A$8:$A$92,MATCH($A2,'Leave Tracker'!$A$8:$A$92,0)))),0,31*(VLOOKUP(O$1,Sprints[],5,FALSE))+DAY(VLOOKUP(O$1,Sprints[],2,FALSE)),1,VLOOKUP(O$1,Sprints[],4,FALSE))&lt;&gt;"")*(IF(OFFSET(INDIRECT(CELL("address",INDEX('Leave Tracker'!$A$8:$A$92,MATCH($A2,'Leave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3" spans="1:15" x14ac:dyDescent="0.45">
      <c r="A3" t="s">
        <v>89</v>
      </c>
      <c r="B3" s="45" t="s">
        <v>103</v>
      </c>
      <c r="C3" s="45" t="s">
        <v>105</v>
      </c>
      <c r="D3" s="45" t="s">
        <v>119</v>
      </c>
      <c r="E3" s="45" t="s">
        <v>112</v>
      </c>
      <c r="F3" s="47">
        <v>0.75</v>
      </c>
      <c r="G3" s="45">
        <f t="array" aca="1" ref="G3" ca="1">Sheet3!$W$2*$F3*(NETWORKDAYS(VLOOKUP(G$1,Sprints[],2,FALSE), VLOOKUP(G$1,Sprints[],3,FALSE))-SUMPRODUCT((OFFSET(INDIRECT(CELL("address",INDEX('Leave Tracker'!$A$8:$A$92,MATCH($A3,'Leave Tracker'!$A$8:$A$92,0)))),0,31*(VLOOKUP(G$1,Sprints[],5,FALSE))+DAY(VLOOKUP(G$1,Sprints[],2,FALSE)),1,VLOOKUP(G$1,Sprints[],4,FALSE))&lt;&gt;"")*(IF(OFFSET(INDIRECT(CELL("address",INDEX('Leave Tracker'!$A$8:$A$92,MATCH($A3,'Leave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3">
        <f t="array" aca="1" ref="H3" ca="1">Sheet3!$W$2*$F3*(NETWORKDAYS(VLOOKUP(H$1,Sprints[],2,FALSE), VLOOKUP(H$1,Sprints[],3,FALSE))-SUMPRODUCT((OFFSET(INDIRECT(CELL("address",INDEX('Leave Tracker'!$A$8:$A$92,MATCH($A3,'Leave Tracker'!$A$8:$A$92,0)))),0,31*(VLOOKUP(H$1,Sprints[],5,FALSE))+DAY(VLOOKUP(H$1,Sprints[],2,FALSE)),1,VLOOKUP(H$1,Sprints[],4,FALSE))&lt;&gt;"")*(IF(OFFSET(INDIRECT(CELL("address",INDEX('Leave Tracker'!$A$8:$A$92,MATCH($A3,'Leave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3">
        <f t="array" aca="1" ref="I3" ca="1">Sheet3!$W$2*$F3*(NETWORKDAYS(VLOOKUP(I$1,Sprints[],2,FALSE), VLOOKUP(I$1,Sprints[],3,FALSE))-SUMPRODUCT((OFFSET(INDIRECT(CELL("address",INDEX('Leave Tracker'!$A$8:$A$92,MATCH($A3,'Leave Tracker'!$A$8:$A$92,0)))),0,31*(VLOOKUP(I$1,Sprints[],5,FALSE))+DAY(VLOOKUP(I$1,Sprints[],2,FALSE)),1,VLOOKUP(I$1,Sprints[],4,FALSE))&lt;&gt;"")*(IF(OFFSET(INDIRECT(CELL("address",INDEX('Leave Tracker'!$A$8:$A$92,MATCH($A3,'Leave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3">
        <f t="array" aca="1" ref="J3" ca="1">Sheet3!$W$2*$F3*(NETWORKDAYS(VLOOKUP(J$1,Sprints[],2,FALSE), VLOOKUP(J$1,Sprints[],3,FALSE))-SUMPRODUCT((OFFSET(INDIRECT(CELL("address",INDEX('Leave Tracker'!$A$8:$A$92,MATCH($A3,'Leave Tracker'!$A$8:$A$92,0)))),0,31*(VLOOKUP(J$1,Sprints[],5,FALSE))+DAY(VLOOKUP(J$1,Sprints[],2,FALSE)),1,VLOOKUP(J$1,Sprints[],4,FALSE))&lt;&gt;"")*(IF(OFFSET(INDIRECT(CELL("address",INDEX('Leave Tracker'!$A$8:$A$92,MATCH($A3,'Leave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3">
        <f t="array" aca="1" ref="K3" ca="1">Sheet3!$W$2*$F3*(NETWORKDAYS(VLOOKUP(K$1,Sprints[],2,FALSE), VLOOKUP(K$1,Sprints[],3,FALSE))-SUMPRODUCT((OFFSET(INDIRECT(CELL("address",INDEX('Leave Tracker'!$A$8:$A$92,MATCH($A3,'Leave Tracker'!$A$8:$A$92,0)))),0,31*(VLOOKUP(K$1,Sprints[],5,FALSE))+DAY(VLOOKUP(K$1,Sprints[],2,FALSE)),1,VLOOKUP(K$1,Sprints[],4,FALSE))&lt;&gt;"")*(IF(OFFSET(INDIRECT(CELL("address",INDEX('Leave Tracker'!$A$8:$A$92,MATCH($A3,'Leave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3">
        <f t="array" aca="1" ref="L3" ca="1">Sheet3!$W$2*$F3*(NETWORKDAYS(VLOOKUP(L$1,Sprints[],2,FALSE), VLOOKUP(L$1,Sprints[],3,FALSE))-SUMPRODUCT((OFFSET(INDIRECT(CELL("address",INDEX('Leave Tracker'!$A$8:$A$92,MATCH($A3,'Leave Tracker'!$A$8:$A$92,0)))),0,31*(VLOOKUP(L$1,Sprints[],5,FALSE))+DAY(VLOOKUP(L$1,Sprints[],2,FALSE)),1,VLOOKUP(L$1,Sprints[],4,FALSE))&lt;&gt;"")*(IF(OFFSET(INDIRECT(CELL("address",INDEX('Leave Tracker'!$A$8:$A$92,MATCH($A3,'Leave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3" s="45">
        <f t="array" aca="1" ref="M3" ca="1">Sheet3!$W$2*$F3*(NETWORKDAYS(VLOOKUP(M$1,Sprints[],2,FALSE), VLOOKUP(M$1,Sprints[],3,FALSE))-SUMPRODUCT((OFFSET(INDIRECT(CELL("address",INDEX('Leave Tracker'!$A$8:$A$92,MATCH($A3,'Leave Tracker'!$A$8:$A$92,0)))),0,31*(VLOOKUP(M$1,Sprints[],5,FALSE))+DAY(VLOOKUP(M$1,Sprints[],2,FALSE)),1,VLOOKUP(M$1,Sprints[],4,FALSE))&lt;&gt;"")*(IF(OFFSET(INDIRECT(CELL("address",INDEX('Leave Tracker'!$A$8:$A$92,MATCH($A3,'Leave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3">
        <f t="array" aca="1" ref="N3" ca="1">Sheet3!$W$2*$F3*(NETWORKDAYS(VLOOKUP(N$1,Sprints[],2,FALSE), VLOOKUP(N$1,Sprints[],3,FALSE))-SUMPRODUCT((OFFSET(INDIRECT(CELL("address",INDEX('Leave Tracker'!$A$8:$A$92,MATCH($A3,'Leave Tracker'!$A$8:$A$92,0)))),0,31*(VLOOKUP(N$1,Sprints[],5,FALSE))+DAY(VLOOKUP(N$1,Sprints[],2,FALSE)),1,VLOOKUP(N$1,Sprints[],4,FALSE))&lt;&gt;"")*(IF(OFFSET(INDIRECT(CELL("address",INDEX('Leave Tracker'!$A$8:$A$92,MATCH($A3,'Leave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3" s="74">
        <f t="array" aca="1" ref="O3" ca="1">Sheet3!$W$2*$F3*(NETWORKDAYS(VLOOKUP(O$1,Sprints[],2,FALSE), VLOOKUP(O$1,Sprints[],3,FALSE))-SUMPRODUCT((OFFSET(INDIRECT(CELL("address",INDEX('Leave Tracker'!$A$8:$A$92,MATCH($A3,'Leave Tracker'!$A$8:$A$92,0)))),0,31*(VLOOKUP(O$1,Sprints[],5,FALSE))+DAY(VLOOKUP(O$1,Sprints[],2,FALSE)),1,VLOOKUP(O$1,Sprints[],4,FALSE))&lt;&gt;"")*(IF(OFFSET(INDIRECT(CELL("address",INDEX('Leave Tracker'!$A$8:$A$92,MATCH($A3,'Leave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4" spans="1:15" x14ac:dyDescent="0.45">
      <c r="A4" t="s">
        <v>92</v>
      </c>
      <c r="B4" s="45" t="s">
        <v>103</v>
      </c>
      <c r="C4" s="45" t="s">
        <v>105</v>
      </c>
      <c r="D4" s="45" t="s">
        <v>120</v>
      </c>
      <c r="E4" s="45" t="s">
        <v>115</v>
      </c>
      <c r="F4" s="47">
        <v>0.75</v>
      </c>
      <c r="G4" s="45">
        <f t="array" aca="1" ref="G4" ca="1">Sheet3!$W$2*$F4*(NETWORKDAYS(VLOOKUP(G$1,Sprints[],2,FALSE), VLOOKUP(G$1,Sprints[],3,FALSE))-SUMPRODUCT((OFFSET(INDIRECT(CELL("address",INDEX('Leave Tracker'!$A$8:$A$92,MATCH($A4,'Leave Tracker'!$A$8:$A$92,0)))),0,31*(VLOOKUP(G$1,Sprints[],5,FALSE))+DAY(VLOOKUP(G$1,Sprints[],2,FALSE)),1,VLOOKUP(G$1,Sprints[],4,FALSE))&lt;&gt;"")*(IF(OFFSET(INDIRECT(CELL("address",INDEX('Leave Tracker'!$A$8:$A$92,MATCH($A4,'Leave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4">
        <f t="array" aca="1" ref="H4" ca="1">Sheet3!$W$2*$F4*(NETWORKDAYS(VLOOKUP(H$1,Sprints[],2,FALSE), VLOOKUP(H$1,Sprints[],3,FALSE))-SUMPRODUCT((OFFSET(INDIRECT(CELL("address",INDEX('Leave Tracker'!$A$8:$A$92,MATCH($A4,'Leave Tracker'!$A$8:$A$92,0)))),0,31*(VLOOKUP(H$1,Sprints[],5,FALSE))+DAY(VLOOKUP(H$1,Sprints[],2,FALSE)),1,VLOOKUP(H$1,Sprints[],4,FALSE))&lt;&gt;"")*(IF(OFFSET(INDIRECT(CELL("address",INDEX('Leave Tracker'!$A$8:$A$92,MATCH($A4,'Leave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4">
        <f t="array" aca="1" ref="I4" ca="1">Sheet3!$W$2*$F4*(NETWORKDAYS(VLOOKUP(I$1,Sprints[],2,FALSE), VLOOKUP(I$1,Sprints[],3,FALSE))-SUMPRODUCT((OFFSET(INDIRECT(CELL("address",INDEX('Leave Tracker'!$A$8:$A$92,MATCH($A4,'Leave Tracker'!$A$8:$A$92,0)))),0,31*(VLOOKUP(I$1,Sprints[],5,FALSE))+DAY(VLOOKUP(I$1,Sprints[],2,FALSE)),1,VLOOKUP(I$1,Sprints[],4,FALSE))&lt;&gt;"")*(IF(OFFSET(INDIRECT(CELL("address",INDEX('Leave Tracker'!$A$8:$A$92,MATCH($A4,'Leave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4">
        <f t="array" aca="1" ref="J4" ca="1">Sheet3!$W$2*$F4*(NETWORKDAYS(VLOOKUP(J$1,Sprints[],2,FALSE), VLOOKUP(J$1,Sprints[],3,FALSE))-SUMPRODUCT((OFFSET(INDIRECT(CELL("address",INDEX('Leave Tracker'!$A$8:$A$92,MATCH($A4,'Leave Tracker'!$A$8:$A$92,0)))),0,31*(VLOOKUP(J$1,Sprints[],5,FALSE))+DAY(VLOOKUP(J$1,Sprints[],2,FALSE)),1,VLOOKUP(J$1,Sprints[],4,FALSE))&lt;&gt;"")*(IF(OFFSET(INDIRECT(CELL("address",INDEX('Leave Tracker'!$A$8:$A$92,MATCH($A4,'Leave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4">
        <f t="array" aca="1" ref="K4" ca="1">Sheet3!$W$2*$F4*(NETWORKDAYS(VLOOKUP(K$1,Sprints[],2,FALSE), VLOOKUP(K$1,Sprints[],3,FALSE))-SUMPRODUCT((OFFSET(INDIRECT(CELL("address",INDEX('Leave Tracker'!$A$8:$A$92,MATCH($A4,'Leave Tracker'!$A$8:$A$92,0)))),0,31*(VLOOKUP(K$1,Sprints[],5,FALSE))+DAY(VLOOKUP(K$1,Sprints[],2,FALSE)),1,VLOOKUP(K$1,Sprints[],4,FALSE))&lt;&gt;"")*(IF(OFFSET(INDIRECT(CELL("address",INDEX('Leave Tracker'!$A$8:$A$92,MATCH($A4,'Leave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4">
        <f t="array" aca="1" ref="L4" ca="1">Sheet3!$W$2*$F4*(NETWORKDAYS(VLOOKUP(L$1,Sprints[],2,FALSE), VLOOKUP(L$1,Sprints[],3,FALSE))-SUMPRODUCT((OFFSET(INDIRECT(CELL("address",INDEX('Leave Tracker'!$A$8:$A$92,MATCH($A4,'Leave Tracker'!$A$8:$A$92,0)))),0,31*(VLOOKUP(L$1,Sprints[],5,FALSE))+DAY(VLOOKUP(L$1,Sprints[],2,FALSE)),1,VLOOKUP(L$1,Sprints[],4,FALSE))&lt;&gt;"")*(IF(OFFSET(INDIRECT(CELL("address",INDEX('Leave Tracker'!$A$8:$A$92,MATCH($A4,'Leave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4" s="45">
        <f t="array" aca="1" ref="M4" ca="1">Sheet3!$W$2*$F4*(NETWORKDAYS(VLOOKUP(M$1,Sprints[],2,FALSE), VLOOKUP(M$1,Sprints[],3,FALSE))-SUMPRODUCT((OFFSET(INDIRECT(CELL("address",INDEX('Leave Tracker'!$A$8:$A$92,MATCH($A4,'Leave Tracker'!$A$8:$A$92,0)))),0,31*(VLOOKUP(M$1,Sprints[],5,FALSE))+DAY(VLOOKUP(M$1,Sprints[],2,FALSE)),1,VLOOKUP(M$1,Sprints[],4,FALSE))&lt;&gt;"")*(IF(OFFSET(INDIRECT(CELL("address",INDEX('Leave Tracker'!$A$8:$A$92,MATCH($A4,'Leave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4">
        <f t="array" aca="1" ref="N4" ca="1">Sheet3!$W$2*$F4*(NETWORKDAYS(VLOOKUP(N$1,Sprints[],2,FALSE), VLOOKUP(N$1,Sprints[],3,FALSE))-SUMPRODUCT((OFFSET(INDIRECT(CELL("address",INDEX('Leave Tracker'!$A$8:$A$92,MATCH($A4,'Leave Tracker'!$A$8:$A$92,0)))),0,31*(VLOOKUP(N$1,Sprints[],5,FALSE))+DAY(VLOOKUP(N$1,Sprints[],2,FALSE)),1,VLOOKUP(N$1,Sprints[],4,FALSE))&lt;&gt;"")*(IF(OFFSET(INDIRECT(CELL("address",INDEX('Leave Tracker'!$A$8:$A$92,MATCH($A4,'Leave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4" s="74">
        <f t="array" aca="1" ref="O4" ca="1">Sheet3!$W$2*$F4*(NETWORKDAYS(VLOOKUP(O$1,Sprints[],2,FALSE), VLOOKUP(O$1,Sprints[],3,FALSE))-SUMPRODUCT((OFFSET(INDIRECT(CELL("address",INDEX('Leave Tracker'!$A$8:$A$92,MATCH($A4,'Leave Tracker'!$A$8:$A$92,0)))),0,31*(VLOOKUP(O$1,Sprints[],5,FALSE))+DAY(VLOOKUP(O$1,Sprints[],2,FALSE)),1,VLOOKUP(O$1,Sprints[],4,FALSE))&lt;&gt;"")*(IF(OFFSET(INDIRECT(CELL("address",INDEX('Leave Tracker'!$A$8:$A$92,MATCH($A4,'Leave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5" spans="1:15" s="45" customFormat="1" x14ac:dyDescent="0.45">
      <c r="A5" s="45" t="s">
        <v>86</v>
      </c>
      <c r="B5" s="45" t="s">
        <v>103</v>
      </c>
      <c r="C5" s="45" t="s">
        <v>105</v>
      </c>
      <c r="D5" s="45" t="s">
        <v>120</v>
      </c>
      <c r="E5" s="45" t="s">
        <v>114</v>
      </c>
      <c r="F5" s="47">
        <v>0.75</v>
      </c>
      <c r="G5" s="45">
        <f t="array" aca="1" ref="G5" ca="1">Sheet3!$W$2*$F5*(NETWORKDAYS(VLOOKUP(G$1,Sprints[],2,FALSE), VLOOKUP(G$1,Sprints[],3,FALSE))-SUMPRODUCT((OFFSET(INDIRECT(CELL("address",INDEX('Leave Tracker'!$A$8:$A$92,MATCH($A5,'Leave Tracker'!$A$8:$A$92,0)))),0,31*(VLOOKUP(G$1,Sprints[],5,FALSE))+DAY(VLOOKUP(G$1,Sprints[],2,FALSE)),1,VLOOKUP(G$1,Sprints[],4,FALSE))&lt;&gt;"")*(IF(OFFSET(INDIRECT(CELL("address",INDEX('Leave Tracker'!$A$8:$A$92,MATCH($A5,'Leave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5" s="45">
        <f t="array" aca="1" ref="H5" ca="1">Sheet3!$W$2*$F5*(NETWORKDAYS(VLOOKUP(H$1,Sprints[],2,FALSE), VLOOKUP(H$1,Sprints[],3,FALSE))-SUMPRODUCT((OFFSET(INDIRECT(CELL("address",INDEX('Leave Tracker'!$A$8:$A$92,MATCH($A5,'Leave Tracker'!$A$8:$A$92,0)))),0,31*(VLOOKUP(H$1,Sprints[],5,FALSE))+DAY(VLOOKUP(H$1,Sprints[],2,FALSE)),1,VLOOKUP(H$1,Sprints[],4,FALSE))&lt;&gt;"")*(IF(OFFSET(INDIRECT(CELL("address",INDEX('Leave Tracker'!$A$8:$A$92,MATCH($A5,'Leave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5" s="45">
        <f t="array" aca="1" ref="I5" ca="1">Sheet3!$W$2*$F5*(NETWORKDAYS(VLOOKUP(I$1,Sprints[],2,FALSE), VLOOKUP(I$1,Sprints[],3,FALSE))-SUMPRODUCT((OFFSET(INDIRECT(CELL("address",INDEX('Leave Tracker'!$A$8:$A$92,MATCH($A5,'Leave Tracker'!$A$8:$A$92,0)))),0,31*(VLOOKUP(I$1,Sprints[],5,FALSE))+DAY(VLOOKUP(I$1,Sprints[],2,FALSE)),1,VLOOKUP(I$1,Sprints[],4,FALSE))&lt;&gt;"")*(IF(OFFSET(INDIRECT(CELL("address",INDEX('Leave Tracker'!$A$8:$A$92,MATCH($A5,'Leave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5" s="45">
        <f t="array" aca="1" ref="J5" ca="1">Sheet3!$W$2*$F5*(NETWORKDAYS(VLOOKUP(J$1,Sprints[],2,FALSE), VLOOKUP(J$1,Sprints[],3,FALSE))-SUMPRODUCT((OFFSET(INDIRECT(CELL("address",INDEX('Leave Tracker'!$A$8:$A$92,MATCH($A5,'Leave Tracker'!$A$8:$A$92,0)))),0,31*(VLOOKUP(J$1,Sprints[],5,FALSE))+DAY(VLOOKUP(J$1,Sprints[],2,FALSE)),1,VLOOKUP(J$1,Sprints[],4,FALSE))&lt;&gt;"")*(IF(OFFSET(INDIRECT(CELL("address",INDEX('Leave Tracker'!$A$8:$A$92,MATCH($A5,'Leave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5" s="45">
        <f t="array" aca="1" ref="K5" ca="1">Sheet3!$W$2*$F5*(NETWORKDAYS(VLOOKUP(K$1,Sprints[],2,FALSE), VLOOKUP(K$1,Sprints[],3,FALSE))-SUMPRODUCT((OFFSET(INDIRECT(CELL("address",INDEX('Leave Tracker'!$A$8:$A$92,MATCH($A5,'Leave Tracker'!$A$8:$A$92,0)))),0,31*(VLOOKUP(K$1,Sprints[],5,FALSE))+DAY(VLOOKUP(K$1,Sprints[],2,FALSE)),1,VLOOKUP(K$1,Sprints[],4,FALSE))&lt;&gt;"")*(IF(OFFSET(INDIRECT(CELL("address",INDEX('Leave Tracker'!$A$8:$A$92,MATCH($A5,'Leave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5" s="45">
        <f t="array" aca="1" ref="L5" ca="1">Sheet3!$W$2*$F5*(NETWORKDAYS(VLOOKUP(L$1,Sprints[],2,FALSE), VLOOKUP(L$1,Sprints[],3,FALSE))-SUMPRODUCT((OFFSET(INDIRECT(CELL("address",INDEX('Leave Tracker'!$A$8:$A$92,MATCH($A5,'Leave Tracker'!$A$8:$A$92,0)))),0,31*(VLOOKUP(L$1,Sprints[],5,FALSE))+DAY(VLOOKUP(L$1,Sprints[],2,FALSE)),1,VLOOKUP(L$1,Sprints[],4,FALSE))&lt;&gt;"")*(IF(OFFSET(INDIRECT(CELL("address",INDEX('Leave Tracker'!$A$8:$A$92,MATCH($A5,'Leave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5" s="45">
        <f t="array" aca="1" ref="M5" ca="1">Sheet3!$W$2*$F5*(NETWORKDAYS(VLOOKUP(M$1,Sprints[],2,FALSE), VLOOKUP(M$1,Sprints[],3,FALSE))-SUMPRODUCT((OFFSET(INDIRECT(CELL("address",INDEX('Leave Tracker'!$A$8:$A$92,MATCH($A5,'Leave Tracker'!$A$8:$A$92,0)))),0,31*(VLOOKUP(M$1,Sprints[],5,FALSE))+DAY(VLOOKUP(M$1,Sprints[],2,FALSE)),1,VLOOKUP(M$1,Sprints[],4,FALSE))&lt;&gt;"")*(IF(OFFSET(INDIRECT(CELL("address",INDEX('Leave Tracker'!$A$8:$A$92,MATCH($A5,'Leave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5" s="45">
        <f t="array" aca="1" ref="N5" ca="1">Sheet3!$W$2*$F5*(NETWORKDAYS(VLOOKUP(N$1,Sprints[],2,FALSE), VLOOKUP(N$1,Sprints[],3,FALSE))-SUMPRODUCT((OFFSET(INDIRECT(CELL("address",INDEX('Leave Tracker'!$A$8:$A$92,MATCH($A5,'Leave Tracker'!$A$8:$A$92,0)))),0,31*(VLOOKUP(N$1,Sprints[],5,FALSE))+DAY(VLOOKUP(N$1,Sprints[],2,FALSE)),1,VLOOKUP(N$1,Sprints[],4,FALSE))&lt;&gt;"")*(IF(OFFSET(INDIRECT(CELL("address",INDEX('Leave Tracker'!$A$8:$A$92,MATCH($A5,'Leave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5" s="74">
        <f t="array" aca="1" ref="O5" ca="1">Sheet3!$W$2*$F5*(NETWORKDAYS(VLOOKUP(O$1,Sprints[],2,FALSE), VLOOKUP(O$1,Sprints[],3,FALSE))-SUMPRODUCT((OFFSET(INDIRECT(CELL("address",INDEX('Leave Tracker'!$A$8:$A$92,MATCH($A5,'Leave Tracker'!$A$8:$A$92,0)))),0,31*(VLOOKUP(O$1,Sprints[],5,FALSE))+DAY(VLOOKUP(O$1,Sprints[],2,FALSE)),1,VLOOKUP(O$1,Sprints[],4,FALSE))&lt;&gt;"")*(IF(OFFSET(INDIRECT(CELL("address",INDEX('Leave Tracker'!$A$8:$A$92,MATCH($A5,'Leave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6" spans="1:15" x14ac:dyDescent="0.45">
      <c r="A6" t="s">
        <v>42</v>
      </c>
      <c r="B6" s="45" t="s">
        <v>99</v>
      </c>
      <c r="C6" s="45" t="s">
        <v>104</v>
      </c>
      <c r="D6" s="45" t="s">
        <v>119</v>
      </c>
      <c r="E6" s="45" t="s">
        <v>111</v>
      </c>
      <c r="F6" s="47">
        <v>0.5</v>
      </c>
      <c r="G6" s="45">
        <f t="array" aca="1" ref="G6" ca="1">Sheet3!$W$2*$F6*(NETWORKDAYS(VLOOKUP(G$1,Sprints[],2,FALSE), VLOOKUP(G$1,Sprints[],3,FALSE))-SUMPRODUCT((OFFSET(INDIRECT(CELL("address",INDEX('Leave Tracker'!$A$8:$A$92,MATCH($A6,'Leave Tracker'!$A$8:$A$92,0)))),0,31*(VLOOKUP(G$1,Sprints[],5,FALSE))+DAY(VLOOKUP(G$1,Sprints[],2,FALSE)),1,VLOOKUP(G$1,Sprints[],4,FALSE))&lt;&gt;"")*(IF(OFFSET(INDIRECT(CELL("address",INDEX('Leave Tracker'!$A$8:$A$92,MATCH($A6,'Leave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2</v>
      </c>
      <c r="H6">
        <f t="array" aca="1" ref="H6" ca="1">Sheet3!$W$2*$F6*(NETWORKDAYS(VLOOKUP(H$1,Sprints[],2,FALSE), VLOOKUP(H$1,Sprints[],3,FALSE))-SUMPRODUCT((OFFSET(INDIRECT(CELL("address",INDEX('Leave Tracker'!$A$8:$A$92,MATCH($A6,'Leave Tracker'!$A$8:$A$92,0)))),0,31*(VLOOKUP(H$1,Sprints[],5,FALSE))+DAY(VLOOKUP(H$1,Sprints[],2,FALSE)),1,VLOOKUP(H$1,Sprints[],4,FALSE))&lt;&gt;"")*(IF(OFFSET(INDIRECT(CELL("address",INDEX('Leave Tracker'!$A$8:$A$92,MATCH($A6,'Leave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4</v>
      </c>
      <c r="I6">
        <f t="array" aca="1" ref="I6" ca="1">Sheet3!$W$2*$F6*(NETWORKDAYS(VLOOKUP(I$1,Sprints[],2,FALSE), VLOOKUP(I$1,Sprints[],3,FALSE))-SUMPRODUCT((OFFSET(INDIRECT(CELL("address",INDEX('Leave Tracker'!$A$8:$A$92,MATCH($A6,'Leave Tracker'!$A$8:$A$92,0)))),0,31*(VLOOKUP(I$1,Sprints[],5,FALSE))+DAY(VLOOKUP(I$1,Sprints[],2,FALSE)),1,VLOOKUP(I$1,Sprints[],4,FALSE))&lt;&gt;"")*(IF(OFFSET(INDIRECT(CELL("address",INDEX('Leave Tracker'!$A$8:$A$92,MATCH($A6,'Leave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4</v>
      </c>
      <c r="J6">
        <f t="array" aca="1" ref="J6" ca="1">Sheet3!$W$2*$F6*(NETWORKDAYS(VLOOKUP(J$1,Sprints[],2,FALSE), VLOOKUP(J$1,Sprints[],3,FALSE))-SUMPRODUCT((OFFSET(INDIRECT(CELL("address",INDEX('Leave Tracker'!$A$8:$A$92,MATCH($A6,'Leave Tracker'!$A$8:$A$92,0)))),0,31*(VLOOKUP(J$1,Sprints[],5,FALSE))+DAY(VLOOKUP(J$1,Sprints[],2,FALSE)),1,VLOOKUP(J$1,Sprints[],4,FALSE))&lt;&gt;"")*(IF(OFFSET(INDIRECT(CELL("address",INDEX('Leave Tracker'!$A$8:$A$92,MATCH($A6,'Leave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4</v>
      </c>
      <c r="K6">
        <f t="array" aca="1" ref="K6" ca="1">Sheet3!$W$2*$F6*(NETWORKDAYS(VLOOKUP(K$1,Sprints[],2,FALSE), VLOOKUP(K$1,Sprints[],3,FALSE))-SUMPRODUCT((OFFSET(INDIRECT(CELL("address",INDEX('Leave Tracker'!$A$8:$A$92,MATCH($A6,'Leave Tracker'!$A$8:$A$92,0)))),0,31*(VLOOKUP(K$1,Sprints[],5,FALSE))+DAY(VLOOKUP(K$1,Sprints[],2,FALSE)),1,VLOOKUP(K$1,Sprints[],4,FALSE))&lt;&gt;"")*(IF(OFFSET(INDIRECT(CELL("address",INDEX('Leave Tracker'!$A$8:$A$92,MATCH($A6,'Leave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4</v>
      </c>
      <c r="L6">
        <f t="array" aca="1" ref="L6" ca="1">Sheet3!$W$2*$F6*(NETWORKDAYS(VLOOKUP(L$1,Sprints[],2,FALSE), VLOOKUP(L$1,Sprints[],3,FALSE))-SUMPRODUCT((OFFSET(INDIRECT(CELL("address",INDEX('Leave Tracker'!$A$8:$A$92,MATCH($A6,'Leave Tracker'!$A$8:$A$92,0)))),0,31*(VLOOKUP(L$1,Sprints[],5,FALSE))+DAY(VLOOKUP(L$1,Sprints[],2,FALSE)),1,VLOOKUP(L$1,Sprints[],4,FALSE))&lt;&gt;"")*(IF(OFFSET(INDIRECT(CELL("address",INDEX('Leave Tracker'!$A$8:$A$92,MATCH($A6,'Leave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2.8000000000000003</v>
      </c>
      <c r="M6" s="45">
        <f t="array" aca="1" ref="M6" ca="1">Sheet3!$W$2*$F6*(NETWORKDAYS(VLOOKUP(M$1,Sprints[],2,FALSE), VLOOKUP(M$1,Sprints[],3,FALSE))-SUMPRODUCT((OFFSET(INDIRECT(CELL("address",INDEX('Leave Tracker'!$A$8:$A$92,MATCH($A6,'Leave Tracker'!$A$8:$A$92,0)))),0,31*(VLOOKUP(M$1,Sprints[],5,FALSE))+DAY(VLOOKUP(M$1,Sprints[],2,FALSE)),1,VLOOKUP(M$1,Sprints[],4,FALSE))&lt;&gt;"")*(IF(OFFSET(INDIRECT(CELL("address",INDEX('Leave Tracker'!$A$8:$A$92,MATCH($A6,'Leave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4</v>
      </c>
      <c r="N6">
        <f t="array" aca="1" ref="N6" ca="1">Sheet3!$W$2*$F6*(NETWORKDAYS(VLOOKUP(N$1,Sprints[],2,FALSE), VLOOKUP(N$1,Sprints[],3,FALSE))-SUMPRODUCT((OFFSET(INDIRECT(CELL("address",INDEX('Leave Tracker'!$A$8:$A$92,MATCH($A6,'Leave Tracker'!$A$8:$A$92,0)))),0,31*(VLOOKUP(N$1,Sprints[],5,FALSE))+DAY(VLOOKUP(N$1,Sprints[],2,FALSE)),1,VLOOKUP(N$1,Sprints[],4,FALSE))&lt;&gt;"")*(IF(OFFSET(INDIRECT(CELL("address",INDEX('Leave Tracker'!$A$8:$A$92,MATCH($A6,'Leave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2</v>
      </c>
      <c r="O6" s="74">
        <f t="array" aca="1" ref="O6" ca="1">Sheet3!$W$2*$F6*(NETWORKDAYS(VLOOKUP(O$1,Sprints[],2,FALSE), VLOOKUP(O$1,Sprints[],3,FALSE))-SUMPRODUCT((OFFSET(INDIRECT(CELL("address",INDEX('Leave Tracker'!$A$8:$A$92,MATCH($A6,'Leave Tracker'!$A$8:$A$92,0)))),0,31*(VLOOKUP(O$1,Sprints[],5,FALSE))+DAY(VLOOKUP(O$1,Sprints[],2,FALSE)),1,VLOOKUP(O$1,Sprints[],4,FALSE))&lt;&gt;"")*(IF(OFFSET(INDIRECT(CELL("address",INDEX('Leave Tracker'!$A$8:$A$92,MATCH($A6,'Leave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26.8</v>
      </c>
    </row>
    <row r="7" spans="1:15" x14ac:dyDescent="0.45">
      <c r="A7" s="80" t="s">
        <v>138</v>
      </c>
      <c r="B7" s="80" t="s">
        <v>106</v>
      </c>
      <c r="C7" s="80" t="s">
        <v>105</v>
      </c>
      <c r="D7" s="80" t="s">
        <v>120</v>
      </c>
      <c r="E7" s="80" t="s">
        <v>115</v>
      </c>
      <c r="F7" s="81">
        <v>0.75</v>
      </c>
      <c r="G7" s="79">
        <f t="array" aca="1" ref="G7" ca="1">Sheet3!$W$2*$F7*(NETWORKDAYS(VLOOKUP(G$1,Sprints[],2,FALSE), VLOOKUP(G$1,Sprints[],3,FALSE))-SUMPRODUCT((OFFSET(INDIRECT(CELL("address",INDEX('Leave Tracker'!$A$8:$A$92,MATCH($A7,'Leave Tracker'!$A$8:$A$92,0)))),0,31*(VLOOKUP(G$1,Sprints[],5,FALSE))+DAY(VLOOKUP(G$1,Sprints[],2,FALSE)),1,VLOOKUP(G$1,Sprints[],4,FALSE))&lt;&gt;"")*(IF(OFFSET(INDIRECT(CELL("address",INDEX('Leave Tracker'!$A$8:$A$92,MATCH($A7,'Leave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7" s="79">
        <f t="array" aca="1" ref="H7" ca="1">Sheet3!$W$2*$F7*(NETWORKDAYS(VLOOKUP(H$1,Sprints[],2,FALSE), VLOOKUP(H$1,Sprints[],3,FALSE))-SUMPRODUCT((OFFSET(INDIRECT(CELL("address",INDEX('Leave Tracker'!$A$8:$A$92,MATCH($A7,'Leave Tracker'!$A$8:$A$92,0)))),0,31*(VLOOKUP(H$1,Sprints[],5,FALSE))+DAY(VLOOKUP(H$1,Sprints[],2,FALSE)),1,VLOOKUP(H$1,Sprints[],4,FALSE))&lt;&gt;"")*(IF(OFFSET(INDIRECT(CELL("address",INDEX('Leave Tracker'!$A$8:$A$92,MATCH($A7,'Leave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7" s="79">
        <f t="array" aca="1" ref="I7" ca="1">Sheet3!$W$2*$F7*(NETWORKDAYS(VLOOKUP(I$1,Sprints[],2,FALSE), VLOOKUP(I$1,Sprints[],3,FALSE))-SUMPRODUCT((OFFSET(INDIRECT(CELL("address",INDEX('Leave Tracker'!$A$8:$A$92,MATCH($A7,'Leave Tracker'!$A$8:$A$92,0)))),0,31*(VLOOKUP(I$1,Sprints[],5,FALSE))+DAY(VLOOKUP(I$1,Sprints[],2,FALSE)),1,VLOOKUP(I$1,Sprints[],4,FALSE))&lt;&gt;"")*(IF(OFFSET(INDIRECT(CELL("address",INDEX('Leave Tracker'!$A$8:$A$92,MATCH($A7,'Leave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7" s="79">
        <f t="array" aca="1" ref="J7" ca="1">Sheet3!$W$2*$F7*(NETWORKDAYS(VLOOKUP(J$1,Sprints[],2,FALSE), VLOOKUP(J$1,Sprints[],3,FALSE))-SUMPRODUCT((OFFSET(INDIRECT(CELL("address",INDEX('Leave Tracker'!$A$8:$A$92,MATCH($A7,'Leave Tracker'!$A$8:$A$92,0)))),0,31*(VLOOKUP(J$1,Sprints[],5,FALSE))+DAY(VLOOKUP(J$1,Sprints[],2,FALSE)),1,VLOOKUP(J$1,Sprints[],4,FALSE))&lt;&gt;"")*(IF(OFFSET(INDIRECT(CELL("address",INDEX('Leave Tracker'!$A$8:$A$92,MATCH($A7,'Leave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7" s="79">
        <f t="array" aca="1" ref="K7" ca="1">Sheet3!$W$2*$F7*(NETWORKDAYS(VLOOKUP(K$1,Sprints[],2,FALSE), VLOOKUP(K$1,Sprints[],3,FALSE))-SUMPRODUCT((OFFSET(INDIRECT(CELL("address",INDEX('Leave Tracker'!$A$8:$A$92,MATCH($A7,'Leave Tracker'!$A$8:$A$92,0)))),0,31*(VLOOKUP(K$1,Sprints[],5,FALSE))+DAY(VLOOKUP(K$1,Sprints[],2,FALSE)),1,VLOOKUP(K$1,Sprints[],4,FALSE))&lt;&gt;"")*(IF(OFFSET(INDIRECT(CELL("address",INDEX('Leave Tracker'!$A$8:$A$92,MATCH($A7,'Leave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7" s="79">
        <f t="array" aca="1" ref="L7" ca="1">Sheet3!$W$2*$F7*(NETWORKDAYS(VLOOKUP(L$1,Sprints[],2,FALSE), VLOOKUP(L$1,Sprints[],3,FALSE))-SUMPRODUCT((OFFSET(INDIRECT(CELL("address",INDEX('Leave Tracker'!$A$8:$A$92,MATCH($A7,'Leave Tracker'!$A$8:$A$92,0)))),0,31*(VLOOKUP(L$1,Sprints[],5,FALSE))+DAY(VLOOKUP(L$1,Sprints[],2,FALSE)),1,VLOOKUP(L$1,Sprints[],4,FALSE))&lt;&gt;"")*(IF(OFFSET(INDIRECT(CELL("address",INDEX('Leave Tracker'!$A$8:$A$92,MATCH($A7,'Leave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7" s="79">
        <f t="array" aca="1" ref="M7" ca="1">Sheet3!$W$2*$F7*(NETWORKDAYS(VLOOKUP(M$1,Sprints[],2,FALSE), VLOOKUP(M$1,Sprints[],3,FALSE))-SUMPRODUCT((OFFSET(INDIRECT(CELL("address",INDEX('Leave Tracker'!$A$8:$A$92,MATCH($A7,'Leave Tracker'!$A$8:$A$92,0)))),0,31*(VLOOKUP(M$1,Sprints[],5,FALSE))+DAY(VLOOKUP(M$1,Sprints[],2,FALSE)),1,VLOOKUP(M$1,Sprints[],4,FALSE))&lt;&gt;"")*(IF(OFFSET(INDIRECT(CELL("address",INDEX('Leave Tracker'!$A$8:$A$92,MATCH($A7,'Leave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7" s="79">
        <f t="array" aca="1" ref="N7" ca="1">Sheet3!$W$2*$F7*(NETWORKDAYS(VLOOKUP(N$1,Sprints[],2,FALSE), VLOOKUP(N$1,Sprints[],3,FALSE))-SUMPRODUCT((OFFSET(INDIRECT(CELL("address",INDEX('Leave Tracker'!$A$8:$A$92,MATCH($A7,'Leave Tracker'!$A$8:$A$92,0)))),0,31*(VLOOKUP(N$1,Sprints[],5,FALSE))+DAY(VLOOKUP(N$1,Sprints[],2,FALSE)),1,VLOOKUP(N$1,Sprints[],4,FALSE))&lt;&gt;"")*(IF(OFFSET(INDIRECT(CELL("address",INDEX('Leave Tracker'!$A$8:$A$92,MATCH($A7,'Leave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7" s="74">
        <f t="array" aca="1" ref="O7" ca="1">Sheet3!$W$2*$F7*(NETWORKDAYS(VLOOKUP(O$1,Sprints[],2,FALSE), VLOOKUP(O$1,Sprints[],3,FALSE))-SUMPRODUCT((OFFSET(INDIRECT(CELL("address",INDEX('Leave Tracker'!$A$8:$A$92,MATCH($A7,'Leave Tracker'!$A$8:$A$92,0)))),0,31*(VLOOKUP(O$1,Sprints[],5,FALSE))+DAY(VLOOKUP(O$1,Sprints[],2,FALSE)),1,VLOOKUP(O$1,Sprints[],4,FALSE))&lt;&gt;"")*(IF(OFFSET(INDIRECT(CELL("address",INDEX('Leave Tracker'!$A$8:$A$92,MATCH($A7,'Leave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8" spans="1:15" x14ac:dyDescent="0.45">
      <c r="A8" t="s">
        <v>64</v>
      </c>
      <c r="B8" s="45" t="s">
        <v>100</v>
      </c>
      <c r="C8" s="45" t="s">
        <v>104</v>
      </c>
      <c r="D8" s="45" t="s">
        <v>108</v>
      </c>
      <c r="E8" s="45" t="s">
        <v>113</v>
      </c>
      <c r="F8" s="47">
        <v>0.2</v>
      </c>
      <c r="G8" s="45">
        <f t="array" aca="1" ref="G8" ca="1">Sheet3!$W$2*$F8*(NETWORKDAYS(VLOOKUP(G$1,Sprints[],2,FALSE), VLOOKUP(G$1,Sprints[],3,FALSE))-SUMPRODUCT((OFFSET(INDIRECT(CELL("address",INDEX('Leave Tracker'!$A$8:$A$92,MATCH($A8,'Leave Tracker'!$A$8:$A$92,0)))),0,31*(VLOOKUP(G$1,Sprints[],5,FALSE))+DAY(VLOOKUP(G$1,Sprints[],2,FALSE)),1,VLOOKUP(G$1,Sprints[],4,FALSE))&lt;&gt;"")*(IF(OFFSET(INDIRECT(CELL("address",INDEX('Leave Tracker'!$A$8:$A$92,MATCH($A8,'Leave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0.80000000000000016</v>
      </c>
      <c r="H8">
        <f t="array" aca="1" ref="H8" ca="1">Sheet3!$W$2*$F8*(NETWORKDAYS(VLOOKUP(H$1,Sprints[],2,FALSE), VLOOKUP(H$1,Sprints[],3,FALSE))-SUMPRODUCT((OFFSET(INDIRECT(CELL("address",INDEX('Leave Tracker'!$A$8:$A$92,MATCH($A8,'Leave Tracker'!$A$8:$A$92,0)))),0,31*(VLOOKUP(H$1,Sprints[],5,FALSE))+DAY(VLOOKUP(H$1,Sprints[],2,FALSE)),1,VLOOKUP(H$1,Sprints[],4,FALSE))&lt;&gt;"")*(IF(OFFSET(INDIRECT(CELL("address",INDEX('Leave Tracker'!$A$8:$A$92,MATCH($A8,'Leave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1.6000000000000003</v>
      </c>
      <c r="I8">
        <f t="array" aca="1" ref="I8" ca="1">Sheet3!$W$2*$F8*(NETWORKDAYS(VLOOKUP(I$1,Sprints[],2,FALSE), VLOOKUP(I$1,Sprints[],3,FALSE))-SUMPRODUCT((OFFSET(INDIRECT(CELL("address",INDEX('Leave Tracker'!$A$8:$A$92,MATCH($A8,'Leave Tracker'!$A$8:$A$92,0)))),0,31*(VLOOKUP(I$1,Sprints[],5,FALSE))+DAY(VLOOKUP(I$1,Sprints[],2,FALSE)),1,VLOOKUP(I$1,Sprints[],4,FALSE))&lt;&gt;"")*(IF(OFFSET(INDIRECT(CELL("address",INDEX('Leave Tracker'!$A$8:$A$92,MATCH($A8,'Leave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1.6000000000000003</v>
      </c>
      <c r="J8">
        <f t="array" aca="1" ref="J8" ca="1">Sheet3!$W$2*$F8*(NETWORKDAYS(VLOOKUP(J$1,Sprints[],2,FALSE), VLOOKUP(J$1,Sprints[],3,FALSE))-SUMPRODUCT((OFFSET(INDIRECT(CELL("address",INDEX('Leave Tracker'!$A$8:$A$92,MATCH($A8,'Leave Tracker'!$A$8:$A$92,0)))),0,31*(VLOOKUP(J$1,Sprints[],5,FALSE))+DAY(VLOOKUP(J$1,Sprints[],2,FALSE)),1,VLOOKUP(J$1,Sprints[],4,FALSE))&lt;&gt;"")*(IF(OFFSET(INDIRECT(CELL("address",INDEX('Leave Tracker'!$A$8:$A$92,MATCH($A8,'Leave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1.6000000000000003</v>
      </c>
      <c r="K8">
        <f t="array" aca="1" ref="K8" ca="1">Sheet3!$W$2*$F8*(NETWORKDAYS(VLOOKUP(K$1,Sprints[],2,FALSE), VLOOKUP(K$1,Sprints[],3,FALSE))-SUMPRODUCT((OFFSET(INDIRECT(CELL("address",INDEX('Leave Tracker'!$A$8:$A$92,MATCH($A8,'Leave Tracker'!$A$8:$A$92,0)))),0,31*(VLOOKUP(K$1,Sprints[],5,FALSE))+DAY(VLOOKUP(K$1,Sprints[],2,FALSE)),1,VLOOKUP(K$1,Sprints[],4,FALSE))&lt;&gt;"")*(IF(OFFSET(INDIRECT(CELL("address",INDEX('Leave Tracker'!$A$8:$A$92,MATCH($A8,'Leave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1.6000000000000003</v>
      </c>
      <c r="L8">
        <f t="array" aca="1" ref="L8" ca="1">Sheet3!$W$2*$F8*(NETWORKDAYS(VLOOKUP(L$1,Sprints[],2,FALSE), VLOOKUP(L$1,Sprints[],3,FALSE))-SUMPRODUCT((OFFSET(INDIRECT(CELL("address",INDEX('Leave Tracker'!$A$8:$A$92,MATCH($A8,'Leave Tracker'!$A$8:$A$92,0)))),0,31*(VLOOKUP(L$1,Sprints[],5,FALSE))+DAY(VLOOKUP(L$1,Sprints[],2,FALSE)),1,VLOOKUP(L$1,Sprints[],4,FALSE))&lt;&gt;"")*(IF(OFFSET(INDIRECT(CELL("address",INDEX('Leave Tracker'!$A$8:$A$92,MATCH($A8,'Leave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1.1200000000000001</v>
      </c>
      <c r="M8" s="45">
        <f t="array" aca="1" ref="M8" ca="1">Sheet3!$W$2*$F8*(NETWORKDAYS(VLOOKUP(M$1,Sprints[],2,FALSE), VLOOKUP(M$1,Sprints[],3,FALSE))-SUMPRODUCT((OFFSET(INDIRECT(CELL("address",INDEX('Leave Tracker'!$A$8:$A$92,MATCH($A8,'Leave Tracker'!$A$8:$A$92,0)))),0,31*(VLOOKUP(M$1,Sprints[],5,FALSE))+DAY(VLOOKUP(M$1,Sprints[],2,FALSE)),1,VLOOKUP(M$1,Sprints[],4,FALSE))&lt;&gt;"")*(IF(OFFSET(INDIRECT(CELL("address",INDEX('Leave Tracker'!$A$8:$A$92,MATCH($A8,'Leave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1.6000000000000003</v>
      </c>
      <c r="N8">
        <f t="array" aca="1" ref="N8" ca="1">Sheet3!$W$2*$F8*(NETWORKDAYS(VLOOKUP(N$1,Sprints[],2,FALSE), VLOOKUP(N$1,Sprints[],3,FALSE))-SUMPRODUCT((OFFSET(INDIRECT(CELL("address",INDEX('Leave Tracker'!$A$8:$A$92,MATCH($A8,'Leave Tracker'!$A$8:$A$92,0)))),0,31*(VLOOKUP(N$1,Sprints[],5,FALSE))+DAY(VLOOKUP(N$1,Sprints[],2,FALSE)),1,VLOOKUP(N$1,Sprints[],4,FALSE))&lt;&gt;"")*(IF(OFFSET(INDIRECT(CELL("address",INDEX('Leave Tracker'!$A$8:$A$92,MATCH($A8,'Leave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0.80000000000000016</v>
      </c>
      <c r="O8" s="74">
        <f t="array" aca="1" ref="O8" ca="1">Sheet3!$W$2*$F8*(NETWORKDAYS(VLOOKUP(O$1,Sprints[],2,FALSE), VLOOKUP(O$1,Sprints[],3,FALSE))-SUMPRODUCT((OFFSET(INDIRECT(CELL("address",INDEX('Leave Tracker'!$A$8:$A$92,MATCH($A8,'Leave Tracker'!$A$8:$A$92,0)))),0,31*(VLOOKUP(O$1,Sprints[],5,FALSE))+DAY(VLOOKUP(O$1,Sprints[],2,FALSE)),1,VLOOKUP(O$1,Sprints[],4,FALSE))&lt;&gt;"")*(IF(OFFSET(INDIRECT(CELL("address",INDEX('Leave Tracker'!$A$8:$A$92,MATCH($A8,'Leave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10.720000000000002</v>
      </c>
    </row>
    <row r="9" spans="1:15" x14ac:dyDescent="0.45">
      <c r="A9" t="s">
        <v>81</v>
      </c>
      <c r="B9" s="45" t="s">
        <v>100</v>
      </c>
      <c r="C9" s="45" t="s">
        <v>104</v>
      </c>
      <c r="D9" s="45" t="s">
        <v>120</v>
      </c>
      <c r="E9" s="45" t="s">
        <v>115</v>
      </c>
      <c r="F9" s="47">
        <v>0.75</v>
      </c>
      <c r="G9" s="45">
        <f t="array" aca="1" ref="G9" ca="1">Sheet3!$W$2*$F9*(NETWORKDAYS(VLOOKUP(G$1,Sprints[],2,FALSE), VLOOKUP(G$1,Sprints[],3,FALSE))-SUMPRODUCT((OFFSET(INDIRECT(CELL("address",INDEX('Leave Tracker'!$A$8:$A$92,MATCH($A9,'Leave Tracker'!$A$8:$A$92,0)))),0,31*(VLOOKUP(G$1,Sprints[],5,FALSE))+DAY(VLOOKUP(G$1,Sprints[],2,FALSE)),1,VLOOKUP(G$1,Sprints[],4,FALSE))&lt;&gt;"")*(IF(OFFSET(INDIRECT(CELL("address",INDEX('Leave Tracker'!$A$8:$A$92,MATCH($A9,'Leave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9">
        <f t="array" aca="1" ref="H9" ca="1">Sheet3!$W$2*$F9*(NETWORKDAYS(VLOOKUP(H$1,Sprints[],2,FALSE), VLOOKUP(H$1,Sprints[],3,FALSE))-SUMPRODUCT((OFFSET(INDIRECT(CELL("address",INDEX('Leave Tracker'!$A$8:$A$92,MATCH($A9,'Leave Tracker'!$A$8:$A$92,0)))),0,31*(VLOOKUP(H$1,Sprints[],5,FALSE))+DAY(VLOOKUP(H$1,Sprints[],2,FALSE)),1,VLOOKUP(H$1,Sprints[],4,FALSE))&lt;&gt;"")*(IF(OFFSET(INDIRECT(CELL("address",INDEX('Leave Tracker'!$A$8:$A$92,MATCH($A9,'Leave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9">
        <f t="array" aca="1" ref="I9" ca="1">Sheet3!$W$2*$F9*(NETWORKDAYS(VLOOKUP(I$1,Sprints[],2,FALSE), VLOOKUP(I$1,Sprints[],3,FALSE))-SUMPRODUCT((OFFSET(INDIRECT(CELL("address",INDEX('Leave Tracker'!$A$8:$A$92,MATCH($A9,'Leave Tracker'!$A$8:$A$92,0)))),0,31*(VLOOKUP(I$1,Sprints[],5,FALSE))+DAY(VLOOKUP(I$1,Sprints[],2,FALSE)),1,VLOOKUP(I$1,Sprints[],4,FALSE))&lt;&gt;"")*(IF(OFFSET(INDIRECT(CELL("address",INDEX('Leave Tracker'!$A$8:$A$92,MATCH($A9,'Leave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9">
        <f t="array" aca="1" ref="J9" ca="1">Sheet3!$W$2*$F9*(NETWORKDAYS(VLOOKUP(J$1,Sprints[],2,FALSE), VLOOKUP(J$1,Sprints[],3,FALSE))-SUMPRODUCT((OFFSET(INDIRECT(CELL("address",INDEX('Leave Tracker'!$A$8:$A$92,MATCH($A9,'Leave Tracker'!$A$8:$A$92,0)))),0,31*(VLOOKUP(J$1,Sprints[],5,FALSE))+DAY(VLOOKUP(J$1,Sprints[],2,FALSE)),1,VLOOKUP(J$1,Sprints[],4,FALSE))&lt;&gt;"")*(IF(OFFSET(INDIRECT(CELL("address",INDEX('Leave Tracker'!$A$8:$A$92,MATCH($A9,'Leave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9">
        <f t="array" aca="1" ref="K9" ca="1">Sheet3!$W$2*$F9*(NETWORKDAYS(VLOOKUP(K$1,Sprints[],2,FALSE), VLOOKUP(K$1,Sprints[],3,FALSE))-SUMPRODUCT((OFFSET(INDIRECT(CELL("address",INDEX('Leave Tracker'!$A$8:$A$92,MATCH($A9,'Leave Tracker'!$A$8:$A$92,0)))),0,31*(VLOOKUP(K$1,Sprints[],5,FALSE))+DAY(VLOOKUP(K$1,Sprints[],2,FALSE)),1,VLOOKUP(K$1,Sprints[],4,FALSE))&lt;&gt;"")*(IF(OFFSET(INDIRECT(CELL("address",INDEX('Leave Tracker'!$A$8:$A$92,MATCH($A9,'Leave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9">
        <f t="array" aca="1" ref="L9" ca="1">Sheet3!$W$2*$F9*(NETWORKDAYS(VLOOKUP(L$1,Sprints[],2,FALSE), VLOOKUP(L$1,Sprints[],3,FALSE))-SUMPRODUCT((OFFSET(INDIRECT(CELL("address",INDEX('Leave Tracker'!$A$8:$A$92,MATCH($A9,'Leave Tracker'!$A$8:$A$92,0)))),0,31*(VLOOKUP(L$1,Sprints[],5,FALSE))+DAY(VLOOKUP(L$1,Sprints[],2,FALSE)),1,VLOOKUP(L$1,Sprints[],4,FALSE))&lt;&gt;"")*(IF(OFFSET(INDIRECT(CELL("address",INDEX('Leave Tracker'!$A$8:$A$92,MATCH($A9,'Leave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9" s="45">
        <f t="array" aca="1" ref="M9" ca="1">Sheet3!$W$2*$F9*(NETWORKDAYS(VLOOKUP(M$1,Sprints[],2,FALSE), VLOOKUP(M$1,Sprints[],3,FALSE))-SUMPRODUCT((OFFSET(INDIRECT(CELL("address",INDEX('Leave Tracker'!$A$8:$A$92,MATCH($A9,'Leave Tracker'!$A$8:$A$92,0)))),0,31*(VLOOKUP(M$1,Sprints[],5,FALSE))+DAY(VLOOKUP(M$1,Sprints[],2,FALSE)),1,VLOOKUP(M$1,Sprints[],4,FALSE))&lt;&gt;"")*(IF(OFFSET(INDIRECT(CELL("address",INDEX('Leave Tracker'!$A$8:$A$92,MATCH($A9,'Leave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9">
        <f t="array" aca="1" ref="N9" ca="1">Sheet3!$W$2*$F9*(NETWORKDAYS(VLOOKUP(N$1,Sprints[],2,FALSE), VLOOKUP(N$1,Sprints[],3,FALSE))-SUMPRODUCT((OFFSET(INDIRECT(CELL("address",INDEX('Leave Tracker'!$A$8:$A$92,MATCH($A9,'Leave Tracker'!$A$8:$A$92,0)))),0,31*(VLOOKUP(N$1,Sprints[],5,FALSE))+DAY(VLOOKUP(N$1,Sprints[],2,FALSE)),1,VLOOKUP(N$1,Sprints[],4,FALSE))&lt;&gt;"")*(IF(OFFSET(INDIRECT(CELL("address",INDEX('Leave Tracker'!$A$8:$A$92,MATCH($A9,'Leave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9" s="74">
        <f t="array" aca="1" ref="O9" ca="1">Sheet3!$W$2*$F9*(NETWORKDAYS(VLOOKUP(O$1,Sprints[],2,FALSE), VLOOKUP(O$1,Sprints[],3,FALSE))-SUMPRODUCT((OFFSET(INDIRECT(CELL("address",INDEX('Leave Tracker'!$A$8:$A$92,MATCH($A9,'Leave Tracker'!$A$8:$A$92,0)))),0,31*(VLOOKUP(O$1,Sprints[],5,FALSE))+DAY(VLOOKUP(O$1,Sprints[],2,FALSE)),1,VLOOKUP(O$1,Sprints[],4,FALSE))&lt;&gt;"")*(IF(OFFSET(INDIRECT(CELL("address",INDEX('Leave Tracker'!$A$8:$A$92,MATCH($A9,'Leave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10" spans="1:15" x14ac:dyDescent="0.45">
      <c r="A10" t="s">
        <v>88</v>
      </c>
      <c r="B10" s="45" t="s">
        <v>103</v>
      </c>
      <c r="C10" s="45" t="s">
        <v>105</v>
      </c>
      <c r="D10" s="45" t="s">
        <v>116</v>
      </c>
      <c r="E10" s="45" t="s">
        <v>115</v>
      </c>
      <c r="F10" s="47">
        <v>0.6</v>
      </c>
      <c r="G10" s="45">
        <f t="array" aca="1" ref="G10" ca="1">Sheet3!$W$2*$F10*(NETWORKDAYS(VLOOKUP(G$1,Sprints[],2,FALSE), VLOOKUP(G$1,Sprints[],3,FALSE))-SUMPRODUCT((OFFSET(INDIRECT(CELL("address",INDEX('Leave Tracker'!$A$8:$A$92,MATCH($A10,'Leave Tracker'!$A$8:$A$92,0)))),0,31*(VLOOKUP(G$1,Sprints[],5,FALSE))+DAY(VLOOKUP(G$1,Sprints[],2,FALSE)),1,VLOOKUP(G$1,Sprints[],4,FALSE))&lt;&gt;"")*(IF(OFFSET(INDIRECT(CELL("address",INDEX('Leave Tracker'!$A$8:$A$92,MATCH($A10,'Leave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2.4</v>
      </c>
      <c r="H10">
        <f t="array" aca="1" ref="H10" ca="1">Sheet3!$W$2*$F10*(NETWORKDAYS(VLOOKUP(H$1,Sprints[],2,FALSE), VLOOKUP(H$1,Sprints[],3,FALSE))-SUMPRODUCT((OFFSET(INDIRECT(CELL("address",INDEX('Leave Tracker'!$A$8:$A$92,MATCH($A10,'Leave Tracker'!$A$8:$A$92,0)))),0,31*(VLOOKUP(H$1,Sprints[],5,FALSE))+DAY(VLOOKUP(H$1,Sprints[],2,FALSE)),1,VLOOKUP(H$1,Sprints[],4,FALSE))&lt;&gt;"")*(IF(OFFSET(INDIRECT(CELL("address",INDEX('Leave Tracker'!$A$8:$A$92,MATCH($A10,'Leave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4.8</v>
      </c>
      <c r="I10">
        <f t="array" aca="1" ref="I10" ca="1">Sheet3!$W$2*$F10*(NETWORKDAYS(VLOOKUP(I$1,Sprints[],2,FALSE), VLOOKUP(I$1,Sprints[],3,FALSE))-SUMPRODUCT((OFFSET(INDIRECT(CELL("address",INDEX('Leave Tracker'!$A$8:$A$92,MATCH($A10,'Leave Tracker'!$A$8:$A$92,0)))),0,31*(VLOOKUP(I$1,Sprints[],5,FALSE))+DAY(VLOOKUP(I$1,Sprints[],2,FALSE)),1,VLOOKUP(I$1,Sprints[],4,FALSE))&lt;&gt;"")*(IF(OFFSET(INDIRECT(CELL("address",INDEX('Leave Tracker'!$A$8:$A$92,MATCH($A10,'Leave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4.32</v>
      </c>
      <c r="J10">
        <f t="array" aca="1" ref="J10" ca="1">Sheet3!$W$2*$F10*(NETWORKDAYS(VLOOKUP(J$1,Sprints[],2,FALSE), VLOOKUP(J$1,Sprints[],3,FALSE))-SUMPRODUCT((OFFSET(INDIRECT(CELL("address",INDEX('Leave Tracker'!$A$8:$A$92,MATCH($A10,'Leave Tracker'!$A$8:$A$92,0)))),0,31*(VLOOKUP(J$1,Sprints[],5,FALSE))+DAY(VLOOKUP(J$1,Sprints[],2,FALSE)),1,VLOOKUP(J$1,Sprints[],4,FALSE))&lt;&gt;"")*(IF(OFFSET(INDIRECT(CELL("address",INDEX('Leave Tracker'!$A$8:$A$92,MATCH($A10,'Leave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4.8</v>
      </c>
      <c r="K10">
        <f t="array" aca="1" ref="K10" ca="1">Sheet3!$W$2*$F10*(NETWORKDAYS(VLOOKUP(K$1,Sprints[],2,FALSE), VLOOKUP(K$1,Sprints[],3,FALSE))-SUMPRODUCT((OFFSET(INDIRECT(CELL("address",INDEX('Leave Tracker'!$A$8:$A$92,MATCH($A10,'Leave Tracker'!$A$8:$A$92,0)))),0,31*(VLOOKUP(K$1,Sprints[],5,FALSE))+DAY(VLOOKUP(K$1,Sprints[],2,FALSE)),1,VLOOKUP(K$1,Sprints[],4,FALSE))&lt;&gt;"")*(IF(OFFSET(INDIRECT(CELL("address",INDEX('Leave Tracker'!$A$8:$A$92,MATCH($A10,'Leave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4.8</v>
      </c>
      <c r="L10">
        <f t="array" aca="1" ref="L10" ca="1">Sheet3!$W$2*$F10*(NETWORKDAYS(VLOOKUP(L$1,Sprints[],2,FALSE), VLOOKUP(L$1,Sprints[],3,FALSE))-SUMPRODUCT((OFFSET(INDIRECT(CELL("address",INDEX('Leave Tracker'!$A$8:$A$92,MATCH($A10,'Leave Tracker'!$A$8:$A$92,0)))),0,31*(VLOOKUP(L$1,Sprints[],5,FALSE))+DAY(VLOOKUP(L$1,Sprints[],2,FALSE)),1,VLOOKUP(L$1,Sprints[],4,FALSE))&lt;&gt;"")*(IF(OFFSET(INDIRECT(CELL("address",INDEX('Leave Tracker'!$A$8:$A$92,MATCH($A10,'Leave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3.84</v>
      </c>
      <c r="M10" s="45">
        <f t="array" aca="1" ref="M10" ca="1">Sheet3!$W$2*$F10*(NETWORKDAYS(VLOOKUP(M$1,Sprints[],2,FALSE), VLOOKUP(M$1,Sprints[],3,FALSE))-SUMPRODUCT((OFFSET(INDIRECT(CELL("address",INDEX('Leave Tracker'!$A$8:$A$92,MATCH($A10,'Leave Tracker'!$A$8:$A$92,0)))),0,31*(VLOOKUP(M$1,Sprints[],5,FALSE))+DAY(VLOOKUP(M$1,Sprints[],2,FALSE)),1,VLOOKUP(M$1,Sprints[],4,FALSE))&lt;&gt;"")*(IF(OFFSET(INDIRECT(CELL("address",INDEX('Leave Tracker'!$A$8:$A$92,MATCH($A10,'Leave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4.32</v>
      </c>
      <c r="N10">
        <f t="array" aca="1" ref="N10" ca="1">Sheet3!$W$2*$F10*(NETWORKDAYS(VLOOKUP(N$1,Sprints[],2,FALSE), VLOOKUP(N$1,Sprints[],3,FALSE))-SUMPRODUCT((OFFSET(INDIRECT(CELL("address",INDEX('Leave Tracker'!$A$8:$A$92,MATCH($A10,'Leave Tracker'!$A$8:$A$92,0)))),0,31*(VLOOKUP(N$1,Sprints[],5,FALSE))+DAY(VLOOKUP(N$1,Sprints[],2,FALSE)),1,VLOOKUP(N$1,Sprints[],4,FALSE))&lt;&gt;"")*(IF(OFFSET(INDIRECT(CELL("address",INDEX('Leave Tracker'!$A$8:$A$92,MATCH($A10,'Leave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2.4</v>
      </c>
      <c r="O10" s="74">
        <f t="array" aca="1" ref="O10" ca="1">Sheet3!$W$2*$F10*(NETWORKDAYS(VLOOKUP(O$1,Sprints[],2,FALSE), VLOOKUP(O$1,Sprints[],3,FALSE))-SUMPRODUCT((OFFSET(INDIRECT(CELL("address",INDEX('Leave Tracker'!$A$8:$A$92,MATCH($A10,'Leave Tracker'!$A$8:$A$92,0)))),0,31*(VLOOKUP(O$1,Sprints[],5,FALSE))+DAY(VLOOKUP(O$1,Sprints[],2,FALSE)),1,VLOOKUP(O$1,Sprints[],4,FALSE))&lt;&gt;"")*(IF(OFFSET(INDIRECT(CELL("address",INDEX('Leave Tracker'!$A$8:$A$92,MATCH($A10,'Leave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31.68</v>
      </c>
    </row>
    <row r="11" spans="1:15" x14ac:dyDescent="0.45">
      <c r="A11" t="s">
        <v>65</v>
      </c>
      <c r="B11" s="45" t="s">
        <v>100</v>
      </c>
      <c r="C11" s="45" t="s">
        <v>104</v>
      </c>
      <c r="D11" s="45" t="s">
        <v>119</v>
      </c>
      <c r="E11" s="45" t="s">
        <v>113</v>
      </c>
      <c r="F11" s="47">
        <v>0.75</v>
      </c>
      <c r="G11" s="45">
        <f t="array" aca="1" ref="G11" ca="1">Sheet3!$W$2*$F11*(NETWORKDAYS(VLOOKUP(G$1,Sprints[],2,FALSE), VLOOKUP(G$1,Sprints[],3,FALSE))-SUMPRODUCT((OFFSET(INDIRECT(CELL("address",INDEX('Leave Tracker'!$A$8:$A$92,MATCH($A11,'Leave Tracker'!$A$8:$A$92,0)))),0,31*(VLOOKUP(G$1,Sprints[],5,FALSE))+DAY(VLOOKUP(G$1,Sprints[],2,FALSE)),1,VLOOKUP(G$1,Sprints[],4,FALSE))&lt;&gt;"")*(IF(OFFSET(INDIRECT(CELL("address",INDEX('Leave Tracker'!$A$8:$A$92,MATCH($A11,'Leave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11">
        <f t="array" aca="1" ref="H11" ca="1">Sheet3!$W$2*$F11*(NETWORKDAYS(VLOOKUP(H$1,Sprints[],2,FALSE), VLOOKUP(H$1,Sprints[],3,FALSE))-SUMPRODUCT((OFFSET(INDIRECT(CELL("address",INDEX('Leave Tracker'!$A$8:$A$92,MATCH($A11,'Leave Tracker'!$A$8:$A$92,0)))),0,31*(VLOOKUP(H$1,Sprints[],5,FALSE))+DAY(VLOOKUP(H$1,Sprints[],2,FALSE)),1,VLOOKUP(H$1,Sprints[],4,FALSE))&lt;&gt;"")*(IF(OFFSET(INDIRECT(CELL("address",INDEX('Leave Tracker'!$A$8:$A$92,MATCH($A11,'Leave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11">
        <f t="array" aca="1" ref="I11" ca="1">Sheet3!$W$2*$F11*(NETWORKDAYS(VLOOKUP(I$1,Sprints[],2,FALSE), VLOOKUP(I$1,Sprints[],3,FALSE))-SUMPRODUCT((OFFSET(INDIRECT(CELL("address",INDEX('Leave Tracker'!$A$8:$A$92,MATCH($A11,'Leave Tracker'!$A$8:$A$92,0)))),0,31*(VLOOKUP(I$1,Sprints[],5,FALSE))+DAY(VLOOKUP(I$1,Sprints[],2,FALSE)),1,VLOOKUP(I$1,Sprints[],4,FALSE))&lt;&gt;"")*(IF(OFFSET(INDIRECT(CELL("address",INDEX('Leave Tracker'!$A$8:$A$92,MATCH($A11,'Leave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11">
        <f t="array" aca="1" ref="J11" ca="1">Sheet3!$W$2*$F11*(NETWORKDAYS(VLOOKUP(J$1,Sprints[],2,FALSE), VLOOKUP(J$1,Sprints[],3,FALSE))-SUMPRODUCT((OFFSET(INDIRECT(CELL("address",INDEX('Leave Tracker'!$A$8:$A$92,MATCH($A11,'Leave Tracker'!$A$8:$A$92,0)))),0,31*(VLOOKUP(J$1,Sprints[],5,FALSE))+DAY(VLOOKUP(J$1,Sprints[],2,FALSE)),1,VLOOKUP(J$1,Sprints[],4,FALSE))&lt;&gt;"")*(IF(OFFSET(INDIRECT(CELL("address",INDEX('Leave Tracker'!$A$8:$A$92,MATCH($A11,'Leave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11">
        <f t="array" aca="1" ref="K11" ca="1">Sheet3!$W$2*$F11*(NETWORKDAYS(VLOOKUP(K$1,Sprints[],2,FALSE), VLOOKUP(K$1,Sprints[],3,FALSE))-SUMPRODUCT((OFFSET(INDIRECT(CELL("address",INDEX('Leave Tracker'!$A$8:$A$92,MATCH($A11,'Leave Tracker'!$A$8:$A$92,0)))),0,31*(VLOOKUP(K$1,Sprints[],5,FALSE))+DAY(VLOOKUP(K$1,Sprints[],2,FALSE)),1,VLOOKUP(K$1,Sprints[],4,FALSE))&lt;&gt;"")*(IF(OFFSET(INDIRECT(CELL("address",INDEX('Leave Tracker'!$A$8:$A$92,MATCH($A11,'Leave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11">
        <f t="array" aca="1" ref="L11" ca="1">Sheet3!$W$2*$F11*(NETWORKDAYS(VLOOKUP(L$1,Sprints[],2,FALSE), VLOOKUP(L$1,Sprints[],3,FALSE))-SUMPRODUCT((OFFSET(INDIRECT(CELL("address",INDEX('Leave Tracker'!$A$8:$A$92,MATCH($A11,'Leave Tracker'!$A$8:$A$92,0)))),0,31*(VLOOKUP(L$1,Sprints[],5,FALSE))+DAY(VLOOKUP(L$1,Sprints[],2,FALSE)),1,VLOOKUP(L$1,Sprints[],4,FALSE))&lt;&gt;"")*(IF(OFFSET(INDIRECT(CELL("address",INDEX('Leave Tracker'!$A$8:$A$92,MATCH($A11,'Leave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11" s="45">
        <f t="array" aca="1" ref="M11" ca="1">Sheet3!$W$2*$F11*(NETWORKDAYS(VLOOKUP(M$1,Sprints[],2,FALSE), VLOOKUP(M$1,Sprints[],3,FALSE))-SUMPRODUCT((OFFSET(INDIRECT(CELL("address",INDEX('Leave Tracker'!$A$8:$A$92,MATCH($A11,'Leave Tracker'!$A$8:$A$92,0)))),0,31*(VLOOKUP(M$1,Sprints[],5,FALSE))+DAY(VLOOKUP(M$1,Sprints[],2,FALSE)),1,VLOOKUP(M$1,Sprints[],4,FALSE))&lt;&gt;"")*(IF(OFFSET(INDIRECT(CELL("address",INDEX('Leave Tracker'!$A$8:$A$92,MATCH($A11,'Leave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11">
        <f t="array" aca="1" ref="N11" ca="1">Sheet3!$W$2*$F11*(NETWORKDAYS(VLOOKUP(N$1,Sprints[],2,FALSE), VLOOKUP(N$1,Sprints[],3,FALSE))-SUMPRODUCT((OFFSET(INDIRECT(CELL("address",INDEX('Leave Tracker'!$A$8:$A$92,MATCH($A11,'Leave Tracker'!$A$8:$A$92,0)))),0,31*(VLOOKUP(N$1,Sprints[],5,FALSE))+DAY(VLOOKUP(N$1,Sprints[],2,FALSE)),1,VLOOKUP(N$1,Sprints[],4,FALSE))&lt;&gt;"")*(IF(OFFSET(INDIRECT(CELL("address",INDEX('Leave Tracker'!$A$8:$A$92,MATCH($A11,'Leave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11" s="74">
        <f t="array" aca="1" ref="O11" ca="1">Sheet3!$W$2*$F11*(NETWORKDAYS(VLOOKUP(O$1,Sprints[],2,FALSE), VLOOKUP(O$1,Sprints[],3,FALSE))-SUMPRODUCT((OFFSET(INDIRECT(CELL("address",INDEX('Leave Tracker'!$A$8:$A$92,MATCH($A11,'Leave Tracker'!$A$8:$A$92,0)))),0,31*(VLOOKUP(O$1,Sprints[],5,FALSE))+DAY(VLOOKUP(O$1,Sprints[],2,FALSE)),1,VLOOKUP(O$1,Sprints[],4,FALSE))&lt;&gt;"")*(IF(OFFSET(INDIRECT(CELL("address",INDEX('Leave Tracker'!$A$8:$A$92,MATCH($A11,'Leave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12" spans="1:15" x14ac:dyDescent="0.45">
      <c r="A12" t="s">
        <v>77</v>
      </c>
      <c r="B12" s="45" t="s">
        <v>100</v>
      </c>
      <c r="C12" s="45" t="s">
        <v>104</v>
      </c>
      <c r="D12" s="45" t="s">
        <v>119</v>
      </c>
      <c r="E12" s="45" t="s">
        <v>113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Tracker'!$A$8:$A$92,MATCH($A12,'Leave Tracker'!$A$8:$A$92,0)))),0,31*(VLOOKUP(G$1,Sprints[],5,FALSE))+DAY(VLOOKUP(G$1,Sprints[],2,FALSE)),1,VLOOKUP(G$1,Sprints[],4,FALSE))&lt;&gt;"")*(IF(OFFSET(INDIRECT(CELL("address",INDEX('Leave Tracker'!$A$8:$A$92,MATCH($A12,'Leave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Tracker'!$A$8:$A$92,MATCH($A12,'Leave Tracker'!$A$8:$A$92,0)))),0,31*(VLOOKUP(H$1,Sprints[],5,FALSE))+DAY(VLOOKUP(H$1,Sprints[],2,FALSE)),1,VLOOKUP(H$1,Sprints[],4,FALSE))&lt;&gt;"")*(IF(OFFSET(INDIRECT(CELL("address",INDEX('Leave Tracker'!$A$8:$A$92,MATCH($A12,'Leave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12">
        <f t="array" aca="1" ref="I12" ca="1">Sheet3!$W$2*$F12*(NETWORKDAYS(VLOOKUP(I$1,Sprints[],2,FALSE), VLOOKUP(I$1,Sprints[],3,FALSE))-SUMPRODUCT((OFFSET(INDIRECT(CELL("address",INDEX('Leave Tracker'!$A$8:$A$92,MATCH($A12,'Leave Tracker'!$A$8:$A$92,0)))),0,31*(VLOOKUP(I$1,Sprints[],5,FALSE))+DAY(VLOOKUP(I$1,Sprints[],2,FALSE)),1,VLOOKUP(I$1,Sprints[],4,FALSE))&lt;&gt;"")*(IF(OFFSET(INDIRECT(CELL("address",INDEX('Leave Tracker'!$A$8:$A$92,MATCH($A12,'Leave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Tracker'!$A$8:$A$92,MATCH($A12,'Leave Tracker'!$A$8:$A$92,0)))),0,31*(VLOOKUP(J$1,Sprints[],5,FALSE))+DAY(VLOOKUP(J$1,Sprints[],2,FALSE)),1,VLOOKUP(J$1,Sprints[],4,FALSE))&lt;&gt;"")*(IF(OFFSET(INDIRECT(CELL("address",INDEX('Leave Tracker'!$A$8:$A$92,MATCH($A12,'Leave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12">
        <f t="array" aca="1" ref="K12" ca="1">Sheet3!$W$2*$F12*(NETWORKDAYS(VLOOKUP(K$1,Sprints[],2,FALSE), VLOOKUP(K$1,Sprints[],3,FALSE))-SUMPRODUCT((OFFSET(INDIRECT(CELL("address",INDEX('Leave Tracker'!$A$8:$A$92,MATCH($A12,'Leave Tracker'!$A$8:$A$92,0)))),0,31*(VLOOKUP(K$1,Sprints[],5,FALSE))+DAY(VLOOKUP(K$1,Sprints[],2,FALSE)),1,VLOOKUP(K$1,Sprints[],4,FALSE))&lt;&gt;"")*(IF(OFFSET(INDIRECT(CELL("address",INDEX('Leave Tracker'!$A$8:$A$92,MATCH($A12,'Leave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12">
        <f t="array" aca="1" ref="L12" ca="1">Sheet3!$W$2*$F12*(NETWORKDAYS(VLOOKUP(L$1,Sprints[],2,FALSE), VLOOKUP(L$1,Sprints[],3,FALSE))-SUMPRODUCT((OFFSET(INDIRECT(CELL("address",INDEX('Leave Tracker'!$A$8:$A$92,MATCH($A12,'Leave Tracker'!$A$8:$A$92,0)))),0,31*(VLOOKUP(L$1,Sprints[],5,FALSE))+DAY(VLOOKUP(L$1,Sprints[],2,FALSE)),1,VLOOKUP(L$1,Sprints[],4,FALSE))&lt;&gt;"")*(IF(OFFSET(INDIRECT(CELL("address",INDEX('Leave Tracker'!$A$8:$A$92,MATCH($A12,'Leave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12" s="45">
        <f t="array" aca="1" ref="M12" ca="1">Sheet3!$W$2*$F12*(NETWORKDAYS(VLOOKUP(M$1,Sprints[],2,FALSE), VLOOKUP(M$1,Sprints[],3,FALSE))-SUMPRODUCT((OFFSET(INDIRECT(CELL("address",INDEX('Leave Tracker'!$A$8:$A$92,MATCH($A12,'Leave Tracker'!$A$8:$A$92,0)))),0,31*(VLOOKUP(M$1,Sprints[],5,FALSE))+DAY(VLOOKUP(M$1,Sprints[],2,FALSE)),1,VLOOKUP(M$1,Sprints[],4,FALSE))&lt;&gt;"")*(IF(OFFSET(INDIRECT(CELL("address",INDEX('Leave Tracker'!$A$8:$A$92,MATCH($A12,'Leave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12">
        <f t="array" aca="1" ref="N12" ca="1">Sheet3!$W$2*$F12*(NETWORKDAYS(VLOOKUP(N$1,Sprints[],2,FALSE), VLOOKUP(N$1,Sprints[],3,FALSE))-SUMPRODUCT((OFFSET(INDIRECT(CELL("address",INDEX('Leave Tracker'!$A$8:$A$92,MATCH($A12,'Leave Tracker'!$A$8:$A$92,0)))),0,31*(VLOOKUP(N$1,Sprints[],5,FALSE))+DAY(VLOOKUP(N$1,Sprints[],2,FALSE)),1,VLOOKUP(N$1,Sprints[],4,FALSE))&lt;&gt;"")*(IF(OFFSET(INDIRECT(CELL("address",INDEX('Leave Tracker'!$A$8:$A$92,MATCH($A12,'Leave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12" s="74">
        <f t="array" aca="1" ref="O12" ca="1">Sheet3!$W$2*$F12*(NETWORKDAYS(VLOOKUP(O$1,Sprints[],2,FALSE), VLOOKUP(O$1,Sprints[],3,FALSE))-SUMPRODUCT((OFFSET(INDIRECT(CELL("address",INDEX('Leave Tracker'!$A$8:$A$92,MATCH($A12,'Leave Tracker'!$A$8:$A$92,0)))),0,31*(VLOOKUP(O$1,Sprints[],5,FALSE))+DAY(VLOOKUP(O$1,Sprints[],2,FALSE)),1,VLOOKUP(O$1,Sprints[],4,FALSE))&lt;&gt;"")*(IF(OFFSET(INDIRECT(CELL("address",INDEX('Leave Tracker'!$A$8:$A$92,MATCH($A12,'Leave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13" spans="1:15" x14ac:dyDescent="0.45">
      <c r="A13" t="s">
        <v>78</v>
      </c>
      <c r="B13" s="45" t="s">
        <v>106</v>
      </c>
      <c r="C13" s="45" t="s">
        <v>104</v>
      </c>
      <c r="D13" s="45" t="s">
        <v>120</v>
      </c>
      <c r="E13" s="45" t="s">
        <v>114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Tracker'!$A$8:$A$92,MATCH($A13,'Leave Tracker'!$A$8:$A$92,0)))),0,31*(VLOOKUP(G$1,Sprints[],5,FALSE))+DAY(VLOOKUP(G$1,Sprints[],2,FALSE)),1,VLOOKUP(G$1,Sprints[],4,FALSE))&lt;&gt;"")*(IF(OFFSET(INDIRECT(CELL("address",INDEX('Leave Tracker'!$A$8:$A$92,MATCH($A13,'Leave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Tracker'!$A$8:$A$92,MATCH($A13,'Leave Tracker'!$A$8:$A$92,0)))),0,31*(VLOOKUP(H$1,Sprints[],5,FALSE))+DAY(VLOOKUP(H$1,Sprints[],2,FALSE)),1,VLOOKUP(H$1,Sprints[],4,FALSE))&lt;&gt;"")*(IF(OFFSET(INDIRECT(CELL("address",INDEX('Leave Tracker'!$A$8:$A$92,MATCH($A13,'Leave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13">
        <f t="array" aca="1" ref="I13" ca="1">Sheet3!$W$2*$F13*(NETWORKDAYS(VLOOKUP(I$1,Sprints[],2,FALSE), VLOOKUP(I$1,Sprints[],3,FALSE))-SUMPRODUCT((OFFSET(INDIRECT(CELL("address",INDEX('Leave Tracker'!$A$8:$A$92,MATCH($A13,'Leave Tracker'!$A$8:$A$92,0)))),0,31*(VLOOKUP(I$1,Sprints[],5,FALSE))+DAY(VLOOKUP(I$1,Sprints[],2,FALSE)),1,VLOOKUP(I$1,Sprints[],4,FALSE))&lt;&gt;"")*(IF(OFFSET(INDIRECT(CELL("address",INDEX('Leave Tracker'!$A$8:$A$92,MATCH($A13,'Leave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Tracker'!$A$8:$A$92,MATCH($A13,'Leave Tracker'!$A$8:$A$92,0)))),0,31*(VLOOKUP(J$1,Sprints[],5,FALSE))+DAY(VLOOKUP(J$1,Sprints[],2,FALSE)),1,VLOOKUP(J$1,Sprints[],4,FALSE))&lt;&gt;"")*(IF(OFFSET(INDIRECT(CELL("address",INDEX('Leave Tracker'!$A$8:$A$92,MATCH($A13,'Leave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13">
        <f t="array" aca="1" ref="K13" ca="1">Sheet3!$W$2*$F13*(NETWORKDAYS(VLOOKUP(K$1,Sprints[],2,FALSE), VLOOKUP(K$1,Sprints[],3,FALSE))-SUMPRODUCT((OFFSET(INDIRECT(CELL("address",INDEX('Leave Tracker'!$A$8:$A$92,MATCH($A13,'Leave Tracker'!$A$8:$A$92,0)))),0,31*(VLOOKUP(K$1,Sprints[],5,FALSE))+DAY(VLOOKUP(K$1,Sprints[],2,FALSE)),1,VLOOKUP(K$1,Sprints[],4,FALSE))&lt;&gt;"")*(IF(OFFSET(INDIRECT(CELL("address",INDEX('Leave Tracker'!$A$8:$A$92,MATCH($A13,'Leave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13">
        <f t="array" aca="1" ref="L13" ca="1">Sheet3!$W$2*$F13*(NETWORKDAYS(VLOOKUP(L$1,Sprints[],2,FALSE), VLOOKUP(L$1,Sprints[],3,FALSE))-SUMPRODUCT((OFFSET(INDIRECT(CELL("address",INDEX('Leave Tracker'!$A$8:$A$92,MATCH($A13,'Leave Tracker'!$A$8:$A$92,0)))),0,31*(VLOOKUP(L$1,Sprints[],5,FALSE))+DAY(VLOOKUP(L$1,Sprints[],2,FALSE)),1,VLOOKUP(L$1,Sprints[],4,FALSE))&lt;&gt;"")*(IF(OFFSET(INDIRECT(CELL("address",INDEX('Leave Tracker'!$A$8:$A$92,MATCH($A13,'Leave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13" s="45">
        <f t="array" aca="1" ref="M13" ca="1">Sheet3!$W$2*$F13*(NETWORKDAYS(VLOOKUP(M$1,Sprints[],2,FALSE), VLOOKUP(M$1,Sprints[],3,FALSE))-SUMPRODUCT((OFFSET(INDIRECT(CELL("address",INDEX('Leave Tracker'!$A$8:$A$92,MATCH($A13,'Leave Tracker'!$A$8:$A$92,0)))),0,31*(VLOOKUP(M$1,Sprints[],5,FALSE))+DAY(VLOOKUP(M$1,Sprints[],2,FALSE)),1,VLOOKUP(M$1,Sprints[],4,FALSE))&lt;&gt;"")*(IF(OFFSET(INDIRECT(CELL("address",INDEX('Leave Tracker'!$A$8:$A$92,MATCH($A13,'Leave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13">
        <f t="array" aca="1" ref="N13" ca="1">Sheet3!$W$2*$F13*(NETWORKDAYS(VLOOKUP(N$1,Sprints[],2,FALSE), VLOOKUP(N$1,Sprints[],3,FALSE))-SUMPRODUCT((OFFSET(INDIRECT(CELL("address",INDEX('Leave Tracker'!$A$8:$A$92,MATCH($A13,'Leave Tracker'!$A$8:$A$92,0)))),0,31*(VLOOKUP(N$1,Sprints[],5,FALSE))+DAY(VLOOKUP(N$1,Sprints[],2,FALSE)),1,VLOOKUP(N$1,Sprints[],4,FALSE))&lt;&gt;"")*(IF(OFFSET(INDIRECT(CELL("address",INDEX('Leave Tracker'!$A$8:$A$92,MATCH($A13,'Leave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13" s="74">
        <f t="array" aca="1" ref="O13" ca="1">Sheet3!$W$2*$F13*(NETWORKDAYS(VLOOKUP(O$1,Sprints[],2,FALSE), VLOOKUP(O$1,Sprints[],3,FALSE))-SUMPRODUCT((OFFSET(INDIRECT(CELL("address",INDEX('Leave Tracker'!$A$8:$A$92,MATCH($A13,'Leave Tracker'!$A$8:$A$92,0)))),0,31*(VLOOKUP(O$1,Sprints[],5,FALSE))+DAY(VLOOKUP(O$1,Sprints[],2,FALSE)),1,VLOOKUP(O$1,Sprints[],4,FALSE))&lt;&gt;"")*(IF(OFFSET(INDIRECT(CELL("address",INDEX('Leave Tracker'!$A$8:$A$92,MATCH($A13,'Leave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14" spans="1:15" x14ac:dyDescent="0.45">
      <c r="A14" t="s">
        <v>94</v>
      </c>
      <c r="B14" s="45" t="s">
        <v>103</v>
      </c>
      <c r="C14" s="45" t="s">
        <v>105</v>
      </c>
      <c r="D14" s="45" t="s">
        <v>119</v>
      </c>
      <c r="E14" s="45" t="s">
        <v>112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Tracker'!$A$8:$A$92,MATCH($A14,'Leave Tracker'!$A$8:$A$92,0)))),0,31*(VLOOKUP(G$1,Sprints[],5,FALSE))+DAY(VLOOKUP(G$1,Sprints[],2,FALSE)),1,VLOOKUP(G$1,Sprints[],4,FALSE))&lt;&gt;"")*(IF(OFFSET(INDIRECT(CELL("address",INDEX('Leave Tracker'!$A$8:$A$92,MATCH($A14,'Leave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Tracker'!$A$8:$A$92,MATCH($A14,'Leave Tracker'!$A$8:$A$92,0)))),0,31*(VLOOKUP(H$1,Sprints[],5,FALSE))+DAY(VLOOKUP(H$1,Sprints[],2,FALSE)),1,VLOOKUP(H$1,Sprints[],4,FALSE))&lt;&gt;"")*(IF(OFFSET(INDIRECT(CELL("address",INDEX('Leave Tracker'!$A$8:$A$92,MATCH($A14,'Leave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Tracker'!$A$8:$A$92,MATCH($A14,'Leave Tracker'!$A$8:$A$92,0)))),0,31*(VLOOKUP(I$1,Sprints[],5,FALSE))+DAY(VLOOKUP(I$1,Sprints[],2,FALSE)),1,VLOOKUP(I$1,Sprints[],4,FALSE))&lt;&gt;"")*(IF(OFFSET(INDIRECT(CELL("address",INDEX('Leave Tracker'!$A$8:$A$92,MATCH($A14,'Leave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Tracker'!$A$8:$A$92,MATCH($A14,'Leave Tracker'!$A$8:$A$92,0)))),0,31*(VLOOKUP(J$1,Sprints[],5,FALSE))+DAY(VLOOKUP(J$1,Sprints[],2,FALSE)),1,VLOOKUP(J$1,Sprints[],4,FALSE))&lt;&gt;"")*(IF(OFFSET(INDIRECT(CELL("address",INDEX('Leave Tracker'!$A$8:$A$92,MATCH($A14,'Leave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14">
        <f t="array" aca="1" ref="K14" ca="1">Sheet3!$W$2*$F14*(NETWORKDAYS(VLOOKUP(K$1,Sprints[],2,FALSE), VLOOKUP(K$1,Sprints[],3,FALSE))-SUMPRODUCT((OFFSET(INDIRECT(CELL("address",INDEX('Leave Tracker'!$A$8:$A$92,MATCH($A14,'Leave Tracker'!$A$8:$A$92,0)))),0,31*(VLOOKUP(K$1,Sprints[],5,FALSE))+DAY(VLOOKUP(K$1,Sprints[],2,FALSE)),1,VLOOKUP(K$1,Sprints[],4,FALSE))&lt;&gt;"")*(IF(OFFSET(INDIRECT(CELL("address",INDEX('Leave Tracker'!$A$8:$A$92,MATCH($A14,'Leave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14">
        <f t="array" aca="1" ref="L14" ca="1">Sheet3!$W$2*$F14*(NETWORKDAYS(VLOOKUP(L$1,Sprints[],2,FALSE), VLOOKUP(L$1,Sprints[],3,FALSE))-SUMPRODUCT((OFFSET(INDIRECT(CELL("address",INDEX('Leave Tracker'!$A$8:$A$92,MATCH($A14,'Leave Tracker'!$A$8:$A$92,0)))),0,31*(VLOOKUP(L$1,Sprints[],5,FALSE))+DAY(VLOOKUP(L$1,Sprints[],2,FALSE)),1,VLOOKUP(L$1,Sprints[],4,FALSE))&lt;&gt;"")*(IF(OFFSET(INDIRECT(CELL("address",INDEX('Leave Tracker'!$A$8:$A$92,MATCH($A14,'Leave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Tracker'!$A$8:$A$92,MATCH($A14,'Leave Tracker'!$A$8:$A$92,0)))),0,31*(VLOOKUP(M$1,Sprints[],5,FALSE))+DAY(VLOOKUP(M$1,Sprints[],2,FALSE)),1,VLOOKUP(M$1,Sprints[],4,FALSE))&lt;&gt;"")*(IF(OFFSET(INDIRECT(CELL("address",INDEX('Leave Tracker'!$A$8:$A$92,MATCH($A14,'Leave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Tracker'!$A$8:$A$92,MATCH($A14,'Leave Tracker'!$A$8:$A$92,0)))),0,31*(VLOOKUP(N$1,Sprints[],5,FALSE))+DAY(VLOOKUP(N$1,Sprints[],2,FALSE)),1,VLOOKUP(N$1,Sprints[],4,FALSE))&lt;&gt;"")*(IF(OFFSET(INDIRECT(CELL("address",INDEX('Leave Tracker'!$A$8:$A$92,MATCH($A14,'Leave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14" s="74">
        <f t="array" aca="1" ref="O14" ca="1">Sheet3!$W$2*$F14*(NETWORKDAYS(VLOOKUP(O$1,Sprints[],2,FALSE), VLOOKUP(O$1,Sprints[],3,FALSE))-SUMPRODUCT((OFFSET(INDIRECT(CELL("address",INDEX('Leave Tracker'!$A$8:$A$92,MATCH($A14,'Leave Tracker'!$A$8:$A$92,0)))),0,31*(VLOOKUP(O$1,Sprints[],5,FALSE))+DAY(VLOOKUP(O$1,Sprints[],2,FALSE)),1,VLOOKUP(O$1,Sprints[],4,FALSE))&lt;&gt;"")*(IF(OFFSET(INDIRECT(CELL("address",INDEX('Leave Tracker'!$A$8:$A$92,MATCH($A14,'Leave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15" spans="1:15" x14ac:dyDescent="0.45">
      <c r="A15" t="s">
        <v>91</v>
      </c>
      <c r="B15" s="45" t="s">
        <v>103</v>
      </c>
      <c r="C15" s="45" t="s">
        <v>105</v>
      </c>
      <c r="D15" s="45" t="s">
        <v>120</v>
      </c>
      <c r="E15" s="45" t="s">
        <v>115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Tracker'!$A$8:$A$92,MATCH($A15,'Leave Tracker'!$A$8:$A$92,0)))),0,31*(VLOOKUP(G$1,Sprints[],5,FALSE))+DAY(VLOOKUP(G$1,Sprints[],2,FALSE)),1,VLOOKUP(G$1,Sprints[],4,FALSE))&lt;&gt;"")*(IF(OFFSET(INDIRECT(CELL("address",INDEX('Leave Tracker'!$A$8:$A$92,MATCH($A15,'Leave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Tracker'!$A$8:$A$92,MATCH($A15,'Leave Tracker'!$A$8:$A$92,0)))),0,31*(VLOOKUP(H$1,Sprints[],5,FALSE))+DAY(VLOOKUP(H$1,Sprints[],2,FALSE)),1,VLOOKUP(H$1,Sprints[],4,FALSE))&lt;&gt;"")*(IF(OFFSET(INDIRECT(CELL("address",INDEX('Leave Tracker'!$A$8:$A$92,MATCH($A15,'Leave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Tracker'!$A$8:$A$92,MATCH($A15,'Leave Tracker'!$A$8:$A$92,0)))),0,31*(VLOOKUP(I$1,Sprints[],5,FALSE))+DAY(VLOOKUP(I$1,Sprints[],2,FALSE)),1,VLOOKUP(I$1,Sprints[],4,FALSE))&lt;&gt;"")*(IF(OFFSET(INDIRECT(CELL("address",INDEX('Leave Tracker'!$A$8:$A$92,MATCH($A15,'Leave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15">
        <f t="array" aca="1" ref="J15" ca="1">Sheet3!$W$2*$F15*(NETWORKDAYS(VLOOKUP(J$1,Sprints[],2,FALSE), VLOOKUP(J$1,Sprints[],3,FALSE))-SUMPRODUCT((OFFSET(INDIRECT(CELL("address",INDEX('Leave Tracker'!$A$8:$A$92,MATCH($A15,'Leave Tracker'!$A$8:$A$92,0)))),0,31*(VLOOKUP(J$1,Sprints[],5,FALSE))+DAY(VLOOKUP(J$1,Sprints[],2,FALSE)),1,VLOOKUP(J$1,Sprints[],4,FALSE))&lt;&gt;"")*(IF(OFFSET(INDIRECT(CELL("address",INDEX('Leave Tracker'!$A$8:$A$92,MATCH($A15,'Leave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15">
        <f t="array" aca="1" ref="K15" ca="1">Sheet3!$W$2*$F15*(NETWORKDAYS(VLOOKUP(K$1,Sprints[],2,FALSE), VLOOKUP(K$1,Sprints[],3,FALSE))-SUMPRODUCT((OFFSET(INDIRECT(CELL("address",INDEX('Leave Tracker'!$A$8:$A$92,MATCH($A15,'Leave Tracker'!$A$8:$A$92,0)))),0,31*(VLOOKUP(K$1,Sprints[],5,FALSE))+DAY(VLOOKUP(K$1,Sprints[],2,FALSE)),1,VLOOKUP(K$1,Sprints[],4,FALSE))&lt;&gt;"")*(IF(OFFSET(INDIRECT(CELL("address",INDEX('Leave Tracker'!$A$8:$A$92,MATCH($A15,'Leave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15">
        <f t="array" aca="1" ref="L15" ca="1">Sheet3!$W$2*$F15*(NETWORKDAYS(VLOOKUP(L$1,Sprints[],2,FALSE), VLOOKUP(L$1,Sprints[],3,FALSE))-SUMPRODUCT((OFFSET(INDIRECT(CELL("address",INDEX('Leave Tracker'!$A$8:$A$92,MATCH($A15,'Leave Tracker'!$A$8:$A$92,0)))),0,31*(VLOOKUP(L$1,Sprints[],5,FALSE))+DAY(VLOOKUP(L$1,Sprints[],2,FALSE)),1,VLOOKUP(L$1,Sprints[],4,FALSE))&lt;&gt;"")*(IF(OFFSET(INDIRECT(CELL("address",INDEX('Leave Tracker'!$A$8:$A$92,MATCH($A15,'Leave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15" s="45">
        <f t="array" aca="1" ref="M15" ca="1">Sheet3!$W$2*$F15*(NETWORKDAYS(VLOOKUP(M$1,Sprints[],2,FALSE), VLOOKUP(M$1,Sprints[],3,FALSE))-SUMPRODUCT((OFFSET(INDIRECT(CELL("address",INDEX('Leave Tracker'!$A$8:$A$92,MATCH($A15,'Leave Tracker'!$A$8:$A$92,0)))),0,31*(VLOOKUP(M$1,Sprints[],5,FALSE))+DAY(VLOOKUP(M$1,Sprints[],2,FALSE)),1,VLOOKUP(M$1,Sprints[],4,FALSE))&lt;&gt;"")*(IF(OFFSET(INDIRECT(CELL("address",INDEX('Leave Tracker'!$A$8:$A$92,MATCH($A15,'Leave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Tracker'!$A$8:$A$92,MATCH($A15,'Leave Tracker'!$A$8:$A$92,0)))),0,31*(VLOOKUP(N$1,Sprints[],5,FALSE))+DAY(VLOOKUP(N$1,Sprints[],2,FALSE)),1,VLOOKUP(N$1,Sprints[],4,FALSE))&lt;&gt;"")*(IF(OFFSET(INDIRECT(CELL("address",INDEX('Leave Tracker'!$A$8:$A$92,MATCH($A15,'Leave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15" s="74">
        <f t="array" aca="1" ref="O15" ca="1">Sheet3!$W$2*$F15*(NETWORKDAYS(VLOOKUP(O$1,Sprints[],2,FALSE), VLOOKUP(O$1,Sprints[],3,FALSE))-SUMPRODUCT((OFFSET(INDIRECT(CELL("address",INDEX('Leave Tracker'!$A$8:$A$92,MATCH($A15,'Leave Tracker'!$A$8:$A$92,0)))),0,31*(VLOOKUP(O$1,Sprints[],5,FALSE))+DAY(VLOOKUP(O$1,Sprints[],2,FALSE)),1,VLOOKUP(O$1,Sprints[],4,FALSE))&lt;&gt;"")*(IF(OFFSET(INDIRECT(CELL("address",INDEX('Leave Tracker'!$A$8:$A$92,MATCH($A15,'Leave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16" spans="1:15" x14ac:dyDescent="0.45">
      <c r="A16" t="s">
        <v>80</v>
      </c>
      <c r="B16" s="45" t="s">
        <v>106</v>
      </c>
      <c r="C16" s="45" t="s">
        <v>104</v>
      </c>
      <c r="D16" s="45" t="s">
        <v>120</v>
      </c>
      <c r="E16" s="45" t="s">
        <v>115</v>
      </c>
      <c r="F16" s="47">
        <v>0.75</v>
      </c>
      <c r="G16" s="45">
        <f t="array" aca="1" ref="G16" ca="1">Sheet3!$W$2*$F16*(NETWORKDAYS(VLOOKUP(G$1,Sprints[],2,FALSE), VLOOKUP(G$1,Sprints[],3,FALSE))-SUMPRODUCT((OFFSET(INDIRECT(CELL("address",INDEX('Leave Tracker'!$A$8:$A$92,MATCH($A16,'Leave Tracker'!$A$8:$A$92,0)))),0,31*(VLOOKUP(G$1,Sprints[],5,FALSE))+DAY(VLOOKUP(G$1,Sprints[],2,FALSE)),1,VLOOKUP(G$1,Sprints[],4,FALSE))&lt;&gt;"")*(IF(OFFSET(INDIRECT(CELL("address",INDEX('Leave Tracker'!$A$8:$A$92,MATCH($A16,'Leave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16">
        <f t="array" aca="1" ref="H16" ca="1">Sheet3!$W$2*$F16*(NETWORKDAYS(VLOOKUP(H$1,Sprints[],2,FALSE), VLOOKUP(H$1,Sprints[],3,FALSE))-SUMPRODUCT((OFFSET(INDIRECT(CELL("address",INDEX('Leave Tracker'!$A$8:$A$92,MATCH($A16,'Leave Tracker'!$A$8:$A$92,0)))),0,31*(VLOOKUP(H$1,Sprints[],5,FALSE))+DAY(VLOOKUP(H$1,Sprints[],2,FALSE)),1,VLOOKUP(H$1,Sprints[],4,FALSE))&lt;&gt;"")*(IF(OFFSET(INDIRECT(CELL("address",INDEX('Leave Tracker'!$A$8:$A$92,MATCH($A16,'Leave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16">
        <f t="array" aca="1" ref="I16" ca="1">Sheet3!$W$2*$F16*(NETWORKDAYS(VLOOKUP(I$1,Sprints[],2,FALSE), VLOOKUP(I$1,Sprints[],3,FALSE))-SUMPRODUCT((OFFSET(INDIRECT(CELL("address",INDEX('Leave Tracker'!$A$8:$A$92,MATCH($A16,'Leave Tracker'!$A$8:$A$92,0)))),0,31*(VLOOKUP(I$1,Sprints[],5,FALSE))+DAY(VLOOKUP(I$1,Sprints[],2,FALSE)),1,VLOOKUP(I$1,Sprints[],4,FALSE))&lt;&gt;"")*(IF(OFFSET(INDIRECT(CELL("address",INDEX('Leave Tracker'!$A$8:$A$92,MATCH($A16,'Leave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16">
        <f t="array" aca="1" ref="J16" ca="1">Sheet3!$W$2*$F16*(NETWORKDAYS(VLOOKUP(J$1,Sprints[],2,FALSE), VLOOKUP(J$1,Sprints[],3,FALSE))-SUMPRODUCT((OFFSET(INDIRECT(CELL("address",INDEX('Leave Tracker'!$A$8:$A$92,MATCH($A16,'Leave Tracker'!$A$8:$A$92,0)))),0,31*(VLOOKUP(J$1,Sprints[],5,FALSE))+DAY(VLOOKUP(J$1,Sprints[],2,FALSE)),1,VLOOKUP(J$1,Sprints[],4,FALSE))&lt;&gt;"")*(IF(OFFSET(INDIRECT(CELL("address",INDEX('Leave Tracker'!$A$8:$A$92,MATCH($A16,'Leave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16">
        <f t="array" aca="1" ref="K16" ca="1">Sheet3!$W$2*$F16*(NETWORKDAYS(VLOOKUP(K$1,Sprints[],2,FALSE), VLOOKUP(K$1,Sprints[],3,FALSE))-SUMPRODUCT((OFFSET(INDIRECT(CELL("address",INDEX('Leave Tracker'!$A$8:$A$92,MATCH($A16,'Leave Tracker'!$A$8:$A$92,0)))),0,31*(VLOOKUP(K$1,Sprints[],5,FALSE))+DAY(VLOOKUP(K$1,Sprints[],2,FALSE)),1,VLOOKUP(K$1,Sprints[],4,FALSE))&lt;&gt;"")*(IF(OFFSET(INDIRECT(CELL("address",INDEX('Leave Tracker'!$A$8:$A$92,MATCH($A16,'Leave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16">
        <f t="array" aca="1" ref="L16" ca="1">Sheet3!$W$2*$F16*(NETWORKDAYS(VLOOKUP(L$1,Sprints[],2,FALSE), VLOOKUP(L$1,Sprints[],3,FALSE))-SUMPRODUCT((OFFSET(INDIRECT(CELL("address",INDEX('Leave Tracker'!$A$8:$A$92,MATCH($A16,'Leave Tracker'!$A$8:$A$92,0)))),0,31*(VLOOKUP(L$1,Sprints[],5,FALSE))+DAY(VLOOKUP(L$1,Sprints[],2,FALSE)),1,VLOOKUP(L$1,Sprints[],4,FALSE))&lt;&gt;"")*(IF(OFFSET(INDIRECT(CELL("address",INDEX('Leave Tracker'!$A$8:$A$92,MATCH($A16,'Leave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16" s="45">
        <f t="array" aca="1" ref="M16" ca="1">Sheet3!$W$2*$F16*(NETWORKDAYS(VLOOKUP(M$1,Sprints[],2,FALSE), VLOOKUP(M$1,Sprints[],3,FALSE))-SUMPRODUCT((OFFSET(INDIRECT(CELL("address",INDEX('Leave Tracker'!$A$8:$A$92,MATCH($A16,'Leave Tracker'!$A$8:$A$92,0)))),0,31*(VLOOKUP(M$1,Sprints[],5,FALSE))+DAY(VLOOKUP(M$1,Sprints[],2,FALSE)),1,VLOOKUP(M$1,Sprints[],4,FALSE))&lt;&gt;"")*(IF(OFFSET(INDIRECT(CELL("address",INDEX('Leave Tracker'!$A$8:$A$92,MATCH($A16,'Leave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16">
        <f t="array" aca="1" ref="N16" ca="1">Sheet3!$W$2*$F16*(NETWORKDAYS(VLOOKUP(N$1,Sprints[],2,FALSE), VLOOKUP(N$1,Sprints[],3,FALSE))-SUMPRODUCT((OFFSET(INDIRECT(CELL("address",INDEX('Leave Tracker'!$A$8:$A$92,MATCH($A16,'Leave Tracker'!$A$8:$A$92,0)))),0,31*(VLOOKUP(N$1,Sprints[],5,FALSE))+DAY(VLOOKUP(N$1,Sprints[],2,FALSE)),1,VLOOKUP(N$1,Sprints[],4,FALSE))&lt;&gt;"")*(IF(OFFSET(INDIRECT(CELL("address",INDEX('Leave Tracker'!$A$8:$A$92,MATCH($A16,'Leave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16" s="74">
        <f t="array" aca="1" ref="O16" ca="1">Sheet3!$W$2*$F16*(NETWORKDAYS(VLOOKUP(O$1,Sprints[],2,FALSE), VLOOKUP(O$1,Sprints[],3,FALSE))-SUMPRODUCT((OFFSET(INDIRECT(CELL("address",INDEX('Leave Tracker'!$A$8:$A$92,MATCH($A16,'Leave Tracker'!$A$8:$A$92,0)))),0,31*(VLOOKUP(O$1,Sprints[],5,FALSE))+DAY(VLOOKUP(O$1,Sprints[],2,FALSE)),1,VLOOKUP(O$1,Sprints[],4,FALSE))&lt;&gt;"")*(IF(OFFSET(INDIRECT(CELL("address",INDEX('Leave Tracker'!$A$8:$A$92,MATCH($A16,'Leave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17" spans="1:15" x14ac:dyDescent="0.45">
      <c r="A17" t="s">
        <v>41</v>
      </c>
      <c r="B17" s="45" t="s">
        <v>99</v>
      </c>
      <c r="C17" s="45" t="s">
        <v>104</v>
      </c>
      <c r="D17" s="45" t="s">
        <v>132</v>
      </c>
      <c r="E17" s="45" t="s">
        <v>113</v>
      </c>
      <c r="F17" s="47">
        <v>0.2</v>
      </c>
      <c r="G17" s="45">
        <f t="array" aca="1" ref="G17" ca="1">Sheet3!$W$2*$F17*(NETWORKDAYS(VLOOKUP(G$1,Sprints[],2,FALSE), VLOOKUP(G$1,Sprints[],3,FALSE))-SUMPRODUCT((OFFSET(INDIRECT(CELL("address",INDEX('Leave Tracker'!$A$8:$A$92,MATCH($A17,'Leave Tracker'!$A$8:$A$92,0)))),0,31*(VLOOKUP(G$1,Sprints[],5,FALSE))+DAY(VLOOKUP(G$1,Sprints[],2,FALSE)),1,VLOOKUP(G$1,Sprints[],4,FALSE))&lt;&gt;"")*(IF(OFFSET(INDIRECT(CELL("address",INDEX('Leave Tracker'!$A$8:$A$92,MATCH($A17,'Leave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0.80000000000000016</v>
      </c>
      <c r="H17">
        <f t="array" aca="1" ref="H17" ca="1">Sheet3!$W$2*$F17*(NETWORKDAYS(VLOOKUP(H$1,Sprints[],2,FALSE), VLOOKUP(H$1,Sprints[],3,FALSE))-SUMPRODUCT((OFFSET(INDIRECT(CELL("address",INDEX('Leave Tracker'!$A$8:$A$92,MATCH($A17,'Leave Tracker'!$A$8:$A$92,0)))),0,31*(VLOOKUP(H$1,Sprints[],5,FALSE))+DAY(VLOOKUP(H$1,Sprints[],2,FALSE)),1,VLOOKUP(H$1,Sprints[],4,FALSE))&lt;&gt;"")*(IF(OFFSET(INDIRECT(CELL("address",INDEX('Leave Tracker'!$A$8:$A$92,MATCH($A17,'Leave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1.6000000000000003</v>
      </c>
      <c r="I17">
        <f t="array" aca="1" ref="I17" ca="1">Sheet3!$W$2*$F17*(NETWORKDAYS(VLOOKUP(I$1,Sprints[],2,FALSE), VLOOKUP(I$1,Sprints[],3,FALSE))-SUMPRODUCT((OFFSET(INDIRECT(CELL("address",INDEX('Leave Tracker'!$A$8:$A$92,MATCH($A17,'Leave Tracker'!$A$8:$A$92,0)))),0,31*(VLOOKUP(I$1,Sprints[],5,FALSE))+DAY(VLOOKUP(I$1,Sprints[],2,FALSE)),1,VLOOKUP(I$1,Sprints[],4,FALSE))&lt;&gt;"")*(IF(OFFSET(INDIRECT(CELL("address",INDEX('Leave Tracker'!$A$8:$A$92,MATCH($A17,'Leave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1.6000000000000003</v>
      </c>
      <c r="J17">
        <f t="array" aca="1" ref="J17" ca="1">Sheet3!$W$2*$F17*(NETWORKDAYS(VLOOKUP(J$1,Sprints[],2,FALSE), VLOOKUP(J$1,Sprints[],3,FALSE))-SUMPRODUCT((OFFSET(INDIRECT(CELL("address",INDEX('Leave Tracker'!$A$8:$A$92,MATCH($A17,'Leave Tracker'!$A$8:$A$92,0)))),0,31*(VLOOKUP(J$1,Sprints[],5,FALSE))+DAY(VLOOKUP(J$1,Sprints[],2,FALSE)),1,VLOOKUP(J$1,Sprints[],4,FALSE))&lt;&gt;"")*(IF(OFFSET(INDIRECT(CELL("address",INDEX('Leave Tracker'!$A$8:$A$92,MATCH($A17,'Leave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1.6000000000000003</v>
      </c>
      <c r="K17">
        <f t="array" aca="1" ref="K17" ca="1">Sheet3!$W$2*$F17*(NETWORKDAYS(VLOOKUP(K$1,Sprints[],2,FALSE), VLOOKUP(K$1,Sprints[],3,FALSE))-SUMPRODUCT((OFFSET(INDIRECT(CELL("address",INDEX('Leave Tracker'!$A$8:$A$92,MATCH($A17,'Leave Tracker'!$A$8:$A$92,0)))),0,31*(VLOOKUP(K$1,Sprints[],5,FALSE))+DAY(VLOOKUP(K$1,Sprints[],2,FALSE)),1,VLOOKUP(K$1,Sprints[],4,FALSE))&lt;&gt;"")*(IF(OFFSET(INDIRECT(CELL("address",INDEX('Leave Tracker'!$A$8:$A$92,MATCH($A17,'Leave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1.6000000000000003</v>
      </c>
      <c r="L17">
        <f t="array" aca="1" ref="L17" ca="1">Sheet3!$W$2*$F17*(NETWORKDAYS(VLOOKUP(L$1,Sprints[],2,FALSE), VLOOKUP(L$1,Sprints[],3,FALSE))-SUMPRODUCT((OFFSET(INDIRECT(CELL("address",INDEX('Leave Tracker'!$A$8:$A$92,MATCH($A17,'Leave Tracker'!$A$8:$A$92,0)))),0,31*(VLOOKUP(L$1,Sprints[],5,FALSE))+DAY(VLOOKUP(L$1,Sprints[],2,FALSE)),1,VLOOKUP(L$1,Sprints[],4,FALSE))&lt;&gt;"")*(IF(OFFSET(INDIRECT(CELL("address",INDEX('Leave Tracker'!$A$8:$A$92,MATCH($A17,'Leave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1.1200000000000001</v>
      </c>
      <c r="M17" s="45">
        <f t="array" aca="1" ref="M17" ca="1">Sheet3!$W$2*$F17*(NETWORKDAYS(VLOOKUP(M$1,Sprints[],2,FALSE), VLOOKUP(M$1,Sprints[],3,FALSE))-SUMPRODUCT((OFFSET(INDIRECT(CELL("address",INDEX('Leave Tracker'!$A$8:$A$92,MATCH($A17,'Leave Tracker'!$A$8:$A$92,0)))),0,31*(VLOOKUP(M$1,Sprints[],5,FALSE))+DAY(VLOOKUP(M$1,Sprints[],2,FALSE)),1,VLOOKUP(M$1,Sprints[],4,FALSE))&lt;&gt;"")*(IF(OFFSET(INDIRECT(CELL("address",INDEX('Leave Tracker'!$A$8:$A$92,MATCH($A17,'Leave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1.6000000000000003</v>
      </c>
      <c r="N17">
        <f t="array" aca="1" ref="N17" ca="1">Sheet3!$W$2*$F17*(NETWORKDAYS(VLOOKUP(N$1,Sprints[],2,FALSE), VLOOKUP(N$1,Sprints[],3,FALSE))-SUMPRODUCT((OFFSET(INDIRECT(CELL("address",INDEX('Leave Tracker'!$A$8:$A$92,MATCH($A17,'Leave Tracker'!$A$8:$A$92,0)))),0,31*(VLOOKUP(N$1,Sprints[],5,FALSE))+DAY(VLOOKUP(N$1,Sprints[],2,FALSE)),1,VLOOKUP(N$1,Sprints[],4,FALSE))&lt;&gt;"")*(IF(OFFSET(INDIRECT(CELL("address",INDEX('Leave Tracker'!$A$8:$A$92,MATCH($A17,'Leave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0.80000000000000016</v>
      </c>
      <c r="O17" s="74">
        <f t="array" aca="1" ref="O17" ca="1">Sheet3!$W$2*$F17*(NETWORKDAYS(VLOOKUP(O$1,Sprints[],2,FALSE), VLOOKUP(O$1,Sprints[],3,FALSE))-SUMPRODUCT((OFFSET(INDIRECT(CELL("address",INDEX('Leave Tracker'!$A$8:$A$92,MATCH($A17,'Leave Tracker'!$A$8:$A$92,0)))),0,31*(VLOOKUP(O$1,Sprints[],5,FALSE))+DAY(VLOOKUP(O$1,Sprints[],2,FALSE)),1,VLOOKUP(O$1,Sprints[],4,FALSE))&lt;&gt;"")*(IF(OFFSET(INDIRECT(CELL("address",INDEX('Leave Tracker'!$A$8:$A$92,MATCH($A17,'Leave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10.720000000000002</v>
      </c>
    </row>
    <row r="18" spans="1:15" x14ac:dyDescent="0.45">
      <c r="A18" t="s">
        <v>75</v>
      </c>
      <c r="B18" s="45" t="s">
        <v>100</v>
      </c>
      <c r="C18" s="45" t="s">
        <v>104</v>
      </c>
      <c r="D18" s="45" t="s">
        <v>108</v>
      </c>
      <c r="E18" s="45" t="s">
        <v>113</v>
      </c>
      <c r="F18" s="47">
        <v>0.5</v>
      </c>
      <c r="G18" s="45">
        <f t="array" aca="1" ref="G18" ca="1">Sheet3!$W$2*$F18*(NETWORKDAYS(VLOOKUP(G$1,Sprints[],2,FALSE), VLOOKUP(G$1,Sprints[],3,FALSE))-SUMPRODUCT((OFFSET(INDIRECT(CELL("address",INDEX('Leave Tracker'!$A$8:$A$92,MATCH($A18,'Leave Tracker'!$A$8:$A$92,0)))),0,31*(VLOOKUP(G$1,Sprints[],5,FALSE))+DAY(VLOOKUP(G$1,Sprints[],2,FALSE)),1,VLOOKUP(G$1,Sprints[],4,FALSE))&lt;&gt;"")*(IF(OFFSET(INDIRECT(CELL("address",INDEX('Leave Tracker'!$A$8:$A$92,MATCH($A18,'Leave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2</v>
      </c>
      <c r="H18">
        <f t="array" aca="1" ref="H18" ca="1">Sheet3!$W$2*$F18*(NETWORKDAYS(VLOOKUP(H$1,Sprints[],2,FALSE), VLOOKUP(H$1,Sprints[],3,FALSE))-SUMPRODUCT((OFFSET(INDIRECT(CELL("address",INDEX('Leave Tracker'!$A$8:$A$92,MATCH($A18,'Leave Tracker'!$A$8:$A$92,0)))),0,31*(VLOOKUP(H$1,Sprints[],5,FALSE))+DAY(VLOOKUP(H$1,Sprints[],2,FALSE)),1,VLOOKUP(H$1,Sprints[],4,FALSE))&lt;&gt;"")*(IF(OFFSET(INDIRECT(CELL("address",INDEX('Leave Tracker'!$A$8:$A$92,MATCH($A18,'Leave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4</v>
      </c>
      <c r="I18">
        <f t="array" aca="1" ref="I18" ca="1">Sheet3!$W$2*$F18*(NETWORKDAYS(VLOOKUP(I$1,Sprints[],2,FALSE), VLOOKUP(I$1,Sprints[],3,FALSE))-SUMPRODUCT((OFFSET(INDIRECT(CELL("address",INDEX('Leave Tracker'!$A$8:$A$92,MATCH($A18,'Leave Tracker'!$A$8:$A$92,0)))),0,31*(VLOOKUP(I$1,Sprints[],5,FALSE))+DAY(VLOOKUP(I$1,Sprints[],2,FALSE)),1,VLOOKUP(I$1,Sprints[],4,FALSE))&lt;&gt;"")*(IF(OFFSET(INDIRECT(CELL("address",INDEX('Leave Tracker'!$A$8:$A$92,MATCH($A18,'Leave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4</v>
      </c>
      <c r="J18">
        <f t="array" aca="1" ref="J18" ca="1">Sheet3!$W$2*$F18*(NETWORKDAYS(VLOOKUP(J$1,Sprints[],2,FALSE), VLOOKUP(J$1,Sprints[],3,FALSE))-SUMPRODUCT((OFFSET(INDIRECT(CELL("address",INDEX('Leave Tracker'!$A$8:$A$92,MATCH($A18,'Leave Tracker'!$A$8:$A$92,0)))),0,31*(VLOOKUP(J$1,Sprints[],5,FALSE))+DAY(VLOOKUP(J$1,Sprints[],2,FALSE)),1,VLOOKUP(J$1,Sprints[],4,FALSE))&lt;&gt;"")*(IF(OFFSET(INDIRECT(CELL("address",INDEX('Leave Tracker'!$A$8:$A$92,MATCH($A18,'Leave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4</v>
      </c>
      <c r="K18">
        <f t="array" aca="1" ref="K18" ca="1">Sheet3!$W$2*$F18*(NETWORKDAYS(VLOOKUP(K$1,Sprints[],2,FALSE), VLOOKUP(K$1,Sprints[],3,FALSE))-SUMPRODUCT((OFFSET(INDIRECT(CELL("address",INDEX('Leave Tracker'!$A$8:$A$92,MATCH($A18,'Leave Tracker'!$A$8:$A$92,0)))),0,31*(VLOOKUP(K$1,Sprints[],5,FALSE))+DAY(VLOOKUP(K$1,Sprints[],2,FALSE)),1,VLOOKUP(K$1,Sprints[],4,FALSE))&lt;&gt;"")*(IF(OFFSET(INDIRECT(CELL("address",INDEX('Leave Tracker'!$A$8:$A$92,MATCH($A18,'Leave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4</v>
      </c>
      <c r="L18">
        <f t="array" aca="1" ref="L18" ca="1">Sheet3!$W$2*$F18*(NETWORKDAYS(VLOOKUP(L$1,Sprints[],2,FALSE), VLOOKUP(L$1,Sprints[],3,FALSE))-SUMPRODUCT((OFFSET(INDIRECT(CELL("address",INDEX('Leave Tracker'!$A$8:$A$92,MATCH($A18,'Leave Tracker'!$A$8:$A$92,0)))),0,31*(VLOOKUP(L$1,Sprints[],5,FALSE))+DAY(VLOOKUP(L$1,Sprints[],2,FALSE)),1,VLOOKUP(L$1,Sprints[],4,FALSE))&lt;&gt;"")*(IF(OFFSET(INDIRECT(CELL("address",INDEX('Leave Tracker'!$A$8:$A$92,MATCH($A18,'Leave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2.8000000000000003</v>
      </c>
      <c r="M18" s="45">
        <f t="array" aca="1" ref="M18" ca="1">Sheet3!$W$2*$F18*(NETWORKDAYS(VLOOKUP(M$1,Sprints[],2,FALSE), VLOOKUP(M$1,Sprints[],3,FALSE))-SUMPRODUCT((OFFSET(INDIRECT(CELL("address",INDEX('Leave Tracker'!$A$8:$A$92,MATCH($A18,'Leave Tracker'!$A$8:$A$92,0)))),0,31*(VLOOKUP(M$1,Sprints[],5,FALSE))+DAY(VLOOKUP(M$1,Sprints[],2,FALSE)),1,VLOOKUP(M$1,Sprints[],4,FALSE))&lt;&gt;"")*(IF(OFFSET(INDIRECT(CELL("address",INDEX('Leave Tracker'!$A$8:$A$92,MATCH($A18,'Leave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4</v>
      </c>
      <c r="N18">
        <f t="array" aca="1" ref="N18" ca="1">Sheet3!$W$2*$F18*(NETWORKDAYS(VLOOKUP(N$1,Sprints[],2,FALSE), VLOOKUP(N$1,Sprints[],3,FALSE))-SUMPRODUCT((OFFSET(INDIRECT(CELL("address",INDEX('Leave Tracker'!$A$8:$A$92,MATCH($A18,'Leave Tracker'!$A$8:$A$92,0)))),0,31*(VLOOKUP(N$1,Sprints[],5,FALSE))+DAY(VLOOKUP(N$1,Sprints[],2,FALSE)),1,VLOOKUP(N$1,Sprints[],4,FALSE))&lt;&gt;"")*(IF(OFFSET(INDIRECT(CELL("address",INDEX('Leave Tracker'!$A$8:$A$92,MATCH($A18,'Leave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2</v>
      </c>
      <c r="O18" s="74">
        <f t="array" aca="1" ref="O18" ca="1">Sheet3!$W$2*$F18*(NETWORKDAYS(VLOOKUP(O$1,Sprints[],2,FALSE), VLOOKUP(O$1,Sprints[],3,FALSE))-SUMPRODUCT((OFFSET(INDIRECT(CELL("address",INDEX('Leave Tracker'!$A$8:$A$92,MATCH($A18,'Leave Tracker'!$A$8:$A$92,0)))),0,31*(VLOOKUP(O$1,Sprints[],5,FALSE))+DAY(VLOOKUP(O$1,Sprints[],2,FALSE)),1,VLOOKUP(O$1,Sprints[],4,FALSE))&lt;&gt;"")*(IF(OFFSET(INDIRECT(CELL("address",INDEX('Leave Tracker'!$A$8:$A$92,MATCH($A18,'Leave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26.8</v>
      </c>
    </row>
    <row r="19" spans="1:15" x14ac:dyDescent="0.45">
      <c r="A19" s="80" t="s">
        <v>139</v>
      </c>
      <c r="B19" s="80" t="s">
        <v>100</v>
      </c>
      <c r="C19" s="80" t="s">
        <v>105</v>
      </c>
      <c r="D19" s="80" t="s">
        <v>120</v>
      </c>
      <c r="E19" s="80" t="s">
        <v>115</v>
      </c>
      <c r="F19" s="81">
        <v>0.75</v>
      </c>
      <c r="G19" s="79">
        <f t="array" aca="1" ref="G19" ca="1">Sheet3!$W$2*$F19*(NETWORKDAYS(VLOOKUP(G$1,Sprints[],2,FALSE), VLOOKUP(G$1,Sprints[],3,FALSE))-SUMPRODUCT((OFFSET(INDIRECT(CELL("address",INDEX('Leave Tracker'!$A$8:$A$92,MATCH($A19,'Leave Tracker'!$A$8:$A$92,0)))),0,31*(VLOOKUP(G$1,Sprints[],5,FALSE))+DAY(VLOOKUP(G$1,Sprints[],2,FALSE)),1,VLOOKUP(G$1,Sprints[],4,FALSE))&lt;&gt;"")*(IF(OFFSET(INDIRECT(CELL("address",INDEX('Leave Tracker'!$A$8:$A$92,MATCH($A19,'Leave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19" s="79">
        <f t="array" aca="1" ref="H19" ca="1">Sheet3!$W$2*$F19*(NETWORKDAYS(VLOOKUP(H$1,Sprints[],2,FALSE), VLOOKUP(H$1,Sprints[],3,FALSE))-SUMPRODUCT((OFFSET(INDIRECT(CELL("address",INDEX('Leave Tracker'!$A$8:$A$92,MATCH($A19,'Leave Tracker'!$A$8:$A$92,0)))),0,31*(VLOOKUP(H$1,Sprints[],5,FALSE))+DAY(VLOOKUP(H$1,Sprints[],2,FALSE)),1,VLOOKUP(H$1,Sprints[],4,FALSE))&lt;&gt;"")*(IF(OFFSET(INDIRECT(CELL("address",INDEX('Leave Tracker'!$A$8:$A$92,MATCH($A19,'Leave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19" s="79">
        <f t="array" aca="1" ref="I19" ca="1">Sheet3!$W$2*$F19*(NETWORKDAYS(VLOOKUP(I$1,Sprints[],2,FALSE), VLOOKUP(I$1,Sprints[],3,FALSE))-SUMPRODUCT((OFFSET(INDIRECT(CELL("address",INDEX('Leave Tracker'!$A$8:$A$92,MATCH($A19,'Leave Tracker'!$A$8:$A$92,0)))),0,31*(VLOOKUP(I$1,Sprints[],5,FALSE))+DAY(VLOOKUP(I$1,Sprints[],2,FALSE)),1,VLOOKUP(I$1,Sprints[],4,FALSE))&lt;&gt;"")*(IF(OFFSET(INDIRECT(CELL("address",INDEX('Leave Tracker'!$A$8:$A$92,MATCH($A19,'Leave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19" s="79">
        <f t="array" aca="1" ref="J19" ca="1">Sheet3!$W$2*$F19*(NETWORKDAYS(VLOOKUP(J$1,Sprints[],2,FALSE), VLOOKUP(J$1,Sprints[],3,FALSE))-SUMPRODUCT((OFFSET(INDIRECT(CELL("address",INDEX('Leave Tracker'!$A$8:$A$92,MATCH($A19,'Leave Tracker'!$A$8:$A$92,0)))),0,31*(VLOOKUP(J$1,Sprints[],5,FALSE))+DAY(VLOOKUP(J$1,Sprints[],2,FALSE)),1,VLOOKUP(J$1,Sprints[],4,FALSE))&lt;&gt;"")*(IF(OFFSET(INDIRECT(CELL("address",INDEX('Leave Tracker'!$A$8:$A$92,MATCH($A19,'Leave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19" s="79">
        <f t="array" aca="1" ref="K19" ca="1">Sheet3!$W$2*$F19*(NETWORKDAYS(VLOOKUP(K$1,Sprints[],2,FALSE), VLOOKUP(K$1,Sprints[],3,FALSE))-SUMPRODUCT((OFFSET(INDIRECT(CELL("address",INDEX('Leave Tracker'!$A$8:$A$92,MATCH($A19,'Leave Tracker'!$A$8:$A$92,0)))),0,31*(VLOOKUP(K$1,Sprints[],5,FALSE))+DAY(VLOOKUP(K$1,Sprints[],2,FALSE)),1,VLOOKUP(K$1,Sprints[],4,FALSE))&lt;&gt;"")*(IF(OFFSET(INDIRECT(CELL("address",INDEX('Leave Tracker'!$A$8:$A$92,MATCH($A19,'Leave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19" s="79">
        <f t="array" aca="1" ref="L19" ca="1">Sheet3!$W$2*$F19*(NETWORKDAYS(VLOOKUP(L$1,Sprints[],2,FALSE), VLOOKUP(L$1,Sprints[],3,FALSE))-SUMPRODUCT((OFFSET(INDIRECT(CELL("address",INDEX('Leave Tracker'!$A$8:$A$92,MATCH($A19,'Leave Tracker'!$A$8:$A$92,0)))),0,31*(VLOOKUP(L$1,Sprints[],5,FALSE))+DAY(VLOOKUP(L$1,Sprints[],2,FALSE)),1,VLOOKUP(L$1,Sprints[],4,FALSE))&lt;&gt;"")*(IF(OFFSET(INDIRECT(CELL("address",INDEX('Leave Tracker'!$A$8:$A$92,MATCH($A19,'Leave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19" s="79">
        <f t="array" aca="1" ref="M19" ca="1">Sheet3!$W$2*$F19*(NETWORKDAYS(VLOOKUP(M$1,Sprints[],2,FALSE), VLOOKUP(M$1,Sprints[],3,FALSE))-SUMPRODUCT((OFFSET(INDIRECT(CELL("address",INDEX('Leave Tracker'!$A$8:$A$92,MATCH($A19,'Leave Tracker'!$A$8:$A$92,0)))),0,31*(VLOOKUP(M$1,Sprints[],5,FALSE))+DAY(VLOOKUP(M$1,Sprints[],2,FALSE)),1,VLOOKUP(M$1,Sprints[],4,FALSE))&lt;&gt;"")*(IF(OFFSET(INDIRECT(CELL("address",INDEX('Leave Tracker'!$A$8:$A$92,MATCH($A19,'Leave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19" s="79">
        <f t="array" aca="1" ref="N19" ca="1">Sheet3!$W$2*$F19*(NETWORKDAYS(VLOOKUP(N$1,Sprints[],2,FALSE), VLOOKUP(N$1,Sprints[],3,FALSE))-SUMPRODUCT((OFFSET(INDIRECT(CELL("address",INDEX('Leave Tracker'!$A$8:$A$92,MATCH($A19,'Leave Tracker'!$A$8:$A$92,0)))),0,31*(VLOOKUP(N$1,Sprints[],5,FALSE))+DAY(VLOOKUP(N$1,Sprints[],2,FALSE)),1,VLOOKUP(N$1,Sprints[],4,FALSE))&lt;&gt;"")*(IF(OFFSET(INDIRECT(CELL("address",INDEX('Leave Tracker'!$A$8:$A$92,MATCH($A19,'Leave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19" s="74">
        <f t="array" aca="1" ref="O19" ca="1">Sheet3!$W$2*$F19*(NETWORKDAYS(VLOOKUP(O$1,Sprints[],2,FALSE), VLOOKUP(O$1,Sprints[],3,FALSE))-SUMPRODUCT((OFFSET(INDIRECT(CELL("address",INDEX('Leave Tracker'!$A$8:$A$92,MATCH($A19,'Leave Tracker'!$A$8:$A$92,0)))),0,31*(VLOOKUP(O$1,Sprints[],5,FALSE))+DAY(VLOOKUP(O$1,Sprints[],2,FALSE)),1,VLOOKUP(O$1,Sprints[],4,FALSE))&lt;&gt;"")*(IF(OFFSET(INDIRECT(CELL("address",INDEX('Leave Tracker'!$A$8:$A$92,MATCH($A19,'Leave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20" spans="1:15" x14ac:dyDescent="0.45">
      <c r="A20" t="s">
        <v>85</v>
      </c>
      <c r="B20" s="45" t="s">
        <v>103</v>
      </c>
      <c r="C20" s="45" t="s">
        <v>105</v>
      </c>
      <c r="D20" s="45" t="s">
        <v>109</v>
      </c>
      <c r="E20" s="45" t="s">
        <v>111</v>
      </c>
      <c r="F20" s="47">
        <v>0.6</v>
      </c>
      <c r="G20" s="45">
        <f t="array" aca="1" ref="G20" ca="1">Sheet3!$W$2*$F20*(NETWORKDAYS(VLOOKUP(G$1,Sprints[],2,FALSE), VLOOKUP(G$1,Sprints[],3,FALSE))-SUMPRODUCT((OFFSET(INDIRECT(CELL("address",INDEX('Leave Tracker'!$A$8:$A$92,MATCH($A20,'Leave Tracker'!$A$8:$A$92,0)))),0,31*(VLOOKUP(G$1,Sprints[],5,FALSE))+DAY(VLOOKUP(G$1,Sprints[],2,FALSE)),1,VLOOKUP(G$1,Sprints[],4,FALSE))&lt;&gt;"")*(IF(OFFSET(INDIRECT(CELL("address",INDEX('Leave Tracker'!$A$8:$A$92,MATCH($A20,'Leave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2.4</v>
      </c>
      <c r="H20">
        <f t="array" aca="1" ref="H20" ca="1">Sheet3!$W$2*$F20*(NETWORKDAYS(VLOOKUP(H$1,Sprints[],2,FALSE), VLOOKUP(H$1,Sprints[],3,FALSE))-SUMPRODUCT((OFFSET(INDIRECT(CELL("address",INDEX('Leave Tracker'!$A$8:$A$92,MATCH($A20,'Leave Tracker'!$A$8:$A$92,0)))),0,31*(VLOOKUP(H$1,Sprints[],5,FALSE))+DAY(VLOOKUP(H$1,Sprints[],2,FALSE)),1,VLOOKUP(H$1,Sprints[],4,FALSE))&lt;&gt;"")*(IF(OFFSET(INDIRECT(CELL("address",INDEX('Leave Tracker'!$A$8:$A$92,MATCH($A20,'Leave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4.8</v>
      </c>
      <c r="I20">
        <f t="array" aca="1" ref="I20" ca="1">Sheet3!$W$2*$F20*(NETWORKDAYS(VLOOKUP(I$1,Sprints[],2,FALSE), VLOOKUP(I$1,Sprints[],3,FALSE))-SUMPRODUCT((OFFSET(INDIRECT(CELL("address",INDEX('Leave Tracker'!$A$8:$A$92,MATCH($A20,'Leave Tracker'!$A$8:$A$92,0)))),0,31*(VLOOKUP(I$1,Sprints[],5,FALSE))+DAY(VLOOKUP(I$1,Sprints[],2,FALSE)),1,VLOOKUP(I$1,Sprints[],4,FALSE))&lt;&gt;"")*(IF(OFFSET(INDIRECT(CELL("address",INDEX('Leave Tracker'!$A$8:$A$92,MATCH($A20,'Leave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4.32</v>
      </c>
      <c r="J20">
        <f t="array" aca="1" ref="J20" ca="1">Sheet3!$W$2*$F20*(NETWORKDAYS(VLOOKUP(J$1,Sprints[],2,FALSE), VLOOKUP(J$1,Sprints[],3,FALSE))-SUMPRODUCT((OFFSET(INDIRECT(CELL("address",INDEX('Leave Tracker'!$A$8:$A$92,MATCH($A20,'Leave Tracker'!$A$8:$A$92,0)))),0,31*(VLOOKUP(J$1,Sprints[],5,FALSE))+DAY(VLOOKUP(J$1,Sprints[],2,FALSE)),1,VLOOKUP(J$1,Sprints[],4,FALSE))&lt;&gt;"")*(IF(OFFSET(INDIRECT(CELL("address",INDEX('Leave Tracker'!$A$8:$A$92,MATCH($A20,'Leave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4.8</v>
      </c>
      <c r="K20">
        <f t="array" aca="1" ref="K20" ca="1">Sheet3!$W$2*$F20*(NETWORKDAYS(VLOOKUP(K$1,Sprints[],2,FALSE), VLOOKUP(K$1,Sprints[],3,FALSE))-SUMPRODUCT((OFFSET(INDIRECT(CELL("address",INDEX('Leave Tracker'!$A$8:$A$92,MATCH($A20,'Leave Tracker'!$A$8:$A$92,0)))),0,31*(VLOOKUP(K$1,Sprints[],5,FALSE))+DAY(VLOOKUP(K$1,Sprints[],2,FALSE)),1,VLOOKUP(K$1,Sprints[],4,FALSE))&lt;&gt;"")*(IF(OFFSET(INDIRECT(CELL("address",INDEX('Leave Tracker'!$A$8:$A$92,MATCH($A20,'Leave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4.8</v>
      </c>
      <c r="L20">
        <f t="array" aca="1" ref="L20" ca="1">Sheet3!$W$2*$F20*(NETWORKDAYS(VLOOKUP(L$1,Sprints[],2,FALSE), VLOOKUP(L$1,Sprints[],3,FALSE))-SUMPRODUCT((OFFSET(INDIRECT(CELL("address",INDEX('Leave Tracker'!$A$8:$A$92,MATCH($A20,'Leave Tracker'!$A$8:$A$92,0)))),0,31*(VLOOKUP(L$1,Sprints[],5,FALSE))+DAY(VLOOKUP(L$1,Sprints[],2,FALSE)),1,VLOOKUP(L$1,Sprints[],4,FALSE))&lt;&gt;"")*(IF(OFFSET(INDIRECT(CELL("address",INDEX('Leave Tracker'!$A$8:$A$92,MATCH($A20,'Leave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3.84</v>
      </c>
      <c r="M20" s="45">
        <f t="array" aca="1" ref="M20" ca="1">Sheet3!$W$2*$F20*(NETWORKDAYS(VLOOKUP(M$1,Sprints[],2,FALSE), VLOOKUP(M$1,Sprints[],3,FALSE))-SUMPRODUCT((OFFSET(INDIRECT(CELL("address",INDEX('Leave Tracker'!$A$8:$A$92,MATCH($A20,'Leave Tracker'!$A$8:$A$92,0)))),0,31*(VLOOKUP(M$1,Sprints[],5,FALSE))+DAY(VLOOKUP(M$1,Sprints[],2,FALSE)),1,VLOOKUP(M$1,Sprints[],4,FALSE))&lt;&gt;"")*(IF(OFFSET(INDIRECT(CELL("address",INDEX('Leave Tracker'!$A$8:$A$92,MATCH($A20,'Leave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4.32</v>
      </c>
      <c r="N20">
        <f t="array" aca="1" ref="N20" ca="1">Sheet3!$W$2*$F20*(NETWORKDAYS(VLOOKUP(N$1,Sprints[],2,FALSE), VLOOKUP(N$1,Sprints[],3,FALSE))-SUMPRODUCT((OFFSET(INDIRECT(CELL("address",INDEX('Leave Tracker'!$A$8:$A$92,MATCH($A20,'Leave Tracker'!$A$8:$A$92,0)))),0,31*(VLOOKUP(N$1,Sprints[],5,FALSE))+DAY(VLOOKUP(N$1,Sprints[],2,FALSE)),1,VLOOKUP(N$1,Sprints[],4,FALSE))&lt;&gt;"")*(IF(OFFSET(INDIRECT(CELL("address",INDEX('Leave Tracker'!$A$8:$A$92,MATCH($A20,'Leave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2.4</v>
      </c>
      <c r="O20" s="74">
        <f t="array" aca="1" ref="O20" ca="1">Sheet3!$W$2*$F20*(NETWORKDAYS(VLOOKUP(O$1,Sprints[],2,FALSE), VLOOKUP(O$1,Sprints[],3,FALSE))-SUMPRODUCT((OFFSET(INDIRECT(CELL("address",INDEX('Leave Tracker'!$A$8:$A$92,MATCH($A20,'Leave Tracker'!$A$8:$A$92,0)))),0,31*(VLOOKUP(O$1,Sprints[],5,FALSE))+DAY(VLOOKUP(O$1,Sprints[],2,FALSE)),1,VLOOKUP(O$1,Sprints[],4,FALSE))&lt;&gt;"")*(IF(OFFSET(INDIRECT(CELL("address",INDEX('Leave Tracker'!$A$8:$A$92,MATCH($A20,'Leave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31.68</v>
      </c>
    </row>
    <row r="21" spans="1:15" x14ac:dyDescent="0.45">
      <c r="A21" t="s">
        <v>126</v>
      </c>
      <c r="B21" s="45" t="s">
        <v>99</v>
      </c>
      <c r="C21" s="45" t="s">
        <v>104</v>
      </c>
      <c r="D21" s="45" t="s">
        <v>119</v>
      </c>
      <c r="E21" s="45" t="s">
        <v>112</v>
      </c>
      <c r="F21" s="47">
        <v>0.5</v>
      </c>
      <c r="G21" s="31">
        <f t="array" aca="1" ref="G21" ca="1">Sheet3!$W$2*$F21*(NETWORKDAYS(VLOOKUP(G$1,Sprints[],2,FALSE), VLOOKUP(G$1,Sprints[],3,FALSE))-SUMPRODUCT((OFFSET(INDIRECT(CELL("address",INDEX('Leave Tracker'!$A$8:$A$92,MATCH($A21,'Leave Tracker'!$A$8:$A$92,0)))),0,31*(VLOOKUP(G$1,Sprints[],5,FALSE))+DAY(VLOOKUP(G$1,Sprints[],2,FALSE)),1,VLOOKUP(G$1,Sprints[],4,FALSE))&lt;&gt;"")*(IF(OFFSET(INDIRECT(CELL("address",INDEX('Leave Tracker'!$A$8:$A$92,MATCH($A21,'Leave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2</v>
      </c>
      <c r="H21" s="31">
        <f t="array" aca="1" ref="H21" ca="1">Sheet3!$W$2*$F21*(NETWORKDAYS(VLOOKUP(H$1,Sprints[],2,FALSE), VLOOKUP(H$1,Sprints[],3,FALSE))-SUMPRODUCT((OFFSET(INDIRECT(CELL("address",INDEX('Leave Tracker'!$A$8:$A$92,MATCH($A21,'Leave Tracker'!$A$8:$A$92,0)))),0,31*(VLOOKUP(H$1,Sprints[],5,FALSE))+DAY(VLOOKUP(H$1,Sprints[],2,FALSE)),1,VLOOKUP(H$1,Sprints[],4,FALSE))&lt;&gt;"")*(IF(OFFSET(INDIRECT(CELL("address",INDEX('Leave Tracker'!$A$8:$A$92,MATCH($A21,'Leave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4</v>
      </c>
      <c r="I21" s="31">
        <f t="array" aca="1" ref="I21" ca="1">Sheet3!$W$2*$F21*(NETWORKDAYS(VLOOKUP(I$1,Sprints[],2,FALSE), VLOOKUP(I$1,Sprints[],3,FALSE))-SUMPRODUCT((OFFSET(INDIRECT(CELL("address",INDEX('Leave Tracker'!$A$8:$A$92,MATCH($A21,'Leave Tracker'!$A$8:$A$92,0)))),0,31*(VLOOKUP(I$1,Sprints[],5,FALSE))+DAY(VLOOKUP(I$1,Sprints[],2,FALSE)),1,VLOOKUP(I$1,Sprints[],4,FALSE))&lt;&gt;"")*(IF(OFFSET(INDIRECT(CELL("address",INDEX('Leave Tracker'!$A$8:$A$92,MATCH($A21,'Leave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4</v>
      </c>
      <c r="J21" s="31">
        <f t="array" aca="1" ref="J21" ca="1">Sheet3!$W$2*$F21*(NETWORKDAYS(VLOOKUP(J$1,Sprints[],2,FALSE), VLOOKUP(J$1,Sprints[],3,FALSE))-SUMPRODUCT((OFFSET(INDIRECT(CELL("address",INDEX('Leave Tracker'!$A$8:$A$92,MATCH($A21,'Leave Tracker'!$A$8:$A$92,0)))),0,31*(VLOOKUP(J$1,Sprints[],5,FALSE))+DAY(VLOOKUP(J$1,Sprints[],2,FALSE)),1,VLOOKUP(J$1,Sprints[],4,FALSE))&lt;&gt;"")*(IF(OFFSET(INDIRECT(CELL("address",INDEX('Leave Tracker'!$A$8:$A$92,MATCH($A21,'Leave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4</v>
      </c>
      <c r="K21" s="31">
        <f t="array" aca="1" ref="K21" ca="1">Sheet3!$W$2*$F21*(NETWORKDAYS(VLOOKUP(K$1,Sprints[],2,FALSE), VLOOKUP(K$1,Sprints[],3,FALSE))-SUMPRODUCT((OFFSET(INDIRECT(CELL("address",INDEX('Leave Tracker'!$A$8:$A$92,MATCH($A21,'Leave Tracker'!$A$8:$A$92,0)))),0,31*(VLOOKUP(K$1,Sprints[],5,FALSE))+DAY(VLOOKUP(K$1,Sprints[],2,FALSE)),1,VLOOKUP(K$1,Sprints[],4,FALSE))&lt;&gt;"")*(IF(OFFSET(INDIRECT(CELL("address",INDEX('Leave Tracker'!$A$8:$A$92,MATCH($A21,'Leave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4</v>
      </c>
      <c r="L21" s="31">
        <f t="array" aca="1" ref="L21" ca="1">Sheet3!$W$2*$F21*(NETWORKDAYS(VLOOKUP(L$1,Sprints[],2,FALSE), VLOOKUP(L$1,Sprints[],3,FALSE))-SUMPRODUCT((OFFSET(INDIRECT(CELL("address",INDEX('Leave Tracker'!$A$8:$A$92,MATCH($A21,'Leave Tracker'!$A$8:$A$92,0)))),0,31*(VLOOKUP(L$1,Sprints[],5,FALSE))+DAY(VLOOKUP(L$1,Sprints[],2,FALSE)),1,VLOOKUP(L$1,Sprints[],4,FALSE))&lt;&gt;"")*(IF(OFFSET(INDIRECT(CELL("address",INDEX('Leave Tracker'!$A$8:$A$92,MATCH($A21,'Leave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2.8000000000000003</v>
      </c>
      <c r="M21" s="31">
        <f t="array" aca="1" ref="M21" ca="1">Sheet3!$W$2*$F21*(NETWORKDAYS(VLOOKUP(M$1,Sprints[],2,FALSE), VLOOKUP(M$1,Sprints[],3,FALSE))-SUMPRODUCT((OFFSET(INDIRECT(CELL("address",INDEX('Leave Tracker'!$A$8:$A$92,MATCH($A21,'Leave Tracker'!$A$8:$A$92,0)))),0,31*(VLOOKUP(M$1,Sprints[],5,FALSE))+DAY(VLOOKUP(M$1,Sprints[],2,FALSE)),1,VLOOKUP(M$1,Sprints[],4,FALSE))&lt;&gt;"")*(IF(OFFSET(INDIRECT(CELL("address",INDEX('Leave Tracker'!$A$8:$A$92,MATCH($A21,'Leave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4</v>
      </c>
      <c r="N21" s="31">
        <f t="array" aca="1" ref="N21" ca="1">Sheet3!$W$2*$F21*(NETWORKDAYS(VLOOKUP(N$1,Sprints[],2,FALSE), VLOOKUP(N$1,Sprints[],3,FALSE))-SUMPRODUCT((OFFSET(INDIRECT(CELL("address",INDEX('Leave Tracker'!$A$8:$A$92,MATCH($A21,'Leave Tracker'!$A$8:$A$92,0)))),0,31*(VLOOKUP(N$1,Sprints[],5,FALSE))+DAY(VLOOKUP(N$1,Sprints[],2,FALSE)),1,VLOOKUP(N$1,Sprints[],4,FALSE))&lt;&gt;"")*(IF(OFFSET(INDIRECT(CELL("address",INDEX('Leave Tracker'!$A$8:$A$92,MATCH($A21,'Leave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2</v>
      </c>
      <c r="O21" s="74">
        <f t="array" aca="1" ref="O21" ca="1">Sheet3!$W$2*$F21*(NETWORKDAYS(VLOOKUP(O$1,Sprints[],2,FALSE), VLOOKUP(O$1,Sprints[],3,FALSE))-SUMPRODUCT((OFFSET(INDIRECT(CELL("address",INDEX('Leave Tracker'!$A$8:$A$92,MATCH($A21,'Leave Tracker'!$A$8:$A$92,0)))),0,31*(VLOOKUP(O$1,Sprints[],5,FALSE))+DAY(VLOOKUP(O$1,Sprints[],2,FALSE)),1,VLOOKUP(O$1,Sprints[],4,FALSE))&lt;&gt;"")*(IF(OFFSET(INDIRECT(CELL("address",INDEX('Leave Tracker'!$A$8:$A$92,MATCH($A21,'Leave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26.8</v>
      </c>
    </row>
    <row r="22" spans="1:15" s="45" customFormat="1" x14ac:dyDescent="0.45">
      <c r="A22" s="45" t="s">
        <v>43</v>
      </c>
      <c r="B22" s="45" t="s">
        <v>99</v>
      </c>
      <c r="C22" s="45" t="s">
        <v>104</v>
      </c>
      <c r="D22" s="45" t="s">
        <v>119</v>
      </c>
      <c r="E22" s="45" t="s">
        <v>113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Tracker'!$A$8:$A$92,MATCH($A22,'Leave Tracker'!$A$8:$A$92,0)))),0,31*(VLOOKUP(G$1,Sprints[],5,FALSE))+DAY(VLOOKUP(G$1,Sprints[],2,FALSE)),1,VLOOKUP(G$1,Sprints[],4,FALSE))&lt;&gt;"")*(IF(OFFSET(INDIRECT(CELL("address",INDEX('Leave Tracker'!$A$8:$A$92,MATCH($A22,'Leave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22" s="45">
        <f t="array" aca="1" ref="H22" ca="1">Sheet3!$W$2*$F22*(NETWORKDAYS(VLOOKUP(H$1,Sprints[],2,FALSE), VLOOKUP(H$1,Sprints[],3,FALSE))-SUMPRODUCT((OFFSET(INDIRECT(CELL("address",INDEX('Leave Tracker'!$A$8:$A$92,MATCH($A22,'Leave Tracker'!$A$8:$A$92,0)))),0,31*(VLOOKUP(H$1,Sprints[],5,FALSE))+DAY(VLOOKUP(H$1,Sprints[],2,FALSE)),1,VLOOKUP(H$1,Sprints[],4,FALSE))&lt;&gt;"")*(IF(OFFSET(INDIRECT(CELL("address",INDEX('Leave Tracker'!$A$8:$A$92,MATCH($A22,'Leave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22" s="45">
        <f t="array" aca="1" ref="I22" ca="1">Sheet3!$W$2*$F22*(NETWORKDAYS(VLOOKUP(I$1,Sprints[],2,FALSE), VLOOKUP(I$1,Sprints[],3,FALSE))-SUMPRODUCT((OFFSET(INDIRECT(CELL("address",INDEX('Leave Tracker'!$A$8:$A$92,MATCH($A22,'Leave Tracker'!$A$8:$A$92,0)))),0,31*(VLOOKUP(I$1,Sprints[],5,FALSE))+DAY(VLOOKUP(I$1,Sprints[],2,FALSE)),1,VLOOKUP(I$1,Sprints[],4,FALSE))&lt;&gt;"")*(IF(OFFSET(INDIRECT(CELL("address",INDEX('Leave Tracker'!$A$8:$A$92,MATCH($A22,'Leave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22" s="45">
        <f t="array" aca="1" ref="J22" ca="1">Sheet3!$W$2*$F22*(NETWORKDAYS(VLOOKUP(J$1,Sprints[],2,FALSE), VLOOKUP(J$1,Sprints[],3,FALSE))-SUMPRODUCT((OFFSET(INDIRECT(CELL("address",INDEX('Leave Tracker'!$A$8:$A$92,MATCH($A22,'Leave Tracker'!$A$8:$A$92,0)))),0,31*(VLOOKUP(J$1,Sprints[],5,FALSE))+DAY(VLOOKUP(J$1,Sprints[],2,FALSE)),1,VLOOKUP(J$1,Sprints[],4,FALSE))&lt;&gt;"")*(IF(OFFSET(INDIRECT(CELL("address",INDEX('Leave Tracker'!$A$8:$A$92,MATCH($A22,'Leave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22" s="45">
        <f t="array" aca="1" ref="K22" ca="1">Sheet3!$W$2*$F22*(NETWORKDAYS(VLOOKUP(K$1,Sprints[],2,FALSE), VLOOKUP(K$1,Sprints[],3,FALSE))-SUMPRODUCT((OFFSET(INDIRECT(CELL("address",INDEX('Leave Tracker'!$A$8:$A$92,MATCH($A22,'Leave Tracker'!$A$8:$A$92,0)))),0,31*(VLOOKUP(K$1,Sprints[],5,FALSE))+DAY(VLOOKUP(K$1,Sprints[],2,FALSE)),1,VLOOKUP(K$1,Sprints[],4,FALSE))&lt;&gt;"")*(IF(OFFSET(INDIRECT(CELL("address",INDEX('Leave Tracker'!$A$8:$A$92,MATCH($A22,'Leave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22" s="45">
        <f t="array" aca="1" ref="L22" ca="1">Sheet3!$W$2*$F22*(NETWORKDAYS(VLOOKUP(L$1,Sprints[],2,FALSE), VLOOKUP(L$1,Sprints[],3,FALSE))-SUMPRODUCT((OFFSET(INDIRECT(CELL("address",INDEX('Leave Tracker'!$A$8:$A$92,MATCH($A22,'Leave Tracker'!$A$8:$A$92,0)))),0,31*(VLOOKUP(L$1,Sprints[],5,FALSE))+DAY(VLOOKUP(L$1,Sprints[],2,FALSE)),1,VLOOKUP(L$1,Sprints[],4,FALSE))&lt;&gt;"")*(IF(OFFSET(INDIRECT(CELL("address",INDEX('Leave Tracker'!$A$8:$A$92,MATCH($A22,'Leave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22" s="45">
        <f t="array" aca="1" ref="M22" ca="1">Sheet3!$W$2*$F22*(NETWORKDAYS(VLOOKUP(M$1,Sprints[],2,FALSE), VLOOKUP(M$1,Sprints[],3,FALSE))-SUMPRODUCT((OFFSET(INDIRECT(CELL("address",INDEX('Leave Tracker'!$A$8:$A$92,MATCH($A22,'Leave Tracker'!$A$8:$A$92,0)))),0,31*(VLOOKUP(M$1,Sprints[],5,FALSE))+DAY(VLOOKUP(M$1,Sprints[],2,FALSE)),1,VLOOKUP(M$1,Sprints[],4,FALSE))&lt;&gt;"")*(IF(OFFSET(INDIRECT(CELL("address",INDEX('Leave Tracker'!$A$8:$A$92,MATCH($A22,'Leave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22" s="45">
        <f t="array" aca="1" ref="N22" ca="1">Sheet3!$W$2*$F22*(NETWORKDAYS(VLOOKUP(N$1,Sprints[],2,FALSE), VLOOKUP(N$1,Sprints[],3,FALSE))-SUMPRODUCT((OFFSET(INDIRECT(CELL("address",INDEX('Leave Tracker'!$A$8:$A$92,MATCH($A22,'Leave Tracker'!$A$8:$A$92,0)))),0,31*(VLOOKUP(N$1,Sprints[],5,FALSE))+DAY(VLOOKUP(N$1,Sprints[],2,FALSE)),1,VLOOKUP(N$1,Sprints[],4,FALSE))&lt;&gt;"")*(IF(OFFSET(INDIRECT(CELL("address",INDEX('Leave Tracker'!$A$8:$A$92,MATCH($A22,'Leave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22" s="74">
        <f t="array" aca="1" ref="O22" ca="1">Sheet3!$W$2*$F22*(NETWORKDAYS(VLOOKUP(O$1,Sprints[],2,FALSE), VLOOKUP(O$1,Sprints[],3,FALSE))-SUMPRODUCT((OFFSET(INDIRECT(CELL("address",INDEX('Leave Tracker'!$A$8:$A$92,MATCH($A22,'Leave Tracker'!$A$8:$A$92,0)))),0,31*(VLOOKUP(O$1,Sprints[],5,FALSE))+DAY(VLOOKUP(O$1,Sprints[],2,FALSE)),1,VLOOKUP(O$1,Sprints[],4,FALSE))&lt;&gt;"")*(IF(OFFSET(INDIRECT(CELL("address",INDEX('Leave Tracker'!$A$8:$A$92,MATCH($A22,'Leave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23" spans="1:15" x14ac:dyDescent="0.45">
      <c r="A23" s="45" t="s">
        <v>66</v>
      </c>
      <c r="B23" s="45" t="s">
        <v>100</v>
      </c>
      <c r="C23" s="45" t="s">
        <v>104</v>
      </c>
      <c r="D23" s="45" t="s">
        <v>119</v>
      </c>
      <c r="E23" s="45" t="s">
        <v>113</v>
      </c>
      <c r="F23" s="47">
        <v>0.75</v>
      </c>
      <c r="G23" s="45">
        <f t="array" aca="1" ref="G23" ca="1">Sheet3!$W$2*$F23*(NETWORKDAYS(VLOOKUP(G$1,Sprints[],2,FALSE), VLOOKUP(G$1,Sprints[],3,FALSE))-SUMPRODUCT((OFFSET(INDIRECT(CELL("address",INDEX('Leave Tracker'!$A$8:$A$92,MATCH($A23,'Leave Tracker'!$A$8:$A$92,0)))),0,31*(VLOOKUP(G$1,Sprints[],5,FALSE))+DAY(VLOOKUP(G$1,Sprints[],2,FALSE)),1,VLOOKUP(G$1,Sprints[],4,FALSE))&lt;&gt;"")*(IF(OFFSET(INDIRECT(CELL("address",INDEX('Leave Tracker'!$A$8:$A$92,MATCH($A23,'Leave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23">
        <f t="array" aca="1" ref="H23" ca="1">Sheet3!$W$2*$F23*(NETWORKDAYS(VLOOKUP(H$1,Sprints[],2,FALSE), VLOOKUP(H$1,Sprints[],3,FALSE))-SUMPRODUCT((OFFSET(INDIRECT(CELL("address",INDEX('Leave Tracker'!$A$8:$A$92,MATCH($A23,'Leave Tracker'!$A$8:$A$92,0)))),0,31*(VLOOKUP(H$1,Sprints[],5,FALSE))+DAY(VLOOKUP(H$1,Sprints[],2,FALSE)),1,VLOOKUP(H$1,Sprints[],4,FALSE))&lt;&gt;"")*(IF(OFFSET(INDIRECT(CELL("address",INDEX('Leave Tracker'!$A$8:$A$92,MATCH($A23,'Leave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23">
        <f t="array" aca="1" ref="I23" ca="1">Sheet3!$W$2*$F23*(NETWORKDAYS(VLOOKUP(I$1,Sprints[],2,FALSE), VLOOKUP(I$1,Sprints[],3,FALSE))-SUMPRODUCT((OFFSET(INDIRECT(CELL("address",INDEX('Leave Tracker'!$A$8:$A$92,MATCH($A23,'Leave Tracker'!$A$8:$A$92,0)))),0,31*(VLOOKUP(I$1,Sprints[],5,FALSE))+DAY(VLOOKUP(I$1,Sprints[],2,FALSE)),1,VLOOKUP(I$1,Sprints[],4,FALSE))&lt;&gt;"")*(IF(OFFSET(INDIRECT(CELL("address",INDEX('Leave Tracker'!$A$8:$A$92,MATCH($A23,'Leave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23">
        <f t="array" aca="1" ref="J23" ca="1">Sheet3!$W$2*$F23*(NETWORKDAYS(VLOOKUP(J$1,Sprints[],2,FALSE), VLOOKUP(J$1,Sprints[],3,FALSE))-SUMPRODUCT((OFFSET(INDIRECT(CELL("address",INDEX('Leave Tracker'!$A$8:$A$92,MATCH($A23,'Leave Tracker'!$A$8:$A$92,0)))),0,31*(VLOOKUP(J$1,Sprints[],5,FALSE))+DAY(VLOOKUP(J$1,Sprints[],2,FALSE)),1,VLOOKUP(J$1,Sprints[],4,FALSE))&lt;&gt;"")*(IF(OFFSET(INDIRECT(CELL("address",INDEX('Leave Tracker'!$A$8:$A$92,MATCH($A23,'Leave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23">
        <f t="array" aca="1" ref="K23" ca="1">Sheet3!$W$2*$F23*(NETWORKDAYS(VLOOKUP(K$1,Sprints[],2,FALSE), VLOOKUP(K$1,Sprints[],3,FALSE))-SUMPRODUCT((OFFSET(INDIRECT(CELL("address",INDEX('Leave Tracker'!$A$8:$A$92,MATCH($A23,'Leave Tracker'!$A$8:$A$92,0)))),0,31*(VLOOKUP(K$1,Sprints[],5,FALSE))+DAY(VLOOKUP(K$1,Sprints[],2,FALSE)),1,VLOOKUP(K$1,Sprints[],4,FALSE))&lt;&gt;"")*(IF(OFFSET(INDIRECT(CELL("address",INDEX('Leave Tracker'!$A$8:$A$92,MATCH($A23,'Leave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23">
        <f t="array" aca="1" ref="L23" ca="1">Sheet3!$W$2*$F23*(NETWORKDAYS(VLOOKUP(L$1,Sprints[],2,FALSE), VLOOKUP(L$1,Sprints[],3,FALSE))-SUMPRODUCT((OFFSET(INDIRECT(CELL("address",INDEX('Leave Tracker'!$A$8:$A$92,MATCH($A23,'Leave Tracker'!$A$8:$A$92,0)))),0,31*(VLOOKUP(L$1,Sprints[],5,FALSE))+DAY(VLOOKUP(L$1,Sprints[],2,FALSE)),1,VLOOKUP(L$1,Sprints[],4,FALSE))&lt;&gt;"")*(IF(OFFSET(INDIRECT(CELL("address",INDEX('Leave Tracker'!$A$8:$A$92,MATCH($A23,'Leave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23" s="45">
        <f t="array" aca="1" ref="M23" ca="1">Sheet3!$W$2*$F23*(NETWORKDAYS(VLOOKUP(M$1,Sprints[],2,FALSE), VLOOKUP(M$1,Sprints[],3,FALSE))-SUMPRODUCT((OFFSET(INDIRECT(CELL("address",INDEX('Leave Tracker'!$A$8:$A$92,MATCH($A23,'Leave Tracker'!$A$8:$A$92,0)))),0,31*(VLOOKUP(M$1,Sprints[],5,FALSE))+DAY(VLOOKUP(M$1,Sprints[],2,FALSE)),1,VLOOKUP(M$1,Sprints[],4,FALSE))&lt;&gt;"")*(IF(OFFSET(INDIRECT(CELL("address",INDEX('Leave Tracker'!$A$8:$A$92,MATCH($A23,'Leave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23">
        <f t="array" aca="1" ref="N23" ca="1">Sheet3!$W$2*$F23*(NETWORKDAYS(VLOOKUP(N$1,Sprints[],2,FALSE), VLOOKUP(N$1,Sprints[],3,FALSE))-SUMPRODUCT((OFFSET(INDIRECT(CELL("address",INDEX('Leave Tracker'!$A$8:$A$92,MATCH($A23,'Leave Tracker'!$A$8:$A$92,0)))),0,31*(VLOOKUP(N$1,Sprints[],5,FALSE))+DAY(VLOOKUP(N$1,Sprints[],2,FALSE)),1,VLOOKUP(N$1,Sprints[],4,FALSE))&lt;&gt;"")*(IF(OFFSET(INDIRECT(CELL("address",INDEX('Leave Tracker'!$A$8:$A$92,MATCH($A23,'Leave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23" s="74">
        <f t="array" aca="1" ref="O23" ca="1">Sheet3!$W$2*$F23*(NETWORKDAYS(VLOOKUP(O$1,Sprints[],2,FALSE), VLOOKUP(O$1,Sprints[],3,FALSE))-SUMPRODUCT((OFFSET(INDIRECT(CELL("address",INDEX('Leave Tracker'!$A$8:$A$92,MATCH($A23,'Leave Tracker'!$A$8:$A$92,0)))),0,31*(VLOOKUP(O$1,Sprints[],5,FALSE))+DAY(VLOOKUP(O$1,Sprints[],2,FALSE)),1,VLOOKUP(O$1,Sprints[],4,FALSE))&lt;&gt;"")*(IF(OFFSET(INDIRECT(CELL("address",INDEX('Leave Tracker'!$A$8:$A$92,MATCH($A23,'Leave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24" spans="1:15" x14ac:dyDescent="0.45">
      <c r="A24" t="s">
        <v>87</v>
      </c>
      <c r="B24" s="45" t="s">
        <v>103</v>
      </c>
      <c r="C24" s="45" t="s">
        <v>105</v>
      </c>
      <c r="D24" s="45" t="s">
        <v>116</v>
      </c>
      <c r="E24" s="45" t="s">
        <v>115</v>
      </c>
      <c r="F24" s="47">
        <v>0.6</v>
      </c>
      <c r="G24" s="45">
        <f t="array" aca="1" ref="G24" ca="1">Sheet3!$W$2*$F24*(NETWORKDAYS(VLOOKUP(G$1,Sprints[],2,FALSE), VLOOKUP(G$1,Sprints[],3,FALSE))-SUMPRODUCT((OFFSET(INDIRECT(CELL("address",INDEX('Leave Tracker'!$A$8:$A$92,MATCH($A24,'Leave Tracker'!$A$8:$A$92,0)))),0,31*(VLOOKUP(G$1,Sprints[],5,FALSE))+DAY(VLOOKUP(G$1,Sprints[],2,FALSE)),1,VLOOKUP(G$1,Sprints[],4,FALSE))&lt;&gt;"")*(IF(OFFSET(INDIRECT(CELL("address",INDEX('Leave Tracker'!$A$8:$A$92,MATCH($A24,'Leave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2.4</v>
      </c>
      <c r="H24">
        <f t="array" aca="1" ref="H24" ca="1">Sheet3!$W$2*$F24*(NETWORKDAYS(VLOOKUP(H$1,Sprints[],2,FALSE), VLOOKUP(H$1,Sprints[],3,FALSE))-SUMPRODUCT((OFFSET(INDIRECT(CELL("address",INDEX('Leave Tracker'!$A$8:$A$92,MATCH($A24,'Leave Tracker'!$A$8:$A$92,0)))),0,31*(VLOOKUP(H$1,Sprints[],5,FALSE))+DAY(VLOOKUP(H$1,Sprints[],2,FALSE)),1,VLOOKUP(H$1,Sprints[],4,FALSE))&lt;&gt;"")*(IF(OFFSET(INDIRECT(CELL("address",INDEX('Leave Tracker'!$A$8:$A$92,MATCH($A24,'Leave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4.8</v>
      </c>
      <c r="I24">
        <f t="array" aca="1" ref="I24" ca="1">Sheet3!$W$2*$F24*(NETWORKDAYS(VLOOKUP(I$1,Sprints[],2,FALSE), VLOOKUP(I$1,Sprints[],3,FALSE))-SUMPRODUCT((OFFSET(INDIRECT(CELL("address",INDEX('Leave Tracker'!$A$8:$A$92,MATCH($A24,'Leave Tracker'!$A$8:$A$92,0)))),0,31*(VLOOKUP(I$1,Sprints[],5,FALSE))+DAY(VLOOKUP(I$1,Sprints[],2,FALSE)),1,VLOOKUP(I$1,Sprints[],4,FALSE))&lt;&gt;"")*(IF(OFFSET(INDIRECT(CELL("address",INDEX('Leave Tracker'!$A$8:$A$92,MATCH($A24,'Leave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4.32</v>
      </c>
      <c r="J24">
        <f t="array" aca="1" ref="J24" ca="1">Sheet3!$W$2*$F24*(NETWORKDAYS(VLOOKUP(J$1,Sprints[],2,FALSE), VLOOKUP(J$1,Sprints[],3,FALSE))-SUMPRODUCT((OFFSET(INDIRECT(CELL("address",INDEX('Leave Tracker'!$A$8:$A$92,MATCH($A24,'Leave Tracker'!$A$8:$A$92,0)))),0,31*(VLOOKUP(J$1,Sprints[],5,FALSE))+DAY(VLOOKUP(J$1,Sprints[],2,FALSE)),1,VLOOKUP(J$1,Sprints[],4,FALSE))&lt;&gt;"")*(IF(OFFSET(INDIRECT(CELL("address",INDEX('Leave Tracker'!$A$8:$A$92,MATCH($A24,'Leave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4.8</v>
      </c>
      <c r="K24">
        <f t="array" aca="1" ref="K24" ca="1">Sheet3!$W$2*$F24*(NETWORKDAYS(VLOOKUP(K$1,Sprints[],2,FALSE), VLOOKUP(K$1,Sprints[],3,FALSE))-SUMPRODUCT((OFFSET(INDIRECT(CELL("address",INDEX('Leave Tracker'!$A$8:$A$92,MATCH($A24,'Leave Tracker'!$A$8:$A$92,0)))),0,31*(VLOOKUP(K$1,Sprints[],5,FALSE))+DAY(VLOOKUP(K$1,Sprints[],2,FALSE)),1,VLOOKUP(K$1,Sprints[],4,FALSE))&lt;&gt;"")*(IF(OFFSET(INDIRECT(CELL("address",INDEX('Leave Tracker'!$A$8:$A$92,MATCH($A24,'Leave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4.8</v>
      </c>
      <c r="L24">
        <f t="array" aca="1" ref="L24" ca="1">Sheet3!$W$2*$F24*(NETWORKDAYS(VLOOKUP(L$1,Sprints[],2,FALSE), VLOOKUP(L$1,Sprints[],3,FALSE))-SUMPRODUCT((OFFSET(INDIRECT(CELL("address",INDEX('Leave Tracker'!$A$8:$A$92,MATCH($A24,'Leave Tracker'!$A$8:$A$92,0)))),0,31*(VLOOKUP(L$1,Sprints[],5,FALSE))+DAY(VLOOKUP(L$1,Sprints[],2,FALSE)),1,VLOOKUP(L$1,Sprints[],4,FALSE))&lt;&gt;"")*(IF(OFFSET(INDIRECT(CELL("address",INDEX('Leave Tracker'!$A$8:$A$92,MATCH($A24,'Leave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3.84</v>
      </c>
      <c r="M24" s="45">
        <f t="array" aca="1" ref="M24" ca="1">Sheet3!$W$2*$F24*(NETWORKDAYS(VLOOKUP(M$1,Sprints[],2,FALSE), VLOOKUP(M$1,Sprints[],3,FALSE))-SUMPRODUCT((OFFSET(INDIRECT(CELL("address",INDEX('Leave Tracker'!$A$8:$A$92,MATCH($A24,'Leave Tracker'!$A$8:$A$92,0)))),0,31*(VLOOKUP(M$1,Sprints[],5,FALSE))+DAY(VLOOKUP(M$1,Sprints[],2,FALSE)),1,VLOOKUP(M$1,Sprints[],4,FALSE))&lt;&gt;"")*(IF(OFFSET(INDIRECT(CELL("address",INDEX('Leave Tracker'!$A$8:$A$92,MATCH($A24,'Leave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4.32</v>
      </c>
      <c r="N24">
        <f t="array" aca="1" ref="N24" ca="1">Sheet3!$W$2*$F24*(NETWORKDAYS(VLOOKUP(N$1,Sprints[],2,FALSE), VLOOKUP(N$1,Sprints[],3,FALSE))-SUMPRODUCT((OFFSET(INDIRECT(CELL("address",INDEX('Leave Tracker'!$A$8:$A$92,MATCH($A24,'Leave Tracker'!$A$8:$A$92,0)))),0,31*(VLOOKUP(N$1,Sprints[],5,FALSE))+DAY(VLOOKUP(N$1,Sprints[],2,FALSE)),1,VLOOKUP(N$1,Sprints[],4,FALSE))&lt;&gt;"")*(IF(OFFSET(INDIRECT(CELL("address",INDEX('Leave Tracker'!$A$8:$A$92,MATCH($A24,'Leave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2.4</v>
      </c>
      <c r="O24" s="74">
        <f t="array" aca="1" ref="O24" ca="1">Sheet3!$W$2*$F24*(NETWORKDAYS(VLOOKUP(O$1,Sprints[],2,FALSE), VLOOKUP(O$1,Sprints[],3,FALSE))-SUMPRODUCT((OFFSET(INDIRECT(CELL("address",INDEX('Leave Tracker'!$A$8:$A$92,MATCH($A24,'Leave Tracker'!$A$8:$A$92,0)))),0,31*(VLOOKUP(O$1,Sprints[],5,FALSE))+DAY(VLOOKUP(O$1,Sprints[],2,FALSE)),1,VLOOKUP(O$1,Sprints[],4,FALSE))&lt;&gt;"")*(IF(OFFSET(INDIRECT(CELL("address",INDEX('Leave Tracker'!$A$8:$A$92,MATCH($A24,'Leave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31.68</v>
      </c>
    </row>
    <row r="25" spans="1:15" x14ac:dyDescent="0.45">
      <c r="A25" s="45" t="s">
        <v>158</v>
      </c>
      <c r="B25" s="45" t="s">
        <v>100</v>
      </c>
      <c r="C25" s="45" t="s">
        <v>104</v>
      </c>
      <c r="D25" s="45" t="s">
        <v>120</v>
      </c>
      <c r="E25" s="45" t="s">
        <v>115</v>
      </c>
      <c r="F25" s="47">
        <v>0.75</v>
      </c>
      <c r="G25" s="31">
        <f t="array" aca="1" ref="G25" ca="1">Sheet3!$W$2*$F25*(NETWORKDAYS(VLOOKUP(G$1,Sprints[],2,FALSE), VLOOKUP(G$1,Sprints[],3,FALSE))-SUMPRODUCT((OFFSET(INDIRECT(CELL("address",INDEX('Leave Tracker'!$A$8:$A$92,MATCH($A25,'Leave Tracker'!$A$8:$A$92,0)))),0,31*(VLOOKUP(G$1,Sprints[],5,FALSE))+DAY(VLOOKUP(G$1,Sprints[],2,FALSE)),1,VLOOKUP(G$1,Sprints[],4,FALSE))&lt;&gt;"")*(IF(OFFSET(INDIRECT(CELL("address",INDEX('Leave Tracker'!$A$8:$A$92,MATCH($A25,'Leave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25" s="45">
        <f t="array" aca="1" ref="H25" ca="1">Sheet3!$W$2*$F25*(NETWORKDAYS(VLOOKUP(H$1,Sprints[],2,FALSE), VLOOKUP(H$1,Sprints[],3,FALSE))-SUMPRODUCT((OFFSET(INDIRECT(CELL("address",INDEX('Leave Tracker'!$A$8:$A$92,MATCH($A25,'Leave Tracker'!$A$8:$A$92,0)))),0,31*(VLOOKUP(H$1,Sprints[],5,FALSE))+DAY(VLOOKUP(H$1,Sprints[],2,FALSE)),1,VLOOKUP(H$1,Sprints[],4,FALSE))&lt;&gt;"")*(IF(OFFSET(INDIRECT(CELL("address",INDEX('Leave Tracker'!$A$8:$A$92,MATCH($A25,'Leave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25" s="31">
        <f t="array" aca="1" ref="I25" ca="1">Sheet3!$W$2*$F25*(NETWORKDAYS(VLOOKUP(I$1,Sprints[],2,FALSE), VLOOKUP(I$1,Sprints[],3,FALSE))-SUMPRODUCT((OFFSET(INDIRECT(CELL("address",INDEX('Leave Tracker'!$A$8:$A$92,MATCH($A25,'Leave Tracker'!$A$8:$A$92,0)))),0,31*(VLOOKUP(I$1,Sprints[],5,FALSE))+DAY(VLOOKUP(I$1,Sprints[],2,FALSE)),1,VLOOKUP(I$1,Sprints[],4,FALSE))&lt;&gt;"")*(IF(OFFSET(INDIRECT(CELL("address",INDEX('Leave Tracker'!$A$8:$A$92,MATCH($A25,'Leave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25" s="31">
        <f t="array" aca="1" ref="J25" ca="1">Sheet3!$W$2*$F25*(NETWORKDAYS(VLOOKUP(J$1,Sprints[],2,FALSE), VLOOKUP(J$1,Sprints[],3,FALSE))-SUMPRODUCT((OFFSET(INDIRECT(CELL("address",INDEX('Leave Tracker'!$A$8:$A$92,MATCH($A25,'Leave Tracker'!$A$8:$A$92,0)))),0,31*(VLOOKUP(J$1,Sprints[],5,FALSE))+DAY(VLOOKUP(J$1,Sprints[],2,FALSE)),1,VLOOKUP(J$1,Sprints[],4,FALSE))&lt;&gt;"")*(IF(OFFSET(INDIRECT(CELL("address",INDEX('Leave Tracker'!$A$8:$A$92,MATCH($A25,'Leave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25" s="31">
        <f t="array" aca="1" ref="K25" ca="1">Sheet3!$W$2*$F25*(NETWORKDAYS(VLOOKUP(K$1,Sprints[],2,FALSE), VLOOKUP(K$1,Sprints[],3,FALSE))-SUMPRODUCT((OFFSET(INDIRECT(CELL("address",INDEX('Leave Tracker'!$A$8:$A$92,MATCH($A25,'Leave Tracker'!$A$8:$A$92,0)))),0,31*(VLOOKUP(K$1,Sprints[],5,FALSE))+DAY(VLOOKUP(K$1,Sprints[],2,FALSE)),1,VLOOKUP(K$1,Sprints[],4,FALSE))&lt;&gt;"")*(IF(OFFSET(INDIRECT(CELL("address",INDEX('Leave Tracker'!$A$8:$A$92,MATCH($A25,'Leave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25" s="31">
        <f t="array" aca="1" ref="L25" ca="1">Sheet3!$W$2*$F25*(NETWORKDAYS(VLOOKUP(L$1,Sprints[],2,FALSE), VLOOKUP(L$1,Sprints[],3,FALSE))-SUMPRODUCT((OFFSET(INDIRECT(CELL("address",INDEX('Leave Tracker'!$A$8:$A$92,MATCH($A25,'Leave Tracker'!$A$8:$A$92,0)))),0,31*(VLOOKUP(L$1,Sprints[],5,FALSE))+DAY(VLOOKUP(L$1,Sprints[],2,FALSE)),1,VLOOKUP(L$1,Sprints[],4,FALSE))&lt;&gt;"")*(IF(OFFSET(INDIRECT(CELL("address",INDEX('Leave Tracker'!$A$8:$A$92,MATCH($A25,'Leave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25" s="31">
        <f t="array" aca="1" ref="M25" ca="1">Sheet3!$W$2*$F25*(NETWORKDAYS(VLOOKUP(M$1,Sprints[],2,FALSE), VLOOKUP(M$1,Sprints[],3,FALSE))-SUMPRODUCT((OFFSET(INDIRECT(CELL("address",INDEX('Leave Tracker'!$A$8:$A$92,MATCH($A25,'Leave Tracker'!$A$8:$A$92,0)))),0,31*(VLOOKUP(M$1,Sprints[],5,FALSE))+DAY(VLOOKUP(M$1,Sprints[],2,FALSE)),1,VLOOKUP(M$1,Sprints[],4,FALSE))&lt;&gt;"")*(IF(OFFSET(INDIRECT(CELL("address",INDEX('Leave Tracker'!$A$8:$A$92,MATCH($A25,'Leave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25" s="31">
        <f t="array" aca="1" ref="N25" ca="1">Sheet3!$W$2*$F25*(NETWORKDAYS(VLOOKUP(N$1,Sprints[],2,FALSE), VLOOKUP(N$1,Sprints[],3,FALSE))-SUMPRODUCT((OFFSET(INDIRECT(CELL("address",INDEX('Leave Tracker'!$A$8:$A$92,MATCH($A25,'Leave Tracker'!$A$8:$A$92,0)))),0,31*(VLOOKUP(N$1,Sprints[],5,FALSE))+DAY(VLOOKUP(N$1,Sprints[],2,FALSE)),1,VLOOKUP(N$1,Sprints[],4,FALSE))&lt;&gt;"")*(IF(OFFSET(INDIRECT(CELL("address",INDEX('Leave Tracker'!$A$8:$A$92,MATCH($A25,'Leave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25" s="74">
        <f t="array" aca="1" ref="O25" ca="1">Sheet3!$W$2*$F25*(NETWORKDAYS(VLOOKUP(O$1,Sprints[],2,FALSE), VLOOKUP(O$1,Sprints[],3,FALSE))-SUMPRODUCT((OFFSET(INDIRECT(CELL("address",INDEX('Leave Tracker'!$A$8:$A$92,MATCH($A25,'Leave Tracker'!$A$8:$A$92,0)))),0,31*(VLOOKUP(O$1,Sprints[],5,FALSE))+DAY(VLOOKUP(O$1,Sprints[],2,FALSE)),1,VLOOKUP(O$1,Sprints[],4,FALSE))&lt;&gt;"")*(IF(OFFSET(INDIRECT(CELL("address",INDEX('Leave Tracker'!$A$8:$A$92,MATCH($A25,'Leave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26" spans="1:15" s="45" customFormat="1" x14ac:dyDescent="0.45">
      <c r="A26" t="s">
        <v>68</v>
      </c>
      <c r="B26" s="45" t="s">
        <v>100</v>
      </c>
      <c r="C26" s="45" t="s">
        <v>104</v>
      </c>
      <c r="D26" s="45" t="s">
        <v>119</v>
      </c>
      <c r="E26" s="45" t="s">
        <v>112</v>
      </c>
      <c r="F26" s="47">
        <v>0.75</v>
      </c>
      <c r="G26" s="45">
        <f t="array" aca="1" ref="G26" ca="1">Sheet3!$W$2*$F26*(NETWORKDAYS(VLOOKUP(G$1,Sprints[],2,FALSE), VLOOKUP(G$1,Sprints[],3,FALSE))-SUMPRODUCT((OFFSET(INDIRECT(CELL("address",INDEX('Leave Tracker'!$A$8:$A$92,MATCH($A26,'Leave Tracker'!$A$8:$A$92,0)))),0,31*(VLOOKUP(G$1,Sprints[],5,FALSE))+DAY(VLOOKUP(G$1,Sprints[],2,FALSE)),1,VLOOKUP(G$1,Sprints[],4,FALSE))&lt;&gt;"")*(IF(OFFSET(INDIRECT(CELL("address",INDEX('Leave Tracker'!$A$8:$A$92,MATCH($A26,'Leave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26">
        <f t="array" aca="1" ref="H26" ca="1">Sheet3!$W$2*$F26*(NETWORKDAYS(VLOOKUP(H$1,Sprints[],2,FALSE), VLOOKUP(H$1,Sprints[],3,FALSE))-SUMPRODUCT((OFFSET(INDIRECT(CELL("address",INDEX('Leave Tracker'!$A$8:$A$92,MATCH($A26,'Leave Tracker'!$A$8:$A$92,0)))),0,31*(VLOOKUP(H$1,Sprints[],5,FALSE))+DAY(VLOOKUP(H$1,Sprints[],2,FALSE)),1,VLOOKUP(H$1,Sprints[],4,FALSE))&lt;&gt;"")*(IF(OFFSET(INDIRECT(CELL("address",INDEX('Leave Tracker'!$A$8:$A$92,MATCH($A26,'Leave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26">
        <f t="array" aca="1" ref="I26" ca="1">Sheet3!$W$2*$F26*(NETWORKDAYS(VLOOKUP(I$1,Sprints[],2,FALSE), VLOOKUP(I$1,Sprints[],3,FALSE))-SUMPRODUCT((OFFSET(INDIRECT(CELL("address",INDEX('Leave Tracker'!$A$8:$A$92,MATCH($A26,'Leave Tracker'!$A$8:$A$92,0)))),0,31*(VLOOKUP(I$1,Sprints[],5,FALSE))+DAY(VLOOKUP(I$1,Sprints[],2,FALSE)),1,VLOOKUP(I$1,Sprints[],4,FALSE))&lt;&gt;"")*(IF(OFFSET(INDIRECT(CELL("address",INDEX('Leave Tracker'!$A$8:$A$92,MATCH($A26,'Leave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26">
        <f t="array" aca="1" ref="J26" ca="1">Sheet3!$W$2*$F26*(NETWORKDAYS(VLOOKUP(J$1,Sprints[],2,FALSE), VLOOKUP(J$1,Sprints[],3,FALSE))-SUMPRODUCT((OFFSET(INDIRECT(CELL("address",INDEX('Leave Tracker'!$A$8:$A$92,MATCH($A26,'Leave Tracker'!$A$8:$A$92,0)))),0,31*(VLOOKUP(J$1,Sprints[],5,FALSE))+DAY(VLOOKUP(J$1,Sprints[],2,FALSE)),1,VLOOKUP(J$1,Sprints[],4,FALSE))&lt;&gt;"")*(IF(OFFSET(INDIRECT(CELL("address",INDEX('Leave Tracker'!$A$8:$A$92,MATCH($A26,'Leave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26">
        <f t="array" aca="1" ref="K26" ca="1">Sheet3!$W$2*$F26*(NETWORKDAYS(VLOOKUP(K$1,Sprints[],2,FALSE), VLOOKUP(K$1,Sprints[],3,FALSE))-SUMPRODUCT((OFFSET(INDIRECT(CELL("address",INDEX('Leave Tracker'!$A$8:$A$92,MATCH($A26,'Leave Tracker'!$A$8:$A$92,0)))),0,31*(VLOOKUP(K$1,Sprints[],5,FALSE))+DAY(VLOOKUP(K$1,Sprints[],2,FALSE)),1,VLOOKUP(K$1,Sprints[],4,FALSE))&lt;&gt;"")*(IF(OFFSET(INDIRECT(CELL("address",INDEX('Leave Tracker'!$A$8:$A$92,MATCH($A26,'Leave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26">
        <f t="array" aca="1" ref="L26" ca="1">Sheet3!$W$2*$F26*(NETWORKDAYS(VLOOKUP(L$1,Sprints[],2,FALSE), VLOOKUP(L$1,Sprints[],3,FALSE))-SUMPRODUCT((OFFSET(INDIRECT(CELL("address",INDEX('Leave Tracker'!$A$8:$A$92,MATCH($A26,'Leave Tracker'!$A$8:$A$92,0)))),0,31*(VLOOKUP(L$1,Sprints[],5,FALSE))+DAY(VLOOKUP(L$1,Sprints[],2,FALSE)),1,VLOOKUP(L$1,Sprints[],4,FALSE))&lt;&gt;"")*(IF(OFFSET(INDIRECT(CELL("address",INDEX('Leave Tracker'!$A$8:$A$92,MATCH($A26,'Leave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26" s="45">
        <f t="array" aca="1" ref="M26" ca="1">Sheet3!$W$2*$F26*(NETWORKDAYS(VLOOKUP(M$1,Sprints[],2,FALSE), VLOOKUP(M$1,Sprints[],3,FALSE))-SUMPRODUCT((OFFSET(INDIRECT(CELL("address",INDEX('Leave Tracker'!$A$8:$A$92,MATCH($A26,'Leave Tracker'!$A$8:$A$92,0)))),0,31*(VLOOKUP(M$1,Sprints[],5,FALSE))+DAY(VLOOKUP(M$1,Sprints[],2,FALSE)),1,VLOOKUP(M$1,Sprints[],4,FALSE))&lt;&gt;"")*(IF(OFFSET(INDIRECT(CELL("address",INDEX('Leave Tracker'!$A$8:$A$92,MATCH($A26,'Leave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26">
        <f t="array" aca="1" ref="N26" ca="1">Sheet3!$W$2*$F26*(NETWORKDAYS(VLOOKUP(N$1,Sprints[],2,FALSE), VLOOKUP(N$1,Sprints[],3,FALSE))-SUMPRODUCT((OFFSET(INDIRECT(CELL("address",INDEX('Leave Tracker'!$A$8:$A$92,MATCH($A26,'Leave Tracker'!$A$8:$A$92,0)))),0,31*(VLOOKUP(N$1,Sprints[],5,FALSE))+DAY(VLOOKUP(N$1,Sprints[],2,FALSE)),1,VLOOKUP(N$1,Sprints[],4,FALSE))&lt;&gt;"")*(IF(OFFSET(INDIRECT(CELL("address",INDEX('Leave Tracker'!$A$8:$A$92,MATCH($A26,'Leave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26" s="74">
        <f t="array" aca="1" ref="O26" ca="1">Sheet3!$W$2*$F26*(NETWORKDAYS(VLOOKUP(O$1,Sprints[],2,FALSE), VLOOKUP(O$1,Sprints[],3,FALSE))-SUMPRODUCT((OFFSET(INDIRECT(CELL("address",INDEX('Leave Tracker'!$A$8:$A$92,MATCH($A26,'Leave Tracker'!$A$8:$A$92,0)))),0,31*(VLOOKUP(O$1,Sprints[],5,FALSE))+DAY(VLOOKUP(O$1,Sprints[],2,FALSE)),1,VLOOKUP(O$1,Sprints[],4,FALSE))&lt;&gt;"")*(IF(OFFSET(INDIRECT(CELL("address",INDEX('Leave Tracker'!$A$8:$A$92,MATCH($A26,'Leave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27" spans="1:15" s="45" customFormat="1" x14ac:dyDescent="0.45">
      <c r="A27" s="45" t="s">
        <v>67</v>
      </c>
      <c r="B27" s="45" t="s">
        <v>100</v>
      </c>
      <c r="C27" s="45" t="s">
        <v>104</v>
      </c>
      <c r="D27" s="45" t="s">
        <v>119</v>
      </c>
      <c r="E27" s="45" t="s">
        <v>113</v>
      </c>
      <c r="F27" s="47">
        <v>0.75</v>
      </c>
      <c r="G27" s="45">
        <f t="array" aca="1" ref="G27" ca="1">Sheet3!$W$2*$F27*(NETWORKDAYS(VLOOKUP(G$1,Sprints[],2,FALSE), VLOOKUP(G$1,Sprints[],3,FALSE))-SUMPRODUCT((OFFSET(INDIRECT(CELL("address",INDEX('Leave Tracker'!$A$8:$A$92,MATCH($A27,'Leave Tracker'!$A$8:$A$92,0)))),0,31*(VLOOKUP(G$1,Sprints[],5,FALSE))+DAY(VLOOKUP(G$1,Sprints[],2,FALSE)),1,VLOOKUP(G$1,Sprints[],4,FALSE))&lt;&gt;"")*(IF(OFFSET(INDIRECT(CELL("address",INDEX('Leave Tracker'!$A$8:$A$92,MATCH($A27,'Leave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27" s="45">
        <f t="array" aca="1" ref="H27" ca="1">Sheet3!$W$2*$F27*(NETWORKDAYS(VLOOKUP(H$1,Sprints[],2,FALSE), VLOOKUP(H$1,Sprints[],3,FALSE))-SUMPRODUCT((OFFSET(INDIRECT(CELL("address",INDEX('Leave Tracker'!$A$8:$A$92,MATCH($A27,'Leave Tracker'!$A$8:$A$92,0)))),0,31*(VLOOKUP(H$1,Sprints[],5,FALSE))+DAY(VLOOKUP(H$1,Sprints[],2,FALSE)),1,VLOOKUP(H$1,Sprints[],4,FALSE))&lt;&gt;"")*(IF(OFFSET(INDIRECT(CELL("address",INDEX('Leave Tracker'!$A$8:$A$92,MATCH($A27,'Leave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27" s="45">
        <f t="array" aca="1" ref="I27" ca="1">Sheet3!$W$2*$F27*(NETWORKDAYS(VLOOKUP(I$1,Sprints[],2,FALSE), VLOOKUP(I$1,Sprints[],3,FALSE))-SUMPRODUCT((OFFSET(INDIRECT(CELL("address",INDEX('Leave Tracker'!$A$8:$A$92,MATCH($A27,'Leave Tracker'!$A$8:$A$92,0)))),0,31*(VLOOKUP(I$1,Sprints[],5,FALSE))+DAY(VLOOKUP(I$1,Sprints[],2,FALSE)),1,VLOOKUP(I$1,Sprints[],4,FALSE))&lt;&gt;"")*(IF(OFFSET(INDIRECT(CELL("address",INDEX('Leave Tracker'!$A$8:$A$92,MATCH($A27,'Leave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27" s="45">
        <f t="array" aca="1" ref="J27" ca="1">Sheet3!$W$2*$F27*(NETWORKDAYS(VLOOKUP(J$1,Sprints[],2,FALSE), VLOOKUP(J$1,Sprints[],3,FALSE))-SUMPRODUCT((OFFSET(INDIRECT(CELL("address",INDEX('Leave Tracker'!$A$8:$A$92,MATCH($A27,'Leave Tracker'!$A$8:$A$92,0)))),0,31*(VLOOKUP(J$1,Sprints[],5,FALSE))+DAY(VLOOKUP(J$1,Sprints[],2,FALSE)),1,VLOOKUP(J$1,Sprints[],4,FALSE))&lt;&gt;"")*(IF(OFFSET(INDIRECT(CELL("address",INDEX('Leave Tracker'!$A$8:$A$92,MATCH($A27,'Leave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27" s="45">
        <f t="array" aca="1" ref="K27" ca="1">Sheet3!$W$2*$F27*(NETWORKDAYS(VLOOKUP(K$1,Sprints[],2,FALSE), VLOOKUP(K$1,Sprints[],3,FALSE))-SUMPRODUCT((OFFSET(INDIRECT(CELL("address",INDEX('Leave Tracker'!$A$8:$A$92,MATCH($A27,'Leave Tracker'!$A$8:$A$92,0)))),0,31*(VLOOKUP(K$1,Sprints[],5,FALSE))+DAY(VLOOKUP(K$1,Sprints[],2,FALSE)),1,VLOOKUP(K$1,Sprints[],4,FALSE))&lt;&gt;"")*(IF(OFFSET(INDIRECT(CELL("address",INDEX('Leave Tracker'!$A$8:$A$92,MATCH($A27,'Leave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27" s="45">
        <f t="array" aca="1" ref="L27" ca="1">Sheet3!$W$2*$F27*(NETWORKDAYS(VLOOKUP(L$1,Sprints[],2,FALSE), VLOOKUP(L$1,Sprints[],3,FALSE))-SUMPRODUCT((OFFSET(INDIRECT(CELL("address",INDEX('Leave Tracker'!$A$8:$A$92,MATCH($A27,'Leave Tracker'!$A$8:$A$92,0)))),0,31*(VLOOKUP(L$1,Sprints[],5,FALSE))+DAY(VLOOKUP(L$1,Sprints[],2,FALSE)),1,VLOOKUP(L$1,Sprints[],4,FALSE))&lt;&gt;"")*(IF(OFFSET(INDIRECT(CELL("address",INDEX('Leave Tracker'!$A$8:$A$92,MATCH($A27,'Leave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27" s="45">
        <f t="array" aca="1" ref="M27" ca="1">Sheet3!$W$2*$F27*(NETWORKDAYS(VLOOKUP(M$1,Sprints[],2,FALSE), VLOOKUP(M$1,Sprints[],3,FALSE))-SUMPRODUCT((OFFSET(INDIRECT(CELL("address",INDEX('Leave Tracker'!$A$8:$A$92,MATCH($A27,'Leave Tracker'!$A$8:$A$92,0)))),0,31*(VLOOKUP(M$1,Sprints[],5,FALSE))+DAY(VLOOKUP(M$1,Sprints[],2,FALSE)),1,VLOOKUP(M$1,Sprints[],4,FALSE))&lt;&gt;"")*(IF(OFFSET(INDIRECT(CELL("address",INDEX('Leave Tracker'!$A$8:$A$92,MATCH($A27,'Leave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27" s="45">
        <f t="array" aca="1" ref="N27" ca="1">Sheet3!$W$2*$F27*(NETWORKDAYS(VLOOKUP(N$1,Sprints[],2,FALSE), VLOOKUP(N$1,Sprints[],3,FALSE))-SUMPRODUCT((OFFSET(INDIRECT(CELL("address",INDEX('Leave Tracker'!$A$8:$A$92,MATCH($A27,'Leave Tracker'!$A$8:$A$92,0)))),0,31*(VLOOKUP(N$1,Sprints[],5,FALSE))+DAY(VLOOKUP(N$1,Sprints[],2,FALSE)),1,VLOOKUP(N$1,Sprints[],4,FALSE))&lt;&gt;"")*(IF(OFFSET(INDIRECT(CELL("address",INDEX('Leave Tracker'!$A$8:$A$92,MATCH($A27,'Leave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27" s="74">
        <f t="array" aca="1" ref="O27" ca="1">Sheet3!$W$2*$F27*(NETWORKDAYS(VLOOKUP(O$1,Sprints[],2,FALSE), VLOOKUP(O$1,Sprints[],3,FALSE))-SUMPRODUCT((OFFSET(INDIRECT(CELL("address",INDEX('Leave Tracker'!$A$8:$A$92,MATCH($A27,'Leave Tracker'!$A$8:$A$92,0)))),0,31*(VLOOKUP(O$1,Sprints[],5,FALSE))+DAY(VLOOKUP(O$1,Sprints[],2,FALSE)),1,VLOOKUP(O$1,Sprints[],4,FALSE))&lt;&gt;"")*(IF(OFFSET(INDIRECT(CELL("address",INDEX('Leave Tracker'!$A$8:$A$92,MATCH($A27,'Leave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28" spans="1:15" x14ac:dyDescent="0.45">
      <c r="A28" s="45" t="s">
        <v>90</v>
      </c>
      <c r="B28" s="45" t="s">
        <v>103</v>
      </c>
      <c r="C28" s="45" t="s">
        <v>105</v>
      </c>
      <c r="D28" s="45" t="s">
        <v>119</v>
      </c>
      <c r="E28" s="45" t="s">
        <v>111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Tracker'!$A$8:$A$92,MATCH($A28,'Leave Tracker'!$A$8:$A$92,0)))),0,31*(VLOOKUP(G$1,Sprints[],5,FALSE))+DAY(VLOOKUP(G$1,Sprints[],2,FALSE)),1,VLOOKUP(G$1,Sprints[],4,FALSE))&lt;&gt;"")*(IF(OFFSET(INDIRECT(CELL("address",INDEX('Leave Tracker'!$A$8:$A$92,MATCH($A28,'Leave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28" s="45">
        <f t="array" aca="1" ref="H28" ca="1">Sheet3!$W$2*$F28*(NETWORKDAYS(VLOOKUP(H$1,Sprints[],2,FALSE), VLOOKUP(H$1,Sprints[],3,FALSE))-SUMPRODUCT((OFFSET(INDIRECT(CELL("address",INDEX('Leave Tracker'!$A$8:$A$92,MATCH($A28,'Leave Tracker'!$A$8:$A$92,0)))),0,31*(VLOOKUP(H$1,Sprints[],5,FALSE))+DAY(VLOOKUP(H$1,Sprints[],2,FALSE)),1,VLOOKUP(H$1,Sprints[],4,FALSE))&lt;&gt;"")*(IF(OFFSET(INDIRECT(CELL("address",INDEX('Leave Tracker'!$A$8:$A$92,MATCH($A28,'Leave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28" s="45">
        <f t="array" aca="1" ref="I28" ca="1">Sheet3!$W$2*$F28*(NETWORKDAYS(VLOOKUP(I$1,Sprints[],2,FALSE), VLOOKUP(I$1,Sprints[],3,FALSE))-SUMPRODUCT((OFFSET(INDIRECT(CELL("address",INDEX('Leave Tracker'!$A$8:$A$92,MATCH($A28,'Leave Tracker'!$A$8:$A$92,0)))),0,31*(VLOOKUP(I$1,Sprints[],5,FALSE))+DAY(VLOOKUP(I$1,Sprints[],2,FALSE)),1,VLOOKUP(I$1,Sprints[],4,FALSE))&lt;&gt;"")*(IF(OFFSET(INDIRECT(CELL("address",INDEX('Leave Tracker'!$A$8:$A$92,MATCH($A28,'Leave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28" s="45">
        <f t="array" aca="1" ref="J28" ca="1">Sheet3!$W$2*$F28*(NETWORKDAYS(VLOOKUP(J$1,Sprints[],2,FALSE), VLOOKUP(J$1,Sprints[],3,FALSE))-SUMPRODUCT((OFFSET(INDIRECT(CELL("address",INDEX('Leave Tracker'!$A$8:$A$92,MATCH($A28,'Leave Tracker'!$A$8:$A$92,0)))),0,31*(VLOOKUP(J$1,Sprints[],5,FALSE))+DAY(VLOOKUP(J$1,Sprints[],2,FALSE)),1,VLOOKUP(J$1,Sprints[],4,FALSE))&lt;&gt;"")*(IF(OFFSET(INDIRECT(CELL("address",INDEX('Leave Tracker'!$A$8:$A$92,MATCH($A28,'Leave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28" s="45">
        <f t="array" aca="1" ref="K28" ca="1">Sheet3!$W$2*$F28*(NETWORKDAYS(VLOOKUP(K$1,Sprints[],2,FALSE), VLOOKUP(K$1,Sprints[],3,FALSE))-SUMPRODUCT((OFFSET(INDIRECT(CELL("address",INDEX('Leave Tracker'!$A$8:$A$92,MATCH($A28,'Leave Tracker'!$A$8:$A$92,0)))),0,31*(VLOOKUP(K$1,Sprints[],5,FALSE))+DAY(VLOOKUP(K$1,Sprints[],2,FALSE)),1,VLOOKUP(K$1,Sprints[],4,FALSE))&lt;&gt;"")*(IF(OFFSET(INDIRECT(CELL("address",INDEX('Leave Tracker'!$A$8:$A$92,MATCH($A28,'Leave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28" s="45">
        <f t="array" aca="1" ref="L28" ca="1">Sheet3!$W$2*$F28*(NETWORKDAYS(VLOOKUP(L$1,Sprints[],2,FALSE), VLOOKUP(L$1,Sprints[],3,FALSE))-SUMPRODUCT((OFFSET(INDIRECT(CELL("address",INDEX('Leave Tracker'!$A$8:$A$92,MATCH($A28,'Leave Tracker'!$A$8:$A$92,0)))),0,31*(VLOOKUP(L$1,Sprints[],5,FALSE))+DAY(VLOOKUP(L$1,Sprints[],2,FALSE)),1,VLOOKUP(L$1,Sprints[],4,FALSE))&lt;&gt;"")*(IF(OFFSET(INDIRECT(CELL("address",INDEX('Leave Tracker'!$A$8:$A$92,MATCH($A28,'Leave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28" s="45">
        <f t="array" aca="1" ref="M28" ca="1">Sheet3!$W$2*$F28*(NETWORKDAYS(VLOOKUP(M$1,Sprints[],2,FALSE), VLOOKUP(M$1,Sprints[],3,FALSE))-SUMPRODUCT((OFFSET(INDIRECT(CELL("address",INDEX('Leave Tracker'!$A$8:$A$92,MATCH($A28,'Leave Tracker'!$A$8:$A$92,0)))),0,31*(VLOOKUP(M$1,Sprints[],5,FALSE))+DAY(VLOOKUP(M$1,Sprints[],2,FALSE)),1,VLOOKUP(M$1,Sprints[],4,FALSE))&lt;&gt;"")*(IF(OFFSET(INDIRECT(CELL("address",INDEX('Leave Tracker'!$A$8:$A$92,MATCH($A28,'Leave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28" s="45">
        <f t="array" aca="1" ref="N28" ca="1">Sheet3!$W$2*$F28*(NETWORKDAYS(VLOOKUP(N$1,Sprints[],2,FALSE), VLOOKUP(N$1,Sprints[],3,FALSE))-SUMPRODUCT((OFFSET(INDIRECT(CELL("address",INDEX('Leave Tracker'!$A$8:$A$92,MATCH($A28,'Leave Tracker'!$A$8:$A$92,0)))),0,31*(VLOOKUP(N$1,Sprints[],5,FALSE))+DAY(VLOOKUP(N$1,Sprints[],2,FALSE)),1,VLOOKUP(N$1,Sprints[],4,FALSE))&lt;&gt;"")*(IF(OFFSET(INDIRECT(CELL("address",INDEX('Leave Tracker'!$A$8:$A$92,MATCH($A28,'Leave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28" s="74">
        <f t="array" aca="1" ref="O28" ca="1">Sheet3!$W$2*$F28*(NETWORKDAYS(VLOOKUP(O$1,Sprints[],2,FALSE), VLOOKUP(O$1,Sprints[],3,FALSE))-SUMPRODUCT((OFFSET(INDIRECT(CELL("address",INDEX('Leave Tracker'!$A$8:$A$92,MATCH($A28,'Leave Tracker'!$A$8:$A$92,0)))),0,31*(VLOOKUP(O$1,Sprints[],5,FALSE))+DAY(VLOOKUP(O$1,Sprints[],2,FALSE)),1,VLOOKUP(O$1,Sprints[],4,FALSE))&lt;&gt;"")*(IF(OFFSET(INDIRECT(CELL("address",INDEX('Leave Tracker'!$A$8:$A$92,MATCH($A28,'Leave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29" spans="1:15" x14ac:dyDescent="0.45">
      <c r="A29" t="s">
        <v>69</v>
      </c>
      <c r="B29" s="45" t="s">
        <v>100</v>
      </c>
      <c r="C29" s="45" t="s">
        <v>104</v>
      </c>
      <c r="D29" s="45" t="s">
        <v>120</v>
      </c>
      <c r="E29" s="45" t="s">
        <v>115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Tracker'!$A$8:$A$92,MATCH($A29,'Leave Tracker'!$A$8:$A$92,0)))),0,31*(VLOOKUP(G$1,Sprints[],5,FALSE))+DAY(VLOOKUP(G$1,Sprints[],2,FALSE)),1,VLOOKUP(G$1,Sprints[],4,FALSE))&lt;&gt;"")*(IF(OFFSET(INDIRECT(CELL("address",INDEX('Leave Tracker'!$A$8:$A$92,MATCH($A29,'Leave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29">
        <f t="array" aca="1" ref="H29" ca="1">Sheet3!$W$2*$F29*(NETWORKDAYS(VLOOKUP(H$1,Sprints[],2,FALSE), VLOOKUP(H$1,Sprints[],3,FALSE))-SUMPRODUCT((OFFSET(INDIRECT(CELL("address",INDEX('Leave Tracker'!$A$8:$A$92,MATCH($A29,'Leave Tracker'!$A$8:$A$92,0)))),0,31*(VLOOKUP(H$1,Sprints[],5,FALSE))+DAY(VLOOKUP(H$1,Sprints[],2,FALSE)),1,VLOOKUP(H$1,Sprints[],4,FALSE))&lt;&gt;"")*(IF(OFFSET(INDIRECT(CELL("address",INDEX('Leave Tracker'!$A$8:$A$92,MATCH($A29,'Leave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Tracker'!$A$8:$A$92,MATCH($A29,'Leave Tracker'!$A$8:$A$92,0)))),0,31*(VLOOKUP(I$1,Sprints[],5,FALSE))+DAY(VLOOKUP(I$1,Sprints[],2,FALSE)),1,VLOOKUP(I$1,Sprints[],4,FALSE))&lt;&gt;"")*(IF(OFFSET(INDIRECT(CELL("address",INDEX('Leave Tracker'!$A$8:$A$92,MATCH($A29,'Leave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29">
        <f t="array" aca="1" ref="J29" ca="1">Sheet3!$W$2*$F29*(NETWORKDAYS(VLOOKUP(J$1,Sprints[],2,FALSE), VLOOKUP(J$1,Sprints[],3,FALSE))-SUMPRODUCT((OFFSET(INDIRECT(CELL("address",INDEX('Leave Tracker'!$A$8:$A$92,MATCH($A29,'Leave Tracker'!$A$8:$A$92,0)))),0,31*(VLOOKUP(J$1,Sprints[],5,FALSE))+DAY(VLOOKUP(J$1,Sprints[],2,FALSE)),1,VLOOKUP(J$1,Sprints[],4,FALSE))&lt;&gt;"")*(IF(OFFSET(INDIRECT(CELL("address",INDEX('Leave Tracker'!$A$8:$A$92,MATCH($A29,'Leave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29">
        <f t="array" aca="1" ref="K29" ca="1">Sheet3!$W$2*$F29*(NETWORKDAYS(VLOOKUP(K$1,Sprints[],2,FALSE), VLOOKUP(K$1,Sprints[],3,FALSE))-SUMPRODUCT((OFFSET(INDIRECT(CELL("address",INDEX('Leave Tracker'!$A$8:$A$92,MATCH($A29,'Leave Tracker'!$A$8:$A$92,0)))),0,31*(VLOOKUP(K$1,Sprints[],5,FALSE))+DAY(VLOOKUP(K$1,Sprints[],2,FALSE)),1,VLOOKUP(K$1,Sprints[],4,FALSE))&lt;&gt;"")*(IF(OFFSET(INDIRECT(CELL("address",INDEX('Leave Tracker'!$A$8:$A$92,MATCH($A29,'Leave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29">
        <f t="array" aca="1" ref="L29" ca="1">Sheet3!$W$2*$F29*(NETWORKDAYS(VLOOKUP(L$1,Sprints[],2,FALSE), VLOOKUP(L$1,Sprints[],3,FALSE))-SUMPRODUCT((OFFSET(INDIRECT(CELL("address",INDEX('Leave Tracker'!$A$8:$A$92,MATCH($A29,'Leave Tracker'!$A$8:$A$92,0)))),0,31*(VLOOKUP(L$1,Sprints[],5,FALSE))+DAY(VLOOKUP(L$1,Sprints[],2,FALSE)),1,VLOOKUP(L$1,Sprints[],4,FALSE))&lt;&gt;"")*(IF(OFFSET(INDIRECT(CELL("address",INDEX('Leave Tracker'!$A$8:$A$92,MATCH($A29,'Leave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29" s="45">
        <f t="array" aca="1" ref="M29" ca="1">Sheet3!$W$2*$F29*(NETWORKDAYS(VLOOKUP(M$1,Sprints[],2,FALSE), VLOOKUP(M$1,Sprints[],3,FALSE))-SUMPRODUCT((OFFSET(INDIRECT(CELL("address",INDEX('Leave Tracker'!$A$8:$A$92,MATCH($A29,'Leave Tracker'!$A$8:$A$92,0)))),0,31*(VLOOKUP(M$1,Sprints[],5,FALSE))+DAY(VLOOKUP(M$1,Sprints[],2,FALSE)),1,VLOOKUP(M$1,Sprints[],4,FALSE))&lt;&gt;"")*(IF(OFFSET(INDIRECT(CELL("address",INDEX('Leave Tracker'!$A$8:$A$92,MATCH($A29,'Leave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29">
        <f t="array" aca="1" ref="N29" ca="1">Sheet3!$W$2*$F29*(NETWORKDAYS(VLOOKUP(N$1,Sprints[],2,FALSE), VLOOKUP(N$1,Sprints[],3,FALSE))-SUMPRODUCT((OFFSET(INDIRECT(CELL("address",INDEX('Leave Tracker'!$A$8:$A$92,MATCH($A29,'Leave Tracker'!$A$8:$A$92,0)))),0,31*(VLOOKUP(N$1,Sprints[],5,FALSE))+DAY(VLOOKUP(N$1,Sprints[],2,FALSE)),1,VLOOKUP(N$1,Sprints[],4,FALSE))&lt;&gt;"")*(IF(OFFSET(INDIRECT(CELL("address",INDEX('Leave Tracker'!$A$8:$A$92,MATCH($A29,'Leave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29" s="74">
        <f t="array" aca="1" ref="O29" ca="1">Sheet3!$W$2*$F29*(NETWORKDAYS(VLOOKUP(O$1,Sprints[],2,FALSE), VLOOKUP(O$1,Sprints[],3,FALSE))-SUMPRODUCT((OFFSET(INDIRECT(CELL("address",INDEX('Leave Tracker'!$A$8:$A$92,MATCH($A29,'Leave Tracker'!$A$8:$A$92,0)))),0,31*(VLOOKUP(O$1,Sprints[],5,FALSE))+DAY(VLOOKUP(O$1,Sprints[],2,FALSE)),1,VLOOKUP(O$1,Sprints[],4,FALSE))&lt;&gt;"")*(IF(OFFSET(INDIRECT(CELL("address",INDEX('Leave Tracker'!$A$8:$A$92,MATCH($A29,'Leave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30" spans="1:15" x14ac:dyDescent="0.45">
      <c r="A30" t="s">
        <v>73</v>
      </c>
      <c r="B30" s="45" t="s">
        <v>106</v>
      </c>
      <c r="C30" s="45" t="s">
        <v>104</v>
      </c>
      <c r="D30" s="45" t="s">
        <v>119</v>
      </c>
      <c r="E30" s="45" t="s">
        <v>113</v>
      </c>
      <c r="F30" s="47">
        <v>0.75</v>
      </c>
      <c r="G30" s="45">
        <f t="array" aca="1" ref="G30" ca="1">Sheet3!$W$2*$F30*(NETWORKDAYS(VLOOKUP(G$1,Sprints[],2,FALSE), VLOOKUP(G$1,Sprints[],3,FALSE))-SUMPRODUCT((OFFSET(INDIRECT(CELL("address",INDEX('Leave Tracker'!$A$8:$A$92,MATCH($A30,'Leave Tracker'!$A$8:$A$92,0)))),0,31*(VLOOKUP(G$1,Sprints[],5,FALSE))+DAY(VLOOKUP(G$1,Sprints[],2,FALSE)),1,VLOOKUP(G$1,Sprints[],4,FALSE))&lt;&gt;"")*(IF(OFFSET(INDIRECT(CELL("address",INDEX('Leave Tracker'!$A$8:$A$92,MATCH($A30,'Leave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30">
        <f t="array" aca="1" ref="H30" ca="1">Sheet3!$W$2*$F30*(NETWORKDAYS(VLOOKUP(H$1,Sprints[],2,FALSE), VLOOKUP(H$1,Sprints[],3,FALSE))-SUMPRODUCT((OFFSET(INDIRECT(CELL("address",INDEX('Leave Tracker'!$A$8:$A$92,MATCH($A30,'Leave Tracker'!$A$8:$A$92,0)))),0,31*(VLOOKUP(H$1,Sprints[],5,FALSE))+DAY(VLOOKUP(H$1,Sprints[],2,FALSE)),1,VLOOKUP(H$1,Sprints[],4,FALSE))&lt;&gt;"")*(IF(OFFSET(INDIRECT(CELL("address",INDEX('Leave Tracker'!$A$8:$A$92,MATCH($A30,'Leave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30">
        <f t="array" aca="1" ref="I30" ca="1">Sheet3!$W$2*$F30*(NETWORKDAYS(VLOOKUP(I$1,Sprints[],2,FALSE), VLOOKUP(I$1,Sprints[],3,FALSE))-SUMPRODUCT((OFFSET(INDIRECT(CELL("address",INDEX('Leave Tracker'!$A$8:$A$92,MATCH($A30,'Leave Tracker'!$A$8:$A$92,0)))),0,31*(VLOOKUP(I$1,Sprints[],5,FALSE))+DAY(VLOOKUP(I$1,Sprints[],2,FALSE)),1,VLOOKUP(I$1,Sprints[],4,FALSE))&lt;&gt;"")*(IF(OFFSET(INDIRECT(CELL("address",INDEX('Leave Tracker'!$A$8:$A$92,MATCH($A30,'Leave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30">
        <f t="array" aca="1" ref="J30" ca="1">Sheet3!$W$2*$F30*(NETWORKDAYS(VLOOKUP(J$1,Sprints[],2,FALSE), VLOOKUP(J$1,Sprints[],3,FALSE))-SUMPRODUCT((OFFSET(INDIRECT(CELL("address",INDEX('Leave Tracker'!$A$8:$A$92,MATCH($A30,'Leave Tracker'!$A$8:$A$92,0)))),0,31*(VLOOKUP(J$1,Sprints[],5,FALSE))+DAY(VLOOKUP(J$1,Sprints[],2,FALSE)),1,VLOOKUP(J$1,Sprints[],4,FALSE))&lt;&gt;"")*(IF(OFFSET(INDIRECT(CELL("address",INDEX('Leave Tracker'!$A$8:$A$92,MATCH($A30,'Leave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30">
        <f t="array" aca="1" ref="K30" ca="1">Sheet3!$W$2*$F30*(NETWORKDAYS(VLOOKUP(K$1,Sprints[],2,FALSE), VLOOKUP(K$1,Sprints[],3,FALSE))-SUMPRODUCT((OFFSET(INDIRECT(CELL("address",INDEX('Leave Tracker'!$A$8:$A$92,MATCH($A30,'Leave Tracker'!$A$8:$A$92,0)))),0,31*(VLOOKUP(K$1,Sprints[],5,FALSE))+DAY(VLOOKUP(K$1,Sprints[],2,FALSE)),1,VLOOKUP(K$1,Sprints[],4,FALSE))&lt;&gt;"")*(IF(OFFSET(INDIRECT(CELL("address",INDEX('Leave Tracker'!$A$8:$A$92,MATCH($A30,'Leave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30">
        <f t="array" aca="1" ref="L30" ca="1">Sheet3!$W$2*$F30*(NETWORKDAYS(VLOOKUP(L$1,Sprints[],2,FALSE), VLOOKUP(L$1,Sprints[],3,FALSE))-SUMPRODUCT((OFFSET(INDIRECT(CELL("address",INDEX('Leave Tracker'!$A$8:$A$92,MATCH($A30,'Leave Tracker'!$A$8:$A$92,0)))),0,31*(VLOOKUP(L$1,Sprints[],5,FALSE))+DAY(VLOOKUP(L$1,Sprints[],2,FALSE)),1,VLOOKUP(L$1,Sprints[],4,FALSE))&lt;&gt;"")*(IF(OFFSET(INDIRECT(CELL("address",INDEX('Leave Tracker'!$A$8:$A$92,MATCH($A30,'Leave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30" s="45">
        <f t="array" aca="1" ref="M30" ca="1">Sheet3!$W$2*$F30*(NETWORKDAYS(VLOOKUP(M$1,Sprints[],2,FALSE), VLOOKUP(M$1,Sprints[],3,FALSE))-SUMPRODUCT((OFFSET(INDIRECT(CELL("address",INDEX('Leave Tracker'!$A$8:$A$92,MATCH($A30,'Leave Tracker'!$A$8:$A$92,0)))),0,31*(VLOOKUP(M$1,Sprints[],5,FALSE))+DAY(VLOOKUP(M$1,Sprints[],2,FALSE)),1,VLOOKUP(M$1,Sprints[],4,FALSE))&lt;&gt;"")*(IF(OFFSET(INDIRECT(CELL("address",INDEX('Leave Tracker'!$A$8:$A$92,MATCH($A30,'Leave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30">
        <f t="array" aca="1" ref="N30" ca="1">Sheet3!$W$2*$F30*(NETWORKDAYS(VLOOKUP(N$1,Sprints[],2,FALSE), VLOOKUP(N$1,Sprints[],3,FALSE))-SUMPRODUCT((OFFSET(INDIRECT(CELL("address",INDEX('Leave Tracker'!$A$8:$A$92,MATCH($A30,'Leave Tracker'!$A$8:$A$92,0)))),0,31*(VLOOKUP(N$1,Sprints[],5,FALSE))+DAY(VLOOKUP(N$1,Sprints[],2,FALSE)),1,VLOOKUP(N$1,Sprints[],4,FALSE))&lt;&gt;"")*(IF(OFFSET(INDIRECT(CELL("address",INDEX('Leave Tracker'!$A$8:$A$92,MATCH($A30,'Leave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30" s="74">
        <f t="array" aca="1" ref="O30" ca="1">Sheet3!$W$2*$F30*(NETWORKDAYS(VLOOKUP(O$1,Sprints[],2,FALSE), VLOOKUP(O$1,Sprints[],3,FALSE))-SUMPRODUCT((OFFSET(INDIRECT(CELL("address",INDEX('Leave Tracker'!$A$8:$A$92,MATCH($A30,'Leave Tracker'!$A$8:$A$92,0)))),0,31*(VLOOKUP(O$1,Sprints[],5,FALSE))+DAY(VLOOKUP(O$1,Sprints[],2,FALSE)),1,VLOOKUP(O$1,Sprints[],4,FALSE))&lt;&gt;"")*(IF(OFFSET(INDIRECT(CELL("address",INDEX('Leave Tracker'!$A$8:$A$92,MATCH($A30,'Leave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31" spans="1:15" x14ac:dyDescent="0.45">
      <c r="A31" t="s">
        <v>93</v>
      </c>
      <c r="B31" s="45" t="s">
        <v>103</v>
      </c>
      <c r="C31" s="45" t="s">
        <v>105</v>
      </c>
      <c r="D31" s="45" t="s">
        <v>119</v>
      </c>
      <c r="E31" s="45" t="s">
        <v>112</v>
      </c>
      <c r="F31" s="47">
        <v>0.75</v>
      </c>
      <c r="G31" s="45">
        <f t="array" aca="1" ref="G31" ca="1">Sheet3!$W$2*$F31*(NETWORKDAYS(VLOOKUP(G$1,Sprints[],2,FALSE), VLOOKUP(G$1,Sprints[],3,FALSE))-SUMPRODUCT((OFFSET(INDIRECT(CELL("address",INDEX('Leave Tracker'!$A$8:$A$92,MATCH($A31,'Leave Tracker'!$A$8:$A$92,0)))),0,31*(VLOOKUP(G$1,Sprints[],5,FALSE))+DAY(VLOOKUP(G$1,Sprints[],2,FALSE)),1,VLOOKUP(G$1,Sprints[],4,FALSE))&lt;&gt;"")*(IF(OFFSET(INDIRECT(CELL("address",INDEX('Leave Tracker'!$A$8:$A$92,MATCH($A31,'Leave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31">
        <f t="array" aca="1" ref="H31" ca="1">Sheet3!$W$2*$F31*(NETWORKDAYS(VLOOKUP(H$1,Sprints[],2,FALSE), VLOOKUP(H$1,Sprints[],3,FALSE))-SUMPRODUCT((OFFSET(INDIRECT(CELL("address",INDEX('Leave Tracker'!$A$8:$A$92,MATCH($A31,'Leave Tracker'!$A$8:$A$92,0)))),0,31*(VLOOKUP(H$1,Sprints[],5,FALSE))+DAY(VLOOKUP(H$1,Sprints[],2,FALSE)),1,VLOOKUP(H$1,Sprints[],4,FALSE))&lt;&gt;"")*(IF(OFFSET(INDIRECT(CELL("address",INDEX('Leave Tracker'!$A$8:$A$92,MATCH($A31,'Leave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31">
        <f t="array" aca="1" ref="I31" ca="1">Sheet3!$W$2*$F31*(NETWORKDAYS(VLOOKUP(I$1,Sprints[],2,FALSE), VLOOKUP(I$1,Sprints[],3,FALSE))-SUMPRODUCT((OFFSET(INDIRECT(CELL("address",INDEX('Leave Tracker'!$A$8:$A$92,MATCH($A31,'Leave Tracker'!$A$8:$A$92,0)))),0,31*(VLOOKUP(I$1,Sprints[],5,FALSE))+DAY(VLOOKUP(I$1,Sprints[],2,FALSE)),1,VLOOKUP(I$1,Sprints[],4,FALSE))&lt;&gt;"")*(IF(OFFSET(INDIRECT(CELL("address",INDEX('Leave Tracker'!$A$8:$A$92,MATCH($A31,'Leave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31">
        <f t="array" aca="1" ref="J31" ca="1">Sheet3!$W$2*$F31*(NETWORKDAYS(VLOOKUP(J$1,Sprints[],2,FALSE), VLOOKUP(J$1,Sprints[],3,FALSE))-SUMPRODUCT((OFFSET(INDIRECT(CELL("address",INDEX('Leave Tracker'!$A$8:$A$92,MATCH($A31,'Leave Tracker'!$A$8:$A$92,0)))),0,31*(VLOOKUP(J$1,Sprints[],5,FALSE))+DAY(VLOOKUP(J$1,Sprints[],2,FALSE)),1,VLOOKUP(J$1,Sprints[],4,FALSE))&lt;&gt;"")*(IF(OFFSET(INDIRECT(CELL("address",INDEX('Leave Tracker'!$A$8:$A$92,MATCH($A31,'Leave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31">
        <f t="array" aca="1" ref="K31" ca="1">Sheet3!$W$2*$F31*(NETWORKDAYS(VLOOKUP(K$1,Sprints[],2,FALSE), VLOOKUP(K$1,Sprints[],3,FALSE))-SUMPRODUCT((OFFSET(INDIRECT(CELL("address",INDEX('Leave Tracker'!$A$8:$A$92,MATCH($A31,'Leave Tracker'!$A$8:$A$92,0)))),0,31*(VLOOKUP(K$1,Sprints[],5,FALSE))+DAY(VLOOKUP(K$1,Sprints[],2,FALSE)),1,VLOOKUP(K$1,Sprints[],4,FALSE))&lt;&gt;"")*(IF(OFFSET(INDIRECT(CELL("address",INDEX('Leave Tracker'!$A$8:$A$92,MATCH($A31,'Leave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31">
        <f t="array" aca="1" ref="L31" ca="1">Sheet3!$W$2*$F31*(NETWORKDAYS(VLOOKUP(L$1,Sprints[],2,FALSE), VLOOKUP(L$1,Sprints[],3,FALSE))-SUMPRODUCT((OFFSET(INDIRECT(CELL("address",INDEX('Leave Tracker'!$A$8:$A$92,MATCH($A31,'Leave Tracker'!$A$8:$A$92,0)))),0,31*(VLOOKUP(L$1,Sprints[],5,FALSE))+DAY(VLOOKUP(L$1,Sprints[],2,FALSE)),1,VLOOKUP(L$1,Sprints[],4,FALSE))&lt;&gt;"")*(IF(OFFSET(INDIRECT(CELL("address",INDEX('Leave Tracker'!$A$8:$A$92,MATCH($A31,'Leave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31" s="45">
        <f t="array" aca="1" ref="M31" ca="1">Sheet3!$W$2*$F31*(NETWORKDAYS(VLOOKUP(M$1,Sprints[],2,FALSE), VLOOKUP(M$1,Sprints[],3,FALSE))-SUMPRODUCT((OFFSET(INDIRECT(CELL("address",INDEX('Leave Tracker'!$A$8:$A$92,MATCH($A31,'Leave Tracker'!$A$8:$A$92,0)))),0,31*(VLOOKUP(M$1,Sprints[],5,FALSE))+DAY(VLOOKUP(M$1,Sprints[],2,FALSE)),1,VLOOKUP(M$1,Sprints[],4,FALSE))&lt;&gt;"")*(IF(OFFSET(INDIRECT(CELL("address",INDEX('Leave Tracker'!$A$8:$A$92,MATCH($A31,'Leave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31">
        <f t="array" aca="1" ref="N31" ca="1">Sheet3!$W$2*$F31*(NETWORKDAYS(VLOOKUP(N$1,Sprints[],2,FALSE), VLOOKUP(N$1,Sprints[],3,FALSE))-SUMPRODUCT((OFFSET(INDIRECT(CELL("address",INDEX('Leave Tracker'!$A$8:$A$92,MATCH($A31,'Leave Tracker'!$A$8:$A$92,0)))),0,31*(VLOOKUP(N$1,Sprints[],5,FALSE))+DAY(VLOOKUP(N$1,Sprints[],2,FALSE)),1,VLOOKUP(N$1,Sprints[],4,FALSE))&lt;&gt;"")*(IF(OFFSET(INDIRECT(CELL("address",INDEX('Leave Tracker'!$A$8:$A$92,MATCH($A31,'Leave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31" s="74">
        <f t="array" aca="1" ref="O31" ca="1">Sheet3!$W$2*$F31*(NETWORKDAYS(VLOOKUP(O$1,Sprints[],2,FALSE), VLOOKUP(O$1,Sprints[],3,FALSE))-SUMPRODUCT((OFFSET(INDIRECT(CELL("address",INDEX('Leave Tracker'!$A$8:$A$92,MATCH($A31,'Leave Tracker'!$A$8:$A$92,0)))),0,31*(VLOOKUP(O$1,Sprints[],5,FALSE))+DAY(VLOOKUP(O$1,Sprints[],2,FALSE)),1,VLOOKUP(O$1,Sprints[],4,FALSE))&lt;&gt;"")*(IF(OFFSET(INDIRECT(CELL("address",INDEX('Leave Tracker'!$A$8:$A$92,MATCH($A31,'Leave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32" spans="1:15" x14ac:dyDescent="0.45">
      <c r="A32" t="s">
        <v>70</v>
      </c>
      <c r="B32" s="45" t="s">
        <v>106</v>
      </c>
      <c r="C32" s="45" t="s">
        <v>104</v>
      </c>
      <c r="D32" s="45" t="s">
        <v>108</v>
      </c>
      <c r="E32" s="45" t="s">
        <v>113</v>
      </c>
      <c r="F32" s="47">
        <v>0.15</v>
      </c>
      <c r="G32" s="45">
        <f t="array" aca="1" ref="G32" ca="1">Sheet3!$W$2*$F32*(NETWORKDAYS(VLOOKUP(G$1,Sprints[],2,FALSE), VLOOKUP(G$1,Sprints[],3,FALSE))-SUMPRODUCT((OFFSET(INDIRECT(CELL("address",INDEX('Leave Tracker'!$A$8:$A$92,MATCH($A32,'Leave Tracker'!$A$8:$A$92,0)))),0,31*(VLOOKUP(G$1,Sprints[],5,FALSE))+DAY(VLOOKUP(G$1,Sprints[],2,FALSE)),1,VLOOKUP(G$1,Sprints[],4,FALSE))&lt;&gt;"")*(IF(OFFSET(INDIRECT(CELL("address",INDEX('Leave Tracker'!$A$8:$A$92,MATCH($A32,'Leave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0.6</v>
      </c>
      <c r="H32">
        <f t="array" aca="1" ref="H32" ca="1">Sheet3!$W$2*$F32*(NETWORKDAYS(VLOOKUP(H$1,Sprints[],2,FALSE), VLOOKUP(H$1,Sprints[],3,FALSE))-SUMPRODUCT((OFFSET(INDIRECT(CELL("address",INDEX('Leave Tracker'!$A$8:$A$92,MATCH($A32,'Leave Tracker'!$A$8:$A$92,0)))),0,31*(VLOOKUP(H$1,Sprints[],5,FALSE))+DAY(VLOOKUP(H$1,Sprints[],2,FALSE)),1,VLOOKUP(H$1,Sprints[],4,FALSE))&lt;&gt;"")*(IF(OFFSET(INDIRECT(CELL("address",INDEX('Leave Tracker'!$A$8:$A$92,MATCH($A32,'Leave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1.2</v>
      </c>
      <c r="I32">
        <f t="array" aca="1" ref="I32" ca="1">Sheet3!$W$2*$F32*(NETWORKDAYS(VLOOKUP(I$1,Sprints[],2,FALSE), VLOOKUP(I$1,Sprints[],3,FALSE))-SUMPRODUCT((OFFSET(INDIRECT(CELL("address",INDEX('Leave Tracker'!$A$8:$A$92,MATCH($A32,'Leave Tracker'!$A$8:$A$92,0)))),0,31*(VLOOKUP(I$1,Sprints[],5,FALSE))+DAY(VLOOKUP(I$1,Sprints[],2,FALSE)),1,VLOOKUP(I$1,Sprints[],4,FALSE))&lt;&gt;"")*(IF(OFFSET(INDIRECT(CELL("address",INDEX('Leave Tracker'!$A$8:$A$92,MATCH($A32,'Leave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1.2</v>
      </c>
      <c r="J32">
        <f t="array" aca="1" ref="J32" ca="1">Sheet3!$W$2*$F32*(NETWORKDAYS(VLOOKUP(J$1,Sprints[],2,FALSE), VLOOKUP(J$1,Sprints[],3,FALSE))-SUMPRODUCT((OFFSET(INDIRECT(CELL("address",INDEX('Leave Tracker'!$A$8:$A$92,MATCH($A32,'Leave Tracker'!$A$8:$A$92,0)))),0,31*(VLOOKUP(J$1,Sprints[],5,FALSE))+DAY(VLOOKUP(J$1,Sprints[],2,FALSE)),1,VLOOKUP(J$1,Sprints[],4,FALSE))&lt;&gt;"")*(IF(OFFSET(INDIRECT(CELL("address",INDEX('Leave Tracker'!$A$8:$A$92,MATCH($A32,'Leave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1.2</v>
      </c>
      <c r="K32">
        <f t="array" aca="1" ref="K32" ca="1">Sheet3!$W$2*$F32*(NETWORKDAYS(VLOOKUP(K$1,Sprints[],2,FALSE), VLOOKUP(K$1,Sprints[],3,FALSE))-SUMPRODUCT((OFFSET(INDIRECT(CELL("address",INDEX('Leave Tracker'!$A$8:$A$92,MATCH($A32,'Leave Tracker'!$A$8:$A$92,0)))),0,31*(VLOOKUP(K$1,Sprints[],5,FALSE))+DAY(VLOOKUP(K$1,Sprints[],2,FALSE)),1,VLOOKUP(K$1,Sprints[],4,FALSE))&lt;&gt;"")*(IF(OFFSET(INDIRECT(CELL("address",INDEX('Leave Tracker'!$A$8:$A$92,MATCH($A32,'Leave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1.2</v>
      </c>
      <c r="L32">
        <f t="array" aca="1" ref="L32" ca="1">Sheet3!$W$2*$F32*(NETWORKDAYS(VLOOKUP(L$1,Sprints[],2,FALSE), VLOOKUP(L$1,Sprints[],3,FALSE))-SUMPRODUCT((OFFSET(INDIRECT(CELL("address",INDEX('Leave Tracker'!$A$8:$A$92,MATCH($A32,'Leave Tracker'!$A$8:$A$92,0)))),0,31*(VLOOKUP(L$1,Sprints[],5,FALSE))+DAY(VLOOKUP(L$1,Sprints[],2,FALSE)),1,VLOOKUP(L$1,Sprints[],4,FALSE))&lt;&gt;"")*(IF(OFFSET(INDIRECT(CELL("address",INDEX('Leave Tracker'!$A$8:$A$92,MATCH($A32,'Leave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0.84</v>
      </c>
      <c r="M32" s="45">
        <f t="array" aca="1" ref="M32" ca="1">Sheet3!$W$2*$F32*(NETWORKDAYS(VLOOKUP(M$1,Sprints[],2,FALSE), VLOOKUP(M$1,Sprints[],3,FALSE))-SUMPRODUCT((OFFSET(INDIRECT(CELL("address",INDEX('Leave Tracker'!$A$8:$A$92,MATCH($A32,'Leave Tracker'!$A$8:$A$92,0)))),0,31*(VLOOKUP(M$1,Sprints[],5,FALSE))+DAY(VLOOKUP(M$1,Sprints[],2,FALSE)),1,VLOOKUP(M$1,Sprints[],4,FALSE))&lt;&gt;"")*(IF(OFFSET(INDIRECT(CELL("address",INDEX('Leave Tracker'!$A$8:$A$92,MATCH($A32,'Leave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1.2</v>
      </c>
      <c r="N32">
        <f t="array" aca="1" ref="N32" ca="1">Sheet3!$W$2*$F32*(NETWORKDAYS(VLOOKUP(N$1,Sprints[],2,FALSE), VLOOKUP(N$1,Sprints[],3,FALSE))-SUMPRODUCT((OFFSET(INDIRECT(CELL("address",INDEX('Leave Tracker'!$A$8:$A$92,MATCH($A32,'Leave Tracker'!$A$8:$A$92,0)))),0,31*(VLOOKUP(N$1,Sprints[],5,FALSE))+DAY(VLOOKUP(N$1,Sprints[],2,FALSE)),1,VLOOKUP(N$1,Sprints[],4,FALSE))&lt;&gt;"")*(IF(OFFSET(INDIRECT(CELL("address",INDEX('Leave Tracker'!$A$8:$A$92,MATCH($A32,'Leave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0.6</v>
      </c>
      <c r="O32" s="74">
        <f t="array" aca="1" ref="O32" ca="1">Sheet3!$W$2*$F32*(NETWORKDAYS(VLOOKUP(O$1,Sprints[],2,FALSE), VLOOKUP(O$1,Sprints[],3,FALSE))-SUMPRODUCT((OFFSET(INDIRECT(CELL("address",INDEX('Leave Tracker'!$A$8:$A$92,MATCH($A32,'Leave Tracker'!$A$8:$A$92,0)))),0,31*(VLOOKUP(O$1,Sprints[],5,FALSE))+DAY(VLOOKUP(O$1,Sprints[],2,FALSE)),1,VLOOKUP(O$1,Sprints[],4,FALSE))&lt;&gt;"")*(IF(OFFSET(INDIRECT(CELL("address",INDEX('Leave Tracker'!$A$8:$A$92,MATCH($A32,'Leave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8.0399999999999991</v>
      </c>
    </row>
    <row r="33" spans="1:15" x14ac:dyDescent="0.45">
      <c r="A33" t="s">
        <v>76</v>
      </c>
      <c r="B33" s="45" t="s">
        <v>106</v>
      </c>
      <c r="C33" s="45" t="s">
        <v>104</v>
      </c>
      <c r="D33" s="45" t="s">
        <v>119</v>
      </c>
      <c r="E33" s="45" t="s">
        <v>113</v>
      </c>
      <c r="F33" s="47">
        <v>0.75</v>
      </c>
      <c r="G33" s="45">
        <f t="array" aca="1" ref="G33" ca="1">Sheet3!$W$2*$F33*(NETWORKDAYS(VLOOKUP(G$1,Sprints[],2,FALSE), VLOOKUP(G$1,Sprints[],3,FALSE))-SUMPRODUCT((OFFSET(INDIRECT(CELL("address",INDEX('Leave Tracker'!$A$8:$A$92,MATCH($A33,'Leave Tracker'!$A$8:$A$92,0)))),0,31*(VLOOKUP(G$1,Sprints[],5,FALSE))+DAY(VLOOKUP(G$1,Sprints[],2,FALSE)),1,VLOOKUP(G$1,Sprints[],4,FALSE))&lt;&gt;"")*(IF(OFFSET(INDIRECT(CELL("address",INDEX('Leave Tracker'!$A$8:$A$92,MATCH($A33,'Leave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33">
        <f t="array" aca="1" ref="H33" ca="1">Sheet3!$W$2*$F33*(NETWORKDAYS(VLOOKUP(H$1,Sprints[],2,FALSE), VLOOKUP(H$1,Sprints[],3,FALSE))-SUMPRODUCT((OFFSET(INDIRECT(CELL("address",INDEX('Leave Tracker'!$A$8:$A$92,MATCH($A33,'Leave Tracker'!$A$8:$A$92,0)))),0,31*(VLOOKUP(H$1,Sprints[],5,FALSE))+DAY(VLOOKUP(H$1,Sprints[],2,FALSE)),1,VLOOKUP(H$1,Sprints[],4,FALSE))&lt;&gt;"")*(IF(OFFSET(INDIRECT(CELL("address",INDEX('Leave Tracker'!$A$8:$A$92,MATCH($A33,'Leave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33">
        <f t="array" aca="1" ref="I33" ca="1">Sheet3!$W$2*$F33*(NETWORKDAYS(VLOOKUP(I$1,Sprints[],2,FALSE), VLOOKUP(I$1,Sprints[],3,FALSE))-SUMPRODUCT((OFFSET(INDIRECT(CELL("address",INDEX('Leave Tracker'!$A$8:$A$92,MATCH($A33,'Leave Tracker'!$A$8:$A$92,0)))),0,31*(VLOOKUP(I$1,Sprints[],5,FALSE))+DAY(VLOOKUP(I$1,Sprints[],2,FALSE)),1,VLOOKUP(I$1,Sprints[],4,FALSE))&lt;&gt;"")*(IF(OFFSET(INDIRECT(CELL("address",INDEX('Leave Tracker'!$A$8:$A$92,MATCH($A33,'Leave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33">
        <f t="array" aca="1" ref="J33" ca="1">Sheet3!$W$2*$F33*(NETWORKDAYS(VLOOKUP(J$1,Sprints[],2,FALSE), VLOOKUP(J$1,Sprints[],3,FALSE))-SUMPRODUCT((OFFSET(INDIRECT(CELL("address",INDEX('Leave Tracker'!$A$8:$A$92,MATCH($A33,'Leave Tracker'!$A$8:$A$92,0)))),0,31*(VLOOKUP(J$1,Sprints[],5,FALSE))+DAY(VLOOKUP(J$1,Sprints[],2,FALSE)),1,VLOOKUP(J$1,Sprints[],4,FALSE))&lt;&gt;"")*(IF(OFFSET(INDIRECT(CELL("address",INDEX('Leave Tracker'!$A$8:$A$92,MATCH($A33,'Leave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33">
        <f t="array" aca="1" ref="K33" ca="1">Sheet3!$W$2*$F33*(NETWORKDAYS(VLOOKUP(K$1,Sprints[],2,FALSE), VLOOKUP(K$1,Sprints[],3,FALSE))-SUMPRODUCT((OFFSET(INDIRECT(CELL("address",INDEX('Leave Tracker'!$A$8:$A$92,MATCH($A33,'Leave Tracker'!$A$8:$A$92,0)))),0,31*(VLOOKUP(K$1,Sprints[],5,FALSE))+DAY(VLOOKUP(K$1,Sprints[],2,FALSE)),1,VLOOKUP(K$1,Sprints[],4,FALSE))&lt;&gt;"")*(IF(OFFSET(INDIRECT(CELL("address",INDEX('Leave Tracker'!$A$8:$A$92,MATCH($A33,'Leave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33">
        <f t="array" aca="1" ref="L33" ca="1">Sheet3!$W$2*$F33*(NETWORKDAYS(VLOOKUP(L$1,Sprints[],2,FALSE), VLOOKUP(L$1,Sprints[],3,FALSE))-SUMPRODUCT((OFFSET(INDIRECT(CELL("address",INDEX('Leave Tracker'!$A$8:$A$92,MATCH($A33,'Leave Tracker'!$A$8:$A$92,0)))),0,31*(VLOOKUP(L$1,Sprints[],5,FALSE))+DAY(VLOOKUP(L$1,Sprints[],2,FALSE)),1,VLOOKUP(L$1,Sprints[],4,FALSE))&lt;&gt;"")*(IF(OFFSET(INDIRECT(CELL("address",INDEX('Leave Tracker'!$A$8:$A$92,MATCH($A33,'Leave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33" s="45">
        <f t="array" aca="1" ref="M33" ca="1">Sheet3!$W$2*$F33*(NETWORKDAYS(VLOOKUP(M$1,Sprints[],2,FALSE), VLOOKUP(M$1,Sprints[],3,FALSE))-SUMPRODUCT((OFFSET(INDIRECT(CELL("address",INDEX('Leave Tracker'!$A$8:$A$92,MATCH($A33,'Leave Tracker'!$A$8:$A$92,0)))),0,31*(VLOOKUP(M$1,Sprints[],5,FALSE))+DAY(VLOOKUP(M$1,Sprints[],2,FALSE)),1,VLOOKUP(M$1,Sprints[],4,FALSE))&lt;&gt;"")*(IF(OFFSET(INDIRECT(CELL("address",INDEX('Leave Tracker'!$A$8:$A$92,MATCH($A33,'Leave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33">
        <f t="array" aca="1" ref="N33" ca="1">Sheet3!$W$2*$F33*(NETWORKDAYS(VLOOKUP(N$1,Sprints[],2,FALSE), VLOOKUP(N$1,Sprints[],3,FALSE))-SUMPRODUCT((OFFSET(INDIRECT(CELL("address",INDEX('Leave Tracker'!$A$8:$A$92,MATCH($A33,'Leave Tracker'!$A$8:$A$92,0)))),0,31*(VLOOKUP(N$1,Sprints[],5,FALSE))+DAY(VLOOKUP(N$1,Sprints[],2,FALSE)),1,VLOOKUP(N$1,Sprints[],4,FALSE))&lt;&gt;"")*(IF(OFFSET(INDIRECT(CELL("address",INDEX('Leave Tracker'!$A$8:$A$92,MATCH($A33,'Leave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33" s="74">
        <f t="array" aca="1" ref="O33" ca="1">Sheet3!$W$2*$F33*(NETWORKDAYS(VLOOKUP(O$1,Sprints[],2,FALSE), VLOOKUP(O$1,Sprints[],3,FALSE))-SUMPRODUCT((OFFSET(INDIRECT(CELL("address",INDEX('Leave Tracker'!$A$8:$A$92,MATCH($A33,'Leave Tracker'!$A$8:$A$92,0)))),0,31*(VLOOKUP(O$1,Sprints[],5,FALSE))+DAY(VLOOKUP(O$1,Sprints[],2,FALSE)),1,VLOOKUP(O$1,Sprints[],4,FALSE))&lt;&gt;"")*(IF(OFFSET(INDIRECT(CELL("address",INDEX('Leave Tracker'!$A$8:$A$92,MATCH($A33,'Leave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34" spans="1:15" x14ac:dyDescent="0.45">
      <c r="A34" t="s">
        <v>96</v>
      </c>
      <c r="B34" s="45" t="s">
        <v>103</v>
      </c>
      <c r="C34" s="45" t="s">
        <v>105</v>
      </c>
      <c r="D34" s="45" t="s">
        <v>119</v>
      </c>
      <c r="E34" s="45" t="s">
        <v>112</v>
      </c>
      <c r="F34" s="47">
        <v>0.75</v>
      </c>
      <c r="G34" s="45">
        <f t="array" aca="1" ref="G34" ca="1">Sheet3!$W$2*$F34*(NETWORKDAYS(VLOOKUP(G$1,Sprints[],2,FALSE), VLOOKUP(G$1,Sprints[],3,FALSE))-SUMPRODUCT((OFFSET(INDIRECT(CELL("address",INDEX('Leave Tracker'!$A$8:$A$92,MATCH($A34,'Leave Tracker'!$A$8:$A$92,0)))),0,31*(VLOOKUP(G$1,Sprints[],5,FALSE))+DAY(VLOOKUP(G$1,Sprints[],2,FALSE)),1,VLOOKUP(G$1,Sprints[],4,FALSE))&lt;&gt;"")*(IF(OFFSET(INDIRECT(CELL("address",INDEX('Leave Tracker'!$A$8:$A$92,MATCH($A34,'Leave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34">
        <f t="array" aca="1" ref="H34" ca="1">Sheet3!$W$2*$F34*(NETWORKDAYS(VLOOKUP(H$1,Sprints[],2,FALSE), VLOOKUP(H$1,Sprints[],3,FALSE))-SUMPRODUCT((OFFSET(INDIRECT(CELL("address",INDEX('Leave Tracker'!$A$8:$A$92,MATCH($A34,'Leave Tracker'!$A$8:$A$92,0)))),0,31*(VLOOKUP(H$1,Sprints[],5,FALSE))+DAY(VLOOKUP(H$1,Sprints[],2,FALSE)),1,VLOOKUP(H$1,Sprints[],4,FALSE))&lt;&gt;"")*(IF(OFFSET(INDIRECT(CELL("address",INDEX('Leave Tracker'!$A$8:$A$92,MATCH($A34,'Leave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34">
        <f t="array" aca="1" ref="I34" ca="1">Sheet3!$W$2*$F34*(NETWORKDAYS(VLOOKUP(I$1,Sprints[],2,FALSE), VLOOKUP(I$1,Sprints[],3,FALSE))-SUMPRODUCT((OFFSET(INDIRECT(CELL("address",INDEX('Leave Tracker'!$A$8:$A$92,MATCH($A34,'Leave Tracker'!$A$8:$A$92,0)))),0,31*(VLOOKUP(I$1,Sprints[],5,FALSE))+DAY(VLOOKUP(I$1,Sprints[],2,FALSE)),1,VLOOKUP(I$1,Sprints[],4,FALSE))&lt;&gt;"")*(IF(OFFSET(INDIRECT(CELL("address",INDEX('Leave Tracker'!$A$8:$A$92,MATCH($A34,'Leave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34">
        <f t="array" aca="1" ref="J34" ca="1">Sheet3!$W$2*$F34*(NETWORKDAYS(VLOOKUP(J$1,Sprints[],2,FALSE), VLOOKUP(J$1,Sprints[],3,FALSE))-SUMPRODUCT((OFFSET(INDIRECT(CELL("address",INDEX('Leave Tracker'!$A$8:$A$92,MATCH($A34,'Leave Tracker'!$A$8:$A$92,0)))),0,31*(VLOOKUP(J$1,Sprints[],5,FALSE))+DAY(VLOOKUP(J$1,Sprints[],2,FALSE)),1,VLOOKUP(J$1,Sprints[],4,FALSE))&lt;&gt;"")*(IF(OFFSET(INDIRECT(CELL("address",INDEX('Leave Tracker'!$A$8:$A$92,MATCH($A34,'Leave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34">
        <f t="array" aca="1" ref="K34" ca="1">Sheet3!$W$2*$F34*(NETWORKDAYS(VLOOKUP(K$1,Sprints[],2,FALSE), VLOOKUP(K$1,Sprints[],3,FALSE))-SUMPRODUCT((OFFSET(INDIRECT(CELL("address",INDEX('Leave Tracker'!$A$8:$A$92,MATCH($A34,'Leave Tracker'!$A$8:$A$92,0)))),0,31*(VLOOKUP(K$1,Sprints[],5,FALSE))+DAY(VLOOKUP(K$1,Sprints[],2,FALSE)),1,VLOOKUP(K$1,Sprints[],4,FALSE))&lt;&gt;"")*(IF(OFFSET(INDIRECT(CELL("address",INDEX('Leave Tracker'!$A$8:$A$92,MATCH($A34,'Leave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34">
        <f t="array" aca="1" ref="L34" ca="1">Sheet3!$W$2*$F34*(NETWORKDAYS(VLOOKUP(L$1,Sprints[],2,FALSE), VLOOKUP(L$1,Sprints[],3,FALSE))-SUMPRODUCT((OFFSET(INDIRECT(CELL("address",INDEX('Leave Tracker'!$A$8:$A$92,MATCH($A34,'Leave Tracker'!$A$8:$A$92,0)))),0,31*(VLOOKUP(L$1,Sprints[],5,FALSE))+DAY(VLOOKUP(L$1,Sprints[],2,FALSE)),1,VLOOKUP(L$1,Sprints[],4,FALSE))&lt;&gt;"")*(IF(OFFSET(INDIRECT(CELL("address",INDEX('Leave Tracker'!$A$8:$A$92,MATCH($A34,'Leave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34" s="45">
        <f t="array" aca="1" ref="M34" ca="1">Sheet3!$W$2*$F34*(NETWORKDAYS(VLOOKUP(M$1,Sprints[],2,FALSE), VLOOKUP(M$1,Sprints[],3,FALSE))-SUMPRODUCT((OFFSET(INDIRECT(CELL("address",INDEX('Leave Tracker'!$A$8:$A$92,MATCH($A34,'Leave Tracker'!$A$8:$A$92,0)))),0,31*(VLOOKUP(M$1,Sprints[],5,FALSE))+DAY(VLOOKUP(M$1,Sprints[],2,FALSE)),1,VLOOKUP(M$1,Sprints[],4,FALSE))&lt;&gt;"")*(IF(OFFSET(INDIRECT(CELL("address",INDEX('Leave Tracker'!$A$8:$A$92,MATCH($A34,'Leave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34">
        <f t="array" aca="1" ref="N34" ca="1">Sheet3!$W$2*$F34*(NETWORKDAYS(VLOOKUP(N$1,Sprints[],2,FALSE), VLOOKUP(N$1,Sprints[],3,FALSE))-SUMPRODUCT((OFFSET(INDIRECT(CELL("address",INDEX('Leave Tracker'!$A$8:$A$92,MATCH($A34,'Leave Tracker'!$A$8:$A$92,0)))),0,31*(VLOOKUP(N$1,Sprints[],5,FALSE))+DAY(VLOOKUP(N$1,Sprints[],2,FALSE)),1,VLOOKUP(N$1,Sprints[],4,FALSE))&lt;&gt;"")*(IF(OFFSET(INDIRECT(CELL("address",INDEX('Leave Tracker'!$A$8:$A$92,MATCH($A34,'Leave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34" s="74">
        <f t="array" aca="1" ref="O34" ca="1">Sheet3!$W$2*$F34*(NETWORKDAYS(VLOOKUP(O$1,Sprints[],2,FALSE), VLOOKUP(O$1,Sprints[],3,FALSE))-SUMPRODUCT((OFFSET(INDIRECT(CELL("address",INDEX('Leave Tracker'!$A$8:$A$92,MATCH($A34,'Leave Tracker'!$A$8:$A$92,0)))),0,31*(VLOOKUP(O$1,Sprints[],5,FALSE))+DAY(VLOOKUP(O$1,Sprints[],2,FALSE)),1,VLOOKUP(O$1,Sprints[],4,FALSE))&lt;&gt;"")*(IF(OFFSET(INDIRECT(CELL("address",INDEX('Leave Tracker'!$A$8:$A$92,MATCH($A34,'Leave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35" spans="1:15" x14ac:dyDescent="0.45">
      <c r="A35" t="s">
        <v>137</v>
      </c>
      <c r="B35" s="45" t="s">
        <v>106</v>
      </c>
      <c r="C35" s="45" t="s">
        <v>105</v>
      </c>
      <c r="D35" s="45" t="s">
        <v>120</v>
      </c>
      <c r="E35" s="45" t="s">
        <v>115</v>
      </c>
      <c r="F35" s="47">
        <v>0.15</v>
      </c>
      <c r="G35" s="31">
        <f t="array" aca="1" ref="G35" ca="1">Sheet3!$W$2*$F35*(NETWORKDAYS(VLOOKUP(G$1,Sprints[],2,FALSE), VLOOKUP(G$1,Sprints[],3,FALSE))-SUMPRODUCT((OFFSET(INDIRECT(CELL("address",INDEX('Leave Tracker'!$A$8:$A$92,MATCH($A35,'Leave Tracker'!$A$8:$A$92,0)))),0,31*(VLOOKUP(G$1,Sprints[],5,FALSE))+DAY(VLOOKUP(G$1,Sprints[],2,FALSE)),1,VLOOKUP(G$1,Sprints[],4,FALSE))&lt;&gt;"")*(IF(OFFSET(INDIRECT(CELL("address",INDEX('Leave Tracker'!$A$8:$A$92,MATCH($A35,'Leave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0.6</v>
      </c>
      <c r="H35" s="31">
        <f t="array" aca="1" ref="H35" ca="1">Sheet3!$W$2*$F35*(NETWORKDAYS(VLOOKUP(H$1,Sprints[],2,FALSE), VLOOKUP(H$1,Sprints[],3,FALSE))-SUMPRODUCT((OFFSET(INDIRECT(CELL("address",INDEX('Leave Tracker'!$A$8:$A$92,MATCH($A35,'Leave Tracker'!$A$8:$A$92,0)))),0,31*(VLOOKUP(H$1,Sprints[],5,FALSE))+DAY(VLOOKUP(H$1,Sprints[],2,FALSE)),1,VLOOKUP(H$1,Sprints[],4,FALSE))&lt;&gt;"")*(IF(OFFSET(INDIRECT(CELL("address",INDEX('Leave Tracker'!$A$8:$A$92,MATCH($A35,'Leave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1.2</v>
      </c>
      <c r="I35" s="31">
        <f t="array" aca="1" ref="I35" ca="1">Sheet3!$W$2*$F35*(NETWORKDAYS(VLOOKUP(I$1,Sprints[],2,FALSE), VLOOKUP(I$1,Sprints[],3,FALSE))-SUMPRODUCT((OFFSET(INDIRECT(CELL("address",INDEX('Leave Tracker'!$A$8:$A$92,MATCH($A35,'Leave Tracker'!$A$8:$A$92,0)))),0,31*(VLOOKUP(I$1,Sprints[],5,FALSE))+DAY(VLOOKUP(I$1,Sprints[],2,FALSE)),1,VLOOKUP(I$1,Sprints[],4,FALSE))&lt;&gt;"")*(IF(OFFSET(INDIRECT(CELL("address",INDEX('Leave Tracker'!$A$8:$A$92,MATCH($A35,'Leave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1.08</v>
      </c>
      <c r="J35" s="31">
        <f t="array" aca="1" ref="J35" ca="1">Sheet3!$W$2*$F35*(NETWORKDAYS(VLOOKUP(J$1,Sprints[],2,FALSE), VLOOKUP(J$1,Sprints[],3,FALSE))-SUMPRODUCT((OFFSET(INDIRECT(CELL("address",INDEX('Leave Tracker'!$A$8:$A$92,MATCH($A35,'Leave Tracker'!$A$8:$A$92,0)))),0,31*(VLOOKUP(J$1,Sprints[],5,FALSE))+DAY(VLOOKUP(J$1,Sprints[],2,FALSE)),1,VLOOKUP(J$1,Sprints[],4,FALSE))&lt;&gt;"")*(IF(OFFSET(INDIRECT(CELL("address",INDEX('Leave Tracker'!$A$8:$A$92,MATCH($A35,'Leave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1.2</v>
      </c>
      <c r="K35" s="31">
        <f t="array" aca="1" ref="K35" ca="1">Sheet3!$W$2*$F35*(NETWORKDAYS(VLOOKUP(K$1,Sprints[],2,FALSE), VLOOKUP(K$1,Sprints[],3,FALSE))-SUMPRODUCT((OFFSET(INDIRECT(CELL("address",INDEX('Leave Tracker'!$A$8:$A$92,MATCH($A35,'Leave Tracker'!$A$8:$A$92,0)))),0,31*(VLOOKUP(K$1,Sprints[],5,FALSE))+DAY(VLOOKUP(K$1,Sprints[],2,FALSE)),1,VLOOKUP(K$1,Sprints[],4,FALSE))&lt;&gt;"")*(IF(OFFSET(INDIRECT(CELL("address",INDEX('Leave Tracker'!$A$8:$A$92,MATCH($A35,'Leave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1.2</v>
      </c>
      <c r="L35" s="31">
        <f t="array" aca="1" ref="L35" ca="1">Sheet3!$W$2*$F35*(NETWORKDAYS(VLOOKUP(L$1,Sprints[],2,FALSE), VLOOKUP(L$1,Sprints[],3,FALSE))-SUMPRODUCT((OFFSET(INDIRECT(CELL("address",INDEX('Leave Tracker'!$A$8:$A$92,MATCH($A35,'Leave Tracker'!$A$8:$A$92,0)))),0,31*(VLOOKUP(L$1,Sprints[],5,FALSE))+DAY(VLOOKUP(L$1,Sprints[],2,FALSE)),1,VLOOKUP(L$1,Sprints[],4,FALSE))&lt;&gt;"")*(IF(OFFSET(INDIRECT(CELL("address",INDEX('Leave Tracker'!$A$8:$A$92,MATCH($A35,'Leave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0.96</v>
      </c>
      <c r="M35" s="31">
        <f t="array" aca="1" ref="M35" ca="1">Sheet3!$W$2*$F35*(NETWORKDAYS(VLOOKUP(M$1,Sprints[],2,FALSE), VLOOKUP(M$1,Sprints[],3,FALSE))-SUMPRODUCT((OFFSET(INDIRECT(CELL("address",INDEX('Leave Tracker'!$A$8:$A$92,MATCH($A35,'Leave Tracker'!$A$8:$A$92,0)))),0,31*(VLOOKUP(M$1,Sprints[],5,FALSE))+DAY(VLOOKUP(M$1,Sprints[],2,FALSE)),1,VLOOKUP(M$1,Sprints[],4,FALSE))&lt;&gt;"")*(IF(OFFSET(INDIRECT(CELL("address",INDEX('Leave Tracker'!$A$8:$A$92,MATCH($A35,'Leave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1.08</v>
      </c>
      <c r="N35" s="31">
        <f t="array" aca="1" ref="N35" ca="1">Sheet3!$W$2*$F35*(NETWORKDAYS(VLOOKUP(N$1,Sprints[],2,FALSE), VLOOKUP(N$1,Sprints[],3,FALSE))-SUMPRODUCT((OFFSET(INDIRECT(CELL("address",INDEX('Leave Tracker'!$A$8:$A$92,MATCH($A35,'Leave Tracker'!$A$8:$A$92,0)))),0,31*(VLOOKUP(N$1,Sprints[],5,FALSE))+DAY(VLOOKUP(N$1,Sprints[],2,FALSE)),1,VLOOKUP(N$1,Sprints[],4,FALSE))&lt;&gt;"")*(IF(OFFSET(INDIRECT(CELL("address",INDEX('Leave Tracker'!$A$8:$A$92,MATCH($A35,'Leave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0.6</v>
      </c>
      <c r="O35" s="74">
        <f t="array" aca="1" ref="O35" ca="1">Sheet3!$W$2*$F35*(NETWORKDAYS(VLOOKUP(O$1,Sprints[],2,FALSE), VLOOKUP(O$1,Sprints[],3,FALSE))-SUMPRODUCT((OFFSET(INDIRECT(CELL("address",INDEX('Leave Tracker'!$A$8:$A$92,MATCH($A35,'Leave Tracker'!$A$8:$A$92,0)))),0,31*(VLOOKUP(O$1,Sprints[],5,FALSE))+DAY(VLOOKUP(O$1,Sprints[],2,FALSE)),1,VLOOKUP(O$1,Sprints[],4,FALSE))&lt;&gt;"")*(IF(OFFSET(INDIRECT(CELL("address",INDEX('Leave Tracker'!$A$8:$A$92,MATCH($A35,'Leave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7.92</v>
      </c>
    </row>
    <row r="36" spans="1:15" x14ac:dyDescent="0.45">
      <c r="A36" t="s">
        <v>82</v>
      </c>
      <c r="B36" s="45" t="s">
        <v>103</v>
      </c>
      <c r="C36" s="45" t="s">
        <v>104</v>
      </c>
      <c r="D36" s="45" t="s">
        <v>108</v>
      </c>
      <c r="E36" s="45" t="s">
        <v>113</v>
      </c>
      <c r="F36" s="47">
        <v>0.2</v>
      </c>
      <c r="G36" s="45">
        <f t="array" aca="1" ref="G36" ca="1">Sheet3!$W$2*$F36*(NETWORKDAYS(VLOOKUP(G$1,Sprints[],2,FALSE), VLOOKUP(G$1,Sprints[],3,FALSE))-SUMPRODUCT((OFFSET(INDIRECT(CELL("address",INDEX('Leave Tracker'!$A$8:$A$92,MATCH($A36,'Leave Tracker'!$A$8:$A$92,0)))),0,31*(VLOOKUP(G$1,Sprints[],5,FALSE))+DAY(VLOOKUP(G$1,Sprints[],2,FALSE)),1,VLOOKUP(G$1,Sprints[],4,FALSE))&lt;&gt;"")*(IF(OFFSET(INDIRECT(CELL("address",INDEX('Leave Tracker'!$A$8:$A$92,MATCH($A36,'Leave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0.80000000000000016</v>
      </c>
      <c r="H36">
        <f t="array" aca="1" ref="H36" ca="1">Sheet3!$W$2*$F36*(NETWORKDAYS(VLOOKUP(H$1,Sprints[],2,FALSE), VLOOKUP(H$1,Sprints[],3,FALSE))-SUMPRODUCT((OFFSET(INDIRECT(CELL("address",INDEX('Leave Tracker'!$A$8:$A$92,MATCH($A36,'Leave Tracker'!$A$8:$A$92,0)))),0,31*(VLOOKUP(H$1,Sprints[],5,FALSE))+DAY(VLOOKUP(H$1,Sprints[],2,FALSE)),1,VLOOKUP(H$1,Sprints[],4,FALSE))&lt;&gt;"")*(IF(OFFSET(INDIRECT(CELL("address",INDEX('Leave Tracker'!$A$8:$A$92,MATCH($A36,'Leave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1.6000000000000003</v>
      </c>
      <c r="I36">
        <f t="array" aca="1" ref="I36" ca="1">Sheet3!$W$2*$F36*(NETWORKDAYS(VLOOKUP(I$1,Sprints[],2,FALSE), VLOOKUP(I$1,Sprints[],3,FALSE))-SUMPRODUCT((OFFSET(INDIRECT(CELL("address",INDEX('Leave Tracker'!$A$8:$A$92,MATCH($A36,'Leave Tracker'!$A$8:$A$92,0)))),0,31*(VLOOKUP(I$1,Sprints[],5,FALSE))+DAY(VLOOKUP(I$1,Sprints[],2,FALSE)),1,VLOOKUP(I$1,Sprints[],4,FALSE))&lt;&gt;"")*(IF(OFFSET(INDIRECT(CELL("address",INDEX('Leave Tracker'!$A$8:$A$92,MATCH($A36,'Leave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1.6000000000000003</v>
      </c>
      <c r="J36">
        <f t="array" aca="1" ref="J36" ca="1">Sheet3!$W$2*$F36*(NETWORKDAYS(VLOOKUP(J$1,Sprints[],2,FALSE), VLOOKUP(J$1,Sprints[],3,FALSE))-SUMPRODUCT((OFFSET(INDIRECT(CELL("address",INDEX('Leave Tracker'!$A$8:$A$92,MATCH($A36,'Leave Tracker'!$A$8:$A$92,0)))),0,31*(VLOOKUP(J$1,Sprints[],5,FALSE))+DAY(VLOOKUP(J$1,Sprints[],2,FALSE)),1,VLOOKUP(J$1,Sprints[],4,FALSE))&lt;&gt;"")*(IF(OFFSET(INDIRECT(CELL("address",INDEX('Leave Tracker'!$A$8:$A$92,MATCH($A36,'Leave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1.6000000000000003</v>
      </c>
      <c r="K36">
        <f t="array" aca="1" ref="K36" ca="1">Sheet3!$W$2*$F36*(NETWORKDAYS(VLOOKUP(K$1,Sprints[],2,FALSE), VLOOKUP(K$1,Sprints[],3,FALSE))-SUMPRODUCT((OFFSET(INDIRECT(CELL("address",INDEX('Leave Tracker'!$A$8:$A$92,MATCH($A36,'Leave Tracker'!$A$8:$A$92,0)))),0,31*(VLOOKUP(K$1,Sprints[],5,FALSE))+DAY(VLOOKUP(K$1,Sprints[],2,FALSE)),1,VLOOKUP(K$1,Sprints[],4,FALSE))&lt;&gt;"")*(IF(OFFSET(INDIRECT(CELL("address",INDEX('Leave Tracker'!$A$8:$A$92,MATCH($A36,'Leave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1.6000000000000003</v>
      </c>
      <c r="L36">
        <f t="array" aca="1" ref="L36" ca="1">Sheet3!$W$2*$F36*(NETWORKDAYS(VLOOKUP(L$1,Sprints[],2,FALSE), VLOOKUP(L$1,Sprints[],3,FALSE))-SUMPRODUCT((OFFSET(INDIRECT(CELL("address",INDEX('Leave Tracker'!$A$8:$A$92,MATCH($A36,'Leave Tracker'!$A$8:$A$92,0)))),0,31*(VLOOKUP(L$1,Sprints[],5,FALSE))+DAY(VLOOKUP(L$1,Sprints[],2,FALSE)),1,VLOOKUP(L$1,Sprints[],4,FALSE))&lt;&gt;"")*(IF(OFFSET(INDIRECT(CELL("address",INDEX('Leave Tracker'!$A$8:$A$92,MATCH($A36,'Leave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1.1200000000000001</v>
      </c>
      <c r="M36" s="45">
        <f t="array" aca="1" ref="M36" ca="1">Sheet3!$W$2*$F36*(NETWORKDAYS(VLOOKUP(M$1,Sprints[],2,FALSE), VLOOKUP(M$1,Sprints[],3,FALSE))-SUMPRODUCT((OFFSET(INDIRECT(CELL("address",INDEX('Leave Tracker'!$A$8:$A$92,MATCH($A36,'Leave Tracker'!$A$8:$A$92,0)))),0,31*(VLOOKUP(M$1,Sprints[],5,FALSE))+DAY(VLOOKUP(M$1,Sprints[],2,FALSE)),1,VLOOKUP(M$1,Sprints[],4,FALSE))&lt;&gt;"")*(IF(OFFSET(INDIRECT(CELL("address",INDEX('Leave Tracker'!$A$8:$A$92,MATCH($A36,'Leave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1.6000000000000003</v>
      </c>
      <c r="N36">
        <f t="array" aca="1" ref="N36" ca="1">Sheet3!$W$2*$F36*(NETWORKDAYS(VLOOKUP(N$1,Sprints[],2,FALSE), VLOOKUP(N$1,Sprints[],3,FALSE))-SUMPRODUCT((OFFSET(INDIRECT(CELL("address",INDEX('Leave Tracker'!$A$8:$A$92,MATCH($A36,'Leave Tracker'!$A$8:$A$92,0)))),0,31*(VLOOKUP(N$1,Sprints[],5,FALSE))+DAY(VLOOKUP(N$1,Sprints[],2,FALSE)),1,VLOOKUP(N$1,Sprints[],4,FALSE))&lt;&gt;"")*(IF(OFFSET(INDIRECT(CELL("address",INDEX('Leave Tracker'!$A$8:$A$92,MATCH($A36,'Leave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0.80000000000000016</v>
      </c>
      <c r="O36" s="74">
        <f t="array" aca="1" ref="O36" ca="1">Sheet3!$W$2*$F36*(NETWORKDAYS(VLOOKUP(O$1,Sprints[],2,FALSE), VLOOKUP(O$1,Sprints[],3,FALSE))-SUMPRODUCT((OFFSET(INDIRECT(CELL("address",INDEX('Leave Tracker'!$A$8:$A$92,MATCH($A36,'Leave Tracker'!$A$8:$A$92,0)))),0,31*(VLOOKUP(O$1,Sprints[],5,FALSE))+DAY(VLOOKUP(O$1,Sprints[],2,FALSE)),1,VLOOKUP(O$1,Sprints[],4,FALSE))&lt;&gt;"")*(IF(OFFSET(INDIRECT(CELL("address",INDEX('Leave Tracker'!$A$8:$A$92,MATCH($A36,'Leave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10.720000000000002</v>
      </c>
    </row>
    <row r="37" spans="1:15" x14ac:dyDescent="0.45">
      <c r="A37" t="s">
        <v>95</v>
      </c>
      <c r="B37" s="45" t="s">
        <v>103</v>
      </c>
      <c r="C37" s="45" t="s">
        <v>105</v>
      </c>
      <c r="D37" s="45" t="s">
        <v>119</v>
      </c>
      <c r="E37" s="45" t="s">
        <v>111</v>
      </c>
      <c r="F37" s="47">
        <v>0.75</v>
      </c>
      <c r="G37" s="45">
        <f t="array" aca="1" ref="G37" ca="1">Sheet3!$W$2*$F37*(NETWORKDAYS(VLOOKUP(G$1,Sprints[],2,FALSE), VLOOKUP(G$1,Sprints[],3,FALSE))-SUMPRODUCT((OFFSET(INDIRECT(CELL("address",INDEX('Leave Tracker'!$A$8:$A$92,MATCH($A37,'Leave Tracker'!$A$8:$A$92,0)))),0,31*(VLOOKUP(G$1,Sprints[],5,FALSE))+DAY(VLOOKUP(G$1,Sprints[],2,FALSE)),1,VLOOKUP(G$1,Sprints[],4,FALSE))&lt;&gt;"")*(IF(OFFSET(INDIRECT(CELL("address",INDEX('Leave Tracker'!$A$8:$A$92,MATCH($A37,'Leave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37">
        <f t="array" aca="1" ref="H37" ca="1">Sheet3!$W$2*$F37*(NETWORKDAYS(VLOOKUP(H$1,Sprints[],2,FALSE), VLOOKUP(H$1,Sprints[],3,FALSE))-SUMPRODUCT((OFFSET(INDIRECT(CELL("address",INDEX('Leave Tracker'!$A$8:$A$92,MATCH($A37,'Leave Tracker'!$A$8:$A$92,0)))),0,31*(VLOOKUP(H$1,Sprints[],5,FALSE))+DAY(VLOOKUP(H$1,Sprints[],2,FALSE)),1,VLOOKUP(H$1,Sprints[],4,FALSE))&lt;&gt;"")*(IF(OFFSET(INDIRECT(CELL("address",INDEX('Leave Tracker'!$A$8:$A$92,MATCH($A37,'Leave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37">
        <f t="array" aca="1" ref="I37" ca="1">Sheet3!$W$2*$F37*(NETWORKDAYS(VLOOKUP(I$1,Sprints[],2,FALSE), VLOOKUP(I$1,Sprints[],3,FALSE))-SUMPRODUCT((OFFSET(INDIRECT(CELL("address",INDEX('Leave Tracker'!$A$8:$A$92,MATCH($A37,'Leave Tracker'!$A$8:$A$92,0)))),0,31*(VLOOKUP(I$1,Sprints[],5,FALSE))+DAY(VLOOKUP(I$1,Sprints[],2,FALSE)),1,VLOOKUP(I$1,Sprints[],4,FALSE))&lt;&gt;"")*(IF(OFFSET(INDIRECT(CELL("address",INDEX('Leave Tracker'!$A$8:$A$92,MATCH($A37,'Leave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37">
        <f t="array" aca="1" ref="J37" ca="1">Sheet3!$W$2*$F37*(NETWORKDAYS(VLOOKUP(J$1,Sprints[],2,FALSE), VLOOKUP(J$1,Sprints[],3,FALSE))-SUMPRODUCT((OFFSET(INDIRECT(CELL("address",INDEX('Leave Tracker'!$A$8:$A$92,MATCH($A37,'Leave Tracker'!$A$8:$A$92,0)))),0,31*(VLOOKUP(J$1,Sprints[],5,FALSE))+DAY(VLOOKUP(J$1,Sprints[],2,FALSE)),1,VLOOKUP(J$1,Sprints[],4,FALSE))&lt;&gt;"")*(IF(OFFSET(INDIRECT(CELL("address",INDEX('Leave Tracker'!$A$8:$A$92,MATCH($A37,'Leave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37">
        <f t="array" aca="1" ref="K37" ca="1">Sheet3!$W$2*$F37*(NETWORKDAYS(VLOOKUP(K$1,Sprints[],2,FALSE), VLOOKUP(K$1,Sprints[],3,FALSE))-SUMPRODUCT((OFFSET(INDIRECT(CELL("address",INDEX('Leave Tracker'!$A$8:$A$92,MATCH($A37,'Leave Tracker'!$A$8:$A$92,0)))),0,31*(VLOOKUP(K$1,Sprints[],5,FALSE))+DAY(VLOOKUP(K$1,Sprints[],2,FALSE)),1,VLOOKUP(K$1,Sprints[],4,FALSE))&lt;&gt;"")*(IF(OFFSET(INDIRECT(CELL("address",INDEX('Leave Tracker'!$A$8:$A$92,MATCH($A37,'Leave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37">
        <f t="array" aca="1" ref="L37" ca="1">Sheet3!$W$2*$F37*(NETWORKDAYS(VLOOKUP(L$1,Sprints[],2,FALSE), VLOOKUP(L$1,Sprints[],3,FALSE))-SUMPRODUCT((OFFSET(INDIRECT(CELL("address",INDEX('Leave Tracker'!$A$8:$A$92,MATCH($A37,'Leave Tracker'!$A$8:$A$92,0)))),0,31*(VLOOKUP(L$1,Sprints[],5,FALSE))+DAY(VLOOKUP(L$1,Sprints[],2,FALSE)),1,VLOOKUP(L$1,Sprints[],4,FALSE))&lt;&gt;"")*(IF(OFFSET(INDIRECT(CELL("address",INDEX('Leave Tracker'!$A$8:$A$92,MATCH($A37,'Leave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37" s="45">
        <f t="array" aca="1" ref="M37" ca="1">Sheet3!$W$2*$F37*(NETWORKDAYS(VLOOKUP(M$1,Sprints[],2,FALSE), VLOOKUP(M$1,Sprints[],3,FALSE))-SUMPRODUCT((OFFSET(INDIRECT(CELL("address",INDEX('Leave Tracker'!$A$8:$A$92,MATCH($A37,'Leave Tracker'!$A$8:$A$92,0)))),0,31*(VLOOKUP(M$1,Sprints[],5,FALSE))+DAY(VLOOKUP(M$1,Sprints[],2,FALSE)),1,VLOOKUP(M$1,Sprints[],4,FALSE))&lt;&gt;"")*(IF(OFFSET(INDIRECT(CELL("address",INDEX('Leave Tracker'!$A$8:$A$92,MATCH($A37,'Leave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37">
        <f t="array" aca="1" ref="N37" ca="1">Sheet3!$W$2*$F37*(NETWORKDAYS(VLOOKUP(N$1,Sprints[],2,FALSE), VLOOKUP(N$1,Sprints[],3,FALSE))-SUMPRODUCT((OFFSET(INDIRECT(CELL("address",INDEX('Leave Tracker'!$A$8:$A$92,MATCH($A37,'Leave Tracker'!$A$8:$A$92,0)))),0,31*(VLOOKUP(N$1,Sprints[],5,FALSE))+DAY(VLOOKUP(N$1,Sprints[],2,FALSE)),1,VLOOKUP(N$1,Sprints[],4,FALSE))&lt;&gt;"")*(IF(OFFSET(INDIRECT(CELL("address",INDEX('Leave Tracker'!$A$8:$A$92,MATCH($A37,'Leave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37" s="74">
        <f t="array" aca="1" ref="O37" ca="1">Sheet3!$W$2*$F37*(NETWORKDAYS(VLOOKUP(O$1,Sprints[],2,FALSE), VLOOKUP(O$1,Sprints[],3,FALSE))-SUMPRODUCT((OFFSET(INDIRECT(CELL("address",INDEX('Leave Tracker'!$A$8:$A$92,MATCH($A37,'Leave Tracker'!$A$8:$A$92,0)))),0,31*(VLOOKUP(O$1,Sprints[],5,FALSE))+DAY(VLOOKUP(O$1,Sprints[],2,FALSE)),1,VLOOKUP(O$1,Sprints[],4,FALSE))&lt;&gt;"")*(IF(OFFSET(INDIRECT(CELL("address",INDEX('Leave Tracker'!$A$8:$A$92,MATCH($A37,'Leave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38" spans="1:15" x14ac:dyDescent="0.45">
      <c r="A38" t="s">
        <v>74</v>
      </c>
      <c r="B38" s="45" t="s">
        <v>106</v>
      </c>
      <c r="C38" s="45" t="s">
        <v>104</v>
      </c>
      <c r="D38" s="45" t="s">
        <v>119</v>
      </c>
      <c r="E38" s="45" t="s">
        <v>113</v>
      </c>
      <c r="F38" s="47">
        <v>0.75</v>
      </c>
      <c r="G38" s="45">
        <f t="array" aca="1" ref="G38" ca="1">Sheet3!$W$2*$F38*(NETWORKDAYS(VLOOKUP(G$1,Sprints[],2,FALSE), VLOOKUP(G$1,Sprints[],3,FALSE))-SUMPRODUCT((OFFSET(INDIRECT(CELL("address",INDEX('Leave Tracker'!$A$8:$A$92,MATCH($A38,'Leave Tracker'!$A$8:$A$92,0)))),0,31*(VLOOKUP(G$1,Sprints[],5,FALSE))+DAY(VLOOKUP(G$1,Sprints[],2,FALSE)),1,VLOOKUP(G$1,Sprints[],4,FALSE))&lt;&gt;"")*(IF(OFFSET(INDIRECT(CELL("address",INDEX('Leave Tracker'!$A$8:$A$92,MATCH($A38,'Leave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38">
        <f t="array" aca="1" ref="H38" ca="1">Sheet3!$W$2*$F38*(NETWORKDAYS(VLOOKUP(H$1,Sprints[],2,FALSE), VLOOKUP(H$1,Sprints[],3,FALSE))-SUMPRODUCT((OFFSET(INDIRECT(CELL("address",INDEX('Leave Tracker'!$A$8:$A$92,MATCH($A38,'Leave Tracker'!$A$8:$A$92,0)))),0,31*(VLOOKUP(H$1,Sprints[],5,FALSE))+DAY(VLOOKUP(H$1,Sprints[],2,FALSE)),1,VLOOKUP(H$1,Sprints[],4,FALSE))&lt;&gt;"")*(IF(OFFSET(INDIRECT(CELL("address",INDEX('Leave Tracker'!$A$8:$A$92,MATCH($A38,'Leave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38">
        <f t="array" aca="1" ref="I38" ca="1">Sheet3!$W$2*$F38*(NETWORKDAYS(VLOOKUP(I$1,Sprints[],2,FALSE), VLOOKUP(I$1,Sprints[],3,FALSE))-SUMPRODUCT((OFFSET(INDIRECT(CELL("address",INDEX('Leave Tracker'!$A$8:$A$92,MATCH($A38,'Leave Tracker'!$A$8:$A$92,0)))),0,31*(VLOOKUP(I$1,Sprints[],5,FALSE))+DAY(VLOOKUP(I$1,Sprints[],2,FALSE)),1,VLOOKUP(I$1,Sprints[],4,FALSE))&lt;&gt;"")*(IF(OFFSET(INDIRECT(CELL("address",INDEX('Leave Tracker'!$A$8:$A$92,MATCH($A38,'Leave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38">
        <f t="array" aca="1" ref="J38" ca="1">Sheet3!$W$2*$F38*(NETWORKDAYS(VLOOKUP(J$1,Sprints[],2,FALSE), VLOOKUP(J$1,Sprints[],3,FALSE))-SUMPRODUCT((OFFSET(INDIRECT(CELL("address",INDEX('Leave Tracker'!$A$8:$A$92,MATCH($A38,'Leave Tracker'!$A$8:$A$92,0)))),0,31*(VLOOKUP(J$1,Sprints[],5,FALSE))+DAY(VLOOKUP(J$1,Sprints[],2,FALSE)),1,VLOOKUP(J$1,Sprints[],4,FALSE))&lt;&gt;"")*(IF(OFFSET(INDIRECT(CELL("address",INDEX('Leave Tracker'!$A$8:$A$92,MATCH($A38,'Leave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38">
        <f t="array" aca="1" ref="K38" ca="1">Sheet3!$W$2*$F38*(NETWORKDAYS(VLOOKUP(K$1,Sprints[],2,FALSE), VLOOKUP(K$1,Sprints[],3,FALSE))-SUMPRODUCT((OFFSET(INDIRECT(CELL("address",INDEX('Leave Tracker'!$A$8:$A$92,MATCH($A38,'Leave Tracker'!$A$8:$A$92,0)))),0,31*(VLOOKUP(K$1,Sprints[],5,FALSE))+DAY(VLOOKUP(K$1,Sprints[],2,FALSE)),1,VLOOKUP(K$1,Sprints[],4,FALSE))&lt;&gt;"")*(IF(OFFSET(INDIRECT(CELL("address",INDEX('Leave Tracker'!$A$8:$A$92,MATCH($A38,'Leave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38">
        <f t="array" aca="1" ref="L38" ca="1">Sheet3!$W$2*$F38*(NETWORKDAYS(VLOOKUP(L$1,Sprints[],2,FALSE), VLOOKUP(L$1,Sprints[],3,FALSE))-SUMPRODUCT((OFFSET(INDIRECT(CELL("address",INDEX('Leave Tracker'!$A$8:$A$92,MATCH($A38,'Leave Tracker'!$A$8:$A$92,0)))),0,31*(VLOOKUP(L$1,Sprints[],5,FALSE))+DAY(VLOOKUP(L$1,Sprints[],2,FALSE)),1,VLOOKUP(L$1,Sprints[],4,FALSE))&lt;&gt;"")*(IF(OFFSET(INDIRECT(CELL("address",INDEX('Leave Tracker'!$A$8:$A$92,MATCH($A38,'Leave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38" s="45">
        <f t="array" aca="1" ref="M38" ca="1">Sheet3!$W$2*$F38*(NETWORKDAYS(VLOOKUP(M$1,Sprints[],2,FALSE), VLOOKUP(M$1,Sprints[],3,FALSE))-SUMPRODUCT((OFFSET(INDIRECT(CELL("address",INDEX('Leave Tracker'!$A$8:$A$92,MATCH($A38,'Leave Tracker'!$A$8:$A$92,0)))),0,31*(VLOOKUP(M$1,Sprints[],5,FALSE))+DAY(VLOOKUP(M$1,Sprints[],2,FALSE)),1,VLOOKUP(M$1,Sprints[],4,FALSE))&lt;&gt;"")*(IF(OFFSET(INDIRECT(CELL("address",INDEX('Leave Tracker'!$A$8:$A$92,MATCH($A38,'Leave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38">
        <f t="array" aca="1" ref="N38" ca="1">Sheet3!$W$2*$F38*(NETWORKDAYS(VLOOKUP(N$1,Sprints[],2,FALSE), VLOOKUP(N$1,Sprints[],3,FALSE))-SUMPRODUCT((OFFSET(INDIRECT(CELL("address",INDEX('Leave Tracker'!$A$8:$A$92,MATCH($A38,'Leave Tracker'!$A$8:$A$92,0)))),0,31*(VLOOKUP(N$1,Sprints[],5,FALSE))+DAY(VLOOKUP(N$1,Sprints[],2,FALSE)),1,VLOOKUP(N$1,Sprints[],4,FALSE))&lt;&gt;"")*(IF(OFFSET(INDIRECT(CELL("address",INDEX('Leave Tracker'!$A$8:$A$92,MATCH($A38,'Leave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38" s="74">
        <f t="array" aca="1" ref="O38" ca="1">Sheet3!$W$2*$F38*(NETWORKDAYS(VLOOKUP(O$1,Sprints[],2,FALSE), VLOOKUP(O$1,Sprints[],3,FALSE))-SUMPRODUCT((OFFSET(INDIRECT(CELL("address",INDEX('Leave Tracker'!$A$8:$A$92,MATCH($A38,'Leave Tracker'!$A$8:$A$92,0)))),0,31*(VLOOKUP(O$1,Sprints[],5,FALSE))+DAY(VLOOKUP(O$1,Sprints[],2,FALSE)),1,VLOOKUP(O$1,Sprints[],4,FALSE))&lt;&gt;"")*(IF(OFFSET(INDIRECT(CELL("address",INDEX('Leave Tracker'!$A$8:$A$92,MATCH($A38,'Leave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39" spans="1:15" x14ac:dyDescent="0.45">
      <c r="A39" t="s">
        <v>44</v>
      </c>
      <c r="B39" s="45" t="s">
        <v>99</v>
      </c>
      <c r="C39" s="45" t="s">
        <v>104</v>
      </c>
      <c r="D39" s="45" t="s">
        <v>120</v>
      </c>
      <c r="E39" s="45" t="s">
        <v>115</v>
      </c>
      <c r="F39" s="47">
        <v>0.75</v>
      </c>
      <c r="G39" s="45">
        <f t="array" aca="1" ref="G39" ca="1">Sheet3!$W$2*$F39*(NETWORKDAYS(VLOOKUP(G$1,Sprints[],2,FALSE), VLOOKUP(G$1,Sprints[],3,FALSE))-SUMPRODUCT((OFFSET(INDIRECT(CELL("address",INDEX('Leave Tracker'!$A$8:$A$92,MATCH($A39,'Leave Tracker'!$A$8:$A$92,0)))),0,31*(VLOOKUP(G$1,Sprints[],5,FALSE))+DAY(VLOOKUP(G$1,Sprints[],2,FALSE)),1,VLOOKUP(G$1,Sprints[],4,FALSE))&lt;&gt;"")*(IF(OFFSET(INDIRECT(CELL("address",INDEX('Leave Tracker'!$A$8:$A$92,MATCH($A39,'Leave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39">
        <f t="array" aca="1" ref="H39" ca="1">Sheet3!$W$2*$F39*(NETWORKDAYS(VLOOKUP(H$1,Sprints[],2,FALSE), VLOOKUP(H$1,Sprints[],3,FALSE))-SUMPRODUCT((OFFSET(INDIRECT(CELL("address",INDEX('Leave Tracker'!$A$8:$A$92,MATCH($A39,'Leave Tracker'!$A$8:$A$92,0)))),0,31*(VLOOKUP(H$1,Sprints[],5,FALSE))+DAY(VLOOKUP(H$1,Sprints[],2,FALSE)),1,VLOOKUP(H$1,Sprints[],4,FALSE))&lt;&gt;"")*(IF(OFFSET(INDIRECT(CELL("address",INDEX('Leave Tracker'!$A$8:$A$92,MATCH($A39,'Leave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39">
        <f t="array" aca="1" ref="I39" ca="1">Sheet3!$W$2*$F39*(NETWORKDAYS(VLOOKUP(I$1,Sprints[],2,FALSE), VLOOKUP(I$1,Sprints[],3,FALSE))-SUMPRODUCT((OFFSET(INDIRECT(CELL("address",INDEX('Leave Tracker'!$A$8:$A$92,MATCH($A39,'Leave Tracker'!$A$8:$A$92,0)))),0,31*(VLOOKUP(I$1,Sprints[],5,FALSE))+DAY(VLOOKUP(I$1,Sprints[],2,FALSE)),1,VLOOKUP(I$1,Sprints[],4,FALSE))&lt;&gt;"")*(IF(OFFSET(INDIRECT(CELL("address",INDEX('Leave Tracker'!$A$8:$A$92,MATCH($A39,'Leave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39">
        <f t="array" aca="1" ref="J39" ca="1">Sheet3!$W$2*$F39*(NETWORKDAYS(VLOOKUP(J$1,Sprints[],2,FALSE), VLOOKUP(J$1,Sprints[],3,FALSE))-SUMPRODUCT((OFFSET(INDIRECT(CELL("address",INDEX('Leave Tracker'!$A$8:$A$92,MATCH($A39,'Leave Tracker'!$A$8:$A$92,0)))),0,31*(VLOOKUP(J$1,Sprints[],5,FALSE))+DAY(VLOOKUP(J$1,Sprints[],2,FALSE)),1,VLOOKUP(J$1,Sprints[],4,FALSE))&lt;&gt;"")*(IF(OFFSET(INDIRECT(CELL("address",INDEX('Leave Tracker'!$A$8:$A$92,MATCH($A39,'Leave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39">
        <f t="array" aca="1" ref="K39" ca="1">Sheet3!$W$2*$F39*(NETWORKDAYS(VLOOKUP(K$1,Sprints[],2,FALSE), VLOOKUP(K$1,Sprints[],3,FALSE))-SUMPRODUCT((OFFSET(INDIRECT(CELL("address",INDEX('Leave Tracker'!$A$8:$A$92,MATCH($A39,'Leave Tracker'!$A$8:$A$92,0)))),0,31*(VLOOKUP(K$1,Sprints[],5,FALSE))+DAY(VLOOKUP(K$1,Sprints[],2,FALSE)),1,VLOOKUP(K$1,Sprints[],4,FALSE))&lt;&gt;"")*(IF(OFFSET(INDIRECT(CELL("address",INDEX('Leave Tracker'!$A$8:$A$92,MATCH($A39,'Leave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39">
        <f t="array" aca="1" ref="L39" ca="1">Sheet3!$W$2*$F39*(NETWORKDAYS(VLOOKUP(L$1,Sprints[],2,FALSE), VLOOKUP(L$1,Sprints[],3,FALSE))-SUMPRODUCT((OFFSET(INDIRECT(CELL("address",INDEX('Leave Tracker'!$A$8:$A$92,MATCH($A39,'Leave Tracker'!$A$8:$A$92,0)))),0,31*(VLOOKUP(L$1,Sprints[],5,FALSE))+DAY(VLOOKUP(L$1,Sprints[],2,FALSE)),1,VLOOKUP(L$1,Sprints[],4,FALSE))&lt;&gt;"")*(IF(OFFSET(INDIRECT(CELL("address",INDEX('Leave Tracker'!$A$8:$A$92,MATCH($A39,'Leave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39" s="45">
        <f t="array" aca="1" ref="M39" ca="1">Sheet3!$W$2*$F39*(NETWORKDAYS(VLOOKUP(M$1,Sprints[],2,FALSE), VLOOKUP(M$1,Sprints[],3,FALSE))-SUMPRODUCT((OFFSET(INDIRECT(CELL("address",INDEX('Leave Tracker'!$A$8:$A$92,MATCH($A39,'Leave Tracker'!$A$8:$A$92,0)))),0,31*(VLOOKUP(M$1,Sprints[],5,FALSE))+DAY(VLOOKUP(M$1,Sprints[],2,FALSE)),1,VLOOKUP(M$1,Sprints[],4,FALSE))&lt;&gt;"")*(IF(OFFSET(INDIRECT(CELL("address",INDEX('Leave Tracker'!$A$8:$A$92,MATCH($A39,'Leave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39">
        <f t="array" aca="1" ref="N39" ca="1">Sheet3!$W$2*$F39*(NETWORKDAYS(VLOOKUP(N$1,Sprints[],2,FALSE), VLOOKUP(N$1,Sprints[],3,FALSE))-SUMPRODUCT((OFFSET(INDIRECT(CELL("address",INDEX('Leave Tracker'!$A$8:$A$92,MATCH($A39,'Leave Tracker'!$A$8:$A$92,0)))),0,31*(VLOOKUP(N$1,Sprints[],5,FALSE))+DAY(VLOOKUP(N$1,Sprints[],2,FALSE)),1,VLOOKUP(N$1,Sprints[],4,FALSE))&lt;&gt;"")*(IF(OFFSET(INDIRECT(CELL("address",INDEX('Leave Tracker'!$A$8:$A$92,MATCH($A39,'Leave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39" s="74">
        <f t="array" aca="1" ref="O39" ca="1">Sheet3!$W$2*$F39*(NETWORKDAYS(VLOOKUP(O$1,Sprints[],2,FALSE), VLOOKUP(O$1,Sprints[],3,FALSE))-SUMPRODUCT((OFFSET(INDIRECT(CELL("address",INDEX('Leave Tracker'!$A$8:$A$92,MATCH($A39,'Leave Tracker'!$A$8:$A$92,0)))),0,31*(VLOOKUP(O$1,Sprints[],5,FALSE))+DAY(VLOOKUP(O$1,Sprints[],2,FALSE)),1,VLOOKUP(O$1,Sprints[],4,FALSE))&lt;&gt;"")*(IF(OFFSET(INDIRECT(CELL("address",INDEX('Leave Tracker'!$A$8:$A$92,MATCH($A39,'Leave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40" spans="1:15" x14ac:dyDescent="0.45">
      <c r="A40" t="s">
        <v>133</v>
      </c>
      <c r="B40" s="45" t="s">
        <v>106</v>
      </c>
      <c r="C40" s="45" t="s">
        <v>104</v>
      </c>
      <c r="D40" s="45" t="s">
        <v>119</v>
      </c>
      <c r="E40" s="45" t="s">
        <v>111</v>
      </c>
      <c r="F40" s="47">
        <v>0.4</v>
      </c>
      <c r="G40" s="31">
        <f t="array" aca="1" ref="G40" ca="1">Sheet3!$W$2*$F40*(NETWORKDAYS(VLOOKUP(G$1,Sprints[],2,FALSE), VLOOKUP(G$1,Sprints[],3,FALSE))-SUMPRODUCT((OFFSET(INDIRECT(CELL("address",INDEX('Leave Tracker'!$A$8:$A$92,MATCH($A40,'Leave Tracker'!$A$8:$A$92,0)))),0,31*(VLOOKUP(G$1,Sprints[],5,FALSE))+DAY(VLOOKUP(G$1,Sprints[],2,FALSE)),1,VLOOKUP(G$1,Sprints[],4,FALSE))&lt;&gt;"")*(IF(OFFSET(INDIRECT(CELL("address",INDEX('Leave Tracker'!$A$8:$A$92,MATCH($A40,'Leave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1.6000000000000003</v>
      </c>
      <c r="H40">
        <f t="array" aca="1" ref="H40" ca="1">Sheet3!$W$2*$F40*(NETWORKDAYS(VLOOKUP(H$1,Sprints[],2,FALSE), VLOOKUP(H$1,Sprints[],3,FALSE))-SUMPRODUCT((OFFSET(INDIRECT(CELL("address",INDEX('Leave Tracker'!$A$8:$A$92,MATCH($A40,'Leave Tracker'!$A$8:$A$92,0)))),0,31*(VLOOKUP(H$1,Sprints[],5,FALSE))+DAY(VLOOKUP(H$1,Sprints[],2,FALSE)),1,VLOOKUP(H$1,Sprints[],4,FALSE))&lt;&gt;"")*(IF(OFFSET(INDIRECT(CELL("address",INDEX('Leave Tracker'!$A$8:$A$92,MATCH($A40,'Leave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3.2000000000000006</v>
      </c>
      <c r="I40" s="31">
        <f t="array" aca="1" ref="I40" ca="1">Sheet3!$W$2*$F40*(NETWORKDAYS(VLOOKUP(I$1,Sprints[],2,FALSE), VLOOKUP(I$1,Sprints[],3,FALSE))-SUMPRODUCT((OFFSET(INDIRECT(CELL("address",INDEX('Leave Tracker'!$A$8:$A$92,MATCH($A40,'Leave Tracker'!$A$8:$A$92,0)))),0,31*(VLOOKUP(I$1,Sprints[],5,FALSE))+DAY(VLOOKUP(I$1,Sprints[],2,FALSE)),1,VLOOKUP(I$1,Sprints[],4,FALSE))&lt;&gt;"")*(IF(OFFSET(INDIRECT(CELL("address",INDEX('Leave Tracker'!$A$8:$A$92,MATCH($A40,'Leave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3.2000000000000006</v>
      </c>
      <c r="J40" s="31">
        <f t="array" aca="1" ref="J40" ca="1">Sheet3!$W$2*$F40*(NETWORKDAYS(VLOOKUP(J$1,Sprints[],2,FALSE), VLOOKUP(J$1,Sprints[],3,FALSE))-SUMPRODUCT((OFFSET(INDIRECT(CELL("address",INDEX('Leave Tracker'!$A$8:$A$92,MATCH($A40,'Leave Tracker'!$A$8:$A$92,0)))),0,31*(VLOOKUP(J$1,Sprints[],5,FALSE))+DAY(VLOOKUP(J$1,Sprints[],2,FALSE)),1,VLOOKUP(J$1,Sprints[],4,FALSE))&lt;&gt;"")*(IF(OFFSET(INDIRECT(CELL("address",INDEX('Leave Tracker'!$A$8:$A$92,MATCH($A40,'Leave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3.2000000000000006</v>
      </c>
      <c r="K40" s="31">
        <f t="array" aca="1" ref="K40" ca="1">Sheet3!$W$2*$F40*(NETWORKDAYS(VLOOKUP(K$1,Sprints[],2,FALSE), VLOOKUP(K$1,Sprints[],3,FALSE))-SUMPRODUCT((OFFSET(INDIRECT(CELL("address",INDEX('Leave Tracker'!$A$8:$A$92,MATCH($A40,'Leave Tracker'!$A$8:$A$92,0)))),0,31*(VLOOKUP(K$1,Sprints[],5,FALSE))+DAY(VLOOKUP(K$1,Sprints[],2,FALSE)),1,VLOOKUP(K$1,Sprints[],4,FALSE))&lt;&gt;"")*(IF(OFFSET(INDIRECT(CELL("address",INDEX('Leave Tracker'!$A$8:$A$92,MATCH($A40,'Leave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3.2000000000000006</v>
      </c>
      <c r="L40" s="31">
        <f t="array" aca="1" ref="L40" ca="1">Sheet3!$W$2*$F40*(NETWORKDAYS(VLOOKUP(L$1,Sprints[],2,FALSE), VLOOKUP(L$1,Sprints[],3,FALSE))-SUMPRODUCT((OFFSET(INDIRECT(CELL("address",INDEX('Leave Tracker'!$A$8:$A$92,MATCH($A40,'Leave Tracker'!$A$8:$A$92,0)))),0,31*(VLOOKUP(L$1,Sprints[],5,FALSE))+DAY(VLOOKUP(L$1,Sprints[],2,FALSE)),1,VLOOKUP(L$1,Sprints[],4,FALSE))&lt;&gt;"")*(IF(OFFSET(INDIRECT(CELL("address",INDEX('Leave Tracker'!$A$8:$A$92,MATCH($A40,'Leave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2.2400000000000002</v>
      </c>
      <c r="M40" s="31">
        <f t="array" aca="1" ref="M40" ca="1">Sheet3!$W$2*$F40*(NETWORKDAYS(VLOOKUP(M$1,Sprints[],2,FALSE), VLOOKUP(M$1,Sprints[],3,FALSE))-SUMPRODUCT((OFFSET(INDIRECT(CELL("address",INDEX('Leave Tracker'!$A$8:$A$92,MATCH($A40,'Leave Tracker'!$A$8:$A$92,0)))),0,31*(VLOOKUP(M$1,Sprints[],5,FALSE))+DAY(VLOOKUP(M$1,Sprints[],2,FALSE)),1,VLOOKUP(M$1,Sprints[],4,FALSE))&lt;&gt;"")*(IF(OFFSET(INDIRECT(CELL("address",INDEX('Leave Tracker'!$A$8:$A$92,MATCH($A40,'Leave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3.2000000000000006</v>
      </c>
      <c r="N40" s="31">
        <f t="array" aca="1" ref="N40" ca="1">Sheet3!$W$2*$F40*(NETWORKDAYS(VLOOKUP(N$1,Sprints[],2,FALSE), VLOOKUP(N$1,Sprints[],3,FALSE))-SUMPRODUCT((OFFSET(INDIRECT(CELL("address",INDEX('Leave Tracker'!$A$8:$A$92,MATCH($A40,'Leave Tracker'!$A$8:$A$92,0)))),0,31*(VLOOKUP(N$1,Sprints[],5,FALSE))+DAY(VLOOKUP(N$1,Sprints[],2,FALSE)),1,VLOOKUP(N$1,Sprints[],4,FALSE))&lt;&gt;"")*(IF(OFFSET(INDIRECT(CELL("address",INDEX('Leave Tracker'!$A$8:$A$92,MATCH($A40,'Leave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1.6000000000000003</v>
      </c>
      <c r="O40" s="74">
        <f t="array" aca="1" ref="O40" ca="1">Sheet3!$W$2*$F40*(NETWORKDAYS(VLOOKUP(O$1,Sprints[],2,FALSE), VLOOKUP(O$1,Sprints[],3,FALSE))-SUMPRODUCT((OFFSET(INDIRECT(CELL("address",INDEX('Leave Tracker'!$A$8:$A$92,MATCH($A40,'Leave Tracker'!$A$8:$A$92,0)))),0,31*(VLOOKUP(O$1,Sprints[],5,FALSE))+DAY(VLOOKUP(O$1,Sprints[],2,FALSE)),1,VLOOKUP(O$1,Sprints[],4,FALSE))&lt;&gt;"")*(IF(OFFSET(INDIRECT(CELL("address",INDEX('Leave Tracker'!$A$8:$A$92,MATCH($A40,'Leave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21.440000000000005</v>
      </c>
    </row>
    <row r="41" spans="1:15" x14ac:dyDescent="0.45">
      <c r="A41" t="s">
        <v>72</v>
      </c>
      <c r="B41" s="45" t="s">
        <v>106</v>
      </c>
      <c r="C41" s="45" t="s">
        <v>104</v>
      </c>
      <c r="D41" s="45" t="s">
        <v>119</v>
      </c>
      <c r="E41" s="45" t="s">
        <v>113</v>
      </c>
      <c r="F41" s="47">
        <v>0.75</v>
      </c>
      <c r="G41" s="45">
        <f t="array" aca="1" ref="G41" ca="1">Sheet3!$W$2*$F41*(NETWORKDAYS(VLOOKUP(G$1,Sprints[],2,FALSE), VLOOKUP(G$1,Sprints[],3,FALSE))-SUMPRODUCT((OFFSET(INDIRECT(CELL("address",INDEX('Leave Tracker'!$A$8:$A$92,MATCH($A41,'Leave Tracker'!$A$8:$A$92,0)))),0,31*(VLOOKUP(G$1,Sprints[],5,FALSE))+DAY(VLOOKUP(G$1,Sprints[],2,FALSE)),1,VLOOKUP(G$1,Sprints[],4,FALSE))&lt;&gt;"")*(IF(OFFSET(INDIRECT(CELL("address",INDEX('Leave Tracker'!$A$8:$A$92,MATCH($A41,'Leave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41">
        <f t="array" aca="1" ref="H41" ca="1">Sheet3!$W$2*$F41*(NETWORKDAYS(VLOOKUP(H$1,Sprints[],2,FALSE), VLOOKUP(H$1,Sprints[],3,FALSE))-SUMPRODUCT((OFFSET(INDIRECT(CELL("address",INDEX('Leave Tracker'!$A$8:$A$92,MATCH($A41,'Leave Tracker'!$A$8:$A$92,0)))),0,31*(VLOOKUP(H$1,Sprints[],5,FALSE))+DAY(VLOOKUP(H$1,Sprints[],2,FALSE)),1,VLOOKUP(H$1,Sprints[],4,FALSE))&lt;&gt;"")*(IF(OFFSET(INDIRECT(CELL("address",INDEX('Leave Tracker'!$A$8:$A$92,MATCH($A41,'Leave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41">
        <f t="array" aca="1" ref="I41" ca="1">Sheet3!$W$2*$F41*(NETWORKDAYS(VLOOKUP(I$1,Sprints[],2,FALSE), VLOOKUP(I$1,Sprints[],3,FALSE))-SUMPRODUCT((OFFSET(INDIRECT(CELL("address",INDEX('Leave Tracker'!$A$8:$A$92,MATCH($A41,'Leave Tracker'!$A$8:$A$92,0)))),0,31*(VLOOKUP(I$1,Sprints[],5,FALSE))+DAY(VLOOKUP(I$1,Sprints[],2,FALSE)),1,VLOOKUP(I$1,Sprints[],4,FALSE))&lt;&gt;"")*(IF(OFFSET(INDIRECT(CELL("address",INDEX('Leave Tracker'!$A$8:$A$92,MATCH($A41,'Leave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6.0000000000000009</v>
      </c>
      <c r="J41">
        <f t="array" aca="1" ref="J41" ca="1">Sheet3!$W$2*$F41*(NETWORKDAYS(VLOOKUP(J$1,Sprints[],2,FALSE), VLOOKUP(J$1,Sprints[],3,FALSE))-SUMPRODUCT((OFFSET(INDIRECT(CELL("address",INDEX('Leave Tracker'!$A$8:$A$92,MATCH($A41,'Leave Tracker'!$A$8:$A$92,0)))),0,31*(VLOOKUP(J$1,Sprints[],5,FALSE))+DAY(VLOOKUP(J$1,Sprints[],2,FALSE)),1,VLOOKUP(J$1,Sprints[],4,FALSE))&lt;&gt;"")*(IF(OFFSET(INDIRECT(CELL("address",INDEX('Leave Tracker'!$A$8:$A$92,MATCH($A41,'Leave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41">
        <f t="array" aca="1" ref="K41" ca="1">Sheet3!$W$2*$F41*(NETWORKDAYS(VLOOKUP(K$1,Sprints[],2,FALSE), VLOOKUP(K$1,Sprints[],3,FALSE))-SUMPRODUCT((OFFSET(INDIRECT(CELL("address",INDEX('Leave Tracker'!$A$8:$A$92,MATCH($A41,'Leave Tracker'!$A$8:$A$92,0)))),0,31*(VLOOKUP(K$1,Sprints[],5,FALSE))+DAY(VLOOKUP(K$1,Sprints[],2,FALSE)),1,VLOOKUP(K$1,Sprints[],4,FALSE))&lt;&gt;"")*(IF(OFFSET(INDIRECT(CELL("address",INDEX('Leave Tracker'!$A$8:$A$92,MATCH($A41,'Leave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41">
        <f t="array" aca="1" ref="L41" ca="1">Sheet3!$W$2*$F41*(NETWORKDAYS(VLOOKUP(L$1,Sprints[],2,FALSE), VLOOKUP(L$1,Sprints[],3,FALSE))-SUMPRODUCT((OFFSET(INDIRECT(CELL("address",INDEX('Leave Tracker'!$A$8:$A$92,MATCH($A41,'Leave Tracker'!$A$8:$A$92,0)))),0,31*(VLOOKUP(L$1,Sprints[],5,FALSE))+DAY(VLOOKUP(L$1,Sprints[],2,FALSE)),1,VLOOKUP(L$1,Sprints[],4,FALSE))&lt;&gt;"")*(IF(OFFSET(INDIRECT(CELL("address",INDEX('Leave Tracker'!$A$8:$A$92,MATCH($A41,'Leave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4.2000000000000011</v>
      </c>
      <c r="M41" s="45">
        <f t="array" aca="1" ref="M41" ca="1">Sheet3!$W$2*$F41*(NETWORKDAYS(VLOOKUP(M$1,Sprints[],2,FALSE), VLOOKUP(M$1,Sprints[],3,FALSE))-SUMPRODUCT((OFFSET(INDIRECT(CELL("address",INDEX('Leave Tracker'!$A$8:$A$92,MATCH($A41,'Leave Tracker'!$A$8:$A$92,0)))),0,31*(VLOOKUP(M$1,Sprints[],5,FALSE))+DAY(VLOOKUP(M$1,Sprints[],2,FALSE)),1,VLOOKUP(M$1,Sprints[],4,FALSE))&lt;&gt;"")*(IF(OFFSET(INDIRECT(CELL("address",INDEX('Leave Tracker'!$A$8:$A$92,MATCH($A41,'Leave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6.0000000000000009</v>
      </c>
      <c r="N41">
        <f t="array" aca="1" ref="N41" ca="1">Sheet3!$W$2*$F41*(NETWORKDAYS(VLOOKUP(N$1,Sprints[],2,FALSE), VLOOKUP(N$1,Sprints[],3,FALSE))-SUMPRODUCT((OFFSET(INDIRECT(CELL("address",INDEX('Leave Tracker'!$A$8:$A$92,MATCH($A41,'Leave Tracker'!$A$8:$A$92,0)))),0,31*(VLOOKUP(N$1,Sprints[],5,FALSE))+DAY(VLOOKUP(N$1,Sprints[],2,FALSE)),1,VLOOKUP(N$1,Sprints[],4,FALSE))&lt;&gt;"")*(IF(OFFSET(INDIRECT(CELL("address",INDEX('Leave Tracker'!$A$8:$A$92,MATCH($A41,'Leave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41" s="74">
        <f t="array" aca="1" ref="O41" ca="1">Sheet3!$W$2*$F41*(NETWORKDAYS(VLOOKUP(O$1,Sprints[],2,FALSE), VLOOKUP(O$1,Sprints[],3,FALSE))-SUMPRODUCT((OFFSET(INDIRECT(CELL("address",INDEX('Leave Tracker'!$A$8:$A$92,MATCH($A41,'Leave Tracker'!$A$8:$A$92,0)))),0,31*(VLOOKUP(O$1,Sprints[],5,FALSE))+DAY(VLOOKUP(O$1,Sprints[],2,FALSE)),1,VLOOKUP(O$1,Sprints[],4,FALSE))&lt;&gt;"")*(IF(OFFSET(INDIRECT(CELL("address",INDEX('Leave Tracker'!$A$8:$A$92,MATCH($A41,'Leave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40.200000000000003</v>
      </c>
    </row>
    <row r="42" spans="1:15" x14ac:dyDescent="0.45">
      <c r="A42" s="71" t="s">
        <v>79</v>
      </c>
      <c r="B42" s="45" t="s">
        <v>100</v>
      </c>
      <c r="C42" s="45" t="s">
        <v>104</v>
      </c>
      <c r="D42" s="45" t="s">
        <v>120</v>
      </c>
      <c r="E42" s="45" t="s">
        <v>114</v>
      </c>
      <c r="F42" s="47">
        <v>0.375</v>
      </c>
      <c r="G42" s="31">
        <f t="array" aca="1" ref="G42" ca="1">Sheet3!$W$2*$F42*(NETWORKDAYS(VLOOKUP(G$1,Sprints[],2,FALSE), VLOOKUP(G$1,Sprints[],3,FALSE))-SUMPRODUCT((OFFSET(INDIRECT(CELL("address",INDEX('Leave Tracker'!$A$8:$A$92,MATCH($A42,'Leave Tracker'!$A$8:$A$92,0)))),0,31*(VLOOKUP(G$1,Sprints[],5,FALSE))+DAY(VLOOKUP(G$1,Sprints[],2,FALSE)),1,VLOOKUP(G$1,Sprints[],4,FALSE))&lt;&gt;"")*(IF(OFFSET(INDIRECT(CELL("address",INDEX('Leave Tracker'!$A$8:$A$92,MATCH($A42,'Leave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1.5000000000000002</v>
      </c>
      <c r="H42" s="31">
        <f t="array" aca="1" ref="H42" ca="1">Sheet3!$W$2*$F42*(NETWORKDAYS(VLOOKUP(H$1,Sprints[],2,FALSE), VLOOKUP(H$1,Sprints[],3,FALSE))-SUMPRODUCT((OFFSET(INDIRECT(CELL("address",INDEX('Leave Tracker'!$A$8:$A$92,MATCH($A42,'Leave Tracker'!$A$8:$A$92,0)))),0,31*(VLOOKUP(H$1,Sprints[],5,FALSE))+DAY(VLOOKUP(H$1,Sprints[],2,FALSE)),1,VLOOKUP(H$1,Sprints[],4,FALSE))&lt;&gt;"")*(IF(OFFSET(INDIRECT(CELL("address",INDEX('Leave Tracker'!$A$8:$A$92,MATCH($A42,'Leave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3.0000000000000004</v>
      </c>
      <c r="I42" s="31">
        <f t="array" aca="1" ref="I42" ca="1">Sheet3!$W$2*$F42*(NETWORKDAYS(VLOOKUP(I$1,Sprints[],2,FALSE), VLOOKUP(I$1,Sprints[],3,FALSE))-SUMPRODUCT((OFFSET(INDIRECT(CELL("address",INDEX('Leave Tracker'!$A$8:$A$92,MATCH($A42,'Leave Tracker'!$A$8:$A$92,0)))),0,31*(VLOOKUP(I$1,Sprints[],5,FALSE))+DAY(VLOOKUP(I$1,Sprints[],2,FALSE)),1,VLOOKUP(I$1,Sprints[],4,FALSE))&lt;&gt;"")*(IF(OFFSET(INDIRECT(CELL("address",INDEX('Leave Tracker'!$A$8:$A$92,MATCH($A42,'Leave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3.0000000000000004</v>
      </c>
      <c r="J42" s="31">
        <f t="array" aca="1" ref="J42" ca="1">Sheet3!$W$2*$F42*(NETWORKDAYS(VLOOKUP(J$1,Sprints[],2,FALSE), VLOOKUP(J$1,Sprints[],3,FALSE))-SUMPRODUCT((OFFSET(INDIRECT(CELL("address",INDEX('Leave Tracker'!$A$8:$A$92,MATCH($A42,'Leave Tracker'!$A$8:$A$92,0)))),0,31*(VLOOKUP(J$1,Sprints[],5,FALSE))+DAY(VLOOKUP(J$1,Sprints[],2,FALSE)),1,VLOOKUP(J$1,Sprints[],4,FALSE))&lt;&gt;"")*(IF(OFFSET(INDIRECT(CELL("address",INDEX('Leave Tracker'!$A$8:$A$92,MATCH($A42,'Leave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3.0000000000000004</v>
      </c>
      <c r="K42" s="31">
        <f t="array" aca="1" ref="K42" ca="1">Sheet3!$W$2*$F42*(NETWORKDAYS(VLOOKUP(K$1,Sprints[],2,FALSE), VLOOKUP(K$1,Sprints[],3,FALSE))-SUMPRODUCT((OFFSET(INDIRECT(CELL("address",INDEX('Leave Tracker'!$A$8:$A$92,MATCH($A42,'Leave Tracker'!$A$8:$A$92,0)))),0,31*(VLOOKUP(K$1,Sprints[],5,FALSE))+DAY(VLOOKUP(K$1,Sprints[],2,FALSE)),1,VLOOKUP(K$1,Sprints[],4,FALSE))&lt;&gt;"")*(IF(OFFSET(INDIRECT(CELL("address",INDEX('Leave Tracker'!$A$8:$A$92,MATCH($A42,'Leave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3.0000000000000004</v>
      </c>
      <c r="L42" s="31">
        <f t="array" aca="1" ref="L42" ca="1">Sheet3!$W$2*$F42*(NETWORKDAYS(VLOOKUP(L$1,Sprints[],2,FALSE), VLOOKUP(L$1,Sprints[],3,FALSE))-SUMPRODUCT((OFFSET(INDIRECT(CELL("address",INDEX('Leave Tracker'!$A$8:$A$92,MATCH($A42,'Leave Tracker'!$A$8:$A$92,0)))),0,31*(VLOOKUP(L$1,Sprints[],5,FALSE))+DAY(VLOOKUP(L$1,Sprints[],2,FALSE)),1,VLOOKUP(L$1,Sprints[],4,FALSE))&lt;&gt;"")*(IF(OFFSET(INDIRECT(CELL("address",INDEX('Leave Tracker'!$A$8:$A$92,MATCH($A42,'Leave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2.1000000000000005</v>
      </c>
      <c r="M42" s="31">
        <f t="array" aca="1" ref="M42" ca="1">Sheet3!$W$2*$F42*(NETWORKDAYS(VLOOKUP(M$1,Sprints[],2,FALSE), VLOOKUP(M$1,Sprints[],3,FALSE))-SUMPRODUCT((OFFSET(INDIRECT(CELL("address",INDEX('Leave Tracker'!$A$8:$A$92,MATCH($A42,'Leave Tracker'!$A$8:$A$92,0)))),0,31*(VLOOKUP(M$1,Sprints[],5,FALSE))+DAY(VLOOKUP(M$1,Sprints[],2,FALSE)),1,VLOOKUP(M$1,Sprints[],4,FALSE))&lt;&gt;"")*(IF(OFFSET(INDIRECT(CELL("address",INDEX('Leave Tracker'!$A$8:$A$92,MATCH($A42,'Leave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3.0000000000000004</v>
      </c>
      <c r="N42" s="31">
        <f t="array" aca="1" ref="N42" ca="1">Sheet3!$W$2*$F42*(NETWORKDAYS(VLOOKUP(N$1,Sprints[],2,FALSE), VLOOKUP(N$1,Sprints[],3,FALSE))-SUMPRODUCT((OFFSET(INDIRECT(CELL("address",INDEX('Leave Tracker'!$A$8:$A$92,MATCH($A42,'Leave Tracker'!$A$8:$A$92,0)))),0,31*(VLOOKUP(N$1,Sprints[],5,FALSE))+DAY(VLOOKUP(N$1,Sprints[],2,FALSE)),1,VLOOKUP(N$1,Sprints[],4,FALSE))&lt;&gt;"")*(IF(OFFSET(INDIRECT(CELL("address",INDEX('Leave Tracker'!$A$8:$A$92,MATCH($A42,'Leave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1.5000000000000002</v>
      </c>
      <c r="O42" s="74">
        <f t="array" aca="1" ref="O42" ca="1">Sheet3!$W$2*$F42*(NETWORKDAYS(VLOOKUP(O$1,Sprints[],2,FALSE), VLOOKUP(O$1,Sprints[],3,FALSE))-SUMPRODUCT((OFFSET(INDIRECT(CELL("address",INDEX('Leave Tracker'!$A$8:$A$92,MATCH($A42,'Leave Tracker'!$A$8:$A$92,0)))),0,31*(VLOOKUP(O$1,Sprints[],5,FALSE))+DAY(VLOOKUP(O$1,Sprints[],2,FALSE)),1,VLOOKUP(O$1,Sprints[],4,FALSE))&lt;&gt;"")*(IF(OFFSET(INDIRECT(CELL("address",INDEX('Leave Tracker'!$A$8:$A$92,MATCH($A42,'Leave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20.100000000000001</v>
      </c>
    </row>
    <row r="43" spans="1:15" s="45" customFormat="1" x14ac:dyDescent="0.45">
      <c r="A43" s="71" t="s">
        <v>79</v>
      </c>
      <c r="B43" s="45" t="s">
        <v>100</v>
      </c>
      <c r="C43" s="45" t="s">
        <v>104</v>
      </c>
      <c r="D43" s="45" t="s">
        <v>120</v>
      </c>
      <c r="E43" s="45" t="s">
        <v>115</v>
      </c>
      <c r="F43" s="47">
        <v>0.375</v>
      </c>
      <c r="G43" s="45">
        <f t="array" aca="1" ref="G43" ca="1">Sheet3!$W$2*$F43*(NETWORKDAYS(VLOOKUP(G$1,Sprints[],2,FALSE), VLOOKUP(G$1,Sprints[],3,FALSE))-SUMPRODUCT((OFFSET(INDIRECT(CELL("address",INDEX('Leave Tracker'!$A$8:$A$92,MATCH($A43,'Leave Tracker'!$A$8:$A$92,0)))),0,31*(VLOOKUP(G$1,Sprints[],5,FALSE))+DAY(VLOOKUP(G$1,Sprints[],2,FALSE)),1,VLOOKUP(G$1,Sprints[],4,FALSE))&lt;&gt;"")*(IF(OFFSET(INDIRECT(CELL("address",INDEX('Leave Tracker'!$A$8:$A$92,MATCH($A43,'Leave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1.5000000000000002</v>
      </c>
      <c r="H43" s="45">
        <f t="array" aca="1" ref="H43" ca="1">Sheet3!$W$2*$F43*(NETWORKDAYS(VLOOKUP(H$1,Sprints[],2,FALSE), VLOOKUP(H$1,Sprints[],3,FALSE))-SUMPRODUCT((OFFSET(INDIRECT(CELL("address",INDEX('Leave Tracker'!$A$8:$A$92,MATCH($A43,'Leave Tracker'!$A$8:$A$92,0)))),0,31*(VLOOKUP(H$1,Sprints[],5,FALSE))+DAY(VLOOKUP(H$1,Sprints[],2,FALSE)),1,VLOOKUP(H$1,Sprints[],4,FALSE))&lt;&gt;"")*(IF(OFFSET(INDIRECT(CELL("address",INDEX('Leave Tracker'!$A$8:$A$92,MATCH($A43,'Leave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3.0000000000000004</v>
      </c>
      <c r="I43" s="45">
        <f t="array" aca="1" ref="I43" ca="1">Sheet3!$W$2*$F43*(NETWORKDAYS(VLOOKUP(I$1,Sprints[],2,FALSE), VLOOKUP(I$1,Sprints[],3,FALSE))-SUMPRODUCT((OFFSET(INDIRECT(CELL("address",INDEX('Leave Tracker'!$A$8:$A$92,MATCH($A43,'Leave Tracker'!$A$8:$A$92,0)))),0,31*(VLOOKUP(I$1,Sprints[],5,FALSE))+DAY(VLOOKUP(I$1,Sprints[],2,FALSE)),1,VLOOKUP(I$1,Sprints[],4,FALSE))&lt;&gt;"")*(IF(OFFSET(INDIRECT(CELL("address",INDEX('Leave Tracker'!$A$8:$A$92,MATCH($A43,'Leave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3.0000000000000004</v>
      </c>
      <c r="J43" s="45">
        <f t="array" aca="1" ref="J43" ca="1">Sheet3!$W$2*$F43*(NETWORKDAYS(VLOOKUP(J$1,Sprints[],2,FALSE), VLOOKUP(J$1,Sprints[],3,FALSE))-SUMPRODUCT((OFFSET(INDIRECT(CELL("address",INDEX('Leave Tracker'!$A$8:$A$92,MATCH($A43,'Leave Tracker'!$A$8:$A$92,0)))),0,31*(VLOOKUP(J$1,Sprints[],5,FALSE))+DAY(VLOOKUP(J$1,Sprints[],2,FALSE)),1,VLOOKUP(J$1,Sprints[],4,FALSE))&lt;&gt;"")*(IF(OFFSET(INDIRECT(CELL("address",INDEX('Leave Tracker'!$A$8:$A$92,MATCH($A43,'Leave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3.0000000000000004</v>
      </c>
      <c r="K43" s="45">
        <f t="array" aca="1" ref="K43" ca="1">Sheet3!$W$2*$F43*(NETWORKDAYS(VLOOKUP(K$1,Sprints[],2,FALSE), VLOOKUP(K$1,Sprints[],3,FALSE))-SUMPRODUCT((OFFSET(INDIRECT(CELL("address",INDEX('Leave Tracker'!$A$8:$A$92,MATCH($A43,'Leave Tracker'!$A$8:$A$92,0)))),0,31*(VLOOKUP(K$1,Sprints[],5,FALSE))+DAY(VLOOKUP(K$1,Sprints[],2,FALSE)),1,VLOOKUP(K$1,Sprints[],4,FALSE))&lt;&gt;"")*(IF(OFFSET(INDIRECT(CELL("address",INDEX('Leave Tracker'!$A$8:$A$92,MATCH($A43,'Leave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3.0000000000000004</v>
      </c>
      <c r="L43" s="45">
        <f t="array" aca="1" ref="L43" ca="1">Sheet3!$W$2*$F43*(NETWORKDAYS(VLOOKUP(L$1,Sprints[],2,FALSE), VLOOKUP(L$1,Sprints[],3,FALSE))-SUMPRODUCT((OFFSET(INDIRECT(CELL("address",INDEX('Leave Tracker'!$A$8:$A$92,MATCH($A43,'Leave Tracker'!$A$8:$A$92,0)))),0,31*(VLOOKUP(L$1,Sprints[],5,FALSE))+DAY(VLOOKUP(L$1,Sprints[],2,FALSE)),1,VLOOKUP(L$1,Sprints[],4,FALSE))&lt;&gt;"")*(IF(OFFSET(INDIRECT(CELL("address",INDEX('Leave Tracker'!$A$8:$A$92,MATCH($A43,'Leave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2.1000000000000005</v>
      </c>
      <c r="M43" s="45">
        <f t="array" aca="1" ref="M43" ca="1">Sheet3!$W$2*$F43*(NETWORKDAYS(VLOOKUP(M$1,Sprints[],2,FALSE), VLOOKUP(M$1,Sprints[],3,FALSE))-SUMPRODUCT((OFFSET(INDIRECT(CELL("address",INDEX('Leave Tracker'!$A$8:$A$92,MATCH($A43,'Leave Tracker'!$A$8:$A$92,0)))),0,31*(VLOOKUP(M$1,Sprints[],5,FALSE))+DAY(VLOOKUP(M$1,Sprints[],2,FALSE)),1,VLOOKUP(M$1,Sprints[],4,FALSE))&lt;&gt;"")*(IF(OFFSET(INDIRECT(CELL("address",INDEX('Leave Tracker'!$A$8:$A$92,MATCH($A43,'Leave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3.0000000000000004</v>
      </c>
      <c r="N43" s="45">
        <f t="array" aca="1" ref="N43" ca="1">Sheet3!$W$2*$F43*(NETWORKDAYS(VLOOKUP(N$1,Sprints[],2,FALSE), VLOOKUP(N$1,Sprints[],3,FALSE))-SUMPRODUCT((OFFSET(INDIRECT(CELL("address",INDEX('Leave Tracker'!$A$8:$A$92,MATCH($A43,'Leave Tracker'!$A$8:$A$92,0)))),0,31*(VLOOKUP(N$1,Sprints[],5,FALSE))+DAY(VLOOKUP(N$1,Sprints[],2,FALSE)),1,VLOOKUP(N$1,Sprints[],4,FALSE))&lt;&gt;"")*(IF(OFFSET(INDIRECT(CELL("address",INDEX('Leave Tracker'!$A$8:$A$92,MATCH($A43,'Leave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1.5000000000000002</v>
      </c>
      <c r="O43" s="74">
        <f t="array" aca="1" ref="O43" ca="1">Sheet3!$W$2*$F43*(NETWORKDAYS(VLOOKUP(O$1,Sprints[],2,FALSE), VLOOKUP(O$1,Sprints[],3,FALSE))-SUMPRODUCT((OFFSET(INDIRECT(CELL("address",INDEX('Leave Tracker'!$A$8:$A$92,MATCH($A43,'Leave Tracker'!$A$8:$A$92,0)))),0,31*(VLOOKUP(O$1,Sprints[],5,FALSE))+DAY(VLOOKUP(O$1,Sprints[],2,FALSE)),1,VLOOKUP(O$1,Sprints[],4,FALSE))&lt;&gt;"")*(IF(OFFSET(INDIRECT(CELL("address",INDEX('Leave Tracker'!$A$8:$A$92,MATCH($A43,'Leave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20.100000000000001</v>
      </c>
    </row>
    <row r="44" spans="1:15" s="45" customFormat="1" x14ac:dyDescent="0.45">
      <c r="A44" s="45" t="s">
        <v>84</v>
      </c>
      <c r="B44" s="45" t="s">
        <v>103</v>
      </c>
      <c r="C44" s="45" t="s">
        <v>105</v>
      </c>
      <c r="D44" s="45" t="s">
        <v>119</v>
      </c>
      <c r="E44" s="45" t="s">
        <v>112</v>
      </c>
      <c r="F44" s="47">
        <v>0.75</v>
      </c>
      <c r="G44" s="45">
        <f t="array" aca="1" ref="G44" ca="1">Sheet3!$W$2*$F44*(NETWORKDAYS(VLOOKUP(G$1,Sprints[],2,FALSE), VLOOKUP(G$1,Sprints[],3,FALSE))-SUMPRODUCT((OFFSET(INDIRECT(CELL("address",INDEX('Leave Tracker'!$A$8:$A$92,MATCH($A44,'Leave Tracker'!$A$8:$A$92,0)))),0,31*(VLOOKUP(G$1,Sprints[],5,FALSE))+DAY(VLOOKUP(G$1,Sprints[],2,FALSE)),1,VLOOKUP(G$1,Sprints[],4,FALSE))&lt;&gt;"")*(IF(OFFSET(INDIRECT(CELL("address",INDEX('Leave Tracker'!$A$8:$A$92,MATCH($A44,'Leave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3.0000000000000004</v>
      </c>
      <c r="H44" s="45">
        <f t="array" aca="1" ref="H44" ca="1">Sheet3!$W$2*$F44*(NETWORKDAYS(VLOOKUP(H$1,Sprints[],2,FALSE), VLOOKUP(H$1,Sprints[],3,FALSE))-SUMPRODUCT((OFFSET(INDIRECT(CELL("address",INDEX('Leave Tracker'!$A$8:$A$92,MATCH($A44,'Leave Tracker'!$A$8:$A$92,0)))),0,31*(VLOOKUP(H$1,Sprints[],5,FALSE))+DAY(VLOOKUP(H$1,Sprints[],2,FALSE)),1,VLOOKUP(H$1,Sprints[],4,FALSE))&lt;&gt;"")*(IF(OFFSET(INDIRECT(CELL("address",INDEX('Leave Tracker'!$A$8:$A$92,MATCH($A44,'Leave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6.0000000000000009</v>
      </c>
      <c r="I44" s="45">
        <f t="array" aca="1" ref="I44" ca="1">Sheet3!$W$2*$F44*(NETWORKDAYS(VLOOKUP(I$1,Sprints[],2,FALSE), VLOOKUP(I$1,Sprints[],3,FALSE))-SUMPRODUCT((OFFSET(INDIRECT(CELL("address",INDEX('Leave Tracker'!$A$8:$A$92,MATCH($A44,'Leave Tracker'!$A$8:$A$92,0)))),0,31*(VLOOKUP(I$1,Sprints[],5,FALSE))+DAY(VLOOKUP(I$1,Sprints[],2,FALSE)),1,VLOOKUP(I$1,Sprints[],4,FALSE))&lt;&gt;"")*(IF(OFFSET(INDIRECT(CELL("address",INDEX('Leave Tracker'!$A$8:$A$92,MATCH($A44,'Leave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5.4</v>
      </c>
      <c r="J44" s="45">
        <f t="array" aca="1" ref="J44" ca="1">Sheet3!$W$2*$F44*(NETWORKDAYS(VLOOKUP(J$1,Sprints[],2,FALSE), VLOOKUP(J$1,Sprints[],3,FALSE))-SUMPRODUCT((OFFSET(INDIRECT(CELL("address",INDEX('Leave Tracker'!$A$8:$A$92,MATCH($A44,'Leave Tracker'!$A$8:$A$92,0)))),0,31*(VLOOKUP(J$1,Sprints[],5,FALSE))+DAY(VLOOKUP(J$1,Sprints[],2,FALSE)),1,VLOOKUP(J$1,Sprints[],4,FALSE))&lt;&gt;"")*(IF(OFFSET(INDIRECT(CELL("address",INDEX('Leave Tracker'!$A$8:$A$92,MATCH($A44,'Leave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6.0000000000000009</v>
      </c>
      <c r="K44" s="45">
        <f t="array" aca="1" ref="K44" ca="1">Sheet3!$W$2*$F44*(NETWORKDAYS(VLOOKUP(K$1,Sprints[],2,FALSE), VLOOKUP(K$1,Sprints[],3,FALSE))-SUMPRODUCT((OFFSET(INDIRECT(CELL("address",INDEX('Leave Tracker'!$A$8:$A$92,MATCH($A44,'Leave Tracker'!$A$8:$A$92,0)))),0,31*(VLOOKUP(K$1,Sprints[],5,FALSE))+DAY(VLOOKUP(K$1,Sprints[],2,FALSE)),1,VLOOKUP(K$1,Sprints[],4,FALSE))&lt;&gt;"")*(IF(OFFSET(INDIRECT(CELL("address",INDEX('Leave Tracker'!$A$8:$A$92,MATCH($A44,'Leave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6.0000000000000009</v>
      </c>
      <c r="L44" s="45">
        <f t="array" aca="1" ref="L44" ca="1">Sheet3!$W$2*$F44*(NETWORKDAYS(VLOOKUP(L$1,Sprints[],2,FALSE), VLOOKUP(L$1,Sprints[],3,FALSE))-SUMPRODUCT((OFFSET(INDIRECT(CELL("address",INDEX('Leave Tracker'!$A$8:$A$92,MATCH($A44,'Leave Tracker'!$A$8:$A$92,0)))),0,31*(VLOOKUP(L$1,Sprints[],5,FALSE))+DAY(VLOOKUP(L$1,Sprints[],2,FALSE)),1,VLOOKUP(L$1,Sprints[],4,FALSE))&lt;&gt;"")*(IF(OFFSET(INDIRECT(CELL("address",INDEX('Leave Tracker'!$A$8:$A$92,MATCH($A44,'Leave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4.8000000000000007</v>
      </c>
      <c r="M44" s="45">
        <f t="array" aca="1" ref="M44" ca="1">Sheet3!$W$2*$F44*(NETWORKDAYS(VLOOKUP(M$1,Sprints[],2,FALSE), VLOOKUP(M$1,Sprints[],3,FALSE))-SUMPRODUCT((OFFSET(INDIRECT(CELL("address",INDEX('Leave Tracker'!$A$8:$A$92,MATCH($A44,'Leave Tracker'!$A$8:$A$92,0)))),0,31*(VLOOKUP(M$1,Sprints[],5,FALSE))+DAY(VLOOKUP(M$1,Sprints[],2,FALSE)),1,VLOOKUP(M$1,Sprints[],4,FALSE))&lt;&gt;"")*(IF(OFFSET(INDIRECT(CELL("address",INDEX('Leave Tracker'!$A$8:$A$92,MATCH($A44,'Leave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5.4</v>
      </c>
      <c r="N44" s="45">
        <f t="array" aca="1" ref="N44" ca="1">Sheet3!$W$2*$F44*(NETWORKDAYS(VLOOKUP(N$1,Sprints[],2,FALSE), VLOOKUP(N$1,Sprints[],3,FALSE))-SUMPRODUCT((OFFSET(INDIRECT(CELL("address",INDEX('Leave Tracker'!$A$8:$A$92,MATCH($A44,'Leave Tracker'!$A$8:$A$92,0)))),0,31*(VLOOKUP(N$1,Sprints[],5,FALSE))+DAY(VLOOKUP(N$1,Sprints[],2,FALSE)),1,VLOOKUP(N$1,Sprints[],4,FALSE))&lt;&gt;"")*(IF(OFFSET(INDIRECT(CELL("address",INDEX('Leave Tracker'!$A$8:$A$92,MATCH($A44,'Leave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3.0000000000000004</v>
      </c>
      <c r="O44" s="82">
        <f t="array" aca="1" ref="O44" ca="1">Sheet3!$W$2*$F44*(NETWORKDAYS(VLOOKUP(O$1,Sprints[],2,FALSE), VLOOKUP(O$1,Sprints[],3,FALSE))-SUMPRODUCT((OFFSET(INDIRECT(CELL("address",INDEX('Leave Tracker'!$A$8:$A$92,MATCH($A44,'Leave Tracker'!$A$8:$A$92,0)))),0,31*(VLOOKUP(O$1,Sprints[],5,FALSE))+DAY(VLOOKUP(O$1,Sprints[],2,FALSE)),1,VLOOKUP(O$1,Sprints[],4,FALSE))&lt;&gt;"")*(IF(OFFSET(INDIRECT(CELL("address",INDEX('Leave Tracker'!$A$8:$A$92,MATCH($A44,'Leave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39.600000000000009</v>
      </c>
    </row>
    <row r="45" spans="1:15" s="45" customFormat="1" x14ac:dyDescent="0.45">
      <c r="A45" s="45" t="s">
        <v>83</v>
      </c>
      <c r="B45" s="45" t="s">
        <v>103</v>
      </c>
      <c r="C45" s="45" t="s">
        <v>105</v>
      </c>
      <c r="D45" s="45" t="s">
        <v>110</v>
      </c>
      <c r="E45" s="45" t="s">
        <v>112</v>
      </c>
      <c r="F45" s="47">
        <v>0.6</v>
      </c>
      <c r="G45" s="45">
        <f t="array" aca="1" ref="G45" ca="1">Sheet3!$W$2*$F45*(NETWORKDAYS(VLOOKUP(G$1,Sprints[],2,FALSE), VLOOKUP(G$1,Sprints[],3,FALSE))-SUMPRODUCT((OFFSET(INDIRECT(CELL("address",INDEX('Leave Tracker'!$A$8:$A$92,MATCH($A45,'Leave Tracker'!$A$8:$A$92,0)))),0,31*(VLOOKUP(G$1,Sprints[],5,FALSE))+DAY(VLOOKUP(G$1,Sprints[],2,FALSE)),1,VLOOKUP(G$1,Sprints[],4,FALSE))&lt;&gt;"")*(IF(OFFSET(INDIRECT(CELL("address",INDEX('Leave Tracker'!$A$8:$A$92,MATCH($A45,'Leave Tracker'!$A$8:$A$92,0)))),0,31*(VLOOKUP(G$1,Sprints[],5,FALSE))+DAY(VLOOKUP(G$1,Sprints[],2,FALSE)),1,VLOOKUP(G$1,Sprints[],4,FALSE))='Leave Tracker'!$NX$12,0.5,1)*(OFFSET('Leave Tracker'!$A$3,0,31*(VLOOKUP(G$1,Sprints[],5,FALSE))+DAY(VLOOKUP(G$1,Sprints[],2,FALSE)),1,VLOOKUP(G$1,Sprints[],4,FALSE))))))</f>
        <v>2.4</v>
      </c>
      <c r="H45" s="45">
        <f t="array" aca="1" ref="H45" ca="1">Sheet3!$W$2*$F45*(NETWORKDAYS(VLOOKUP(H$1,Sprints[],2,FALSE), VLOOKUP(H$1,Sprints[],3,FALSE))-SUMPRODUCT((OFFSET(INDIRECT(CELL("address",INDEX('Leave Tracker'!$A$8:$A$92,MATCH($A45,'Leave Tracker'!$A$8:$A$92,0)))),0,31*(VLOOKUP(H$1,Sprints[],5,FALSE))+DAY(VLOOKUP(H$1,Sprints[],2,FALSE)),1,VLOOKUP(H$1,Sprints[],4,FALSE))&lt;&gt;"")*(IF(OFFSET(INDIRECT(CELL("address",INDEX('Leave Tracker'!$A$8:$A$92,MATCH($A45,'Leave Tracker'!$A$8:$A$92,0)))),0,31*(VLOOKUP(H$1,Sprints[],5,FALSE))+DAY(VLOOKUP(H$1,Sprints[],2,FALSE)),1,VLOOKUP(H$1,Sprints[],4,FALSE))='Leave Tracker'!$NX$12,0.5,1)*(OFFSET('Leave Tracker'!$A$3,0,31*(VLOOKUP(H$1,Sprints[],5,FALSE))+DAY(VLOOKUP(H$1,Sprints[],2,FALSE)),1,VLOOKUP(H$1,Sprints[],4,FALSE))))))</f>
        <v>4.8</v>
      </c>
      <c r="I45" s="45">
        <f t="array" aca="1" ref="I45" ca="1">Sheet3!$W$2*$F45*(NETWORKDAYS(VLOOKUP(I$1,Sprints[],2,FALSE), VLOOKUP(I$1,Sprints[],3,FALSE))-SUMPRODUCT((OFFSET(INDIRECT(CELL("address",INDEX('Leave Tracker'!$A$8:$A$92,MATCH($A45,'Leave Tracker'!$A$8:$A$92,0)))),0,31*(VLOOKUP(I$1,Sprints[],5,FALSE))+DAY(VLOOKUP(I$1,Sprints[],2,FALSE)),1,VLOOKUP(I$1,Sprints[],4,FALSE))&lt;&gt;"")*(IF(OFFSET(INDIRECT(CELL("address",INDEX('Leave Tracker'!$A$8:$A$92,MATCH($A45,'Leave Tracker'!$A$8:$A$92,0)))),0,31*(VLOOKUP(I$1,Sprints[],5,FALSE))+DAY(VLOOKUP(I$1,Sprints[],2,FALSE)),1,VLOOKUP(I$1,Sprints[],4,FALSE))='Leave Tracker'!$NX$12,0.5,1)*(OFFSET('Leave Tracker'!$A$3,0,31*(VLOOKUP(I$1,Sprints[],5,FALSE))+DAY(VLOOKUP(I$1,Sprints[],2,FALSE)),1,VLOOKUP(I$1,Sprints[],4,FALSE))))))</f>
        <v>4.32</v>
      </c>
      <c r="J45" s="45">
        <f t="array" aca="1" ref="J45" ca="1">Sheet3!$W$2*$F45*(NETWORKDAYS(VLOOKUP(J$1,Sprints[],2,FALSE), VLOOKUP(J$1,Sprints[],3,FALSE))-SUMPRODUCT((OFFSET(INDIRECT(CELL("address",INDEX('Leave Tracker'!$A$8:$A$92,MATCH($A45,'Leave Tracker'!$A$8:$A$92,0)))),0,31*(VLOOKUP(J$1,Sprints[],5,FALSE))+DAY(VLOOKUP(J$1,Sprints[],2,FALSE)),1,VLOOKUP(J$1,Sprints[],4,FALSE))&lt;&gt;"")*(IF(OFFSET(INDIRECT(CELL("address",INDEX('Leave Tracker'!$A$8:$A$92,MATCH($A45,'Leave Tracker'!$A$8:$A$92,0)))),0,31*(VLOOKUP(J$1,Sprints[],5,FALSE))+DAY(VLOOKUP(J$1,Sprints[],2,FALSE)),1,VLOOKUP(J$1,Sprints[],4,FALSE))='Leave Tracker'!$NX$12,0.5,1)*(OFFSET('Leave Tracker'!$A$3,0,31*(VLOOKUP(J$1,Sprints[],5,FALSE))+DAY(VLOOKUP(J$1,Sprints[],2,FALSE)),1,VLOOKUP(J$1,Sprints[],4,FALSE))))))</f>
        <v>4.8</v>
      </c>
      <c r="K45" s="45">
        <f t="array" aca="1" ref="K45" ca="1">Sheet3!$W$2*$F45*(NETWORKDAYS(VLOOKUP(K$1,Sprints[],2,FALSE), VLOOKUP(K$1,Sprints[],3,FALSE))-SUMPRODUCT((OFFSET(INDIRECT(CELL("address",INDEX('Leave Tracker'!$A$8:$A$92,MATCH($A45,'Leave Tracker'!$A$8:$A$92,0)))),0,31*(VLOOKUP(K$1,Sprints[],5,FALSE))+DAY(VLOOKUP(K$1,Sprints[],2,FALSE)),1,VLOOKUP(K$1,Sprints[],4,FALSE))&lt;&gt;"")*(IF(OFFSET(INDIRECT(CELL("address",INDEX('Leave Tracker'!$A$8:$A$92,MATCH($A45,'Leave Tracker'!$A$8:$A$92,0)))),0,31*(VLOOKUP(K$1,Sprints[],5,FALSE))+DAY(VLOOKUP(K$1,Sprints[],2,FALSE)),1,VLOOKUP(K$1,Sprints[],4,FALSE))='Leave Tracker'!$NX$12,0.5,1)*(OFFSET('Leave Tracker'!$A$3,0,31*(VLOOKUP(K$1,Sprints[],5,FALSE))+DAY(VLOOKUP(K$1,Sprints[],2,FALSE)),1,VLOOKUP(K$1,Sprints[],4,FALSE))))))</f>
        <v>4.8</v>
      </c>
      <c r="L45" s="45">
        <f t="array" aca="1" ref="L45" ca="1">Sheet3!$W$2*$F45*(NETWORKDAYS(VLOOKUP(L$1,Sprints[],2,FALSE), VLOOKUP(L$1,Sprints[],3,FALSE))-SUMPRODUCT((OFFSET(INDIRECT(CELL("address",INDEX('Leave Tracker'!$A$8:$A$92,MATCH($A45,'Leave Tracker'!$A$8:$A$92,0)))),0,31*(VLOOKUP(L$1,Sprints[],5,FALSE))+DAY(VLOOKUP(L$1,Sprints[],2,FALSE)),1,VLOOKUP(L$1,Sprints[],4,FALSE))&lt;&gt;"")*(IF(OFFSET(INDIRECT(CELL("address",INDEX('Leave Tracker'!$A$8:$A$92,MATCH($A45,'Leave Tracker'!$A$8:$A$92,0)))),0,31*(VLOOKUP(L$1,Sprints[],5,FALSE))+DAY(VLOOKUP(L$1,Sprints[],2,FALSE)),1,VLOOKUP(L$1,Sprints[],4,FALSE))='Leave Tracker'!$NX$12,0.5,1)*(OFFSET('Leave Tracker'!$A$3,0,31*(VLOOKUP(L$1,Sprints[],5,FALSE))+DAY(VLOOKUP(L$1,Sprints[],2,FALSE)),1,VLOOKUP(L$1,Sprints[],4,FALSE))))))</f>
        <v>3.84</v>
      </c>
      <c r="M45" s="45">
        <f t="array" aca="1" ref="M45" ca="1">Sheet3!$W$2*$F45*(NETWORKDAYS(VLOOKUP(M$1,Sprints[],2,FALSE), VLOOKUP(M$1,Sprints[],3,FALSE))-SUMPRODUCT((OFFSET(INDIRECT(CELL("address",INDEX('Leave Tracker'!$A$8:$A$92,MATCH($A45,'Leave Tracker'!$A$8:$A$92,0)))),0,31*(VLOOKUP(M$1,Sprints[],5,FALSE))+DAY(VLOOKUP(M$1,Sprints[],2,FALSE)),1,VLOOKUP(M$1,Sprints[],4,FALSE))&lt;&gt;"")*(IF(OFFSET(INDIRECT(CELL("address",INDEX('Leave Tracker'!$A$8:$A$92,MATCH($A45,'Leave Tracker'!$A$8:$A$92,0)))),0,31*(VLOOKUP(M$1,Sprints[],5,FALSE))+DAY(VLOOKUP(M$1,Sprints[],2,FALSE)),1,VLOOKUP(M$1,Sprints[],4,FALSE))='Leave Tracker'!$NX$12,0.5,1)*(OFFSET('Leave Tracker'!$A$3,0,31*(VLOOKUP(M$1,Sprints[],5,FALSE))+DAY(VLOOKUP(M$1,Sprints[],2,FALSE)),1,VLOOKUP(M$1,Sprints[],4,FALSE))))))</f>
        <v>4.32</v>
      </c>
      <c r="N45" s="45">
        <f t="array" aca="1" ref="N45" ca="1">Sheet3!$W$2*$F45*(NETWORKDAYS(VLOOKUP(N$1,Sprints[],2,FALSE), VLOOKUP(N$1,Sprints[],3,FALSE))-SUMPRODUCT((OFFSET(INDIRECT(CELL("address",INDEX('Leave Tracker'!$A$8:$A$92,MATCH($A45,'Leave Tracker'!$A$8:$A$92,0)))),0,31*(VLOOKUP(N$1,Sprints[],5,FALSE))+DAY(VLOOKUP(N$1,Sprints[],2,FALSE)),1,VLOOKUP(N$1,Sprints[],4,FALSE))&lt;&gt;"")*(IF(OFFSET(INDIRECT(CELL("address",INDEX('Leave Tracker'!$A$8:$A$92,MATCH($A45,'Leave Tracker'!$A$8:$A$92,0)))),0,31*(VLOOKUP(N$1,Sprints[],5,FALSE))+DAY(VLOOKUP(N$1,Sprints[],2,FALSE)),1,VLOOKUP(N$1,Sprints[],4,FALSE))='Leave Tracker'!$NX$12,0.5,1)*(OFFSET('Leave Tracker'!$A$3,0,31*(VLOOKUP(N$1,Sprints[],5,FALSE))+DAY(VLOOKUP(N$1,Sprints[],2,FALSE)),1,VLOOKUP(N$1,Sprints[],4,FALSE))))))</f>
        <v>2.4</v>
      </c>
      <c r="O45" s="82">
        <f t="array" aca="1" ref="O45" ca="1">Sheet3!$W$2*$F45*(NETWORKDAYS(VLOOKUP(O$1,Sprints[],2,FALSE), VLOOKUP(O$1,Sprints[],3,FALSE))-SUMPRODUCT((OFFSET(INDIRECT(CELL("address",INDEX('Leave Tracker'!$A$8:$A$92,MATCH($A45,'Leave Tracker'!$A$8:$A$92,0)))),0,31*(VLOOKUP(O$1,Sprints[],5,FALSE))+DAY(VLOOKUP(O$1,Sprints[],2,FALSE)),1,VLOOKUP(O$1,Sprints[],4,FALSE))&lt;&gt;"")*(IF(OFFSET(INDIRECT(CELL("address",INDEX('Leave Tracker'!$A$8:$A$92,MATCH($A45,'Leave Tracker'!$A$8:$A$92,0)))),0,31*(VLOOKUP(O$1,Sprints[],5,FALSE))+DAY(VLOOKUP(O$1,Sprints[],2,FALSE)),1,VLOOKUP(O$1,Sprints[],4,FALSE))='Leave Tracker'!$NX$12,0.5,1)*(OFFSET('Leave Tracker'!$A$3,0,31*(VLOOKUP(O$1,Sprints[],5,FALSE))+DAY(VLOOKUP(O$1,Sprints[],2,FALSE)),1,VLOOKUP(O$1,Sprints[],4,FALSE))))))</f>
        <v>31.68</v>
      </c>
    </row>
    <row r="47" spans="1:15" s="45" customFormat="1" x14ac:dyDescent="0.45"/>
    <row r="49" spans="1:14" x14ac:dyDescent="0.45">
      <c r="G49" s="45"/>
      <c r="H49" s="45"/>
      <c r="I49" s="45"/>
      <c r="J49" s="45"/>
      <c r="K49" s="45"/>
      <c r="M49" s="45"/>
      <c r="N49" s="45"/>
    </row>
    <row r="52" spans="1:14" x14ac:dyDescent="0.45">
      <c r="A52" s="45"/>
    </row>
    <row r="53" spans="1:14" x14ac:dyDescent="0.45">
      <c r="A53" s="45"/>
    </row>
    <row r="56" spans="1:14" x14ac:dyDescent="0.45">
      <c r="A56" s="45"/>
    </row>
    <row r="58" spans="1:14" x14ac:dyDescent="0.45">
      <c r="A58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Sheet3!$I$2:$I$6</xm:f>
          </x14:formula1>
          <xm:sqref>B2:B45</xm:sqref>
        </x14:dataValidation>
        <x14:dataValidation type="list" allowBlank="1" showInputMessage="1" showErrorMessage="1" xr:uid="{00000000-0002-0000-0200-000001000000}">
          <x14:formula1>
            <xm:f>Sheet3!$K$2:$K$3</xm:f>
          </x14:formula1>
          <xm:sqref>C2:C45</xm:sqref>
        </x14:dataValidation>
        <x14:dataValidation type="list" allowBlank="1" showInputMessage="1" showErrorMessage="1" xr:uid="{00000000-0002-0000-0200-000002000000}">
          <x14:formula1>
            <xm:f>Sheet3!$O$2:$O$6</xm:f>
          </x14:formula1>
          <xm:sqref>E2:E45</xm:sqref>
        </x14:dataValidation>
        <x14:dataValidation type="list" allowBlank="1" showInputMessage="1" showErrorMessage="1" xr:uid="{00000000-0002-0000-0200-000003000000}">
          <x14:formula1>
            <xm:f>Sheet3!$M$2:$M$11</xm:f>
          </x14:formula1>
          <xm:sqref>D2:D45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A13"/>
  <sheetViews>
    <sheetView showGridLines="0" tabSelected="1" workbookViewId="0">
      <selection activeCell="AA7" sqref="AA7"/>
    </sheetView>
  </sheetViews>
  <sheetFormatPr defaultColWidth="8.796875" defaultRowHeight="14.25" x14ac:dyDescent="0.45"/>
  <cols>
    <col min="1" max="1" width="10.19921875" bestFit="1" customWidth="1"/>
    <col min="2" max="9" width="3.73046875" bestFit="1" customWidth="1"/>
    <col min="10" max="10" width="4.73046875" bestFit="1" customWidth="1"/>
    <col min="11" max="14" width="4.9296875" bestFit="1" customWidth="1"/>
    <col min="15" max="15" width="4.265625" bestFit="1" customWidth="1"/>
    <col min="16" max="16" width="4.73046875" bestFit="1" customWidth="1"/>
    <col min="18" max="18" width="15.59765625" bestFit="1" customWidth="1"/>
    <col min="19" max="19" width="8.06640625" bestFit="1" customWidth="1"/>
    <col min="20" max="25" width="5.59765625" customWidth="1"/>
    <col min="26" max="26" width="5.59765625" style="45" customWidth="1"/>
    <col min="27" max="27" width="7.59765625" customWidth="1"/>
  </cols>
  <sheetData>
    <row r="1" spans="1:27" x14ac:dyDescent="0.45">
      <c r="A1" s="59" t="s">
        <v>97</v>
      </c>
      <c r="B1" s="45" t="s">
        <v>148</v>
      </c>
      <c r="C1" s="45" t="s">
        <v>149</v>
      </c>
      <c r="D1" s="45" t="s">
        <v>150</v>
      </c>
      <c r="E1" s="45" t="s">
        <v>151</v>
      </c>
      <c r="F1" s="45" t="s">
        <v>152</v>
      </c>
      <c r="G1" s="45" t="s">
        <v>153</v>
      </c>
      <c r="H1" s="45" t="s">
        <v>154</v>
      </c>
      <c r="I1" s="45" t="s">
        <v>155</v>
      </c>
      <c r="J1" s="85" t="s">
        <v>156</v>
      </c>
      <c r="R1" s="63" t="s">
        <v>127</v>
      </c>
      <c r="S1" s="45"/>
      <c r="T1" s="45"/>
      <c r="U1" s="45"/>
      <c r="V1" s="45"/>
      <c r="W1" s="45"/>
      <c r="X1" s="45"/>
      <c r="Y1" s="45"/>
      <c r="AA1" s="45"/>
    </row>
    <row r="2" spans="1:27" x14ac:dyDescent="0.45">
      <c r="A2" s="46" t="s">
        <v>99</v>
      </c>
      <c r="B2" s="60">
        <v>10.8</v>
      </c>
      <c r="C2" s="60">
        <v>21.6</v>
      </c>
      <c r="D2" s="60">
        <v>21.6</v>
      </c>
      <c r="E2" s="60">
        <v>21.6</v>
      </c>
      <c r="F2" s="60">
        <v>21.6</v>
      </c>
      <c r="G2" s="60">
        <v>15.120000000000003</v>
      </c>
      <c r="H2" s="60">
        <v>21.6</v>
      </c>
      <c r="I2" s="60">
        <v>10.8</v>
      </c>
      <c r="J2" s="86">
        <v>144.72000000000003</v>
      </c>
      <c r="R2" t="s">
        <v>97</v>
      </c>
      <c r="S2" s="64" t="s">
        <v>140</v>
      </c>
      <c r="T2" s="64" t="s">
        <v>141</v>
      </c>
      <c r="U2" s="64" t="s">
        <v>142</v>
      </c>
      <c r="V2" s="64" t="s">
        <v>143</v>
      </c>
      <c r="W2" s="64" t="s">
        <v>144</v>
      </c>
      <c r="X2" s="64" t="s">
        <v>145</v>
      </c>
      <c r="Y2" s="64" t="s">
        <v>146</v>
      </c>
      <c r="Z2" s="64" t="s">
        <v>147</v>
      </c>
      <c r="AA2" s="64" t="s">
        <v>157</v>
      </c>
    </row>
    <row r="3" spans="1:27" x14ac:dyDescent="0.45">
      <c r="A3" s="46" t="s">
        <v>100</v>
      </c>
      <c r="B3" s="60">
        <v>32.800000000000004</v>
      </c>
      <c r="C3" s="60">
        <v>65.600000000000009</v>
      </c>
      <c r="D3" s="60">
        <v>65</v>
      </c>
      <c r="E3" s="60">
        <v>65.600000000000009</v>
      </c>
      <c r="F3" s="60">
        <v>65.600000000000009</v>
      </c>
      <c r="G3" s="60">
        <v>46.520000000000017</v>
      </c>
      <c r="H3" s="60">
        <v>65</v>
      </c>
      <c r="I3" s="60">
        <v>32.800000000000004</v>
      </c>
      <c r="J3" s="86">
        <v>438.92000000000007</v>
      </c>
      <c r="R3" t="s">
        <v>99</v>
      </c>
      <c r="S3" s="83">
        <f t="shared" ref="S3:X7" si="0">B2</f>
        <v>10.8</v>
      </c>
      <c r="T3" s="83">
        <f t="shared" si="0"/>
        <v>21.6</v>
      </c>
      <c r="U3" s="83">
        <f t="shared" si="0"/>
        <v>21.6</v>
      </c>
      <c r="V3" s="83">
        <f t="shared" si="0"/>
        <v>21.6</v>
      </c>
      <c r="W3" s="83">
        <f t="shared" si="0"/>
        <v>21.6</v>
      </c>
      <c r="X3" s="83">
        <f t="shared" si="0"/>
        <v>15.120000000000003</v>
      </c>
      <c r="Y3" s="83">
        <f>H2</f>
        <v>21.6</v>
      </c>
      <c r="Z3" s="83">
        <f t="shared" ref="Z3:Z7" si="1">I2</f>
        <v>10.8</v>
      </c>
      <c r="AA3" s="83">
        <f>SUM(S3:Z3)</f>
        <v>144.72000000000003</v>
      </c>
    </row>
    <row r="4" spans="1:27" x14ac:dyDescent="0.45">
      <c r="A4" s="46" t="s">
        <v>106</v>
      </c>
      <c r="B4" s="60">
        <v>26.800000000000004</v>
      </c>
      <c r="C4" s="60">
        <v>53.600000000000009</v>
      </c>
      <c r="D4" s="60">
        <v>52.88</v>
      </c>
      <c r="E4" s="60">
        <v>53.600000000000009</v>
      </c>
      <c r="F4" s="60">
        <v>53.600000000000009</v>
      </c>
      <c r="G4" s="60">
        <v>38.240000000000016</v>
      </c>
      <c r="H4" s="60">
        <v>52.88</v>
      </c>
      <c r="I4" s="60">
        <v>26.800000000000004</v>
      </c>
      <c r="J4" s="86">
        <v>358.40000000000003</v>
      </c>
      <c r="R4" t="s">
        <v>129</v>
      </c>
      <c r="S4" s="83">
        <f t="shared" si="0"/>
        <v>32.800000000000004</v>
      </c>
      <c r="T4" s="83">
        <f t="shared" si="0"/>
        <v>65.600000000000009</v>
      </c>
      <c r="U4" s="83">
        <f t="shared" si="0"/>
        <v>65</v>
      </c>
      <c r="V4" s="83">
        <f t="shared" ref="V4:V7" si="2">E3</f>
        <v>65.600000000000009</v>
      </c>
      <c r="W4" s="83">
        <f t="shared" ref="W4:W7" si="3">F3</f>
        <v>65.600000000000009</v>
      </c>
      <c r="X4" s="83">
        <f t="shared" si="0"/>
        <v>46.520000000000017</v>
      </c>
      <c r="Y4" s="83">
        <f t="shared" ref="Y4:Y6" si="4">H2</f>
        <v>21.6</v>
      </c>
      <c r="Z4" s="83">
        <f t="shared" si="1"/>
        <v>32.800000000000004</v>
      </c>
      <c r="AA4" s="83">
        <f>SUM(S4:Z4)</f>
        <v>395.5200000000001</v>
      </c>
    </row>
    <row r="5" spans="1:27" x14ac:dyDescent="0.45">
      <c r="A5" s="46" t="s">
        <v>103</v>
      </c>
      <c r="B5" s="60">
        <v>40.4</v>
      </c>
      <c r="C5" s="60">
        <v>80.8</v>
      </c>
      <c r="D5" s="60">
        <v>72.88</v>
      </c>
      <c r="E5" s="60">
        <v>80.8</v>
      </c>
      <c r="F5" s="60">
        <v>80.8</v>
      </c>
      <c r="G5" s="60">
        <v>64.48</v>
      </c>
      <c r="H5" s="60">
        <v>72.88</v>
      </c>
      <c r="I5" s="60">
        <v>40.4</v>
      </c>
      <c r="J5" s="86">
        <v>533.44000000000005</v>
      </c>
      <c r="R5" t="s">
        <v>106</v>
      </c>
      <c r="S5" s="83">
        <f t="shared" si="0"/>
        <v>26.800000000000004</v>
      </c>
      <c r="T5" s="83">
        <f t="shared" si="0"/>
        <v>53.600000000000009</v>
      </c>
      <c r="U5" s="83">
        <f t="shared" si="0"/>
        <v>52.88</v>
      </c>
      <c r="V5" s="83">
        <f t="shared" si="2"/>
        <v>53.600000000000009</v>
      </c>
      <c r="W5" s="83">
        <f t="shared" si="3"/>
        <v>53.600000000000009</v>
      </c>
      <c r="X5" s="83">
        <f t="shared" si="0"/>
        <v>38.240000000000016</v>
      </c>
      <c r="Y5" s="83">
        <f t="shared" si="4"/>
        <v>65</v>
      </c>
      <c r="Z5" s="83">
        <f t="shared" si="1"/>
        <v>26.800000000000004</v>
      </c>
      <c r="AA5" s="83">
        <f>SUM(S5:Z5)</f>
        <v>370.52000000000004</v>
      </c>
    </row>
    <row r="6" spans="1:27" x14ac:dyDescent="0.45">
      <c r="A6" s="46" t="s">
        <v>125</v>
      </c>
      <c r="B6" s="60">
        <v>110.80000000000001</v>
      </c>
      <c r="C6" s="60">
        <v>221.60000000000002</v>
      </c>
      <c r="D6" s="60">
        <v>212.35999999999999</v>
      </c>
      <c r="E6" s="60">
        <v>221.60000000000002</v>
      </c>
      <c r="F6" s="60">
        <v>221.60000000000002</v>
      </c>
      <c r="G6" s="60">
        <v>164.36000000000004</v>
      </c>
      <c r="H6" s="60">
        <v>212.35999999999999</v>
      </c>
      <c r="I6" s="60">
        <v>110.80000000000001</v>
      </c>
      <c r="J6" s="86">
        <v>1475.4800000000002</v>
      </c>
      <c r="R6" t="s">
        <v>103</v>
      </c>
      <c r="S6" s="83">
        <f t="shared" si="0"/>
        <v>40.4</v>
      </c>
      <c r="T6" s="83">
        <f t="shared" si="0"/>
        <v>80.8</v>
      </c>
      <c r="U6" s="83">
        <f t="shared" si="0"/>
        <v>72.88</v>
      </c>
      <c r="V6" s="83">
        <f t="shared" si="2"/>
        <v>80.8</v>
      </c>
      <c r="W6" s="83">
        <f t="shared" si="3"/>
        <v>80.8</v>
      </c>
      <c r="X6" s="83">
        <f t="shared" si="0"/>
        <v>64.48</v>
      </c>
      <c r="Y6" s="83">
        <f t="shared" si="4"/>
        <v>52.88</v>
      </c>
      <c r="Z6" s="83">
        <f t="shared" si="1"/>
        <v>40.4</v>
      </c>
      <c r="AA6" s="83">
        <f>SUM(S6:Z6)</f>
        <v>513.44000000000005</v>
      </c>
    </row>
    <row r="7" spans="1:27" x14ac:dyDescent="0.45">
      <c r="R7" s="65" t="s">
        <v>128</v>
      </c>
      <c r="S7" s="84">
        <f t="shared" si="0"/>
        <v>110.80000000000001</v>
      </c>
      <c r="T7" s="84">
        <f t="shared" si="0"/>
        <v>221.60000000000002</v>
      </c>
      <c r="U7" s="84">
        <f t="shared" si="0"/>
        <v>212.35999999999999</v>
      </c>
      <c r="V7" s="84">
        <f t="shared" si="2"/>
        <v>221.60000000000002</v>
      </c>
      <c r="W7" s="84">
        <f t="shared" si="3"/>
        <v>221.60000000000002</v>
      </c>
      <c r="X7" s="84">
        <f>G6</f>
        <v>164.36000000000004</v>
      </c>
      <c r="Y7" s="84">
        <f>H6</f>
        <v>212.35999999999999</v>
      </c>
      <c r="Z7" s="84">
        <f t="shared" si="1"/>
        <v>110.80000000000001</v>
      </c>
      <c r="AA7" s="84">
        <f>SUM(S7:Z7)</f>
        <v>1475.48</v>
      </c>
    </row>
    <row r="11" spans="1:27" x14ac:dyDescent="0.45">
      <c r="R11" s="76" t="s">
        <v>135</v>
      </c>
      <c r="S11" s="77"/>
      <c r="T11" s="78"/>
      <c r="U11" s="75">
        <f ca="1">SUMIF(Team!E2:E91,"QA BA", Team!O2:O91)</f>
        <v>450.78000000000003</v>
      </c>
    </row>
    <row r="13" spans="1:27" x14ac:dyDescent="0.45">
      <c r="R13" s="76" t="s">
        <v>136</v>
      </c>
      <c r="S13" s="77"/>
      <c r="T13" s="78"/>
      <c r="U13" s="75">
        <f ca="1">SUM(SUMIFS(Team!O3:O91, Team!E3:E91,"QA BA", Team!B3:B91, {"Alpha","ngStars","NW"}))</f>
        <v>308.22000000000003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4"/>
  <sheetViews>
    <sheetView topLeftCell="I1" workbookViewId="0">
      <selection activeCell="R15" sqref="R15"/>
    </sheetView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7" width="9.796875" customWidth="1"/>
    <col min="18" max="18" width="12.6640625" customWidth="1"/>
    <col min="19" max="19" width="10.92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October 2018</v>
      </c>
      <c r="H1" s="6"/>
      <c r="I1" t="s">
        <v>102</v>
      </c>
      <c r="K1" s="45" t="s">
        <v>98</v>
      </c>
      <c r="M1" s="45" t="s">
        <v>107</v>
      </c>
      <c r="O1" s="45" t="s">
        <v>118</v>
      </c>
      <c r="Q1" s="45" t="s">
        <v>122</v>
      </c>
      <c r="R1" s="45" t="s">
        <v>36</v>
      </c>
      <c r="S1" s="45" t="s">
        <v>37</v>
      </c>
      <c r="T1" t="s">
        <v>38</v>
      </c>
      <c r="U1" t="s">
        <v>123</v>
      </c>
      <c r="W1" s="45" t="s">
        <v>124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October 2018</v>
      </c>
      <c r="I2" t="s">
        <v>99</v>
      </c>
      <c r="K2" t="s">
        <v>104</v>
      </c>
      <c r="M2" t="s">
        <v>130</v>
      </c>
      <c r="O2" t="s">
        <v>111</v>
      </c>
      <c r="Q2" t="s">
        <v>140</v>
      </c>
      <c r="R2" s="6">
        <v>43390</v>
      </c>
      <c r="S2" s="6">
        <f>R2+6</f>
        <v>43396</v>
      </c>
      <c r="T2">
        <f t="shared" ref="T2:T9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100</v>
      </c>
      <c r="K3" t="s">
        <v>105</v>
      </c>
      <c r="M3" t="s">
        <v>132</v>
      </c>
      <c r="O3" t="s">
        <v>112</v>
      </c>
      <c r="Q3" t="s">
        <v>141</v>
      </c>
      <c r="R3" s="6">
        <f>S2+1</f>
        <v>43397</v>
      </c>
      <c r="S3" s="6">
        <f>S2+14</f>
        <v>43410</v>
      </c>
      <c r="T3">
        <f t="shared" si="0"/>
        <v>14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106</v>
      </c>
      <c r="M4" t="s">
        <v>108</v>
      </c>
      <c r="O4" t="s">
        <v>113</v>
      </c>
      <c r="Q4" t="s">
        <v>142</v>
      </c>
      <c r="R4" s="6">
        <f>S3+1</f>
        <v>43411</v>
      </c>
      <c r="S4" s="6">
        <f>S3+14</f>
        <v>43424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101</v>
      </c>
      <c r="M5" s="45" t="s">
        <v>131</v>
      </c>
      <c r="O5" t="s">
        <v>114</v>
      </c>
      <c r="Q5" t="s">
        <v>143</v>
      </c>
      <c r="R5" s="6">
        <f t="shared" ref="R5:R9" si="1">S4+1</f>
        <v>43425</v>
      </c>
      <c r="S5" s="6">
        <f t="shared" ref="S5:S7" si="2">S4+14</f>
        <v>43438</v>
      </c>
      <c r="T5">
        <f t="shared" si="0"/>
        <v>15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103</v>
      </c>
      <c r="M6" s="45" t="s">
        <v>109</v>
      </c>
      <c r="O6" t="s">
        <v>115</v>
      </c>
      <c r="Q6" t="s">
        <v>144</v>
      </c>
      <c r="R6" s="6">
        <f t="shared" si="1"/>
        <v>43439</v>
      </c>
      <c r="S6" s="6">
        <f t="shared" si="2"/>
        <v>43452</v>
      </c>
      <c r="T6">
        <f t="shared" si="0"/>
        <v>14</v>
      </c>
      <c r="U6">
        <f>DATEDIF(DATE('Leave Tracker'!$A$2,'Leave Tracker'!$A$1,1),DATE(YEAR(R6),MONTH(R6),1),"m")</f>
        <v>2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110</v>
      </c>
      <c r="Q7" t="s">
        <v>145</v>
      </c>
      <c r="R7" s="6">
        <f t="shared" si="1"/>
        <v>43453</v>
      </c>
      <c r="S7" s="6">
        <f t="shared" si="2"/>
        <v>43466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116</v>
      </c>
      <c r="Q8" t="s">
        <v>146</v>
      </c>
      <c r="R8" s="6">
        <f>S7+1</f>
        <v>43467</v>
      </c>
      <c r="S8" s="6">
        <f>S7+14</f>
        <v>43480</v>
      </c>
      <c r="T8">
        <f t="shared" si="0"/>
        <v>14</v>
      </c>
      <c r="U8">
        <f>DATEDIF(DATE('Leave Tracker'!$A$2,'Leave Tracker'!$A$1,1),DATE(YEAR(R8),MONTH(R8),1),"m")</f>
        <v>3</v>
      </c>
    </row>
    <row r="9" spans="1:23" x14ac:dyDescent="0.45">
      <c r="A9" s="1" t="s">
        <v>7</v>
      </c>
      <c r="B9" s="1">
        <v>9</v>
      </c>
      <c r="M9" s="45" t="s">
        <v>121</v>
      </c>
      <c r="Q9" t="s">
        <v>147</v>
      </c>
      <c r="R9" s="6">
        <f t="shared" si="1"/>
        <v>43481</v>
      </c>
      <c r="S9" s="6">
        <f>S8+7</f>
        <v>43487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119</v>
      </c>
      <c r="Q10" s="45" t="s">
        <v>134</v>
      </c>
      <c r="R10" s="6">
        <f ca="1" xml:space="preserve"> MAX(TODAY(),$R$2)</f>
        <v>43390</v>
      </c>
      <c r="S10" s="6">
        <f>S9</f>
        <v>43487</v>
      </c>
      <c r="T10" s="31">
        <f ca="1">DATEDIF(R10,S10,"d") + 1 + (DATEDIF(DATE(YEAR(R10),MONTH(R10),1),DATE(YEAR(S10),MONTH(S10),1),"m")*31 - DATEDIF(DATE(YEAR(R10),MONTH(R10),1),DATE(YEAR(S10),MONTH(S10),1),"d"))</f>
        <v>99</v>
      </c>
      <c r="U10" s="31">
        <f ca="1">DATEDIF(DATE('Leave Tracker'!$A$2,'Leave Tracker'!$A$1,1),DATE(YEAR(R10),MONTH(R10),1),"m")</f>
        <v>0</v>
      </c>
    </row>
    <row r="11" spans="1:23" x14ac:dyDescent="0.45">
      <c r="A11" s="1" t="s">
        <v>9</v>
      </c>
      <c r="B11" s="1">
        <v>11</v>
      </c>
      <c r="M11" s="45" t="s">
        <v>120</v>
      </c>
      <c r="R11" s="6"/>
      <c r="S11" s="6"/>
    </row>
    <row r="12" spans="1:23" x14ac:dyDescent="0.45">
      <c r="A12" s="1" t="s">
        <v>10</v>
      </c>
      <c r="B12" s="1">
        <v>12</v>
      </c>
      <c r="R12" s="6"/>
      <c r="S12" s="6"/>
    </row>
    <row r="13" spans="1:23" x14ac:dyDescent="0.45">
      <c r="R13" s="6"/>
      <c r="S13" s="6"/>
    </row>
    <row r="14" spans="1:23" x14ac:dyDescent="0.45">
      <c r="R14" s="6"/>
      <c r="S14" s="6"/>
      <c r="T14" s="31"/>
      <c r="U14" s="31"/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2018-09-06T17:13:41Z</dcterms:modified>
</cp:coreProperties>
</file>